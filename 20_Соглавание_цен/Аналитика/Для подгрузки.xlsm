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20_Соглавание_цен\Аналитика\"/>
    </mc:Choice>
  </mc:AlternateContent>
  <xr:revisionPtr revIDLastSave="0" documentId="13_ncr:1_{1E019FD7-676A-4844-B9E8-0FF1DD16BF5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НМ" sheetId="1" r:id="rId1"/>
    <sheet name="Заявки" sheetId="3" r:id="rId2"/>
    <sheet name="ООО ЮжКомплекс15 № 32598" sheetId="5" r:id="rId3"/>
    <sheet name="Список" sheetId="2" r:id="rId4"/>
    <sheet name="ВСП" sheetId="4" r:id="rId5"/>
  </sheets>
  <functionGroups builtInGroupCount="19"/>
  <definedNames>
    <definedName name="_xlnm._FilterDatabase" localSheetId="0" hidden="1">НМ!$A$4:$O$1184</definedName>
    <definedName name="ExternalData_1" localSheetId="2" hidden="1">'ООО ЮжКомплекс15 № 32598'!$B$5:$F$50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0" i="5" l="1"/>
  <c r="J50" i="5"/>
  <c r="H50" i="5"/>
  <c r="K49" i="5"/>
  <c r="J49" i="5"/>
  <c r="H49" i="5"/>
  <c r="K48" i="5"/>
  <c r="J48" i="5"/>
  <c r="H48" i="5"/>
  <c r="K47" i="5"/>
  <c r="J47" i="5"/>
  <c r="H47" i="5"/>
  <c r="K46" i="5"/>
  <c r="J46" i="5"/>
  <c r="H46" i="5"/>
  <c r="K45" i="5"/>
  <c r="J45" i="5"/>
  <c r="H45" i="5"/>
  <c r="K44" i="5"/>
  <c r="J44" i="5"/>
  <c r="H44" i="5"/>
  <c r="K43" i="5"/>
  <c r="J43" i="5"/>
  <c r="H43" i="5"/>
  <c r="K42" i="5"/>
  <c r="J42" i="5"/>
  <c r="H42" i="5"/>
  <c r="K41" i="5"/>
  <c r="J41" i="5"/>
  <c r="H41" i="5"/>
  <c r="K40" i="5"/>
  <c r="J40" i="5"/>
  <c r="H40" i="5"/>
  <c r="K39" i="5"/>
  <c r="J39" i="5"/>
  <c r="H39" i="5"/>
  <c r="K38" i="5"/>
  <c r="J38" i="5"/>
  <c r="H38" i="5"/>
  <c r="K37" i="5"/>
  <c r="J37" i="5"/>
  <c r="H37" i="5"/>
  <c r="K36" i="5"/>
  <c r="J36" i="5"/>
  <c r="H36" i="5"/>
  <c r="K35" i="5"/>
  <c r="J35" i="5"/>
  <c r="H35" i="5"/>
  <c r="K34" i="5"/>
  <c r="J34" i="5"/>
  <c r="H34" i="5"/>
  <c r="K33" i="5"/>
  <c r="J33" i="5"/>
  <c r="H33" i="5"/>
  <c r="K32" i="5"/>
  <c r="J32" i="5"/>
  <c r="H32" i="5"/>
  <c r="K31" i="5"/>
  <c r="J31" i="5"/>
  <c r="H31" i="5"/>
  <c r="K30" i="5"/>
  <c r="J30" i="5"/>
  <c r="H30" i="5"/>
  <c r="K29" i="5"/>
  <c r="J29" i="5"/>
  <c r="H29" i="5"/>
  <c r="K28" i="5"/>
  <c r="J28" i="5"/>
  <c r="H28" i="5"/>
  <c r="K27" i="5"/>
  <c r="J27" i="5"/>
  <c r="H27" i="5"/>
  <c r="K26" i="5"/>
  <c r="J26" i="5"/>
  <c r="H26" i="5"/>
  <c r="K25" i="5"/>
  <c r="J25" i="5"/>
  <c r="H25" i="5"/>
  <c r="K24" i="5"/>
  <c r="J24" i="5"/>
  <c r="H24" i="5"/>
  <c r="K23" i="5"/>
  <c r="J23" i="5"/>
  <c r="H23" i="5"/>
  <c r="K22" i="5"/>
  <c r="J22" i="5"/>
  <c r="H22" i="5"/>
  <c r="K21" i="5"/>
  <c r="J21" i="5"/>
  <c r="H21" i="5"/>
  <c r="K20" i="5"/>
  <c r="J20" i="5"/>
  <c r="H20" i="5"/>
  <c r="K19" i="5"/>
  <c r="J19" i="5"/>
  <c r="H19" i="5"/>
  <c r="K18" i="5"/>
  <c r="J18" i="5"/>
  <c r="H18" i="5"/>
  <c r="K17" i="5"/>
  <c r="J17" i="5"/>
  <c r="H17" i="5"/>
  <c r="K16" i="5"/>
  <c r="J16" i="5"/>
  <c r="H16" i="5"/>
  <c r="K15" i="5"/>
  <c r="J15" i="5"/>
  <c r="H15" i="5"/>
  <c r="K14" i="5"/>
  <c r="J14" i="5"/>
  <c r="H14" i="5"/>
  <c r="K13" i="5"/>
  <c r="J13" i="5"/>
  <c r="H13" i="5"/>
  <c r="K12" i="5"/>
  <c r="J12" i="5"/>
  <c r="H12" i="5"/>
  <c r="K11" i="5"/>
  <c r="J11" i="5"/>
  <c r="H11" i="5"/>
  <c r="K10" i="5"/>
  <c r="J10" i="5"/>
  <c r="H10" i="5"/>
  <c r="K9" i="5"/>
  <c r="J9" i="5"/>
  <c r="H9" i="5"/>
  <c r="K8" i="5"/>
  <c r="J8" i="5"/>
  <c r="H8" i="5"/>
  <c r="K7" i="5"/>
  <c r="J7" i="5"/>
  <c r="H7" i="5"/>
  <c r="K6" i="5"/>
  <c r="J6" i="5"/>
  <c r="H6" i="5"/>
  <c r="I159" i="1"/>
  <c r="I167" i="1"/>
  <c r="I175" i="1"/>
  <c r="I183" i="1"/>
  <c r="I191" i="1"/>
  <c r="I199" i="1"/>
  <c r="I207" i="1"/>
  <c r="I215" i="1"/>
  <c r="I223" i="1"/>
  <c r="I231" i="1"/>
  <c r="I239" i="1"/>
  <c r="I247" i="1"/>
  <c r="I255" i="1"/>
  <c r="I263" i="1"/>
  <c r="I271" i="1"/>
  <c r="I279" i="1"/>
  <c r="I287" i="1"/>
  <c r="I295" i="1"/>
  <c r="I303" i="1"/>
  <c r="I311" i="1"/>
  <c r="I319" i="1"/>
  <c r="I327" i="1"/>
  <c r="I335" i="1"/>
  <c r="I343" i="1"/>
  <c r="I351" i="1"/>
  <c r="I359" i="1"/>
  <c r="I367" i="1"/>
  <c r="I375" i="1"/>
  <c r="I383" i="1"/>
  <c r="I391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58" i="1"/>
  <c r="I663" i="1"/>
  <c r="I666" i="1"/>
  <c r="I671" i="1"/>
  <c r="I674" i="1"/>
  <c r="I679" i="1"/>
  <c r="I682" i="1"/>
  <c r="I687" i="1"/>
  <c r="I695" i="1"/>
  <c r="I703" i="1"/>
  <c r="I711" i="1"/>
  <c r="I714" i="1"/>
  <c r="I719" i="1"/>
  <c r="I722" i="1"/>
  <c r="I727" i="1"/>
  <c r="I730" i="1"/>
  <c r="I735" i="1"/>
  <c r="I738" i="1"/>
  <c r="I743" i="1"/>
  <c r="I746" i="1"/>
  <c r="I751" i="1"/>
  <c r="I759" i="1"/>
  <c r="I762" i="1"/>
  <c r="I767" i="1"/>
  <c r="I775" i="1"/>
  <c r="I778" i="1"/>
  <c r="I783" i="1"/>
  <c r="I786" i="1"/>
  <c r="I791" i="1"/>
  <c r="I794" i="1"/>
  <c r="I799" i="1"/>
  <c r="I802" i="1"/>
  <c r="I807" i="1"/>
  <c r="I810" i="1"/>
  <c r="I815" i="1"/>
  <c r="I823" i="1"/>
  <c r="I826" i="1"/>
  <c r="I831" i="1"/>
  <c r="I839" i="1"/>
  <c r="I842" i="1"/>
  <c r="I847" i="1"/>
  <c r="I850" i="1"/>
  <c r="I855" i="1"/>
  <c r="I858" i="1"/>
  <c r="I863" i="1"/>
  <c r="I866" i="1"/>
  <c r="I871" i="1"/>
  <c r="I874" i="1"/>
  <c r="I879" i="1"/>
  <c r="I887" i="1"/>
  <c r="I890" i="1"/>
  <c r="I895" i="1"/>
  <c r="I903" i="1"/>
  <c r="I906" i="1"/>
  <c r="I911" i="1"/>
  <c r="I914" i="1"/>
  <c r="I919" i="1"/>
  <c r="I922" i="1"/>
  <c r="I927" i="1"/>
  <c r="I930" i="1"/>
  <c r="I935" i="1"/>
  <c r="I938" i="1"/>
  <c r="I943" i="1"/>
  <c r="I951" i="1"/>
  <c r="I954" i="1"/>
  <c r="I959" i="1"/>
  <c r="I967" i="1"/>
  <c r="I970" i="1"/>
  <c r="I975" i="1"/>
  <c r="I978" i="1"/>
  <c r="I983" i="1"/>
  <c r="I986" i="1"/>
  <c r="I991" i="1"/>
  <c r="I994" i="1"/>
  <c r="I999" i="1"/>
  <c r="I1002" i="1"/>
  <c r="I1007" i="1"/>
  <c r="I1015" i="1"/>
  <c r="I1018" i="1"/>
  <c r="I1023" i="1"/>
  <c r="I1031" i="1"/>
  <c r="I1034" i="1"/>
  <c r="I1039" i="1"/>
  <c r="I1042" i="1"/>
  <c r="I1047" i="1"/>
  <c r="I1050" i="1"/>
  <c r="I1055" i="1"/>
  <c r="I1058" i="1"/>
  <c r="I1063" i="1"/>
  <c r="I1066" i="1"/>
  <c r="I1071" i="1"/>
  <c r="I1079" i="1"/>
  <c r="I1082" i="1"/>
  <c r="I1087" i="1"/>
  <c r="I1095" i="1"/>
  <c r="I1098" i="1"/>
  <c r="I1103" i="1"/>
  <c r="I1106" i="1"/>
  <c r="I1111" i="1"/>
  <c r="I1114" i="1"/>
  <c r="I1119" i="1"/>
  <c r="I1122" i="1"/>
  <c r="I1125" i="1"/>
  <c r="I1127" i="1"/>
  <c r="I1130" i="1"/>
  <c r="I1135" i="1"/>
  <c r="I1136" i="1"/>
  <c r="I1143" i="1"/>
  <c r="I1144" i="1"/>
  <c r="I1146" i="1"/>
  <c r="I1151" i="1"/>
  <c r="I1159" i="1"/>
  <c r="I1160" i="1"/>
  <c r="I1162" i="1"/>
  <c r="I1165" i="1"/>
  <c r="I1167" i="1"/>
  <c r="I1168" i="1"/>
  <c r="I1170" i="1"/>
  <c r="I1173" i="1"/>
  <c r="I1175" i="1"/>
  <c r="I1176" i="1"/>
  <c r="I1178" i="1"/>
  <c r="I1181" i="1"/>
  <c r="I1184" i="1"/>
  <c r="E6" i="1"/>
  <c r="E283" i="1"/>
  <c r="E291" i="1"/>
  <c r="E347" i="1"/>
  <c r="E355" i="1"/>
  <c r="E363" i="1"/>
  <c r="E887" i="1"/>
  <c r="E895" i="1"/>
  <c r="E1159" i="1"/>
  <c r="E1163" i="1"/>
  <c r="E5" i="1"/>
  <c r="M4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5" i="1"/>
  <c r="E893" i="1"/>
  <c r="I1169" i="1"/>
  <c r="I1171" i="1"/>
  <c r="I1172" i="1"/>
  <c r="I1174" i="1"/>
  <c r="I1177" i="1"/>
  <c r="I1179" i="1"/>
  <c r="I1180" i="1"/>
  <c r="I1182" i="1"/>
  <c r="I1183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60" i="1"/>
  <c r="I161" i="1"/>
  <c r="I162" i="1"/>
  <c r="I163" i="1"/>
  <c r="I164" i="1"/>
  <c r="I165" i="1"/>
  <c r="I166" i="1"/>
  <c r="I168" i="1"/>
  <c r="I169" i="1"/>
  <c r="I170" i="1"/>
  <c r="I171" i="1"/>
  <c r="I172" i="1"/>
  <c r="I173" i="1"/>
  <c r="I174" i="1"/>
  <c r="I176" i="1"/>
  <c r="I177" i="1"/>
  <c r="I178" i="1"/>
  <c r="I179" i="1"/>
  <c r="I180" i="1"/>
  <c r="I181" i="1"/>
  <c r="I182" i="1"/>
  <c r="I184" i="1"/>
  <c r="I185" i="1"/>
  <c r="I186" i="1"/>
  <c r="I187" i="1"/>
  <c r="I188" i="1"/>
  <c r="I189" i="1"/>
  <c r="I190" i="1"/>
  <c r="I192" i="1"/>
  <c r="I193" i="1"/>
  <c r="I194" i="1"/>
  <c r="I195" i="1"/>
  <c r="I196" i="1"/>
  <c r="I197" i="1"/>
  <c r="I198" i="1"/>
  <c r="I200" i="1"/>
  <c r="I201" i="1"/>
  <c r="I202" i="1"/>
  <c r="I203" i="1"/>
  <c r="I204" i="1"/>
  <c r="I205" i="1"/>
  <c r="I206" i="1"/>
  <c r="I208" i="1"/>
  <c r="I209" i="1"/>
  <c r="I210" i="1"/>
  <c r="I211" i="1"/>
  <c r="I212" i="1"/>
  <c r="I213" i="1"/>
  <c r="I214" i="1"/>
  <c r="I216" i="1"/>
  <c r="I217" i="1"/>
  <c r="I218" i="1"/>
  <c r="I219" i="1"/>
  <c r="I220" i="1"/>
  <c r="I221" i="1"/>
  <c r="I222" i="1"/>
  <c r="I224" i="1"/>
  <c r="I225" i="1"/>
  <c r="I226" i="1"/>
  <c r="I227" i="1"/>
  <c r="I228" i="1"/>
  <c r="I229" i="1"/>
  <c r="I230" i="1"/>
  <c r="I232" i="1"/>
  <c r="I233" i="1"/>
  <c r="I234" i="1"/>
  <c r="I235" i="1"/>
  <c r="I236" i="1"/>
  <c r="I237" i="1"/>
  <c r="I238" i="1"/>
  <c r="I240" i="1"/>
  <c r="I241" i="1"/>
  <c r="I242" i="1"/>
  <c r="I243" i="1"/>
  <c r="I244" i="1"/>
  <c r="I245" i="1"/>
  <c r="I246" i="1"/>
  <c r="I248" i="1"/>
  <c r="I249" i="1"/>
  <c r="I250" i="1"/>
  <c r="I251" i="1"/>
  <c r="I252" i="1"/>
  <c r="I253" i="1"/>
  <c r="I254" i="1"/>
  <c r="I256" i="1"/>
  <c r="I257" i="1"/>
  <c r="I258" i="1"/>
  <c r="I259" i="1"/>
  <c r="I260" i="1"/>
  <c r="I261" i="1"/>
  <c r="I262" i="1"/>
  <c r="I264" i="1"/>
  <c r="I265" i="1"/>
  <c r="I266" i="1"/>
  <c r="I267" i="1"/>
  <c r="I268" i="1"/>
  <c r="I269" i="1"/>
  <c r="I270" i="1"/>
  <c r="I272" i="1"/>
  <c r="I273" i="1"/>
  <c r="I274" i="1"/>
  <c r="I275" i="1"/>
  <c r="I276" i="1"/>
  <c r="I277" i="1"/>
  <c r="I278" i="1"/>
  <c r="I280" i="1"/>
  <c r="I281" i="1"/>
  <c r="I282" i="1"/>
  <c r="I283" i="1"/>
  <c r="I284" i="1"/>
  <c r="I285" i="1"/>
  <c r="I286" i="1"/>
  <c r="I288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4" i="1"/>
  <c r="I305" i="1"/>
  <c r="I306" i="1"/>
  <c r="I307" i="1"/>
  <c r="I308" i="1"/>
  <c r="I309" i="1"/>
  <c r="I310" i="1"/>
  <c r="I312" i="1"/>
  <c r="I313" i="1"/>
  <c r="I314" i="1"/>
  <c r="I315" i="1"/>
  <c r="I316" i="1"/>
  <c r="I317" i="1"/>
  <c r="I318" i="1"/>
  <c r="I320" i="1"/>
  <c r="I321" i="1"/>
  <c r="I322" i="1"/>
  <c r="I323" i="1"/>
  <c r="I324" i="1"/>
  <c r="I325" i="1"/>
  <c r="I326" i="1"/>
  <c r="I328" i="1"/>
  <c r="I329" i="1"/>
  <c r="I330" i="1"/>
  <c r="I331" i="1"/>
  <c r="I332" i="1"/>
  <c r="I333" i="1"/>
  <c r="I334" i="1"/>
  <c r="I336" i="1"/>
  <c r="I337" i="1"/>
  <c r="I338" i="1"/>
  <c r="I339" i="1"/>
  <c r="I340" i="1"/>
  <c r="I341" i="1"/>
  <c r="I342" i="1"/>
  <c r="I344" i="1"/>
  <c r="I345" i="1"/>
  <c r="I346" i="1"/>
  <c r="I347" i="1"/>
  <c r="I348" i="1"/>
  <c r="I349" i="1"/>
  <c r="I350" i="1"/>
  <c r="I352" i="1"/>
  <c r="I353" i="1"/>
  <c r="I354" i="1"/>
  <c r="I355" i="1"/>
  <c r="I356" i="1"/>
  <c r="I357" i="1"/>
  <c r="I358" i="1"/>
  <c r="I360" i="1"/>
  <c r="I361" i="1"/>
  <c r="I362" i="1"/>
  <c r="I363" i="1"/>
  <c r="I364" i="1"/>
  <c r="I365" i="1"/>
  <c r="I366" i="1"/>
  <c r="I368" i="1"/>
  <c r="I369" i="1"/>
  <c r="I370" i="1"/>
  <c r="I371" i="1"/>
  <c r="I372" i="1"/>
  <c r="I373" i="1"/>
  <c r="I374" i="1"/>
  <c r="I376" i="1"/>
  <c r="I377" i="1"/>
  <c r="I378" i="1"/>
  <c r="I379" i="1"/>
  <c r="I380" i="1"/>
  <c r="I381" i="1"/>
  <c r="I382" i="1"/>
  <c r="I384" i="1"/>
  <c r="I385" i="1"/>
  <c r="I386" i="1"/>
  <c r="I387" i="1"/>
  <c r="I388" i="1"/>
  <c r="I389" i="1"/>
  <c r="I390" i="1"/>
  <c r="I392" i="1"/>
  <c r="I393" i="1"/>
  <c r="I394" i="1"/>
  <c r="I395" i="1"/>
  <c r="I396" i="1"/>
  <c r="I397" i="1"/>
  <c r="I398" i="1"/>
  <c r="I400" i="1"/>
  <c r="I401" i="1"/>
  <c r="I402" i="1"/>
  <c r="I403" i="1"/>
  <c r="I404" i="1"/>
  <c r="I405" i="1"/>
  <c r="I406" i="1"/>
  <c r="I408" i="1"/>
  <c r="I409" i="1"/>
  <c r="I410" i="1"/>
  <c r="I411" i="1"/>
  <c r="I412" i="1"/>
  <c r="I413" i="1"/>
  <c r="I414" i="1"/>
  <c r="I416" i="1"/>
  <c r="I417" i="1"/>
  <c r="I418" i="1"/>
  <c r="I419" i="1"/>
  <c r="I420" i="1"/>
  <c r="I421" i="1"/>
  <c r="I422" i="1"/>
  <c r="I424" i="1"/>
  <c r="I425" i="1"/>
  <c r="I426" i="1"/>
  <c r="I427" i="1"/>
  <c r="I428" i="1"/>
  <c r="I429" i="1"/>
  <c r="I430" i="1"/>
  <c r="I432" i="1"/>
  <c r="I433" i="1"/>
  <c r="I434" i="1"/>
  <c r="I435" i="1"/>
  <c r="I436" i="1"/>
  <c r="I437" i="1"/>
  <c r="I438" i="1"/>
  <c r="I440" i="1"/>
  <c r="I441" i="1"/>
  <c r="I442" i="1"/>
  <c r="I443" i="1"/>
  <c r="I444" i="1"/>
  <c r="I445" i="1"/>
  <c r="I446" i="1"/>
  <c r="I448" i="1"/>
  <c r="I449" i="1"/>
  <c r="I450" i="1"/>
  <c r="I451" i="1"/>
  <c r="I452" i="1"/>
  <c r="I453" i="1"/>
  <c r="I454" i="1"/>
  <c r="I456" i="1"/>
  <c r="I457" i="1"/>
  <c r="I458" i="1"/>
  <c r="I459" i="1"/>
  <c r="I460" i="1"/>
  <c r="I461" i="1"/>
  <c r="I462" i="1"/>
  <c r="I464" i="1"/>
  <c r="I465" i="1"/>
  <c r="I466" i="1"/>
  <c r="I467" i="1"/>
  <c r="I468" i="1"/>
  <c r="I469" i="1"/>
  <c r="I470" i="1"/>
  <c r="I472" i="1"/>
  <c r="I473" i="1"/>
  <c r="I474" i="1"/>
  <c r="I475" i="1"/>
  <c r="I476" i="1"/>
  <c r="I477" i="1"/>
  <c r="I478" i="1"/>
  <c r="I480" i="1"/>
  <c r="I481" i="1"/>
  <c r="I482" i="1"/>
  <c r="I483" i="1"/>
  <c r="I484" i="1"/>
  <c r="I485" i="1"/>
  <c r="I486" i="1"/>
  <c r="I488" i="1"/>
  <c r="I489" i="1"/>
  <c r="I490" i="1"/>
  <c r="I491" i="1"/>
  <c r="I492" i="1"/>
  <c r="I493" i="1"/>
  <c r="I494" i="1"/>
  <c r="I496" i="1"/>
  <c r="I497" i="1"/>
  <c r="I498" i="1"/>
  <c r="I499" i="1"/>
  <c r="I500" i="1"/>
  <c r="I501" i="1"/>
  <c r="I502" i="1"/>
  <c r="I504" i="1"/>
  <c r="I505" i="1"/>
  <c r="I506" i="1"/>
  <c r="I507" i="1"/>
  <c r="I508" i="1"/>
  <c r="I509" i="1"/>
  <c r="I510" i="1"/>
  <c r="I512" i="1"/>
  <c r="I513" i="1"/>
  <c r="I514" i="1"/>
  <c r="I515" i="1"/>
  <c r="I516" i="1"/>
  <c r="I517" i="1"/>
  <c r="I518" i="1"/>
  <c r="I520" i="1"/>
  <c r="I521" i="1"/>
  <c r="I522" i="1"/>
  <c r="I523" i="1"/>
  <c r="I524" i="1"/>
  <c r="I525" i="1"/>
  <c r="I526" i="1"/>
  <c r="I528" i="1"/>
  <c r="I529" i="1"/>
  <c r="I530" i="1"/>
  <c r="I531" i="1"/>
  <c r="I532" i="1"/>
  <c r="I533" i="1"/>
  <c r="I534" i="1"/>
  <c r="I536" i="1"/>
  <c r="I537" i="1"/>
  <c r="I538" i="1"/>
  <c r="I539" i="1"/>
  <c r="I540" i="1"/>
  <c r="I541" i="1"/>
  <c r="I542" i="1"/>
  <c r="I544" i="1"/>
  <c r="I545" i="1"/>
  <c r="I546" i="1"/>
  <c r="I547" i="1"/>
  <c r="I548" i="1"/>
  <c r="I549" i="1"/>
  <c r="I550" i="1"/>
  <c r="I552" i="1"/>
  <c r="I553" i="1"/>
  <c r="I554" i="1"/>
  <c r="I555" i="1"/>
  <c r="I556" i="1"/>
  <c r="I557" i="1"/>
  <c r="I558" i="1"/>
  <c r="I560" i="1"/>
  <c r="I561" i="1"/>
  <c r="I562" i="1"/>
  <c r="I563" i="1"/>
  <c r="I564" i="1"/>
  <c r="I565" i="1"/>
  <c r="I566" i="1"/>
  <c r="I568" i="1"/>
  <c r="I569" i="1"/>
  <c r="I570" i="1"/>
  <c r="I571" i="1"/>
  <c r="I572" i="1"/>
  <c r="I573" i="1"/>
  <c r="I574" i="1"/>
  <c r="I576" i="1"/>
  <c r="I577" i="1"/>
  <c r="I578" i="1"/>
  <c r="I579" i="1"/>
  <c r="I580" i="1"/>
  <c r="I581" i="1"/>
  <c r="I582" i="1"/>
  <c r="I584" i="1"/>
  <c r="I585" i="1"/>
  <c r="I586" i="1"/>
  <c r="I587" i="1"/>
  <c r="I588" i="1"/>
  <c r="I589" i="1"/>
  <c r="I590" i="1"/>
  <c r="I592" i="1"/>
  <c r="I593" i="1"/>
  <c r="I594" i="1"/>
  <c r="I595" i="1"/>
  <c r="I596" i="1"/>
  <c r="I597" i="1"/>
  <c r="I598" i="1"/>
  <c r="I600" i="1"/>
  <c r="I601" i="1"/>
  <c r="I602" i="1"/>
  <c r="I603" i="1"/>
  <c r="I604" i="1"/>
  <c r="I605" i="1"/>
  <c r="I606" i="1"/>
  <c r="I608" i="1"/>
  <c r="I609" i="1"/>
  <c r="I610" i="1"/>
  <c r="I611" i="1"/>
  <c r="I612" i="1"/>
  <c r="I613" i="1"/>
  <c r="I614" i="1"/>
  <c r="I616" i="1"/>
  <c r="I617" i="1"/>
  <c r="I618" i="1"/>
  <c r="I619" i="1"/>
  <c r="I620" i="1"/>
  <c r="I621" i="1"/>
  <c r="I622" i="1"/>
  <c r="I624" i="1"/>
  <c r="I625" i="1"/>
  <c r="I626" i="1"/>
  <c r="I627" i="1"/>
  <c r="I628" i="1"/>
  <c r="I629" i="1"/>
  <c r="I630" i="1"/>
  <c r="I632" i="1"/>
  <c r="I633" i="1"/>
  <c r="I634" i="1"/>
  <c r="I635" i="1"/>
  <c r="I636" i="1"/>
  <c r="I637" i="1"/>
  <c r="I638" i="1"/>
  <c r="I640" i="1"/>
  <c r="I641" i="1"/>
  <c r="I642" i="1"/>
  <c r="I643" i="1"/>
  <c r="I644" i="1"/>
  <c r="I645" i="1"/>
  <c r="I646" i="1"/>
  <c r="I648" i="1"/>
  <c r="I649" i="1"/>
  <c r="I650" i="1"/>
  <c r="I651" i="1"/>
  <c r="I652" i="1"/>
  <c r="I653" i="1"/>
  <c r="I654" i="1"/>
  <c r="I656" i="1"/>
  <c r="I657" i="1"/>
  <c r="I659" i="1"/>
  <c r="I660" i="1"/>
  <c r="I661" i="1"/>
  <c r="I662" i="1"/>
  <c r="I664" i="1"/>
  <c r="I665" i="1"/>
  <c r="I667" i="1"/>
  <c r="I668" i="1"/>
  <c r="I669" i="1"/>
  <c r="I670" i="1"/>
  <c r="I672" i="1"/>
  <c r="I673" i="1"/>
  <c r="I675" i="1"/>
  <c r="I676" i="1"/>
  <c r="I677" i="1"/>
  <c r="I678" i="1"/>
  <c r="I680" i="1"/>
  <c r="I681" i="1"/>
  <c r="I683" i="1"/>
  <c r="I684" i="1"/>
  <c r="I685" i="1"/>
  <c r="I686" i="1"/>
  <c r="I688" i="1"/>
  <c r="I689" i="1"/>
  <c r="I690" i="1"/>
  <c r="I691" i="1"/>
  <c r="I692" i="1"/>
  <c r="I693" i="1"/>
  <c r="I694" i="1"/>
  <c r="I696" i="1"/>
  <c r="I697" i="1"/>
  <c r="I698" i="1"/>
  <c r="I699" i="1"/>
  <c r="I700" i="1"/>
  <c r="I701" i="1"/>
  <c r="I702" i="1"/>
  <c r="I704" i="1"/>
  <c r="I705" i="1"/>
  <c r="I706" i="1"/>
  <c r="I707" i="1"/>
  <c r="I708" i="1"/>
  <c r="I709" i="1"/>
  <c r="I710" i="1"/>
  <c r="I712" i="1"/>
  <c r="I713" i="1"/>
  <c r="I715" i="1"/>
  <c r="I716" i="1"/>
  <c r="I717" i="1"/>
  <c r="I718" i="1"/>
  <c r="I720" i="1"/>
  <c r="I721" i="1"/>
  <c r="I723" i="1"/>
  <c r="I724" i="1"/>
  <c r="I725" i="1"/>
  <c r="I726" i="1"/>
  <c r="I728" i="1"/>
  <c r="I729" i="1"/>
  <c r="I731" i="1"/>
  <c r="I732" i="1"/>
  <c r="I733" i="1"/>
  <c r="I734" i="1"/>
  <c r="I736" i="1"/>
  <c r="I737" i="1"/>
  <c r="I739" i="1"/>
  <c r="I740" i="1"/>
  <c r="I741" i="1"/>
  <c r="I742" i="1"/>
  <c r="I744" i="1"/>
  <c r="I745" i="1"/>
  <c r="I747" i="1"/>
  <c r="I748" i="1"/>
  <c r="I749" i="1"/>
  <c r="I750" i="1"/>
  <c r="I752" i="1"/>
  <c r="I753" i="1"/>
  <c r="I754" i="1"/>
  <c r="I755" i="1"/>
  <c r="I756" i="1"/>
  <c r="I757" i="1"/>
  <c r="I758" i="1"/>
  <c r="I760" i="1"/>
  <c r="I761" i="1"/>
  <c r="I763" i="1"/>
  <c r="I764" i="1"/>
  <c r="I765" i="1"/>
  <c r="I766" i="1"/>
  <c r="I768" i="1"/>
  <c r="I769" i="1"/>
  <c r="I770" i="1"/>
  <c r="I771" i="1"/>
  <c r="I772" i="1"/>
  <c r="I773" i="1"/>
  <c r="I774" i="1"/>
  <c r="I776" i="1"/>
  <c r="I777" i="1"/>
  <c r="I779" i="1"/>
  <c r="I780" i="1"/>
  <c r="I781" i="1"/>
  <c r="I782" i="1"/>
  <c r="I784" i="1"/>
  <c r="I785" i="1"/>
  <c r="I787" i="1"/>
  <c r="I788" i="1"/>
  <c r="I789" i="1"/>
  <c r="I790" i="1"/>
  <c r="I792" i="1"/>
  <c r="I793" i="1"/>
  <c r="I795" i="1"/>
  <c r="I796" i="1"/>
  <c r="I797" i="1"/>
  <c r="I798" i="1"/>
  <c r="I800" i="1"/>
  <c r="I801" i="1"/>
  <c r="I803" i="1"/>
  <c r="I804" i="1"/>
  <c r="I805" i="1"/>
  <c r="I806" i="1"/>
  <c r="I808" i="1"/>
  <c r="I809" i="1"/>
  <c r="I811" i="1"/>
  <c r="I812" i="1"/>
  <c r="I813" i="1"/>
  <c r="I814" i="1"/>
  <c r="I816" i="1"/>
  <c r="I817" i="1"/>
  <c r="I818" i="1"/>
  <c r="I819" i="1"/>
  <c r="I820" i="1"/>
  <c r="I821" i="1"/>
  <c r="I822" i="1"/>
  <c r="I824" i="1"/>
  <c r="I825" i="1"/>
  <c r="I827" i="1"/>
  <c r="I828" i="1"/>
  <c r="I829" i="1"/>
  <c r="I830" i="1"/>
  <c r="I832" i="1"/>
  <c r="I833" i="1"/>
  <c r="I834" i="1"/>
  <c r="I835" i="1"/>
  <c r="I836" i="1"/>
  <c r="I837" i="1"/>
  <c r="I838" i="1"/>
  <c r="I840" i="1"/>
  <c r="I841" i="1"/>
  <c r="I843" i="1"/>
  <c r="I844" i="1"/>
  <c r="I845" i="1"/>
  <c r="I846" i="1"/>
  <c r="I848" i="1"/>
  <c r="I849" i="1"/>
  <c r="I851" i="1"/>
  <c r="I852" i="1"/>
  <c r="I853" i="1"/>
  <c r="I854" i="1"/>
  <c r="I856" i="1"/>
  <c r="I857" i="1"/>
  <c r="I859" i="1"/>
  <c r="I860" i="1"/>
  <c r="I861" i="1"/>
  <c r="I862" i="1"/>
  <c r="I864" i="1"/>
  <c r="I865" i="1"/>
  <c r="I867" i="1"/>
  <c r="I868" i="1"/>
  <c r="I869" i="1"/>
  <c r="I870" i="1"/>
  <c r="I872" i="1"/>
  <c r="I873" i="1"/>
  <c r="I875" i="1"/>
  <c r="I876" i="1"/>
  <c r="I877" i="1"/>
  <c r="I878" i="1"/>
  <c r="I880" i="1"/>
  <c r="I881" i="1"/>
  <c r="I882" i="1"/>
  <c r="I883" i="1"/>
  <c r="I884" i="1"/>
  <c r="I885" i="1"/>
  <c r="I886" i="1"/>
  <c r="I888" i="1"/>
  <c r="I889" i="1"/>
  <c r="I891" i="1"/>
  <c r="I892" i="1"/>
  <c r="I893" i="1"/>
  <c r="I894" i="1"/>
  <c r="I896" i="1"/>
  <c r="I897" i="1"/>
  <c r="I898" i="1"/>
  <c r="I899" i="1"/>
  <c r="I900" i="1"/>
  <c r="I901" i="1"/>
  <c r="I902" i="1"/>
  <c r="I904" i="1"/>
  <c r="I905" i="1"/>
  <c r="I907" i="1"/>
  <c r="I908" i="1"/>
  <c r="I909" i="1"/>
  <c r="I910" i="1"/>
  <c r="I912" i="1"/>
  <c r="I913" i="1"/>
  <c r="I915" i="1"/>
  <c r="I916" i="1"/>
  <c r="I917" i="1"/>
  <c r="I918" i="1"/>
  <c r="I920" i="1"/>
  <c r="I921" i="1"/>
  <c r="I923" i="1"/>
  <c r="I924" i="1"/>
  <c r="I925" i="1"/>
  <c r="I926" i="1"/>
  <c r="I928" i="1"/>
  <c r="I929" i="1"/>
  <c r="I931" i="1"/>
  <c r="I932" i="1"/>
  <c r="I933" i="1"/>
  <c r="I934" i="1"/>
  <c r="I936" i="1"/>
  <c r="I937" i="1"/>
  <c r="I939" i="1"/>
  <c r="I940" i="1"/>
  <c r="I941" i="1"/>
  <c r="I942" i="1"/>
  <c r="I944" i="1"/>
  <c r="I945" i="1"/>
  <c r="I946" i="1"/>
  <c r="I947" i="1"/>
  <c r="I948" i="1"/>
  <c r="I949" i="1"/>
  <c r="I950" i="1"/>
  <c r="I952" i="1"/>
  <c r="I953" i="1"/>
  <c r="I955" i="1"/>
  <c r="I956" i="1"/>
  <c r="I957" i="1"/>
  <c r="I958" i="1"/>
  <c r="I960" i="1"/>
  <c r="I961" i="1"/>
  <c r="I962" i="1"/>
  <c r="I963" i="1"/>
  <c r="I964" i="1"/>
  <c r="I965" i="1"/>
  <c r="I966" i="1"/>
  <c r="I968" i="1"/>
  <c r="I969" i="1"/>
  <c r="I971" i="1"/>
  <c r="I972" i="1"/>
  <c r="I973" i="1"/>
  <c r="I974" i="1"/>
  <c r="I976" i="1"/>
  <c r="I977" i="1"/>
  <c r="I979" i="1"/>
  <c r="I980" i="1"/>
  <c r="I981" i="1"/>
  <c r="I982" i="1"/>
  <c r="I984" i="1"/>
  <c r="I985" i="1"/>
  <c r="I987" i="1"/>
  <c r="I988" i="1"/>
  <c r="I989" i="1"/>
  <c r="I990" i="1"/>
  <c r="I992" i="1"/>
  <c r="I993" i="1"/>
  <c r="I995" i="1"/>
  <c r="I996" i="1"/>
  <c r="I997" i="1"/>
  <c r="I998" i="1"/>
  <c r="I1000" i="1"/>
  <c r="I1001" i="1"/>
  <c r="I1003" i="1"/>
  <c r="I1004" i="1"/>
  <c r="I1005" i="1"/>
  <c r="I1006" i="1"/>
  <c r="I1008" i="1"/>
  <c r="I1009" i="1"/>
  <c r="I1010" i="1"/>
  <c r="I1011" i="1"/>
  <c r="I1012" i="1"/>
  <c r="I1013" i="1"/>
  <c r="I1014" i="1"/>
  <c r="I1016" i="1"/>
  <c r="I1017" i="1"/>
  <c r="I1019" i="1"/>
  <c r="I1020" i="1"/>
  <c r="I1021" i="1"/>
  <c r="I1022" i="1"/>
  <c r="I1024" i="1"/>
  <c r="I1025" i="1"/>
  <c r="I1026" i="1"/>
  <c r="I1027" i="1"/>
  <c r="I1028" i="1"/>
  <c r="I1029" i="1"/>
  <c r="I1030" i="1"/>
  <c r="I1032" i="1"/>
  <c r="I1033" i="1"/>
  <c r="I1035" i="1"/>
  <c r="I1036" i="1"/>
  <c r="I1037" i="1"/>
  <c r="I1038" i="1"/>
  <c r="I1040" i="1"/>
  <c r="I1041" i="1"/>
  <c r="I1043" i="1"/>
  <c r="I1044" i="1"/>
  <c r="I1045" i="1"/>
  <c r="I1046" i="1"/>
  <c r="I1048" i="1"/>
  <c r="I1049" i="1"/>
  <c r="I1051" i="1"/>
  <c r="I1052" i="1"/>
  <c r="I1053" i="1"/>
  <c r="I1054" i="1"/>
  <c r="I1056" i="1"/>
  <c r="I1057" i="1"/>
  <c r="I1059" i="1"/>
  <c r="I1060" i="1"/>
  <c r="I1061" i="1"/>
  <c r="I1062" i="1"/>
  <c r="I1064" i="1"/>
  <c r="I1065" i="1"/>
  <c r="I1067" i="1"/>
  <c r="I1068" i="1"/>
  <c r="I1069" i="1"/>
  <c r="I1070" i="1"/>
  <c r="I1072" i="1"/>
  <c r="I1073" i="1"/>
  <c r="I1074" i="1"/>
  <c r="I1075" i="1"/>
  <c r="I1076" i="1"/>
  <c r="I1077" i="1"/>
  <c r="I1078" i="1"/>
  <c r="I1080" i="1"/>
  <c r="I1081" i="1"/>
  <c r="I1083" i="1"/>
  <c r="I1084" i="1"/>
  <c r="I1085" i="1"/>
  <c r="I1086" i="1"/>
  <c r="I1088" i="1"/>
  <c r="I1089" i="1"/>
  <c r="I1090" i="1"/>
  <c r="I1091" i="1"/>
  <c r="I1092" i="1"/>
  <c r="I1093" i="1"/>
  <c r="I1094" i="1"/>
  <c r="I1096" i="1"/>
  <c r="I1097" i="1"/>
  <c r="I1099" i="1"/>
  <c r="I1100" i="1"/>
  <c r="I1101" i="1"/>
  <c r="I1102" i="1"/>
  <c r="I1104" i="1"/>
  <c r="I1105" i="1"/>
  <c r="I1107" i="1"/>
  <c r="I1108" i="1"/>
  <c r="I1109" i="1"/>
  <c r="I1110" i="1"/>
  <c r="I1112" i="1"/>
  <c r="I1113" i="1"/>
  <c r="I1115" i="1"/>
  <c r="I1116" i="1"/>
  <c r="I1117" i="1"/>
  <c r="I1118" i="1"/>
  <c r="I1120" i="1"/>
  <c r="I1121" i="1"/>
  <c r="I1123" i="1"/>
  <c r="I1124" i="1"/>
  <c r="I1126" i="1"/>
  <c r="I1128" i="1"/>
  <c r="I1129" i="1"/>
  <c r="I1131" i="1"/>
  <c r="I1132" i="1"/>
  <c r="I1133" i="1"/>
  <c r="I1134" i="1"/>
  <c r="I1137" i="1"/>
  <c r="I1138" i="1"/>
  <c r="I1139" i="1"/>
  <c r="I1140" i="1"/>
  <c r="I1141" i="1"/>
  <c r="I1142" i="1"/>
  <c r="I1145" i="1"/>
  <c r="I1147" i="1"/>
  <c r="I1148" i="1"/>
  <c r="I1149" i="1"/>
  <c r="I1150" i="1"/>
  <c r="I1152" i="1"/>
  <c r="I1153" i="1"/>
  <c r="I1154" i="1"/>
  <c r="I1155" i="1"/>
  <c r="I1156" i="1"/>
  <c r="I1157" i="1"/>
  <c r="I1158" i="1"/>
  <c r="I1161" i="1"/>
  <c r="I1163" i="1"/>
  <c r="I1164" i="1"/>
  <c r="I1166" i="1"/>
  <c r="L1" i="1"/>
  <c r="E7" i="1"/>
  <c r="E8" i="1"/>
  <c r="E282" i="1"/>
  <c r="E284" i="1"/>
  <c r="E285" i="1"/>
  <c r="E286" i="1"/>
  <c r="E288" i="1"/>
  <c r="E289" i="1"/>
  <c r="E290" i="1"/>
  <c r="E292" i="1"/>
  <c r="E293" i="1"/>
  <c r="E294" i="1"/>
  <c r="E296" i="1"/>
  <c r="E297" i="1"/>
  <c r="E298" i="1"/>
  <c r="E341" i="1"/>
  <c r="E342" i="1"/>
  <c r="E344" i="1"/>
  <c r="E345" i="1"/>
  <c r="E346" i="1"/>
  <c r="E348" i="1"/>
  <c r="E349" i="1"/>
  <c r="E350" i="1"/>
  <c r="E352" i="1"/>
  <c r="E353" i="1"/>
  <c r="E354" i="1"/>
  <c r="E356" i="1"/>
  <c r="E357" i="1"/>
  <c r="E358" i="1"/>
  <c r="E360" i="1"/>
  <c r="E361" i="1"/>
  <c r="E362" i="1"/>
  <c r="E364" i="1"/>
  <c r="E396" i="1"/>
  <c r="E397" i="1"/>
  <c r="E398" i="1"/>
  <c r="E854" i="1"/>
  <c r="E856" i="1"/>
  <c r="E857" i="1"/>
  <c r="E858" i="1"/>
  <c r="E860" i="1"/>
  <c r="E862" i="1"/>
  <c r="E864" i="1"/>
  <c r="E865" i="1"/>
  <c r="E866" i="1"/>
  <c r="E868" i="1"/>
  <c r="E870" i="1"/>
  <c r="E872" i="1"/>
  <c r="E873" i="1"/>
  <c r="E874" i="1"/>
  <c r="E875" i="1"/>
  <c r="E876" i="1"/>
  <c r="E878" i="1"/>
  <c r="E879" i="1"/>
  <c r="E880" i="1"/>
  <c r="E881" i="1"/>
  <c r="E882" i="1"/>
  <c r="E883" i="1"/>
  <c r="E888" i="1"/>
  <c r="E889" i="1"/>
  <c r="E890" i="1"/>
  <c r="E892" i="1"/>
  <c r="E894" i="1"/>
  <c r="E896" i="1"/>
  <c r="E897" i="1"/>
  <c r="E898" i="1"/>
  <c r="E1100" i="1"/>
  <c r="E1104" i="1"/>
  <c r="E1105" i="1"/>
  <c r="E1106" i="1"/>
  <c r="E1108" i="1"/>
  <c r="E1110" i="1"/>
  <c r="E1112" i="1"/>
  <c r="E1139" i="1"/>
  <c r="E1152" i="1"/>
  <c r="E1153" i="1"/>
  <c r="E1154" i="1"/>
  <c r="E1156" i="1"/>
  <c r="E1158" i="1"/>
  <c r="E1160" i="1"/>
  <c r="E1161" i="1"/>
  <c r="E1162" i="1"/>
  <c r="E1164" i="1"/>
  <c r="E2" i="1" a="1"/>
  <c r="E2" i="1" l="1"/>
  <c r="E43" i="1" s="1"/>
  <c r="E399" i="1"/>
  <c r="K887" i="1"/>
  <c r="E343" i="1"/>
  <c r="E1111" i="1"/>
  <c r="E855" i="1"/>
  <c r="E351" i="1"/>
  <c r="E287" i="1"/>
  <c r="K1159" i="1"/>
  <c r="E359" i="1"/>
  <c r="E295" i="1"/>
  <c r="E863" i="1"/>
  <c r="E871" i="1"/>
  <c r="K1163" i="1"/>
  <c r="L1163" i="1" s="1"/>
  <c r="E1155" i="1"/>
  <c r="E1107" i="1"/>
  <c r="E867" i="1"/>
  <c r="E891" i="1"/>
  <c r="E899" i="1"/>
  <c r="E859" i="1"/>
  <c r="E1157" i="1"/>
  <c r="E1109" i="1"/>
  <c r="E1101" i="1"/>
  <c r="E877" i="1"/>
  <c r="E869" i="1"/>
  <c r="E861" i="1"/>
  <c r="E853" i="1"/>
  <c r="K1109" i="1"/>
  <c r="K853" i="1"/>
  <c r="K1111" i="1"/>
  <c r="K895" i="1"/>
  <c r="K879" i="1"/>
  <c r="K871" i="1"/>
  <c r="K863" i="1"/>
  <c r="K855" i="1"/>
  <c r="K1158" i="1"/>
  <c r="K1110" i="1"/>
  <c r="K894" i="1"/>
  <c r="K878" i="1"/>
  <c r="K870" i="1"/>
  <c r="K862" i="1"/>
  <c r="K854" i="1"/>
  <c r="K361" i="1"/>
  <c r="K353" i="1"/>
  <c r="K345" i="1"/>
  <c r="K297" i="1"/>
  <c r="K289" i="1"/>
  <c r="K1157" i="1"/>
  <c r="K1101" i="1"/>
  <c r="K893" i="1"/>
  <c r="K877" i="1"/>
  <c r="K869" i="1"/>
  <c r="K861" i="1"/>
  <c r="K1164" i="1"/>
  <c r="L1164" i="1" s="1"/>
  <c r="K1156" i="1"/>
  <c r="K1108" i="1"/>
  <c r="K1100" i="1"/>
  <c r="K892" i="1"/>
  <c r="K876" i="1"/>
  <c r="K868" i="1"/>
  <c r="K860" i="1"/>
  <c r="K1155" i="1"/>
  <c r="K1139" i="1"/>
  <c r="K1107" i="1"/>
  <c r="K979" i="1"/>
  <c r="K899" i="1"/>
  <c r="K891" i="1"/>
  <c r="K883" i="1"/>
  <c r="K875" i="1"/>
  <c r="K867" i="1"/>
  <c r="K859" i="1"/>
  <c r="K1162" i="1"/>
  <c r="L1162" i="1" s="1"/>
  <c r="K1154" i="1"/>
  <c r="K1106" i="1"/>
  <c r="K898" i="1"/>
  <c r="K890" i="1"/>
  <c r="K882" i="1"/>
  <c r="K874" i="1"/>
  <c r="K866" i="1"/>
  <c r="K858" i="1"/>
  <c r="K826" i="1"/>
  <c r="K1161" i="1"/>
  <c r="K1153" i="1"/>
  <c r="K1105" i="1"/>
  <c r="K921" i="1"/>
  <c r="K897" i="1"/>
  <c r="K889" i="1"/>
  <c r="K881" i="1"/>
  <c r="K873" i="1"/>
  <c r="K865" i="1"/>
  <c r="K857" i="1"/>
  <c r="K1160" i="1"/>
  <c r="K1152" i="1"/>
  <c r="K1112" i="1"/>
  <c r="K1104" i="1"/>
  <c r="K896" i="1"/>
  <c r="K888" i="1"/>
  <c r="K880" i="1"/>
  <c r="K872" i="1"/>
  <c r="K864" i="1"/>
  <c r="K856" i="1"/>
  <c r="K362" i="1"/>
  <c r="K354" i="1"/>
  <c r="K346" i="1"/>
  <c r="K298" i="1"/>
  <c r="K290" i="1"/>
  <c r="K282" i="1"/>
  <c r="K363" i="1"/>
  <c r="K355" i="1"/>
  <c r="K347" i="1"/>
  <c r="K291" i="1"/>
  <c r="K283" i="1"/>
  <c r="K360" i="1"/>
  <c r="K352" i="1"/>
  <c r="K344" i="1"/>
  <c r="K296" i="1"/>
  <c r="K288" i="1"/>
  <c r="K399" i="1"/>
  <c r="K359" i="1"/>
  <c r="K351" i="1"/>
  <c r="K343" i="1"/>
  <c r="K295" i="1"/>
  <c r="K287" i="1"/>
  <c r="K398" i="1"/>
  <c r="K358" i="1"/>
  <c r="K350" i="1"/>
  <c r="K342" i="1"/>
  <c r="K294" i="1"/>
  <c r="K286" i="1"/>
  <c r="K397" i="1"/>
  <c r="K357" i="1"/>
  <c r="K349" i="1"/>
  <c r="K341" i="1"/>
  <c r="K293" i="1"/>
  <c r="K285" i="1"/>
  <c r="K396" i="1"/>
  <c r="K364" i="1"/>
  <c r="K356" i="1"/>
  <c r="K348" i="1"/>
  <c r="K292" i="1"/>
  <c r="K284" i="1"/>
  <c r="K8" i="1"/>
  <c r="K7" i="1"/>
  <c r="K6" i="1"/>
  <c r="K27" i="1" l="1"/>
  <c r="K94" i="1"/>
  <c r="K52" i="1"/>
  <c r="K102" i="1"/>
  <c r="K35" i="1"/>
  <c r="K140" i="1"/>
  <c r="K448" i="1"/>
  <c r="K83" i="1"/>
  <c r="K36" i="1"/>
  <c r="K67" i="1"/>
  <c r="K92" i="1"/>
  <c r="K77" i="1"/>
  <c r="K157" i="1"/>
  <c r="K19" i="1"/>
  <c r="K59" i="1"/>
  <c r="K20" i="1"/>
  <c r="K84" i="1"/>
  <c r="K86" i="1"/>
  <c r="K79" i="1"/>
  <c r="K244" i="1"/>
  <c r="K230" i="1"/>
  <c r="K247" i="1"/>
  <c r="K51" i="1"/>
  <c r="K12" i="1"/>
  <c r="K60" i="1"/>
  <c r="K54" i="1"/>
  <c r="K39" i="1"/>
  <c r="K164" i="1"/>
  <c r="K340" i="1"/>
  <c r="K372" i="1"/>
  <c r="K11" i="1"/>
  <c r="K43" i="1"/>
  <c r="K75" i="1"/>
  <c r="K28" i="1"/>
  <c r="K68" i="1"/>
  <c r="K38" i="1"/>
  <c r="K80" i="1"/>
  <c r="K471" i="1"/>
  <c r="K31" i="1"/>
  <c r="K48" i="1"/>
  <c r="K220" i="1"/>
  <c r="K316" i="1"/>
  <c r="K487" i="1"/>
  <c r="K30" i="1"/>
  <c r="K70" i="1"/>
  <c r="K23" i="1"/>
  <c r="K63" i="1"/>
  <c r="K40" i="1"/>
  <c r="K116" i="1"/>
  <c r="K212" i="1"/>
  <c r="K438" i="1"/>
  <c r="K554" i="1"/>
  <c r="K22" i="1"/>
  <c r="K62" i="1"/>
  <c r="K55" i="1"/>
  <c r="K32" i="1"/>
  <c r="K100" i="1"/>
  <c r="K172" i="1"/>
  <c r="K546" i="1"/>
  <c r="K406" i="1"/>
  <c r="K538" i="1"/>
  <c r="K21" i="1"/>
  <c r="K602" i="1"/>
  <c r="K44" i="1"/>
  <c r="K76" i="1"/>
  <c r="K14" i="1"/>
  <c r="K46" i="1"/>
  <c r="K78" i="1"/>
  <c r="K15" i="1"/>
  <c r="K47" i="1"/>
  <c r="K72" i="1"/>
  <c r="K132" i="1"/>
  <c r="K180" i="1"/>
  <c r="K268" i="1"/>
  <c r="K332" i="1"/>
  <c r="K414" i="1"/>
  <c r="K503" i="1"/>
  <c r="K586" i="1"/>
  <c r="K149" i="1"/>
  <c r="K301" i="1"/>
  <c r="K16" i="1"/>
  <c r="K64" i="1"/>
  <c r="K108" i="1"/>
  <c r="K148" i="1"/>
  <c r="K204" i="1"/>
  <c r="K252" i="1"/>
  <c r="K300" i="1"/>
  <c r="K446" i="1"/>
  <c r="K514" i="1"/>
  <c r="K578" i="1"/>
  <c r="K53" i="1"/>
  <c r="K221" i="1"/>
  <c r="K472" i="1"/>
  <c r="K71" i="1"/>
  <c r="K24" i="1"/>
  <c r="K56" i="1"/>
  <c r="K88" i="1"/>
  <c r="K124" i="1"/>
  <c r="K156" i="1"/>
  <c r="K188" i="1"/>
  <c r="K236" i="1"/>
  <c r="K276" i="1"/>
  <c r="K308" i="1"/>
  <c r="K380" i="1"/>
  <c r="K430" i="1"/>
  <c r="K479" i="1"/>
  <c r="K522" i="1"/>
  <c r="K570" i="1"/>
  <c r="K13" i="1"/>
  <c r="K101" i="1"/>
  <c r="K571" i="1"/>
  <c r="K196" i="1"/>
  <c r="K228" i="1"/>
  <c r="K260" i="1"/>
  <c r="K324" i="1"/>
  <c r="K388" i="1"/>
  <c r="K422" i="1"/>
  <c r="K454" i="1"/>
  <c r="K495" i="1"/>
  <c r="K530" i="1"/>
  <c r="K562" i="1"/>
  <c r="K594" i="1"/>
  <c r="K29" i="1"/>
  <c r="K109" i="1"/>
  <c r="K237" i="1"/>
  <c r="K455" i="1"/>
  <c r="K198" i="1"/>
  <c r="K318" i="1"/>
  <c r="K45" i="1"/>
  <c r="K93" i="1"/>
  <c r="K141" i="1"/>
  <c r="K205" i="1"/>
  <c r="K539" i="1"/>
  <c r="K166" i="1"/>
  <c r="K620" i="1"/>
  <c r="K417" i="1"/>
  <c r="K37" i="1"/>
  <c r="K85" i="1"/>
  <c r="K117" i="1"/>
  <c r="K173" i="1"/>
  <c r="K269" i="1"/>
  <c r="K333" i="1"/>
  <c r="K365" i="1"/>
  <c r="K504" i="1"/>
  <c r="K134" i="1"/>
  <c r="K532" i="1"/>
  <c r="K181" i="1"/>
  <c r="K229" i="1"/>
  <c r="K277" i="1"/>
  <c r="K309" i="1"/>
  <c r="K423" i="1"/>
  <c r="K480" i="1"/>
  <c r="K547" i="1"/>
  <c r="K110" i="1"/>
  <c r="K174" i="1"/>
  <c r="K254" i="1"/>
  <c r="K432" i="1"/>
  <c r="K612" i="1"/>
  <c r="K165" i="1"/>
  <c r="K213" i="1"/>
  <c r="K245" i="1"/>
  <c r="K373" i="1"/>
  <c r="K464" i="1"/>
  <c r="K515" i="1"/>
  <c r="K579" i="1"/>
  <c r="K142" i="1"/>
  <c r="K206" i="1"/>
  <c r="K524" i="1"/>
  <c r="K183" i="1"/>
  <c r="K303" i="1"/>
  <c r="K202" i="1"/>
  <c r="K496" i="1"/>
  <c r="K531" i="1"/>
  <c r="K563" i="1"/>
  <c r="K595" i="1"/>
  <c r="K126" i="1"/>
  <c r="K158" i="1"/>
  <c r="K190" i="1"/>
  <c r="K222" i="1"/>
  <c r="K489" i="1"/>
  <c r="K580" i="1"/>
  <c r="K127" i="1"/>
  <c r="K488" i="1"/>
  <c r="K523" i="1"/>
  <c r="K555" i="1"/>
  <c r="K587" i="1"/>
  <c r="K118" i="1"/>
  <c r="K150" i="1"/>
  <c r="K182" i="1"/>
  <c r="K214" i="1"/>
  <c r="K262" i="1"/>
  <c r="K326" i="1"/>
  <c r="K390" i="1"/>
  <c r="K481" i="1"/>
  <c r="K564" i="1"/>
  <c r="K95" i="1"/>
  <c r="K474" i="1"/>
  <c r="K246" i="1"/>
  <c r="K278" i="1"/>
  <c r="K310" i="1"/>
  <c r="K382" i="1"/>
  <c r="K424" i="1"/>
  <c r="K465" i="1"/>
  <c r="K516" i="1"/>
  <c r="K556" i="1"/>
  <c r="K596" i="1"/>
  <c r="K87" i="1"/>
  <c r="K167" i="1"/>
  <c r="K238" i="1"/>
  <c r="K270" i="1"/>
  <c r="K302" i="1"/>
  <c r="K334" i="1"/>
  <c r="K366" i="1"/>
  <c r="K416" i="1"/>
  <c r="K456" i="1"/>
  <c r="K497" i="1"/>
  <c r="K548" i="1"/>
  <c r="K588" i="1"/>
  <c r="K628" i="1"/>
  <c r="K135" i="1"/>
  <c r="K271" i="1"/>
  <c r="K335" i="1"/>
  <c r="K367" i="1"/>
  <c r="K200" i="1"/>
  <c r="K119" i="1"/>
  <c r="K159" i="1"/>
  <c r="K215" i="1"/>
  <c r="K168" i="1"/>
  <c r="K107" i="1"/>
  <c r="K103" i="1"/>
  <c r="K151" i="1"/>
  <c r="K207" i="1"/>
  <c r="K375" i="1"/>
  <c r="K482" i="1"/>
  <c r="K418" i="1"/>
  <c r="K374" i="1"/>
  <c r="K408" i="1"/>
  <c r="K440" i="1"/>
  <c r="K473" i="1"/>
  <c r="K505" i="1"/>
  <c r="K540" i="1"/>
  <c r="K572" i="1"/>
  <c r="K604" i="1"/>
  <c r="K636" i="1"/>
  <c r="K111" i="1"/>
  <c r="K143" i="1"/>
  <c r="K175" i="1"/>
  <c r="K239" i="1"/>
  <c r="K557" i="1"/>
  <c r="K392" i="1"/>
  <c r="K170" i="1"/>
  <c r="K428" i="1"/>
  <c r="K609" i="1"/>
  <c r="K460" i="1"/>
  <c r="K279" i="1"/>
  <c r="K311" i="1"/>
  <c r="K409" i="1"/>
  <c r="K549" i="1"/>
  <c r="K139" i="1"/>
  <c r="K199" i="1"/>
  <c r="K231" i="1"/>
  <c r="K263" i="1"/>
  <c r="K327" i="1"/>
  <c r="K449" i="1"/>
  <c r="K525" i="1"/>
  <c r="K104" i="1"/>
  <c r="K534" i="1"/>
  <c r="K235" i="1"/>
  <c r="K10" i="1"/>
  <c r="K191" i="1"/>
  <c r="K223" i="1"/>
  <c r="K255" i="1"/>
  <c r="K319" i="1"/>
  <c r="K383" i="1"/>
  <c r="K441" i="1"/>
  <c r="K506" i="1"/>
  <c r="K96" i="1"/>
  <c r="K264" i="1"/>
  <c r="K491" i="1"/>
  <c r="K211" i="1"/>
  <c r="K307" i="1"/>
  <c r="K521" i="1"/>
  <c r="K664" i="1"/>
  <c r="K728" i="1"/>
  <c r="K761" i="1"/>
  <c r="K433" i="1"/>
  <c r="K466" i="1"/>
  <c r="K498" i="1"/>
  <c r="K541" i="1"/>
  <c r="K589" i="1"/>
  <c r="K160" i="1"/>
  <c r="K232" i="1"/>
  <c r="K328" i="1"/>
  <c r="K384" i="1"/>
  <c r="K458" i="1"/>
  <c r="K590" i="1"/>
  <c r="K203" i="1"/>
  <c r="K437" i="1"/>
  <c r="K138" i="1"/>
  <c r="K600" i="1"/>
  <c r="K391" i="1"/>
  <c r="K425" i="1"/>
  <c r="K457" i="1"/>
  <c r="K490" i="1"/>
  <c r="K533" i="1"/>
  <c r="K565" i="1"/>
  <c r="K136" i="1"/>
  <c r="K224" i="1"/>
  <c r="K450" i="1"/>
  <c r="K558" i="1"/>
  <c r="K147" i="1"/>
  <c r="K275" i="1"/>
  <c r="K339" i="1"/>
  <c r="K371" i="1"/>
  <c r="K42" i="1"/>
  <c r="K536" i="1"/>
  <c r="K128" i="1"/>
  <c r="K192" i="1"/>
  <c r="K256" i="1"/>
  <c r="K320" i="1"/>
  <c r="K426" i="1"/>
  <c r="K526" i="1"/>
  <c r="K598" i="1"/>
  <c r="K171" i="1"/>
  <c r="K267" i="1"/>
  <c r="K299" i="1"/>
  <c r="K486" i="1"/>
  <c r="K74" i="1"/>
  <c r="K266" i="1"/>
  <c r="K330" i="1"/>
  <c r="K394" i="1"/>
  <c r="K568" i="1"/>
  <c r="K824" i="1"/>
  <c r="K1080" i="1"/>
  <c r="K952" i="1"/>
  <c r="K792" i="1"/>
  <c r="K920" i="1"/>
  <c r="K801" i="1"/>
  <c r="K1073" i="1"/>
  <c r="K1169" i="1"/>
  <c r="K696" i="1"/>
  <c r="K1048" i="1"/>
  <c r="K1144" i="1"/>
  <c r="K641" i="1"/>
  <c r="K499" i="1"/>
  <c r="K566" i="1"/>
  <c r="K115" i="1"/>
  <c r="K179" i="1"/>
  <c r="K243" i="1"/>
  <c r="K405" i="1"/>
  <c r="K553" i="1"/>
  <c r="K106" i="1"/>
  <c r="K234" i="1"/>
  <c r="K493" i="1"/>
  <c r="K632" i="1"/>
  <c r="K760" i="1"/>
  <c r="K1016" i="1"/>
  <c r="K445" i="1"/>
  <c r="K721" i="1"/>
  <c r="K1009" i="1"/>
  <c r="K722" i="1"/>
  <c r="K986" i="1"/>
  <c r="K984" i="1"/>
  <c r="K673" i="1"/>
  <c r="K849" i="1"/>
  <c r="K961" i="1"/>
  <c r="K1137" i="1"/>
  <c r="K658" i="1"/>
  <c r="K120" i="1"/>
  <c r="K152" i="1"/>
  <c r="K184" i="1"/>
  <c r="K216" i="1"/>
  <c r="K248" i="1"/>
  <c r="K280" i="1"/>
  <c r="K312" i="1"/>
  <c r="K376" i="1"/>
  <c r="K410" i="1"/>
  <c r="K442" i="1"/>
  <c r="K483" i="1"/>
  <c r="K518" i="1"/>
  <c r="K550" i="1"/>
  <c r="K582" i="1"/>
  <c r="K99" i="1"/>
  <c r="K131" i="1"/>
  <c r="K163" i="1"/>
  <c r="K195" i="1"/>
  <c r="K227" i="1"/>
  <c r="K259" i="1"/>
  <c r="K323" i="1"/>
  <c r="K387" i="1"/>
  <c r="K421" i="1"/>
  <c r="K470" i="1"/>
  <c r="K502" i="1"/>
  <c r="K537" i="1"/>
  <c r="K569" i="1"/>
  <c r="K26" i="1"/>
  <c r="K58" i="1"/>
  <c r="K90" i="1"/>
  <c r="K122" i="1"/>
  <c r="K154" i="1"/>
  <c r="K186" i="1"/>
  <c r="K218" i="1"/>
  <c r="K250" i="1"/>
  <c r="K314" i="1"/>
  <c r="K378" i="1"/>
  <c r="K412" i="1"/>
  <c r="K444" i="1"/>
  <c r="K477" i="1"/>
  <c r="K520" i="1"/>
  <c r="K552" i="1"/>
  <c r="K584" i="1"/>
  <c r="K616" i="1"/>
  <c r="K648" i="1"/>
  <c r="K680" i="1"/>
  <c r="K712" i="1"/>
  <c r="K744" i="1"/>
  <c r="K776" i="1"/>
  <c r="K808" i="1"/>
  <c r="K840" i="1"/>
  <c r="K904" i="1"/>
  <c r="K936" i="1"/>
  <c r="K968" i="1"/>
  <c r="K1000" i="1"/>
  <c r="K1032" i="1"/>
  <c r="K1064" i="1"/>
  <c r="K1096" i="1"/>
  <c r="K1128" i="1"/>
  <c r="K593" i="1"/>
  <c r="K625" i="1"/>
  <c r="K657" i="1"/>
  <c r="K697" i="1"/>
  <c r="K737" i="1"/>
  <c r="K785" i="1"/>
  <c r="K825" i="1"/>
  <c r="K945" i="1"/>
  <c r="K985" i="1"/>
  <c r="K1041" i="1"/>
  <c r="K626" i="1"/>
  <c r="K690" i="1"/>
  <c r="K754" i="1"/>
  <c r="K331" i="1"/>
  <c r="K395" i="1"/>
  <c r="K429" i="1"/>
  <c r="K478" i="1"/>
  <c r="K513" i="1"/>
  <c r="K545" i="1"/>
  <c r="K577" i="1"/>
  <c r="K34" i="1"/>
  <c r="K66" i="1"/>
  <c r="K98" i="1"/>
  <c r="K130" i="1"/>
  <c r="K162" i="1"/>
  <c r="K194" i="1"/>
  <c r="K226" i="1"/>
  <c r="K258" i="1"/>
  <c r="K322" i="1"/>
  <c r="K386" i="1"/>
  <c r="K420" i="1"/>
  <c r="K452" i="1"/>
  <c r="K485" i="1"/>
  <c r="K528" i="1"/>
  <c r="K560" i="1"/>
  <c r="K592" i="1"/>
  <c r="K624" i="1"/>
  <c r="K656" i="1"/>
  <c r="K688" i="1"/>
  <c r="K720" i="1"/>
  <c r="K752" i="1"/>
  <c r="K784" i="1"/>
  <c r="K816" i="1"/>
  <c r="K848" i="1"/>
  <c r="K912" i="1"/>
  <c r="K944" i="1"/>
  <c r="K976" i="1"/>
  <c r="K1008" i="1"/>
  <c r="K1040" i="1"/>
  <c r="K1072" i="1"/>
  <c r="K1136" i="1"/>
  <c r="K1168" i="1"/>
  <c r="K601" i="1"/>
  <c r="K633" i="1"/>
  <c r="K665" i="1"/>
  <c r="K705" i="1"/>
  <c r="K753" i="1"/>
  <c r="K793" i="1"/>
  <c r="K833" i="1"/>
  <c r="K913" i="1"/>
  <c r="K953" i="1"/>
  <c r="K993" i="1"/>
  <c r="K1049" i="1"/>
  <c r="K1113" i="1"/>
  <c r="K634" i="1"/>
  <c r="K698" i="1"/>
  <c r="K762" i="1"/>
  <c r="K954" i="1"/>
  <c r="K112" i="1"/>
  <c r="K144" i="1"/>
  <c r="K176" i="1"/>
  <c r="K208" i="1"/>
  <c r="K240" i="1"/>
  <c r="K272" i="1"/>
  <c r="K304" i="1"/>
  <c r="K336" i="1"/>
  <c r="K368" i="1"/>
  <c r="K400" i="1"/>
  <c r="K434" i="1"/>
  <c r="K475" i="1"/>
  <c r="K507" i="1"/>
  <c r="K542" i="1"/>
  <c r="K574" i="1"/>
  <c r="K91" i="1"/>
  <c r="K123" i="1"/>
  <c r="K155" i="1"/>
  <c r="K187" i="1"/>
  <c r="K219" i="1"/>
  <c r="K251" i="1"/>
  <c r="K315" i="1"/>
  <c r="K379" i="1"/>
  <c r="K413" i="1"/>
  <c r="K462" i="1"/>
  <c r="K494" i="1"/>
  <c r="K529" i="1"/>
  <c r="K561" i="1"/>
  <c r="K18" i="1"/>
  <c r="K50" i="1"/>
  <c r="K82" i="1"/>
  <c r="K114" i="1"/>
  <c r="K146" i="1"/>
  <c r="K178" i="1"/>
  <c r="K210" i="1"/>
  <c r="K242" i="1"/>
  <c r="K274" i="1"/>
  <c r="K306" i="1"/>
  <c r="K338" i="1"/>
  <c r="K370" i="1"/>
  <c r="K402" i="1"/>
  <c r="K436" i="1"/>
  <c r="K469" i="1"/>
  <c r="K501" i="1"/>
  <c r="K544" i="1"/>
  <c r="K576" i="1"/>
  <c r="K608" i="1"/>
  <c r="K640" i="1"/>
  <c r="K672" i="1"/>
  <c r="K704" i="1"/>
  <c r="K736" i="1"/>
  <c r="K768" i="1"/>
  <c r="K800" i="1"/>
  <c r="K832" i="1"/>
  <c r="K928" i="1"/>
  <c r="K960" i="1"/>
  <c r="K992" i="1"/>
  <c r="K1024" i="1"/>
  <c r="K1056" i="1"/>
  <c r="K1088" i="1"/>
  <c r="K1120" i="1"/>
  <c r="K585" i="1"/>
  <c r="K617" i="1"/>
  <c r="K649" i="1"/>
  <c r="K689" i="1"/>
  <c r="K729" i="1"/>
  <c r="K769" i="1"/>
  <c r="K817" i="1"/>
  <c r="K929" i="1"/>
  <c r="K977" i="1"/>
  <c r="K1017" i="1"/>
  <c r="K1081" i="1"/>
  <c r="K1145" i="1"/>
  <c r="K1177" i="1"/>
  <c r="K666" i="1"/>
  <c r="K730" i="1"/>
  <c r="K1098" i="1"/>
  <c r="K261" i="1"/>
  <c r="K681" i="1"/>
  <c r="K713" i="1"/>
  <c r="K745" i="1"/>
  <c r="K777" i="1"/>
  <c r="K809" i="1"/>
  <c r="K841" i="1"/>
  <c r="K905" i="1"/>
  <c r="K937" i="1"/>
  <c r="K969" i="1"/>
  <c r="K1001" i="1"/>
  <c r="K1033" i="1"/>
  <c r="K1065" i="1"/>
  <c r="K1097" i="1"/>
  <c r="K1129" i="1"/>
  <c r="K618" i="1"/>
  <c r="K650" i="1"/>
  <c r="K682" i="1"/>
  <c r="K714" i="1"/>
  <c r="K746" i="1"/>
  <c r="K794" i="1"/>
  <c r="K922" i="1"/>
  <c r="K1058" i="1"/>
  <c r="K1025" i="1"/>
  <c r="K1057" i="1"/>
  <c r="K1089" i="1"/>
  <c r="K1121" i="1"/>
  <c r="K610" i="1"/>
  <c r="K642" i="1"/>
  <c r="K674" i="1"/>
  <c r="K706" i="1"/>
  <c r="K738" i="1"/>
  <c r="K770" i="1"/>
  <c r="K1018" i="1"/>
  <c r="K1138" i="1"/>
  <c r="K739" i="1"/>
  <c r="K802" i="1"/>
  <c r="K834" i="1"/>
  <c r="K930" i="1"/>
  <c r="K962" i="1"/>
  <c r="K994" i="1"/>
  <c r="K1026" i="1"/>
  <c r="K1066" i="1"/>
  <c r="K317" i="1"/>
  <c r="K811" i="1"/>
  <c r="K778" i="1"/>
  <c r="K810" i="1"/>
  <c r="K842" i="1"/>
  <c r="K906" i="1"/>
  <c r="K938" i="1"/>
  <c r="K970" i="1"/>
  <c r="K1002" i="1"/>
  <c r="K1034" i="1"/>
  <c r="K1074" i="1"/>
  <c r="K1122" i="1"/>
  <c r="K627" i="1"/>
  <c r="K786" i="1"/>
  <c r="K818" i="1"/>
  <c r="K850" i="1"/>
  <c r="K914" i="1"/>
  <c r="K946" i="1"/>
  <c r="K978" i="1"/>
  <c r="K1010" i="1"/>
  <c r="K1042" i="1"/>
  <c r="K1090" i="1"/>
  <c r="K1130" i="1"/>
  <c r="K1170" i="1"/>
  <c r="K691" i="1"/>
  <c r="K325" i="1"/>
  <c r="K643" i="1"/>
  <c r="K699" i="1"/>
  <c r="K755" i="1"/>
  <c r="K843" i="1"/>
  <c r="K907" i="1"/>
  <c r="K995" i="1"/>
  <c r="K603" i="1"/>
  <c r="K659" i="1"/>
  <c r="K707" i="1"/>
  <c r="K779" i="1"/>
  <c r="K851" i="1"/>
  <c r="K915" i="1"/>
  <c r="K1035" i="1"/>
  <c r="K611" i="1"/>
  <c r="K667" i="1"/>
  <c r="K731" i="1"/>
  <c r="K803" i="1"/>
  <c r="K939" i="1"/>
  <c r="K1051" i="1"/>
  <c r="K1004" i="1"/>
  <c r="K389" i="1"/>
  <c r="K635" i="1"/>
  <c r="K675" i="1"/>
  <c r="K723" i="1"/>
  <c r="K771" i="1"/>
  <c r="K819" i="1"/>
  <c r="K963" i="1"/>
  <c r="K1043" i="1"/>
  <c r="K1050" i="1"/>
  <c r="K1082" i="1"/>
  <c r="K1114" i="1"/>
  <c r="K1146" i="1"/>
  <c r="K1178" i="1"/>
  <c r="K381" i="1"/>
  <c r="K619" i="1"/>
  <c r="K651" i="1"/>
  <c r="K683" i="1"/>
  <c r="K715" i="1"/>
  <c r="K747" i="1"/>
  <c r="K787" i="1"/>
  <c r="K835" i="1"/>
  <c r="K947" i="1"/>
  <c r="K1003" i="1"/>
  <c r="K1091" i="1"/>
  <c r="K700" i="1"/>
  <c r="K796" i="1"/>
  <c r="K708" i="1"/>
  <c r="K844" i="1"/>
  <c r="K1179" i="1"/>
  <c r="K724" i="1"/>
  <c r="K940" i="1"/>
  <c r="K605" i="1"/>
  <c r="K1131" i="1"/>
  <c r="K660" i="1"/>
  <c r="K788" i="1"/>
  <c r="K988" i="1"/>
  <c r="K1124" i="1"/>
  <c r="K1085" i="1"/>
  <c r="K931" i="1"/>
  <c r="K971" i="1"/>
  <c r="K1011" i="1"/>
  <c r="K1075" i="1"/>
  <c r="K668" i="1"/>
  <c r="K756" i="1"/>
  <c r="K908" i="1"/>
  <c r="K763" i="1"/>
  <c r="K795" i="1"/>
  <c r="K827" i="1"/>
  <c r="K923" i="1"/>
  <c r="K955" i="1"/>
  <c r="K987" i="1"/>
  <c r="K1019" i="1"/>
  <c r="K1067" i="1"/>
  <c r="K1123" i="1"/>
  <c r="K1171" i="1"/>
  <c r="K676" i="1"/>
  <c r="K740" i="1"/>
  <c r="K804" i="1"/>
  <c r="K956" i="1"/>
  <c r="K1172" i="1"/>
  <c r="K764" i="1"/>
  <c r="K828" i="1"/>
  <c r="K948" i="1"/>
  <c r="K1036" i="1"/>
  <c r="K797" i="1"/>
  <c r="K1027" i="1"/>
  <c r="K1059" i="1"/>
  <c r="K1099" i="1"/>
  <c r="K644" i="1"/>
  <c r="K692" i="1"/>
  <c r="K732" i="1"/>
  <c r="K772" i="1"/>
  <c r="K820" i="1"/>
  <c r="K916" i="1"/>
  <c r="K980" i="1"/>
  <c r="K1068" i="1"/>
  <c r="K781" i="1"/>
  <c r="K1076" i="1"/>
  <c r="K637" i="1"/>
  <c r="K925" i="1"/>
  <c r="K669" i="1"/>
  <c r="K1005" i="1"/>
  <c r="K1083" i="1"/>
  <c r="K1115" i="1"/>
  <c r="K652" i="1"/>
  <c r="K684" i="1"/>
  <c r="K716" i="1"/>
  <c r="K748" i="1"/>
  <c r="K780" i="1"/>
  <c r="K812" i="1"/>
  <c r="K852" i="1"/>
  <c r="K884" i="1"/>
  <c r="K924" i="1"/>
  <c r="K972" i="1"/>
  <c r="K1028" i="1"/>
  <c r="K1092" i="1"/>
  <c r="K1132" i="1"/>
  <c r="K573" i="1"/>
  <c r="K749" i="1"/>
  <c r="K965" i="1"/>
  <c r="K836" i="1"/>
  <c r="K900" i="1"/>
  <c r="K932" i="1"/>
  <c r="K964" i="1"/>
  <c r="K996" i="1"/>
  <c r="K1044" i="1"/>
  <c r="K581" i="1"/>
  <c r="K701" i="1"/>
  <c r="K909" i="1"/>
  <c r="K1053" i="1"/>
  <c r="K17" i="1"/>
  <c r="K1012" i="1"/>
  <c r="K1060" i="1"/>
  <c r="K1140" i="1"/>
  <c r="K517" i="1"/>
  <c r="K629" i="1"/>
  <c r="K709" i="1"/>
  <c r="K837" i="1"/>
  <c r="K997" i="1"/>
  <c r="K1093" i="1"/>
  <c r="K113" i="1"/>
  <c r="K1020" i="1"/>
  <c r="K1052" i="1"/>
  <c r="K1084" i="1"/>
  <c r="K1116" i="1"/>
  <c r="K1148" i="1"/>
  <c r="K1180" i="1"/>
  <c r="K597" i="1"/>
  <c r="K661" i="1"/>
  <c r="K741" i="1"/>
  <c r="K829" i="1"/>
  <c r="K957" i="1"/>
  <c r="K1037" i="1"/>
  <c r="K145" i="1"/>
  <c r="K613" i="1"/>
  <c r="K645" i="1"/>
  <c r="K677" i="1"/>
  <c r="K717" i="1"/>
  <c r="K765" i="1"/>
  <c r="K805" i="1"/>
  <c r="K845" i="1"/>
  <c r="K933" i="1"/>
  <c r="K973" i="1"/>
  <c r="K1021" i="1"/>
  <c r="K1061" i="1"/>
  <c r="K49" i="1"/>
  <c r="K185" i="1"/>
  <c r="K305" i="1"/>
  <c r="K789" i="1"/>
  <c r="K621" i="1"/>
  <c r="K653" i="1"/>
  <c r="K685" i="1"/>
  <c r="K733" i="1"/>
  <c r="K773" i="1"/>
  <c r="K813" i="1"/>
  <c r="K901" i="1"/>
  <c r="K941" i="1"/>
  <c r="K989" i="1"/>
  <c r="K1029" i="1"/>
  <c r="K1069" i="1"/>
  <c r="K1117" i="1"/>
  <c r="K81" i="1"/>
  <c r="K273" i="1"/>
  <c r="K1125" i="1"/>
  <c r="K1165" i="1"/>
  <c r="K25" i="1"/>
  <c r="K57" i="1"/>
  <c r="K89" i="1"/>
  <c r="K121" i="1"/>
  <c r="K153" i="1"/>
  <c r="K193" i="1"/>
  <c r="K281" i="1"/>
  <c r="K313" i="1"/>
  <c r="K377" i="1"/>
  <c r="K735" i="1"/>
  <c r="K1133" i="1"/>
  <c r="K1181" i="1"/>
  <c r="K33" i="1"/>
  <c r="K65" i="1"/>
  <c r="K97" i="1"/>
  <c r="K129" i="1"/>
  <c r="K161" i="1"/>
  <c r="K225" i="1"/>
  <c r="K427" i="1"/>
  <c r="K950" i="1"/>
  <c r="K1149" i="1"/>
  <c r="K9" i="1"/>
  <c r="K41" i="1"/>
  <c r="K73" i="1"/>
  <c r="K105" i="1"/>
  <c r="K137" i="1"/>
  <c r="K169" i="1"/>
  <c r="K241" i="1"/>
  <c r="K559" i="1"/>
  <c r="K209" i="1"/>
  <c r="K249" i="1"/>
  <c r="K321" i="1"/>
  <c r="K500" i="1"/>
  <c r="K917" i="1"/>
  <c r="K1086" i="1"/>
  <c r="K775" i="1"/>
  <c r="K177" i="1"/>
  <c r="K217" i="1"/>
  <c r="K257" i="1"/>
  <c r="K337" i="1"/>
  <c r="K369" i="1"/>
  <c r="K508" i="1"/>
  <c r="K654" i="1"/>
  <c r="K201" i="1"/>
  <c r="K233" i="1"/>
  <c r="K265" i="1"/>
  <c r="K329" i="1"/>
  <c r="K468" i="1"/>
  <c r="K607" i="1"/>
  <c r="K678" i="1"/>
  <c r="K393" i="1"/>
  <c r="K476" i="1"/>
  <c r="K519" i="1"/>
  <c r="K623" i="1"/>
  <c r="K949" i="1"/>
  <c r="K782" i="1"/>
  <c r="K401" i="1"/>
  <c r="K484" i="1"/>
  <c r="K551" i="1"/>
  <c r="K757" i="1"/>
  <c r="K1013" i="1"/>
  <c r="K991" i="1"/>
  <c r="K385" i="1"/>
  <c r="K451" i="1"/>
  <c r="K492" i="1"/>
  <c r="K535" i="1"/>
  <c r="K615" i="1"/>
  <c r="K821" i="1"/>
  <c r="K614" i="1"/>
  <c r="K1134" i="1"/>
  <c r="K527" i="1"/>
  <c r="K599" i="1"/>
  <c r="K693" i="1"/>
  <c r="K885" i="1"/>
  <c r="K1141" i="1"/>
  <c r="K726" i="1"/>
  <c r="K1030" i="1"/>
  <c r="K967" i="1"/>
  <c r="K622" i="1"/>
  <c r="K686" i="1"/>
  <c r="K790" i="1"/>
  <c r="K958" i="1"/>
  <c r="K1094" i="1"/>
  <c r="K1102" i="1"/>
  <c r="K847" i="1"/>
  <c r="E781" i="1"/>
  <c r="K1077" i="1"/>
  <c r="K646" i="1"/>
  <c r="K710" i="1"/>
  <c r="K886" i="1"/>
  <c r="K1022" i="1"/>
  <c r="K663" i="1"/>
  <c r="K1127" i="1"/>
  <c r="K750" i="1"/>
  <c r="K814" i="1"/>
  <c r="K918" i="1"/>
  <c r="K990" i="1"/>
  <c r="K1054" i="1"/>
  <c r="K1166" i="1"/>
  <c r="K671" i="1"/>
  <c r="K783" i="1"/>
  <c r="K927" i="1"/>
  <c r="K1031" i="1"/>
  <c r="K189" i="1"/>
  <c r="K719" i="1"/>
  <c r="K758" i="1"/>
  <c r="K822" i="1"/>
  <c r="K926" i="1"/>
  <c r="K998" i="1"/>
  <c r="K1062" i="1"/>
  <c r="K1126" i="1"/>
  <c r="K974" i="1"/>
  <c r="K711" i="1"/>
  <c r="K815" i="1"/>
  <c r="K935" i="1"/>
  <c r="K1039" i="1"/>
  <c r="E725" i="1"/>
  <c r="K1173" i="1"/>
  <c r="K630" i="1"/>
  <c r="K662" i="1"/>
  <c r="K694" i="1"/>
  <c r="K734" i="1"/>
  <c r="K766" i="1"/>
  <c r="K798" i="1"/>
  <c r="K830" i="1"/>
  <c r="K902" i="1"/>
  <c r="K934" i="1"/>
  <c r="K966" i="1"/>
  <c r="K1006" i="1"/>
  <c r="K1038" i="1"/>
  <c r="K1070" i="1"/>
  <c r="K1142" i="1"/>
  <c r="K718" i="1"/>
  <c r="K1174" i="1"/>
  <c r="K679" i="1"/>
  <c r="K743" i="1"/>
  <c r="K791" i="1"/>
  <c r="K951" i="1"/>
  <c r="K999" i="1"/>
  <c r="K1071" i="1"/>
  <c r="K509" i="1"/>
  <c r="E997" i="1"/>
  <c r="E1141" i="1"/>
  <c r="K1045" i="1"/>
  <c r="K606" i="1"/>
  <c r="K638" i="1"/>
  <c r="K670" i="1"/>
  <c r="K702" i="1"/>
  <c r="K742" i="1"/>
  <c r="K774" i="1"/>
  <c r="K806" i="1"/>
  <c r="K838" i="1"/>
  <c r="K910" i="1"/>
  <c r="K942" i="1"/>
  <c r="K982" i="1"/>
  <c r="K1014" i="1"/>
  <c r="K1046" i="1"/>
  <c r="K1078" i="1"/>
  <c r="K1118" i="1"/>
  <c r="K1150" i="1"/>
  <c r="K846" i="1"/>
  <c r="K1182" i="1"/>
  <c r="K687" i="1"/>
  <c r="K751" i="1"/>
  <c r="K807" i="1"/>
  <c r="K919" i="1"/>
  <c r="K959" i="1"/>
  <c r="K1007" i="1"/>
  <c r="K1095" i="1"/>
  <c r="K125" i="1"/>
  <c r="K453" i="1"/>
  <c r="E1029" i="1"/>
  <c r="E1039" i="1"/>
  <c r="K1047" i="1"/>
  <c r="K1176" i="1"/>
  <c r="K1183" i="1"/>
  <c r="E653" i="1"/>
  <c r="E797" i="1"/>
  <c r="K1063" i="1"/>
  <c r="K1119" i="1"/>
  <c r="K61" i="1"/>
  <c r="E669" i="1"/>
  <c r="E845" i="1"/>
  <c r="E1091" i="1"/>
  <c r="E995" i="1"/>
  <c r="K943" i="1"/>
  <c r="K975" i="1"/>
  <c r="K1015" i="1"/>
  <c r="K1055" i="1"/>
  <c r="K1103" i="1"/>
  <c r="K1143" i="1"/>
  <c r="K69" i="1"/>
  <c r="K725" i="1"/>
  <c r="E597" i="1"/>
  <c r="E733" i="1"/>
  <c r="E909" i="1"/>
  <c r="E1043" i="1"/>
  <c r="K197" i="1"/>
  <c r="E621" i="1"/>
  <c r="E685" i="1"/>
  <c r="E741" i="1"/>
  <c r="E813" i="1"/>
  <c r="E925" i="1"/>
  <c r="E1037" i="1"/>
  <c r="K459" i="1"/>
  <c r="K435" i="1"/>
  <c r="E979" i="1"/>
  <c r="K253" i="1"/>
  <c r="E629" i="1"/>
  <c r="E693" i="1"/>
  <c r="E773" i="1"/>
  <c r="E837" i="1"/>
  <c r="E941" i="1"/>
  <c r="E667" i="1"/>
  <c r="E971" i="1"/>
  <c r="E791" i="1"/>
  <c r="E613" i="1"/>
  <c r="E661" i="1"/>
  <c r="E709" i="1"/>
  <c r="E757" i="1"/>
  <c r="E805" i="1"/>
  <c r="E885" i="1"/>
  <c r="E949" i="1"/>
  <c r="E1173" i="1"/>
  <c r="E723" i="1"/>
  <c r="E579" i="1"/>
  <c r="E675" i="1"/>
  <c r="E367" i="1"/>
  <c r="E917" i="1"/>
  <c r="E965" i="1"/>
  <c r="E1069" i="1"/>
  <c r="E987" i="1"/>
  <c r="E651" i="1"/>
  <c r="E451" i="1"/>
  <c r="E375" i="1"/>
  <c r="E1119" i="1"/>
  <c r="E663" i="1"/>
  <c r="E599" i="1"/>
  <c r="K1135" i="1"/>
  <c r="K1184" i="1"/>
  <c r="K133" i="1"/>
  <c r="K1175" i="1"/>
  <c r="K981" i="1"/>
  <c r="E605" i="1"/>
  <c r="E645" i="1"/>
  <c r="E677" i="1"/>
  <c r="E717" i="1"/>
  <c r="E749" i="1"/>
  <c r="E789" i="1"/>
  <c r="E821" i="1"/>
  <c r="E901" i="1"/>
  <c r="E933" i="1"/>
  <c r="E989" i="1"/>
  <c r="E1061" i="1"/>
  <c r="E1133" i="1"/>
  <c r="E1181" i="1"/>
  <c r="L1181" i="1" s="1"/>
  <c r="E923" i="1"/>
  <c r="E595" i="1"/>
  <c r="E587" i="1"/>
  <c r="E643" i="1"/>
  <c r="E1019" i="1"/>
  <c r="E931" i="1"/>
  <c r="K419" i="1"/>
  <c r="K799" i="1"/>
  <c r="E679" i="1"/>
  <c r="E919" i="1"/>
  <c r="E1134" i="1"/>
  <c r="E731" i="1"/>
  <c r="E787" i="1"/>
  <c r="E963" i="1"/>
  <c r="E907" i="1"/>
  <c r="E491" i="1"/>
  <c r="K1147" i="1"/>
  <c r="E739" i="1"/>
  <c r="E851" i="1"/>
  <c r="E483" i="1"/>
  <c r="E615" i="1"/>
  <c r="K983" i="1"/>
  <c r="K1167" i="1"/>
  <c r="E973" i="1"/>
  <c r="E1005" i="1"/>
  <c r="E1045" i="1"/>
  <c r="E1077" i="1"/>
  <c r="E1117" i="1"/>
  <c r="E539" i="1"/>
  <c r="E795" i="1"/>
  <c r="E1051" i="1"/>
  <c r="E515" i="1"/>
  <c r="E915" i="1"/>
  <c r="E571" i="1"/>
  <c r="E715" i="1"/>
  <c r="E1099" i="1"/>
  <c r="E635" i="1"/>
  <c r="E763" i="1"/>
  <c r="E1083" i="1"/>
  <c r="E803" i="1"/>
  <c r="E1059" i="1"/>
  <c r="E771" i="1"/>
  <c r="E255" i="1"/>
  <c r="E1127" i="1"/>
  <c r="K439" i="1"/>
  <c r="E495" i="1"/>
  <c r="K591" i="1"/>
  <c r="K583" i="1"/>
  <c r="K575" i="1"/>
  <c r="K407" i="1"/>
  <c r="E1116" i="1"/>
  <c r="E820" i="1"/>
  <c r="E981" i="1"/>
  <c r="E1013" i="1"/>
  <c r="E1053" i="1"/>
  <c r="E1093" i="1"/>
  <c r="E1125" i="1"/>
  <c r="E1165" i="1"/>
  <c r="E603" i="1"/>
  <c r="E1115" i="1"/>
  <c r="E531" i="1"/>
  <c r="E707" i="1"/>
  <c r="E523" i="1"/>
  <c r="E843" i="1"/>
  <c r="E1179" i="1"/>
  <c r="K467" i="1"/>
  <c r="K411" i="1"/>
  <c r="E827" i="1"/>
  <c r="E547" i="1"/>
  <c r="E659" i="1"/>
  <c r="E427" i="1"/>
  <c r="E319" i="1"/>
  <c r="K543" i="1"/>
  <c r="K727" i="1"/>
  <c r="E535" i="1"/>
  <c r="E1047" i="1"/>
  <c r="K655" i="1"/>
  <c r="K647" i="1"/>
  <c r="E999" i="1"/>
  <c r="K767" i="1"/>
  <c r="E1014" i="1"/>
  <c r="E744" i="1"/>
  <c r="E735" i="1"/>
  <c r="E1183" i="1"/>
  <c r="L1183" i="1" s="1"/>
  <c r="E671" i="1"/>
  <c r="E471" i="1"/>
  <c r="E551" i="1"/>
  <c r="E1058" i="1"/>
  <c r="E1118" i="1"/>
  <c r="E1030" i="1"/>
  <c r="E340" i="1"/>
  <c r="E779" i="1"/>
  <c r="E1035" i="1"/>
  <c r="E835" i="1"/>
  <c r="E475" i="1"/>
  <c r="E1027" i="1"/>
  <c r="E699" i="1"/>
  <c r="E955" i="1"/>
  <c r="E611" i="1"/>
  <c r="E1123" i="1"/>
  <c r="E507" i="1"/>
  <c r="K443" i="1"/>
  <c r="E383" i="1"/>
  <c r="K447" i="1"/>
  <c r="E503" i="1"/>
  <c r="E303" i="1"/>
  <c r="E607" i="1"/>
  <c r="E935" i="1"/>
  <c r="K431" i="1"/>
  <c r="K911" i="1"/>
  <c r="E487" i="1"/>
  <c r="E1063" i="1"/>
  <c r="K903" i="1"/>
  <c r="K415" i="1"/>
  <c r="M1" i="1"/>
  <c r="E1062" i="1"/>
  <c r="E1042" i="1"/>
  <c r="E490" i="1"/>
  <c r="E720" i="1"/>
  <c r="E847" i="1"/>
  <c r="K839" i="1"/>
  <c r="E783" i="1"/>
  <c r="K1023" i="1"/>
  <c r="K759" i="1"/>
  <c r="K461" i="1"/>
  <c r="E1126" i="1"/>
  <c r="E998" i="1"/>
  <c r="E602" i="1"/>
  <c r="E984" i="1"/>
  <c r="E479" i="1"/>
  <c r="E711" i="1"/>
  <c r="E927" i="1"/>
  <c r="K639" i="1"/>
  <c r="K1087" i="1"/>
  <c r="K463" i="1"/>
  <c r="K1079" i="1"/>
  <c r="E807" i="1"/>
  <c r="E1120" i="1"/>
  <c r="E992" i="1"/>
  <c r="E1049" i="1"/>
  <c r="E1003" i="1"/>
  <c r="E947" i="1"/>
  <c r="E713" i="1"/>
  <c r="E462" i="1"/>
  <c r="E1080" i="1"/>
  <c r="E672" i="1"/>
  <c r="E527" i="1"/>
  <c r="E743" i="1"/>
  <c r="E967" i="1"/>
  <c r="E1103" i="1"/>
  <c r="K703" i="1"/>
  <c r="K695" i="1"/>
  <c r="E271" i="1"/>
  <c r="K510" i="1"/>
  <c r="E1138" i="1"/>
  <c r="E1144" i="1"/>
  <c r="E912" i="1"/>
  <c r="E1078" i="1"/>
  <c r="E1033" i="1"/>
  <c r="E610" i="1"/>
  <c r="E374" i="1"/>
  <c r="E1032" i="1"/>
  <c r="E332" i="1"/>
  <c r="K1151" i="1"/>
  <c r="E519" i="1"/>
  <c r="K567" i="1"/>
  <c r="K823" i="1"/>
  <c r="E335" i="1"/>
  <c r="E991" i="1"/>
  <c r="K403" i="1"/>
  <c r="E1067" i="1"/>
  <c r="E1075" i="1"/>
  <c r="E918" i="1"/>
  <c r="E1113" i="1"/>
  <c r="E1009" i="1"/>
  <c r="E1094" i="1"/>
  <c r="E978" i="1"/>
  <c r="E1131" i="1"/>
  <c r="E1088" i="1"/>
  <c r="E804" i="1"/>
  <c r="E689" i="1"/>
  <c r="E545" i="1"/>
  <c r="E428" i="1"/>
  <c r="E320" i="1"/>
  <c r="E1064" i="1"/>
  <c r="E922" i="1"/>
  <c r="E544" i="1"/>
  <c r="E317" i="1"/>
  <c r="K831" i="1"/>
  <c r="E279" i="1"/>
  <c r="E775" i="1"/>
  <c r="K631" i="1"/>
  <c r="K511" i="1"/>
  <c r="K404" i="1"/>
  <c r="E1020" i="1"/>
  <c r="E1040" i="1"/>
  <c r="E1166" i="1"/>
  <c r="E1097" i="1"/>
  <c r="E937" i="1"/>
  <c r="E1070" i="1"/>
  <c r="E953" i="1"/>
  <c r="E942" i="1"/>
  <c r="E1065" i="1"/>
  <c r="E778" i="1"/>
  <c r="E625" i="1"/>
  <c r="E520" i="1"/>
  <c r="E413" i="1"/>
  <c r="E1124" i="1"/>
  <c r="E1038" i="1"/>
  <c r="E910" i="1"/>
  <c r="E426" i="1"/>
  <c r="E848" i="1"/>
  <c r="E1031" i="1"/>
  <c r="K512" i="1"/>
  <c r="E1150" i="1"/>
  <c r="E972" i="1"/>
  <c r="E1052" i="1"/>
  <c r="E966" i="1"/>
  <c r="E1136" i="1"/>
  <c r="E1084" i="1"/>
  <c r="E960" i="1"/>
  <c r="E1122" i="1"/>
  <c r="E1046" i="1"/>
  <c r="E905" i="1"/>
  <c r="E1090" i="1"/>
  <c r="E1146" i="1"/>
  <c r="E833" i="1"/>
  <c r="E766" i="1"/>
  <c r="E674" i="1"/>
  <c r="E561" i="1"/>
  <c r="E469" i="1"/>
  <c r="E406" i="1"/>
  <c r="E1145" i="1"/>
  <c r="E1074" i="1"/>
  <c r="E1008" i="1"/>
  <c r="E770" i="1"/>
  <c r="E526" i="1"/>
  <c r="E902" i="1"/>
  <c r="E1073" i="1"/>
  <c r="E985" i="1"/>
  <c r="E1140" i="1"/>
  <c r="L1140" i="1" s="1"/>
  <c r="E1081" i="1"/>
  <c r="E1026" i="1"/>
  <c r="E930" i="1"/>
  <c r="E924" i="1"/>
  <c r="E1056" i="1"/>
  <c r="E1129" i="1"/>
  <c r="E852" i="1"/>
  <c r="E785" i="1"/>
  <c r="E730" i="1"/>
  <c r="E657" i="1"/>
  <c r="E568" i="1"/>
  <c r="E505" i="1"/>
  <c r="E449" i="1"/>
  <c r="E381" i="1"/>
  <c r="E308" i="1"/>
  <c r="E1098" i="1"/>
  <c r="E1050" i="1"/>
  <c r="E996" i="1"/>
  <c r="E819" i="1"/>
  <c r="E592" i="1"/>
  <c r="E412" i="1"/>
  <c r="E678" i="1"/>
  <c r="E840" i="1"/>
  <c r="E798" i="1"/>
  <c r="E754" i="1"/>
  <c r="E697" i="1"/>
  <c r="E640" i="1"/>
  <c r="E585" i="1"/>
  <c r="E537" i="1"/>
  <c r="E484" i="1"/>
  <c r="E442" i="1"/>
  <c r="E394" i="1"/>
  <c r="E327" i="1"/>
  <c r="E1135" i="1"/>
  <c r="E1086" i="1"/>
  <c r="E1057" i="1"/>
  <c r="E1025" i="1"/>
  <c r="E958" i="1"/>
  <c r="E784" i="1"/>
  <c r="E656" i="1"/>
  <c r="E468" i="1"/>
  <c r="E229" i="1"/>
  <c r="E636" i="1"/>
  <c r="E1130" i="1"/>
  <c r="E1092" i="1"/>
  <c r="E1068" i="1"/>
  <c r="E1044" i="1"/>
  <c r="E1018" i="1"/>
  <c r="E970" i="1"/>
  <c r="E832" i="1"/>
  <c r="E736" i="1"/>
  <c r="E609" i="1"/>
  <c r="E481" i="1"/>
  <c r="E365" i="1"/>
  <c r="E950" i="1"/>
  <c r="E458" i="1"/>
  <c r="E946" i="1"/>
  <c r="E884" i="1"/>
  <c r="E809" i="1"/>
  <c r="E758" i="1"/>
  <c r="E704" i="1"/>
  <c r="E638" i="1"/>
  <c r="E574" i="1"/>
  <c r="E510" i="1"/>
  <c r="E454" i="1"/>
  <c r="E392" i="1"/>
  <c r="E305" i="1"/>
  <c r="E1006" i="1"/>
  <c r="E788" i="1"/>
  <c r="E580" i="1"/>
  <c r="E921" i="1"/>
  <c r="E936" i="1"/>
  <c r="E844" i="1"/>
  <c r="E796" i="1"/>
  <c r="E747" i="1"/>
  <c r="E688" i="1"/>
  <c r="E623" i="1"/>
  <c r="E560" i="1"/>
  <c r="E496" i="1"/>
  <c r="E440" i="1"/>
  <c r="E380" i="1"/>
  <c r="E256" i="1"/>
  <c r="E982" i="1"/>
  <c r="E734" i="1"/>
  <c r="E516" i="1"/>
  <c r="E1102" i="1"/>
  <c r="E1002" i="1"/>
  <c r="E977" i="1"/>
  <c r="E952" i="1"/>
  <c r="E929" i="1"/>
  <c r="E904" i="1"/>
  <c r="E838" i="1"/>
  <c r="E814" i="1"/>
  <c r="E790" i="1"/>
  <c r="E764" i="1"/>
  <c r="E742" i="1"/>
  <c r="E712" i="1"/>
  <c r="E681" i="1"/>
  <c r="E646" i="1"/>
  <c r="E617" i="1"/>
  <c r="E584" i="1"/>
  <c r="E552" i="1"/>
  <c r="E518" i="1"/>
  <c r="E489" i="1"/>
  <c r="E460" i="1"/>
  <c r="E433" i="1"/>
  <c r="E405" i="1"/>
  <c r="E372" i="1"/>
  <c r="E325" i="1"/>
  <c r="E276" i="1"/>
  <c r="E248" i="1"/>
  <c r="E221" i="1"/>
  <c r="E1024" i="1"/>
  <c r="E1001" i="1"/>
  <c r="E976" i="1"/>
  <c r="E939" i="1"/>
  <c r="E836" i="1"/>
  <c r="E776" i="1"/>
  <c r="E718" i="1"/>
  <c r="E670" i="1"/>
  <c r="E627" i="1"/>
  <c r="E572" i="1"/>
  <c r="E508" i="1"/>
  <c r="E438" i="1"/>
  <c r="E281" i="1"/>
  <c r="E842" i="1"/>
  <c r="E1060" i="1"/>
  <c r="E768" i="1"/>
  <c r="E318" i="1"/>
  <c r="E268" i="1"/>
  <c r="E242" i="1"/>
  <c r="E208" i="1"/>
  <c r="E1017" i="1"/>
  <c r="E994" i="1"/>
  <c r="E969" i="1"/>
  <c r="E928" i="1"/>
  <c r="E824" i="1"/>
  <c r="E762" i="1"/>
  <c r="E700" i="1"/>
  <c r="E662" i="1"/>
  <c r="E616" i="1"/>
  <c r="E550" i="1"/>
  <c r="E486" i="1"/>
  <c r="E402" i="1"/>
  <c r="E247" i="1"/>
  <c r="E769" i="1"/>
  <c r="E1004" i="1"/>
  <c r="E626" i="1"/>
  <c r="E1012" i="1"/>
  <c r="E990" i="1"/>
  <c r="E964" i="1"/>
  <c r="E940" i="1"/>
  <c r="E916" i="1"/>
  <c r="E850" i="1"/>
  <c r="E825" i="1"/>
  <c r="E802" i="1"/>
  <c r="E777" i="1"/>
  <c r="E753" i="1"/>
  <c r="E729" i="1"/>
  <c r="E694" i="1"/>
  <c r="E664" i="1"/>
  <c r="E630" i="1"/>
  <c r="E600" i="1"/>
  <c r="E566" i="1"/>
  <c r="E536" i="1"/>
  <c r="E502" i="1"/>
  <c r="E474" i="1"/>
  <c r="E448" i="1"/>
  <c r="E418" i="1"/>
  <c r="E386" i="1"/>
  <c r="E338" i="1"/>
  <c r="E312" i="1"/>
  <c r="E262" i="1"/>
  <c r="E237" i="1"/>
  <c r="E1036" i="1"/>
  <c r="E1011" i="1"/>
  <c r="E988" i="1"/>
  <c r="E962" i="1"/>
  <c r="E914" i="1"/>
  <c r="E808" i="1"/>
  <c r="E746" i="1"/>
  <c r="E686" i="1"/>
  <c r="E652" i="1"/>
  <c r="E606" i="1"/>
  <c r="E542" i="1"/>
  <c r="E480" i="1"/>
  <c r="E377" i="1"/>
  <c r="E228" i="1"/>
  <c r="E644" i="1"/>
  <c r="E961" i="1"/>
  <c r="E513" i="1"/>
  <c r="E598" i="1"/>
  <c r="E564" i="1"/>
  <c r="E532" i="1"/>
  <c r="E501" i="1"/>
  <c r="E473" i="1"/>
  <c r="E432" i="1"/>
  <c r="E370" i="1"/>
  <c r="E273" i="1"/>
  <c r="E218" i="1"/>
  <c r="E830" i="1"/>
  <c r="E1168" i="1"/>
  <c r="E1054" i="1"/>
  <c r="E954" i="1"/>
  <c r="E750" i="1"/>
  <c r="E470" i="1"/>
  <c r="E622" i="1"/>
  <c r="E590" i="1"/>
  <c r="E556" i="1"/>
  <c r="E524" i="1"/>
  <c r="E494" i="1"/>
  <c r="E465" i="1"/>
  <c r="E410" i="1"/>
  <c r="E324" i="1"/>
  <c r="E253" i="1"/>
  <c r="E934" i="1"/>
  <c r="E782" i="1"/>
  <c r="E1114" i="1"/>
  <c r="E1010" i="1"/>
  <c r="E913" i="1"/>
  <c r="E650" i="1"/>
  <c r="E311" i="1"/>
  <c r="E453" i="1"/>
  <c r="E424" i="1"/>
  <c r="E391" i="1"/>
  <c r="E337" i="1"/>
  <c r="E310" i="1"/>
  <c r="E266" i="1"/>
  <c r="E241" i="1"/>
  <c r="E956" i="1"/>
  <c r="E908" i="1"/>
  <c r="E818" i="1"/>
  <c r="E740" i="1"/>
  <c r="E1137" i="1"/>
  <c r="E1082" i="1"/>
  <c r="E1034" i="1"/>
  <c r="E986" i="1"/>
  <c r="E938" i="1"/>
  <c r="E817" i="1"/>
  <c r="E716" i="1"/>
  <c r="E586" i="1"/>
  <c r="E252" i="1"/>
  <c r="E445" i="1"/>
  <c r="E417" i="1"/>
  <c r="E385" i="1"/>
  <c r="E329" i="1"/>
  <c r="E304" i="1"/>
  <c r="E261" i="1"/>
  <c r="E234" i="1"/>
  <c r="E945" i="1"/>
  <c r="E849" i="1"/>
  <c r="E812" i="1"/>
  <c r="E726" i="1"/>
  <c r="E1132" i="1"/>
  <c r="E1076" i="1"/>
  <c r="E1028" i="1"/>
  <c r="E980" i="1"/>
  <c r="E932" i="1"/>
  <c r="E800" i="1"/>
  <c r="E691" i="1"/>
  <c r="E562" i="1"/>
  <c r="E737" i="1"/>
  <c r="E801" i="1"/>
  <c r="E756" i="1"/>
  <c r="E710" i="1"/>
  <c r="E1148" i="1"/>
  <c r="E1128" i="1"/>
  <c r="E1096" i="1"/>
  <c r="E1072" i="1"/>
  <c r="E1048" i="1"/>
  <c r="E1022" i="1"/>
  <c r="E1000" i="1"/>
  <c r="E974" i="1"/>
  <c r="E948" i="1"/>
  <c r="E926" i="1"/>
  <c r="E841" i="1"/>
  <c r="E793" i="1"/>
  <c r="E745" i="1"/>
  <c r="E683" i="1"/>
  <c r="E620" i="1"/>
  <c r="E555" i="1"/>
  <c r="E444" i="1"/>
  <c r="E593" i="1"/>
  <c r="E794" i="1"/>
  <c r="E752" i="1"/>
  <c r="E692" i="1"/>
  <c r="E1142" i="1"/>
  <c r="L1142" i="1" s="1"/>
  <c r="E1121" i="1"/>
  <c r="E1089" i="1"/>
  <c r="E1066" i="1"/>
  <c r="E1041" i="1"/>
  <c r="E1016" i="1"/>
  <c r="E993" i="1"/>
  <c r="E968" i="1"/>
  <c r="E944" i="1"/>
  <c r="E920" i="1"/>
  <c r="E822" i="1"/>
  <c r="E774" i="1"/>
  <c r="E724" i="1"/>
  <c r="E658" i="1"/>
  <c r="E596" i="1"/>
  <c r="E530" i="1"/>
  <c r="E322" i="1"/>
  <c r="E601" i="1"/>
  <c r="E906" i="1"/>
  <c r="E834" i="1"/>
  <c r="E811" i="1"/>
  <c r="E786" i="1"/>
  <c r="E761" i="1"/>
  <c r="E738" i="1"/>
  <c r="E706" i="1"/>
  <c r="E676" i="1"/>
  <c r="E642" i="1"/>
  <c r="E612" i="1"/>
  <c r="E578" i="1"/>
  <c r="E548" i="1"/>
  <c r="E506" i="1"/>
  <c r="E416" i="1"/>
  <c r="E233" i="1"/>
  <c r="E529" i="1"/>
  <c r="E95" i="1"/>
  <c r="E900" i="1"/>
  <c r="E828" i="1"/>
  <c r="E806" i="1"/>
  <c r="E780" i="1"/>
  <c r="E755" i="1"/>
  <c r="E732" i="1"/>
  <c r="E698" i="1"/>
  <c r="E668" i="1"/>
  <c r="E633" i="1"/>
  <c r="E604" i="1"/>
  <c r="E570" i="1"/>
  <c r="E538" i="1"/>
  <c r="E478" i="1"/>
  <c r="E328" i="1"/>
  <c r="E792" i="1"/>
  <c r="E673" i="1"/>
  <c r="E40" i="1"/>
  <c r="E500" i="1"/>
  <c r="E457" i="1"/>
  <c r="E408" i="1"/>
  <c r="E302" i="1"/>
  <c r="E846" i="1"/>
  <c r="E722" i="1"/>
  <c r="E300" i="1"/>
  <c r="E488" i="1"/>
  <c r="E573" i="1"/>
  <c r="E485" i="1"/>
  <c r="E450" i="1"/>
  <c r="E382" i="1"/>
  <c r="E258" i="1"/>
  <c r="E826" i="1"/>
  <c r="E665" i="1"/>
  <c r="E696" i="1"/>
  <c r="E452" i="1"/>
  <c r="E88" i="1"/>
  <c r="E522" i="1"/>
  <c r="E492" i="1"/>
  <c r="E464" i="1"/>
  <c r="E437" i="1"/>
  <c r="E376" i="1"/>
  <c r="E278" i="1"/>
  <c r="E226" i="1"/>
  <c r="E772" i="1"/>
  <c r="E649" i="1"/>
  <c r="E257" i="1"/>
  <c r="E576" i="1"/>
  <c r="E260" i="1"/>
  <c r="E1182" i="1"/>
  <c r="L1182" i="1" s="1"/>
  <c r="E429" i="1"/>
  <c r="E401" i="1"/>
  <c r="E369" i="1"/>
  <c r="E314" i="1"/>
  <c r="E272" i="1"/>
  <c r="E246" i="1"/>
  <c r="E213" i="1"/>
  <c r="E816" i="1"/>
  <c r="E760" i="1"/>
  <c r="E705" i="1"/>
  <c r="E632" i="1"/>
  <c r="E455" i="1"/>
  <c r="E232" i="1"/>
  <c r="E648" i="1"/>
  <c r="E546" i="1"/>
  <c r="E414" i="1"/>
  <c r="E217" i="1"/>
  <c r="E243" i="1"/>
  <c r="E435" i="1"/>
  <c r="E422" i="1"/>
  <c r="E390" i="1"/>
  <c r="E334" i="1"/>
  <c r="E309" i="1"/>
  <c r="E265" i="1"/>
  <c r="E239" i="1"/>
  <c r="E886" i="1"/>
  <c r="E810" i="1"/>
  <c r="E748" i="1"/>
  <c r="E682" i="1"/>
  <c r="E618" i="1"/>
  <c r="E388" i="1"/>
  <c r="E721" i="1"/>
  <c r="E624" i="1"/>
  <c r="E514" i="1"/>
  <c r="E368" i="1"/>
  <c r="E172" i="1"/>
  <c r="E200" i="1"/>
  <c r="E1178" i="1"/>
  <c r="L1178" i="1" s="1"/>
  <c r="E512" i="1"/>
  <c r="E434" i="1"/>
  <c r="E366" i="1"/>
  <c r="E277" i="1"/>
  <c r="E250" i="1"/>
  <c r="E223" i="1"/>
  <c r="E714" i="1"/>
  <c r="E690" i="1"/>
  <c r="E666" i="1"/>
  <c r="E641" i="1"/>
  <c r="E619" i="1"/>
  <c r="E594" i="1"/>
  <c r="E569" i="1"/>
  <c r="E540" i="1"/>
  <c r="E509" i="1"/>
  <c r="E477" i="1"/>
  <c r="E446" i="1"/>
  <c r="E404" i="1"/>
  <c r="E336" i="1"/>
  <c r="E301" i="1"/>
  <c r="E245" i="1"/>
  <c r="E207" i="1"/>
  <c r="E167" i="1"/>
  <c r="E58" i="1"/>
  <c r="E823" i="1"/>
  <c r="E206" i="1"/>
  <c r="E165" i="1"/>
  <c r="E62" i="1"/>
  <c r="E565" i="1"/>
  <c r="E54" i="1"/>
  <c r="E447" i="1"/>
  <c r="E18" i="1"/>
  <c r="E577" i="1"/>
  <c r="E497" i="1"/>
  <c r="E421" i="1"/>
  <c r="E333" i="1"/>
  <c r="E270" i="1"/>
  <c r="E244" i="1"/>
  <c r="E212" i="1"/>
  <c r="E708" i="1"/>
  <c r="E684" i="1"/>
  <c r="E660" i="1"/>
  <c r="E634" i="1"/>
  <c r="E614" i="1"/>
  <c r="E588" i="1"/>
  <c r="E563" i="1"/>
  <c r="E534" i="1"/>
  <c r="E498" i="1"/>
  <c r="E472" i="1"/>
  <c r="E430" i="1"/>
  <c r="E389" i="1"/>
  <c r="E330" i="1"/>
  <c r="E274" i="1"/>
  <c r="E240" i="1"/>
  <c r="E196" i="1"/>
  <c r="E129" i="1"/>
  <c r="E33" i="1"/>
  <c r="E759" i="1"/>
  <c r="E94" i="1"/>
  <c r="E138" i="1"/>
  <c r="E57" i="1"/>
  <c r="E751" i="1"/>
  <c r="E159" i="1"/>
  <c r="E259" i="1"/>
  <c r="E407" i="1"/>
  <c r="E554" i="1"/>
  <c r="E476" i="1"/>
  <c r="E400" i="1"/>
  <c r="E313" i="1"/>
  <c r="E263" i="1"/>
  <c r="E238" i="1"/>
  <c r="E728" i="1"/>
  <c r="E702" i="1"/>
  <c r="E680" i="1"/>
  <c r="E654" i="1"/>
  <c r="E628" i="1"/>
  <c r="E608" i="1"/>
  <c r="E582" i="1"/>
  <c r="E558" i="1"/>
  <c r="E521" i="1"/>
  <c r="E493" i="1"/>
  <c r="E456" i="1"/>
  <c r="E425" i="1"/>
  <c r="E384" i="1"/>
  <c r="E316" i="1"/>
  <c r="E264" i="1"/>
  <c r="E236" i="1"/>
  <c r="E176" i="1"/>
  <c r="E100" i="1"/>
  <c r="E17" i="1"/>
  <c r="E403" i="1"/>
  <c r="E210" i="1"/>
  <c r="E128" i="1"/>
  <c r="E21" i="1"/>
  <c r="E459" i="1"/>
  <c r="E143" i="1"/>
  <c r="E157" i="1"/>
  <c r="E11" i="1"/>
  <c r="E466" i="1"/>
  <c r="E436" i="1"/>
  <c r="E409" i="1"/>
  <c r="E378" i="1"/>
  <c r="E321" i="1"/>
  <c r="E280" i="1"/>
  <c r="E254" i="1"/>
  <c r="E224" i="1"/>
  <c r="E191" i="1"/>
  <c r="E140" i="1"/>
  <c r="E68" i="1"/>
  <c r="E701" i="1"/>
  <c r="E463" i="1"/>
  <c r="E115" i="1"/>
  <c r="E170" i="1"/>
  <c r="E104" i="1"/>
  <c r="E26" i="1"/>
  <c r="E943" i="1"/>
  <c r="E91" i="1"/>
  <c r="E20" i="1"/>
  <c r="E162" i="1"/>
  <c r="E559" i="1"/>
  <c r="E186" i="1"/>
  <c r="E156" i="1"/>
  <c r="E120" i="1"/>
  <c r="E89" i="1"/>
  <c r="E48" i="1"/>
  <c r="E12" i="1"/>
  <c r="E1143" i="1"/>
  <c r="L1143" i="1" s="1"/>
  <c r="E583" i="1"/>
  <c r="E371" i="1"/>
  <c r="E187" i="1"/>
  <c r="E38" i="1"/>
  <c r="E190" i="1"/>
  <c r="E160" i="1"/>
  <c r="E119" i="1"/>
  <c r="E82" i="1"/>
  <c r="E47" i="1"/>
  <c r="E1184" i="1"/>
  <c r="E533" i="1"/>
  <c r="E695" i="1"/>
  <c r="E235" i="1"/>
  <c r="E199" i="1"/>
  <c r="E87" i="1"/>
  <c r="E1175" i="1"/>
  <c r="E102" i="1"/>
  <c r="E111" i="1"/>
  <c r="E517" i="1"/>
  <c r="E99" i="1"/>
  <c r="E151" i="1"/>
  <c r="E114" i="1"/>
  <c r="E73" i="1"/>
  <c r="E39" i="1"/>
  <c r="E1176" i="1"/>
  <c r="E1007" i="1"/>
  <c r="E543" i="1"/>
  <c r="E307" i="1"/>
  <c r="E134" i="1"/>
  <c r="E22" i="1"/>
  <c r="E185" i="1"/>
  <c r="E144" i="1"/>
  <c r="E109" i="1"/>
  <c r="E77" i="1"/>
  <c r="E37" i="1"/>
  <c r="E1171" i="1"/>
  <c r="E1055" i="1"/>
  <c r="E511" i="1"/>
  <c r="E203" i="1"/>
  <c r="E189" i="1"/>
  <c r="E76" i="1"/>
  <c r="E975" i="1"/>
  <c r="E51" i="1"/>
  <c r="E80" i="1"/>
  <c r="E1167" i="1"/>
  <c r="E83" i="1"/>
  <c r="E331" i="1"/>
  <c r="E163" i="1"/>
  <c r="E225" i="1"/>
  <c r="E184" i="1"/>
  <c r="E117" i="1"/>
  <c r="E56" i="1"/>
  <c r="E1170" i="1"/>
  <c r="E727" i="1"/>
  <c r="E214" i="1"/>
  <c r="E202" i="1"/>
  <c r="E130" i="1"/>
  <c r="E74" i="1"/>
  <c r="E13" i="1"/>
  <c r="E831" i="1"/>
  <c r="E251" i="1"/>
  <c r="E67" i="1"/>
  <c r="E299" i="1"/>
  <c r="E147" i="1"/>
  <c r="E220" i="1"/>
  <c r="E164" i="1"/>
  <c r="E108" i="1"/>
  <c r="E46" i="1"/>
  <c r="E557" i="1"/>
  <c r="E631" i="1"/>
  <c r="E198" i="1"/>
  <c r="E183" i="1"/>
  <c r="E121" i="1"/>
  <c r="E55" i="1"/>
  <c r="E765" i="1"/>
  <c r="E767" i="1"/>
  <c r="E211" i="1"/>
  <c r="E27" i="1"/>
  <c r="E75" i="1"/>
  <c r="E209" i="1"/>
  <c r="E169" i="1"/>
  <c r="E127" i="1"/>
  <c r="E81" i="1"/>
  <c r="E36" i="1"/>
  <c r="E589" i="1"/>
  <c r="E911" i="1"/>
  <c r="E431" i="1"/>
  <c r="E123" i="1"/>
  <c r="E192" i="1"/>
  <c r="E152" i="1"/>
  <c r="E96" i="1"/>
  <c r="E49" i="1"/>
  <c r="E1174" i="1"/>
  <c r="E959" i="1"/>
  <c r="E467" i="1"/>
  <c r="E171" i="1"/>
  <c r="E137" i="1"/>
  <c r="E103" i="1"/>
  <c r="E61" i="1"/>
  <c r="E25" i="1"/>
  <c r="E1180" i="1"/>
  <c r="E1087" i="1"/>
  <c r="E687" i="1"/>
  <c r="E387" i="1"/>
  <c r="E142" i="1"/>
  <c r="E30" i="1"/>
  <c r="E177" i="1"/>
  <c r="E136" i="1"/>
  <c r="E101" i="1"/>
  <c r="E69" i="1"/>
  <c r="E29" i="1"/>
  <c r="E1021" i="1"/>
  <c r="E1079" i="1"/>
  <c r="E591" i="1"/>
  <c r="E379" i="1"/>
  <c r="E155" i="1"/>
  <c r="E553" i="1"/>
  <c r="E528" i="1"/>
  <c r="E504" i="1"/>
  <c r="E482" i="1"/>
  <c r="E461" i="1"/>
  <c r="E441" i="1"/>
  <c r="E420" i="1"/>
  <c r="E393" i="1"/>
  <c r="E373" i="1"/>
  <c r="E326" i="1"/>
  <c r="E306" i="1"/>
  <c r="E269" i="1"/>
  <c r="E249" i="1"/>
  <c r="E231" i="1"/>
  <c r="E201" i="1"/>
  <c r="E181" i="1"/>
  <c r="E161" i="1"/>
  <c r="E135" i="1"/>
  <c r="E110" i="1"/>
  <c r="E79" i="1"/>
  <c r="E53" i="1"/>
  <c r="E28" i="1"/>
  <c r="E957" i="1"/>
  <c r="E1071" i="1"/>
  <c r="E703" i="1"/>
  <c r="E419" i="1"/>
  <c r="E275" i="1"/>
  <c r="E166" i="1"/>
  <c r="E59" i="1"/>
  <c r="E205" i="1"/>
  <c r="E180" i="1"/>
  <c r="E149" i="1"/>
  <c r="E124" i="1"/>
  <c r="E98" i="1"/>
  <c r="E66" i="1"/>
  <c r="E42" i="1"/>
  <c r="E16" i="1"/>
  <c r="E637" i="1"/>
  <c r="E983" i="1"/>
  <c r="E639" i="1"/>
  <c r="E395" i="1"/>
  <c r="E219" i="1"/>
  <c r="E131" i="1"/>
  <c r="E19" i="1"/>
  <c r="E204" i="1"/>
  <c r="E178" i="1"/>
  <c r="E148" i="1"/>
  <c r="E122" i="1"/>
  <c r="E97" i="1"/>
  <c r="E65" i="1"/>
  <c r="E41" i="1"/>
  <c r="E15" i="1"/>
  <c r="E829" i="1"/>
  <c r="E1151" i="1"/>
  <c r="E839" i="1"/>
  <c r="E499" i="1"/>
  <c r="E323" i="1"/>
  <c r="E179" i="1"/>
  <c r="E70" i="1"/>
  <c r="E197" i="1"/>
  <c r="E173" i="1"/>
  <c r="E141" i="1"/>
  <c r="E116" i="1"/>
  <c r="E90" i="1"/>
  <c r="E60" i="1"/>
  <c r="E34" i="1"/>
  <c r="E1177" i="1"/>
  <c r="L1177" i="1" s="1"/>
  <c r="E549" i="1"/>
  <c r="E1015" i="1"/>
  <c r="E719" i="1"/>
  <c r="E423" i="1"/>
  <c r="E227" i="1"/>
  <c r="E139" i="1"/>
  <c r="E145" i="1"/>
  <c r="E125" i="1"/>
  <c r="E105" i="1"/>
  <c r="E84" i="1"/>
  <c r="E63" i="1"/>
  <c r="E44" i="1"/>
  <c r="E23" i="1"/>
  <c r="E1172" i="1"/>
  <c r="E541" i="1"/>
  <c r="E951" i="1"/>
  <c r="E647" i="1"/>
  <c r="E439" i="1"/>
  <c r="E339" i="1"/>
  <c r="E222" i="1"/>
  <c r="E150" i="1"/>
  <c r="E78" i="1"/>
  <c r="E216" i="1"/>
  <c r="E194" i="1"/>
  <c r="E175" i="1"/>
  <c r="E154" i="1"/>
  <c r="E133" i="1"/>
  <c r="E113" i="1"/>
  <c r="E93" i="1"/>
  <c r="E72" i="1"/>
  <c r="E52" i="1"/>
  <c r="E32" i="1"/>
  <c r="E10" i="1"/>
  <c r="E1149" i="1"/>
  <c r="E1095" i="1"/>
  <c r="E815" i="1"/>
  <c r="E575" i="1"/>
  <c r="E415" i="1"/>
  <c r="E267" i="1"/>
  <c r="E182" i="1"/>
  <c r="E107" i="1"/>
  <c r="E35" i="1"/>
  <c r="E215" i="1"/>
  <c r="E193" i="1"/>
  <c r="E174" i="1"/>
  <c r="E153" i="1"/>
  <c r="E132" i="1"/>
  <c r="E112" i="1"/>
  <c r="E92" i="1"/>
  <c r="E71" i="1"/>
  <c r="E50" i="1"/>
  <c r="E31" i="1"/>
  <c r="E9" i="1"/>
  <c r="E1085" i="1"/>
  <c r="E525" i="1"/>
  <c r="E1023" i="1"/>
  <c r="E799" i="1"/>
  <c r="E567" i="1"/>
  <c r="E411" i="1"/>
  <c r="E230" i="1"/>
  <c r="E158" i="1"/>
  <c r="E86" i="1"/>
  <c r="E14" i="1"/>
  <c r="E188" i="1"/>
  <c r="E168" i="1"/>
  <c r="E146" i="1"/>
  <c r="E126" i="1"/>
  <c r="E106" i="1"/>
  <c r="E85" i="1"/>
  <c r="E64" i="1"/>
  <c r="E45" i="1"/>
  <c r="E24" i="1"/>
  <c r="E1169" i="1"/>
  <c r="E581" i="1"/>
  <c r="E1147" i="1"/>
  <c r="L1147" i="1" s="1"/>
  <c r="E903" i="1"/>
  <c r="E655" i="1"/>
  <c r="E443" i="1"/>
  <c r="E315" i="1"/>
  <c r="E195" i="1"/>
  <c r="E118" i="1"/>
  <c r="L1156" i="1"/>
  <c r="L1154" i="1"/>
  <c r="L1152" i="1"/>
  <c r="L1157" i="1"/>
  <c r="L1161" i="1"/>
  <c r="L1160" i="1"/>
  <c r="L1158" i="1"/>
  <c r="L1155" i="1"/>
  <c r="L1153" i="1"/>
  <c r="L1159" i="1"/>
  <c r="L1139" i="1"/>
  <c r="I5" i="1"/>
  <c r="K5" i="1" s="1"/>
  <c r="L1179" i="1" l="1"/>
  <c r="L1145" i="1"/>
  <c r="L1169" i="1"/>
  <c r="L1170" i="1"/>
  <c r="L1144" i="1"/>
  <c r="L1148" i="1"/>
  <c r="L1168" i="1"/>
  <c r="L1180" i="1"/>
  <c r="L1171" i="1"/>
  <c r="L1146" i="1"/>
  <c r="L1172" i="1"/>
  <c r="L1165" i="1"/>
  <c r="L1149" i="1"/>
  <c r="L1141" i="1"/>
  <c r="L1166" i="1"/>
  <c r="L1173" i="1"/>
  <c r="L1174" i="1"/>
  <c r="L1167" i="1"/>
  <c r="L1176" i="1"/>
  <c r="L1150" i="1"/>
  <c r="L1151" i="1"/>
  <c r="L1184" i="1"/>
  <c r="L1175" i="1"/>
  <c r="L410" i="1"/>
  <c r="L402" i="1"/>
  <c r="L394" i="1"/>
  <c r="L386" i="1"/>
  <c r="L378" i="1"/>
  <c r="L370" i="1"/>
  <c r="L362" i="1"/>
  <c r="L354" i="1"/>
  <c r="L346" i="1"/>
  <c r="L338" i="1"/>
  <c r="L330" i="1"/>
  <c r="L322" i="1"/>
  <c r="L314" i="1"/>
  <c r="L306" i="1"/>
  <c r="L298" i="1"/>
  <c r="L290" i="1"/>
  <c r="L282" i="1"/>
  <c r="L274" i="1"/>
  <c r="L266" i="1"/>
  <c r="L258" i="1"/>
  <c r="L250" i="1"/>
  <c r="L242" i="1"/>
  <c r="L234" i="1"/>
  <c r="L226" i="1"/>
  <c r="L218" i="1"/>
  <c r="L210" i="1"/>
  <c r="L202" i="1"/>
  <c r="L194" i="1"/>
  <c r="L186" i="1"/>
  <c r="L178" i="1"/>
  <c r="L170" i="1"/>
  <c r="L162" i="1"/>
  <c r="L154" i="1"/>
  <c r="L146" i="1"/>
  <c r="L138" i="1"/>
  <c r="L130" i="1"/>
  <c r="L122" i="1"/>
  <c r="L114" i="1"/>
  <c r="L106" i="1"/>
  <c r="L98" i="1"/>
  <c r="L90" i="1"/>
  <c r="L82" i="1"/>
  <c r="L74" i="1"/>
  <c r="L66" i="1"/>
  <c r="L58" i="1"/>
  <c r="L50" i="1"/>
  <c r="L42" i="1"/>
  <c r="L34" i="1"/>
  <c r="L26" i="1"/>
  <c r="L18" i="1"/>
  <c r="L10" i="1"/>
  <c r="L409" i="1"/>
  <c r="L401" i="1"/>
  <c r="L393" i="1"/>
  <c r="L385" i="1"/>
  <c r="L377" i="1"/>
  <c r="L369" i="1"/>
  <c r="L361" i="1"/>
  <c r="L353" i="1"/>
  <c r="L345" i="1"/>
  <c r="L337" i="1"/>
  <c r="L329" i="1"/>
  <c r="L321" i="1"/>
  <c r="L313" i="1"/>
  <c r="L305" i="1"/>
  <c r="L297" i="1"/>
  <c r="L289" i="1"/>
  <c r="L281" i="1"/>
  <c r="L273" i="1"/>
  <c r="L265" i="1"/>
  <c r="L257" i="1"/>
  <c r="L249" i="1"/>
  <c r="L241" i="1"/>
  <c r="L233" i="1"/>
  <c r="L225" i="1"/>
  <c r="L217" i="1"/>
  <c r="L209" i="1"/>
  <c r="L201" i="1"/>
  <c r="L193" i="1"/>
  <c r="L185" i="1"/>
  <c r="L177" i="1"/>
  <c r="L169" i="1"/>
  <c r="L161" i="1"/>
  <c r="L153" i="1"/>
  <c r="L145" i="1"/>
  <c r="L137" i="1"/>
  <c r="L129" i="1"/>
  <c r="L121" i="1"/>
  <c r="L113" i="1"/>
  <c r="L105" i="1"/>
  <c r="L97" i="1"/>
  <c r="L89" i="1"/>
  <c r="L81" i="1"/>
  <c r="L73" i="1"/>
  <c r="L65" i="1"/>
  <c r="L57" i="1"/>
  <c r="L49" i="1"/>
  <c r="L41" i="1"/>
  <c r="L33" i="1"/>
  <c r="L25" i="1"/>
  <c r="L17" i="1"/>
  <c r="L9" i="1"/>
  <c r="L1131" i="1"/>
  <c r="L1123" i="1"/>
  <c r="L1115" i="1"/>
  <c r="L1107" i="1"/>
  <c r="L1099" i="1"/>
  <c r="L1091" i="1"/>
  <c r="L1132" i="1"/>
  <c r="L1124" i="1"/>
  <c r="L1116" i="1"/>
  <c r="L1108" i="1"/>
  <c r="L1100" i="1"/>
  <c r="L1092" i="1"/>
  <c r="L1084" i="1"/>
  <c r="L1076" i="1"/>
  <c r="L1068" i="1"/>
  <c r="L1060" i="1"/>
  <c r="L1052" i="1"/>
  <c r="L1044" i="1"/>
  <c r="L1036" i="1"/>
  <c r="L1028" i="1"/>
  <c r="L1020" i="1"/>
  <c r="L1012" i="1"/>
  <c r="L1004" i="1"/>
  <c r="L996" i="1"/>
  <c r="L988" i="1"/>
  <c r="L980" i="1"/>
  <c r="L972" i="1"/>
  <c r="L964" i="1"/>
  <c r="L956" i="1"/>
  <c r="L948" i="1"/>
  <c r="L940" i="1"/>
  <c r="L932" i="1"/>
  <c r="L924" i="1"/>
  <c r="L916" i="1"/>
  <c r="L908" i="1"/>
  <c r="L900" i="1"/>
  <c r="L892" i="1"/>
  <c r="L884" i="1"/>
  <c r="L876" i="1"/>
  <c r="L868" i="1"/>
  <c r="L860" i="1"/>
  <c r="L852" i="1"/>
  <c r="L844" i="1"/>
  <c r="L836" i="1"/>
  <c r="L828" i="1"/>
  <c r="L820" i="1"/>
  <c r="L812" i="1"/>
  <c r="L804" i="1"/>
  <c r="L796" i="1"/>
  <c r="L788" i="1"/>
  <c r="L780" i="1"/>
  <c r="L772" i="1"/>
  <c r="L764" i="1"/>
  <c r="L756" i="1"/>
  <c r="L748" i="1"/>
  <c r="L740" i="1"/>
  <c r="L732" i="1"/>
  <c r="L724" i="1"/>
  <c r="L716" i="1"/>
  <c r="L708" i="1"/>
  <c r="L700" i="1"/>
  <c r="L692" i="1"/>
  <c r="L684" i="1"/>
  <c r="L676" i="1"/>
  <c r="L668" i="1"/>
  <c r="L660" i="1"/>
  <c r="L652" i="1"/>
  <c r="L644" i="1"/>
  <c r="L636" i="1"/>
  <c r="L628" i="1"/>
  <c r="L620" i="1"/>
  <c r="L612" i="1"/>
  <c r="L604" i="1"/>
  <c r="L596" i="1"/>
  <c r="L588" i="1"/>
  <c r="L580" i="1"/>
  <c r="L572" i="1"/>
  <c r="L566" i="1"/>
  <c r="L558" i="1"/>
  <c r="L550" i="1"/>
  <c r="L542" i="1"/>
  <c r="L534" i="1"/>
  <c r="L526" i="1"/>
  <c r="L518" i="1"/>
  <c r="L510" i="1"/>
  <c r="L502" i="1"/>
  <c r="L494" i="1"/>
  <c r="L486" i="1"/>
  <c r="L478" i="1"/>
  <c r="L470" i="1"/>
  <c r="L462" i="1"/>
  <c r="L454" i="1"/>
  <c r="L446" i="1"/>
  <c r="L438" i="1"/>
  <c r="L430" i="1"/>
  <c r="L422" i="1"/>
  <c r="L1083" i="1"/>
  <c r="L5" i="1"/>
  <c r="L408" i="1"/>
  <c r="L400" i="1"/>
  <c r="L392" i="1"/>
  <c r="L384" i="1"/>
  <c r="L376" i="1"/>
  <c r="L368" i="1"/>
  <c r="L360" i="1"/>
  <c r="L352" i="1"/>
  <c r="L344" i="1"/>
  <c r="L336" i="1"/>
  <c r="L328" i="1"/>
  <c r="L320" i="1"/>
  <c r="L312" i="1"/>
  <c r="L304" i="1"/>
  <c r="L296" i="1"/>
  <c r="L288" i="1"/>
  <c r="L280" i="1"/>
  <c r="L272" i="1"/>
  <c r="L264" i="1"/>
  <c r="L256" i="1"/>
  <c r="L248" i="1"/>
  <c r="L240" i="1"/>
  <c r="L232" i="1"/>
  <c r="L224" i="1"/>
  <c r="L216" i="1"/>
  <c r="L208" i="1"/>
  <c r="L200" i="1"/>
  <c r="L192" i="1"/>
  <c r="L184" i="1"/>
  <c r="L176" i="1"/>
  <c r="L168" i="1"/>
  <c r="L160" i="1"/>
  <c r="L152" i="1"/>
  <c r="L144" i="1"/>
  <c r="L136" i="1"/>
  <c r="L128" i="1"/>
  <c r="L120" i="1"/>
  <c r="L112" i="1"/>
  <c r="L104" i="1"/>
  <c r="L96" i="1"/>
  <c r="L88" i="1"/>
  <c r="L80" i="1"/>
  <c r="L72" i="1"/>
  <c r="L64" i="1"/>
  <c r="L56" i="1"/>
  <c r="L48" i="1"/>
  <c r="L40" i="1"/>
  <c r="L32" i="1"/>
  <c r="L24" i="1"/>
  <c r="L16" i="1"/>
  <c r="L8" i="1"/>
  <c r="L1138" i="1"/>
  <c r="L1130" i="1"/>
  <c r="L1122" i="1"/>
  <c r="L1114" i="1"/>
  <c r="L1106" i="1"/>
  <c r="L1098" i="1"/>
  <c r="L1090" i="1"/>
  <c r="L1082" i="1"/>
  <c r="L415" i="1"/>
  <c r="L407" i="1"/>
  <c r="L399" i="1"/>
  <c r="L391" i="1"/>
  <c r="L383" i="1"/>
  <c r="L375" i="1"/>
  <c r="L367" i="1"/>
  <c r="L359" i="1"/>
  <c r="L351" i="1"/>
  <c r="L343" i="1"/>
  <c r="L335" i="1"/>
  <c r="L327" i="1"/>
  <c r="L319" i="1"/>
  <c r="L311" i="1"/>
  <c r="L303" i="1"/>
  <c r="L295" i="1"/>
  <c r="L287" i="1"/>
  <c r="L279" i="1"/>
  <c r="L271" i="1"/>
  <c r="L263" i="1"/>
  <c r="L255" i="1"/>
  <c r="L247" i="1"/>
  <c r="L239" i="1"/>
  <c r="L231" i="1"/>
  <c r="L223" i="1"/>
  <c r="L215" i="1"/>
  <c r="L207" i="1"/>
  <c r="L199" i="1"/>
  <c r="L191" i="1"/>
  <c r="L183" i="1"/>
  <c r="L175" i="1"/>
  <c r="L167" i="1"/>
  <c r="L159" i="1"/>
  <c r="L151" i="1"/>
  <c r="L143" i="1"/>
  <c r="L135" i="1"/>
  <c r="L127" i="1"/>
  <c r="L119" i="1"/>
  <c r="L111" i="1"/>
  <c r="L103" i="1"/>
  <c r="L95" i="1"/>
  <c r="L87" i="1"/>
  <c r="L79" i="1"/>
  <c r="L71" i="1"/>
  <c r="L63" i="1"/>
  <c r="L55" i="1"/>
  <c r="L47" i="1"/>
  <c r="L39" i="1"/>
  <c r="L31" i="1"/>
  <c r="L23" i="1"/>
  <c r="L15" i="1"/>
  <c r="L7" i="1"/>
  <c r="L1137" i="1"/>
  <c r="L1129" i="1"/>
  <c r="L1121" i="1"/>
  <c r="L1113" i="1"/>
  <c r="L1105" i="1"/>
  <c r="L1097" i="1"/>
  <c r="L1089" i="1"/>
  <c r="L414" i="1"/>
  <c r="L406" i="1"/>
  <c r="L398" i="1"/>
  <c r="L390" i="1"/>
  <c r="L382" i="1"/>
  <c r="L374" i="1"/>
  <c r="L366" i="1"/>
  <c r="L358" i="1"/>
  <c r="L350" i="1"/>
  <c r="L342" i="1"/>
  <c r="L334" i="1"/>
  <c r="L326" i="1"/>
  <c r="L318" i="1"/>
  <c r="L310" i="1"/>
  <c r="L302" i="1"/>
  <c r="L294" i="1"/>
  <c r="L286" i="1"/>
  <c r="L278" i="1"/>
  <c r="L270" i="1"/>
  <c r="L262" i="1"/>
  <c r="L254" i="1"/>
  <c r="L246" i="1"/>
  <c r="L238" i="1"/>
  <c r="L230" i="1"/>
  <c r="L222" i="1"/>
  <c r="L214" i="1"/>
  <c r="L206" i="1"/>
  <c r="L198" i="1"/>
  <c r="L190" i="1"/>
  <c r="L182" i="1"/>
  <c r="L174" i="1"/>
  <c r="L166" i="1"/>
  <c r="L158" i="1"/>
  <c r="L150" i="1"/>
  <c r="L142" i="1"/>
  <c r="L134" i="1"/>
  <c r="L126" i="1"/>
  <c r="L118" i="1"/>
  <c r="L110" i="1"/>
  <c r="L102" i="1"/>
  <c r="L94" i="1"/>
  <c r="L86" i="1"/>
  <c r="L78" i="1"/>
  <c r="L70" i="1"/>
  <c r="L62" i="1"/>
  <c r="L54" i="1"/>
  <c r="L46" i="1"/>
  <c r="L38" i="1"/>
  <c r="L30" i="1"/>
  <c r="L22" i="1"/>
  <c r="L14" i="1"/>
  <c r="L6" i="1"/>
  <c r="L1136" i="1"/>
  <c r="L1128" i="1"/>
  <c r="L1120" i="1"/>
  <c r="L1112" i="1"/>
  <c r="L1104" i="1"/>
  <c r="L1096" i="1"/>
  <c r="L1088" i="1"/>
  <c r="L413" i="1"/>
  <c r="L405" i="1"/>
  <c r="L397" i="1"/>
  <c r="L389" i="1"/>
  <c r="L381" i="1"/>
  <c r="L373" i="1"/>
  <c r="L365" i="1"/>
  <c r="L357" i="1"/>
  <c r="L349" i="1"/>
  <c r="L341" i="1"/>
  <c r="L333" i="1"/>
  <c r="L325" i="1"/>
  <c r="L317" i="1"/>
  <c r="L309" i="1"/>
  <c r="L301" i="1"/>
  <c r="L293" i="1"/>
  <c r="L285" i="1"/>
  <c r="L277" i="1"/>
  <c r="L269" i="1"/>
  <c r="L261" i="1"/>
  <c r="L253" i="1"/>
  <c r="L245" i="1"/>
  <c r="L237" i="1"/>
  <c r="L229" i="1"/>
  <c r="L221" i="1"/>
  <c r="L213" i="1"/>
  <c r="L205" i="1"/>
  <c r="L197" i="1"/>
  <c r="L189" i="1"/>
  <c r="L181" i="1"/>
  <c r="L173" i="1"/>
  <c r="L165" i="1"/>
  <c r="L157" i="1"/>
  <c r="L149" i="1"/>
  <c r="L141" i="1"/>
  <c r="L133" i="1"/>
  <c r="L125" i="1"/>
  <c r="L117" i="1"/>
  <c r="L109" i="1"/>
  <c r="L101" i="1"/>
  <c r="L93" i="1"/>
  <c r="L85" i="1"/>
  <c r="L77" i="1"/>
  <c r="L69" i="1"/>
  <c r="L61" i="1"/>
  <c r="L53" i="1"/>
  <c r="L45" i="1"/>
  <c r="L37" i="1"/>
  <c r="L29" i="1"/>
  <c r="L21" i="1"/>
  <c r="L13" i="1"/>
  <c r="L1135" i="1"/>
  <c r="L1127" i="1"/>
  <c r="L1119" i="1"/>
  <c r="L1111" i="1"/>
  <c r="L1103" i="1"/>
  <c r="L1095" i="1"/>
  <c r="L1087" i="1"/>
  <c r="L412" i="1"/>
  <c r="L404" i="1"/>
  <c r="L396" i="1"/>
  <c r="L388" i="1"/>
  <c r="L380" i="1"/>
  <c r="L372" i="1"/>
  <c r="L364" i="1"/>
  <c r="L356" i="1"/>
  <c r="L348" i="1"/>
  <c r="L340" i="1"/>
  <c r="L332" i="1"/>
  <c r="L324" i="1"/>
  <c r="L316" i="1"/>
  <c r="L308" i="1"/>
  <c r="L300" i="1"/>
  <c r="L292" i="1"/>
  <c r="L284" i="1"/>
  <c r="L276" i="1"/>
  <c r="L268" i="1"/>
  <c r="L260" i="1"/>
  <c r="L252" i="1"/>
  <c r="L244" i="1"/>
  <c r="L236" i="1"/>
  <c r="L228" i="1"/>
  <c r="L220" i="1"/>
  <c r="L212" i="1"/>
  <c r="L204" i="1"/>
  <c r="L196" i="1"/>
  <c r="L188" i="1"/>
  <c r="L180" i="1"/>
  <c r="L172" i="1"/>
  <c r="L164" i="1"/>
  <c r="L156" i="1"/>
  <c r="L148" i="1"/>
  <c r="L140" i="1"/>
  <c r="L132" i="1"/>
  <c r="L124" i="1"/>
  <c r="L116" i="1"/>
  <c r="L108" i="1"/>
  <c r="L100" i="1"/>
  <c r="L92" i="1"/>
  <c r="L84" i="1"/>
  <c r="L76" i="1"/>
  <c r="L68" i="1"/>
  <c r="L60" i="1"/>
  <c r="L52" i="1"/>
  <c r="L44" i="1"/>
  <c r="L36" i="1"/>
  <c r="L28" i="1"/>
  <c r="L20" i="1"/>
  <c r="L12" i="1"/>
  <c r="L1134" i="1"/>
  <c r="L1126" i="1"/>
  <c r="L1118" i="1"/>
  <c r="L1110" i="1"/>
  <c r="L1102" i="1"/>
  <c r="L1094" i="1"/>
  <c r="L1086" i="1"/>
  <c r="L411" i="1"/>
  <c r="L403" i="1"/>
  <c r="L395" i="1"/>
  <c r="L387" i="1"/>
  <c r="L379" i="1"/>
  <c r="L371" i="1"/>
  <c r="L363" i="1"/>
  <c r="L355" i="1"/>
  <c r="L347" i="1"/>
  <c r="L339" i="1"/>
  <c r="L331" i="1"/>
  <c r="L323" i="1"/>
  <c r="L315" i="1"/>
  <c r="L307" i="1"/>
  <c r="L299" i="1"/>
  <c r="L291" i="1"/>
  <c r="L283" i="1"/>
  <c r="L275" i="1"/>
  <c r="L267" i="1"/>
  <c r="L259" i="1"/>
  <c r="L251" i="1"/>
  <c r="L243" i="1"/>
  <c r="L235" i="1"/>
  <c r="L227" i="1"/>
  <c r="L219" i="1"/>
  <c r="L211" i="1"/>
  <c r="L203" i="1"/>
  <c r="L195" i="1"/>
  <c r="L187" i="1"/>
  <c r="L179" i="1"/>
  <c r="L171" i="1"/>
  <c r="L163" i="1"/>
  <c r="L155" i="1"/>
  <c r="L147" i="1"/>
  <c r="L139" i="1"/>
  <c r="L131" i="1"/>
  <c r="L123" i="1"/>
  <c r="L115" i="1"/>
  <c r="L107" i="1"/>
  <c r="L99" i="1"/>
  <c r="L91" i="1"/>
  <c r="L83" i="1"/>
  <c r="L75" i="1"/>
  <c r="L67" i="1"/>
  <c r="L59" i="1"/>
  <c r="L51" i="1"/>
  <c r="L43" i="1"/>
  <c r="L35" i="1"/>
  <c r="L27" i="1"/>
  <c r="L19" i="1"/>
  <c r="L11" i="1"/>
  <c r="L1133" i="1"/>
  <c r="L1125" i="1"/>
  <c r="L1117" i="1"/>
  <c r="L1109" i="1"/>
  <c r="L1101" i="1"/>
  <c r="L1093" i="1"/>
  <c r="L1085" i="1"/>
  <c r="L1075" i="1"/>
  <c r="L1067" i="1"/>
  <c r="L1059" i="1"/>
  <c r="L1051" i="1"/>
  <c r="L1043" i="1"/>
  <c r="L1035" i="1"/>
  <c r="L1027" i="1"/>
  <c r="L1019" i="1"/>
  <c r="L1011" i="1"/>
  <c r="L1003" i="1"/>
  <c r="L995" i="1"/>
  <c r="L987" i="1"/>
  <c r="L979" i="1"/>
  <c r="L971" i="1"/>
  <c r="L963" i="1"/>
  <c r="L955" i="1"/>
  <c r="L947" i="1"/>
  <c r="L939" i="1"/>
  <c r="L931" i="1"/>
  <c r="L923" i="1"/>
  <c r="L915" i="1"/>
  <c r="L907" i="1"/>
  <c r="L899" i="1"/>
  <c r="L891" i="1"/>
  <c r="L883" i="1"/>
  <c r="L875" i="1"/>
  <c r="L867" i="1"/>
  <c r="L859" i="1"/>
  <c r="L851" i="1"/>
  <c r="L843" i="1"/>
  <c r="L835" i="1"/>
  <c r="L827" i="1"/>
  <c r="L819" i="1"/>
  <c r="L811" i="1"/>
  <c r="L803" i="1"/>
  <c r="L795" i="1"/>
  <c r="L787" i="1"/>
  <c r="L779" i="1"/>
  <c r="L771" i="1"/>
  <c r="L763" i="1"/>
  <c r="L755" i="1"/>
  <c r="L747" i="1"/>
  <c r="L739" i="1"/>
  <c r="L731" i="1"/>
  <c r="L723" i="1"/>
  <c r="L715" i="1"/>
  <c r="L707" i="1"/>
  <c r="L699" i="1"/>
  <c r="L691" i="1"/>
  <c r="L683" i="1"/>
  <c r="L675" i="1"/>
  <c r="L667" i="1"/>
  <c r="L659" i="1"/>
  <c r="L651" i="1"/>
  <c r="L643" i="1"/>
  <c r="L635" i="1"/>
  <c r="L627" i="1"/>
  <c r="L619" i="1"/>
  <c r="L611" i="1"/>
  <c r="L603" i="1"/>
  <c r="L595" i="1"/>
  <c r="L587" i="1"/>
  <c r="L579" i="1"/>
  <c r="L571" i="1"/>
  <c r="L565" i="1"/>
  <c r="L557" i="1"/>
  <c r="L549" i="1"/>
  <c r="L541" i="1"/>
  <c r="L533" i="1"/>
  <c r="L525" i="1"/>
  <c r="L517" i="1"/>
  <c r="L509" i="1"/>
  <c r="L501" i="1"/>
  <c r="L493" i="1"/>
  <c r="L485" i="1"/>
  <c r="L477" i="1"/>
  <c r="L469" i="1"/>
  <c r="L461" i="1"/>
  <c r="L453" i="1"/>
  <c r="L445" i="1"/>
  <c r="L437" i="1"/>
  <c r="L429" i="1"/>
  <c r="L421" i="1"/>
  <c r="L1074" i="1"/>
  <c r="L1066" i="1"/>
  <c r="L1058" i="1"/>
  <c r="L1050" i="1"/>
  <c r="L1042" i="1"/>
  <c r="L1034" i="1"/>
  <c r="L1026" i="1"/>
  <c r="L1018" i="1"/>
  <c r="L1010" i="1"/>
  <c r="L1002" i="1"/>
  <c r="L994" i="1"/>
  <c r="L986" i="1"/>
  <c r="L978" i="1"/>
  <c r="L970" i="1"/>
  <c r="L962" i="1"/>
  <c r="L954" i="1"/>
  <c r="L946" i="1"/>
  <c r="L938" i="1"/>
  <c r="L930" i="1"/>
  <c r="L922" i="1"/>
  <c r="L914" i="1"/>
  <c r="L906" i="1"/>
  <c r="L898" i="1"/>
  <c r="L890" i="1"/>
  <c r="L882" i="1"/>
  <c r="L874" i="1"/>
  <c r="L866" i="1"/>
  <c r="L858" i="1"/>
  <c r="L850" i="1"/>
  <c r="L842" i="1"/>
  <c r="L834" i="1"/>
  <c r="L826" i="1"/>
  <c r="L818" i="1"/>
  <c r="L810" i="1"/>
  <c r="L802" i="1"/>
  <c r="L794" i="1"/>
  <c r="L786" i="1"/>
  <c r="L778" i="1"/>
  <c r="L770" i="1"/>
  <c r="L762" i="1"/>
  <c r="L754" i="1"/>
  <c r="L746" i="1"/>
  <c r="L738" i="1"/>
  <c r="L730" i="1"/>
  <c r="L722" i="1"/>
  <c r="L714" i="1"/>
  <c r="L706" i="1"/>
  <c r="L698" i="1"/>
  <c r="L690" i="1"/>
  <c r="L682" i="1"/>
  <c r="L674" i="1"/>
  <c r="L666" i="1"/>
  <c r="L658" i="1"/>
  <c r="L650" i="1"/>
  <c r="L642" i="1"/>
  <c r="L634" i="1"/>
  <c r="L626" i="1"/>
  <c r="L618" i="1"/>
  <c r="L610" i="1"/>
  <c r="L602" i="1"/>
  <c r="L594" i="1"/>
  <c r="L586" i="1"/>
  <c r="L578" i="1"/>
  <c r="L570" i="1"/>
  <c r="L564" i="1"/>
  <c r="L556" i="1"/>
  <c r="L548" i="1"/>
  <c r="L540" i="1"/>
  <c r="L532" i="1"/>
  <c r="L524" i="1"/>
  <c r="L516" i="1"/>
  <c r="L508" i="1"/>
  <c r="L500" i="1"/>
  <c r="L492" i="1"/>
  <c r="L484" i="1"/>
  <c r="L476" i="1"/>
  <c r="L468" i="1"/>
  <c r="L460" i="1"/>
  <c r="L452" i="1"/>
  <c r="L444" i="1"/>
  <c r="L436" i="1"/>
  <c r="L428" i="1"/>
  <c r="L420" i="1"/>
  <c r="L1081" i="1"/>
  <c r="L1073" i="1"/>
  <c r="L1065" i="1"/>
  <c r="L1057" i="1"/>
  <c r="L1049" i="1"/>
  <c r="L1041" i="1"/>
  <c r="L1033" i="1"/>
  <c r="L1025" i="1"/>
  <c r="L1017" i="1"/>
  <c r="L1009" i="1"/>
  <c r="L1001" i="1"/>
  <c r="L993" i="1"/>
  <c r="L985" i="1"/>
  <c r="L977" i="1"/>
  <c r="L969" i="1"/>
  <c r="L961" i="1"/>
  <c r="L953" i="1"/>
  <c r="L945" i="1"/>
  <c r="L937" i="1"/>
  <c r="L929" i="1"/>
  <c r="L921" i="1"/>
  <c r="L913" i="1"/>
  <c r="L905" i="1"/>
  <c r="L897" i="1"/>
  <c r="L889" i="1"/>
  <c r="L881" i="1"/>
  <c r="L873" i="1"/>
  <c r="L865" i="1"/>
  <c r="L857" i="1"/>
  <c r="L849" i="1"/>
  <c r="L841" i="1"/>
  <c r="L833" i="1"/>
  <c r="L825" i="1"/>
  <c r="L817" i="1"/>
  <c r="L809" i="1"/>
  <c r="L801" i="1"/>
  <c r="L793" i="1"/>
  <c r="L785" i="1"/>
  <c r="L777" i="1"/>
  <c r="L769" i="1"/>
  <c r="L761" i="1"/>
  <c r="L753" i="1"/>
  <c r="L745" i="1"/>
  <c r="L737" i="1"/>
  <c r="L729" i="1"/>
  <c r="L721" i="1"/>
  <c r="L713" i="1"/>
  <c r="L705" i="1"/>
  <c r="L697" i="1"/>
  <c r="L689" i="1"/>
  <c r="L681" i="1"/>
  <c r="L673" i="1"/>
  <c r="L665" i="1"/>
  <c r="L657" i="1"/>
  <c r="L649" i="1"/>
  <c r="L641" i="1"/>
  <c r="L633" i="1"/>
  <c r="L625" i="1"/>
  <c r="L617" i="1"/>
  <c r="L609" i="1"/>
  <c r="L601" i="1"/>
  <c r="L593" i="1"/>
  <c r="L585" i="1"/>
  <c r="L577" i="1"/>
  <c r="L569" i="1"/>
  <c r="L563" i="1"/>
  <c r="L555" i="1"/>
  <c r="L547" i="1"/>
  <c r="L539" i="1"/>
  <c r="L531" i="1"/>
  <c r="L523" i="1"/>
  <c r="L515" i="1"/>
  <c r="L507" i="1"/>
  <c r="L499" i="1"/>
  <c r="L491" i="1"/>
  <c r="L483" i="1"/>
  <c r="L475" i="1"/>
  <c r="L467" i="1"/>
  <c r="L459" i="1"/>
  <c r="L451" i="1"/>
  <c r="L443" i="1"/>
  <c r="L435" i="1"/>
  <c r="L427" i="1"/>
  <c r="L419" i="1"/>
  <c r="L1080" i="1"/>
  <c r="L1072" i="1"/>
  <c r="L1064" i="1"/>
  <c r="L1056" i="1"/>
  <c r="L1048" i="1"/>
  <c r="L1040" i="1"/>
  <c r="L1032" i="1"/>
  <c r="L1024" i="1"/>
  <c r="L1016" i="1"/>
  <c r="L1008" i="1"/>
  <c r="L1000" i="1"/>
  <c r="L992" i="1"/>
  <c r="L984" i="1"/>
  <c r="L976" i="1"/>
  <c r="L968" i="1"/>
  <c r="L960" i="1"/>
  <c r="L952" i="1"/>
  <c r="L944" i="1"/>
  <c r="L936" i="1"/>
  <c r="L928" i="1"/>
  <c r="L920" i="1"/>
  <c r="L912" i="1"/>
  <c r="L904" i="1"/>
  <c r="L896" i="1"/>
  <c r="L888" i="1"/>
  <c r="L880" i="1"/>
  <c r="L872" i="1"/>
  <c r="L864" i="1"/>
  <c r="L856" i="1"/>
  <c r="L848" i="1"/>
  <c r="L840" i="1"/>
  <c r="L832" i="1"/>
  <c r="L824" i="1"/>
  <c r="L816" i="1"/>
  <c r="L808" i="1"/>
  <c r="L800" i="1"/>
  <c r="L792" i="1"/>
  <c r="L784" i="1"/>
  <c r="L776" i="1"/>
  <c r="L768" i="1"/>
  <c r="L760" i="1"/>
  <c r="L752" i="1"/>
  <c r="L744" i="1"/>
  <c r="L736" i="1"/>
  <c r="L728" i="1"/>
  <c r="L720" i="1"/>
  <c r="L712" i="1"/>
  <c r="L704" i="1"/>
  <c r="L696" i="1"/>
  <c r="L688" i="1"/>
  <c r="L680" i="1"/>
  <c r="L672" i="1"/>
  <c r="L664" i="1"/>
  <c r="L656" i="1"/>
  <c r="L648" i="1"/>
  <c r="L640" i="1"/>
  <c r="L632" i="1"/>
  <c r="L624" i="1"/>
  <c r="L616" i="1"/>
  <c r="L608" i="1"/>
  <c r="L600" i="1"/>
  <c r="L592" i="1"/>
  <c r="L584" i="1"/>
  <c r="L576" i="1"/>
  <c r="L568" i="1"/>
  <c r="L562" i="1"/>
  <c r="L554" i="1"/>
  <c r="L546" i="1"/>
  <c r="L538" i="1"/>
  <c r="L530" i="1"/>
  <c r="L522" i="1"/>
  <c r="L514" i="1"/>
  <c r="L506" i="1"/>
  <c r="L498" i="1"/>
  <c r="L490" i="1"/>
  <c r="L482" i="1"/>
  <c r="L474" i="1"/>
  <c r="L466" i="1"/>
  <c r="L458" i="1"/>
  <c r="L450" i="1"/>
  <c r="L442" i="1"/>
  <c r="L434" i="1"/>
  <c r="L426" i="1"/>
  <c r="L418" i="1"/>
  <c r="L1079" i="1"/>
  <c r="L1071" i="1"/>
  <c r="L1063" i="1"/>
  <c r="L1055" i="1"/>
  <c r="L1047" i="1"/>
  <c r="L1039" i="1"/>
  <c r="L1031" i="1"/>
  <c r="L1023" i="1"/>
  <c r="L1015" i="1"/>
  <c r="L1007" i="1"/>
  <c r="L999" i="1"/>
  <c r="L991" i="1"/>
  <c r="L983" i="1"/>
  <c r="L975" i="1"/>
  <c r="L967" i="1"/>
  <c r="L959" i="1"/>
  <c r="L951" i="1"/>
  <c r="L943" i="1"/>
  <c r="L935" i="1"/>
  <c r="L927" i="1"/>
  <c r="L919" i="1"/>
  <c r="L911" i="1"/>
  <c r="L903" i="1"/>
  <c r="L895" i="1"/>
  <c r="L887" i="1"/>
  <c r="L879" i="1"/>
  <c r="L871" i="1"/>
  <c r="L863" i="1"/>
  <c r="L855" i="1"/>
  <c r="L847" i="1"/>
  <c r="L839" i="1"/>
  <c r="L831" i="1"/>
  <c r="L823" i="1"/>
  <c r="L815" i="1"/>
  <c r="L807" i="1"/>
  <c r="L799" i="1"/>
  <c r="L791" i="1"/>
  <c r="L783" i="1"/>
  <c r="L775" i="1"/>
  <c r="L767" i="1"/>
  <c r="L759" i="1"/>
  <c r="L751" i="1"/>
  <c r="L743" i="1"/>
  <c r="L735" i="1"/>
  <c r="L727" i="1"/>
  <c r="L719" i="1"/>
  <c r="L711" i="1"/>
  <c r="L703" i="1"/>
  <c r="L695" i="1"/>
  <c r="L687" i="1"/>
  <c r="L679" i="1"/>
  <c r="L671" i="1"/>
  <c r="L663" i="1"/>
  <c r="L655" i="1"/>
  <c r="L647" i="1"/>
  <c r="L639" i="1"/>
  <c r="L631" i="1"/>
  <c r="L623" i="1"/>
  <c r="L615" i="1"/>
  <c r="L607" i="1"/>
  <c r="L599" i="1"/>
  <c r="L591" i="1"/>
  <c r="L583" i="1"/>
  <c r="L575" i="1"/>
  <c r="L567" i="1"/>
  <c r="L561" i="1"/>
  <c r="L553" i="1"/>
  <c r="L545" i="1"/>
  <c r="L537" i="1"/>
  <c r="L529" i="1"/>
  <c r="L521" i="1"/>
  <c r="L513" i="1"/>
  <c r="L505" i="1"/>
  <c r="L497" i="1"/>
  <c r="L489" i="1"/>
  <c r="L481" i="1"/>
  <c r="L473" i="1"/>
  <c r="L465" i="1"/>
  <c r="L457" i="1"/>
  <c r="L449" i="1"/>
  <c r="L441" i="1"/>
  <c r="L433" i="1"/>
  <c r="L425" i="1"/>
  <c r="L417" i="1"/>
  <c r="L1078" i="1"/>
  <c r="L1070" i="1"/>
  <c r="L1062" i="1"/>
  <c r="L1054" i="1"/>
  <c r="L1046" i="1"/>
  <c r="L1038" i="1"/>
  <c r="L1030" i="1"/>
  <c r="L1022" i="1"/>
  <c r="L1014" i="1"/>
  <c r="L1006" i="1"/>
  <c r="L998" i="1"/>
  <c r="L990" i="1"/>
  <c r="L982" i="1"/>
  <c r="L974" i="1"/>
  <c r="L966" i="1"/>
  <c r="L958" i="1"/>
  <c r="L950" i="1"/>
  <c r="L942" i="1"/>
  <c r="L934" i="1"/>
  <c r="L926" i="1"/>
  <c r="L918" i="1"/>
  <c r="L910" i="1"/>
  <c r="L902" i="1"/>
  <c r="L894" i="1"/>
  <c r="L886" i="1"/>
  <c r="L878" i="1"/>
  <c r="L870" i="1"/>
  <c r="L862" i="1"/>
  <c r="L854" i="1"/>
  <c r="L846" i="1"/>
  <c r="L838" i="1"/>
  <c r="L830" i="1"/>
  <c r="L822" i="1"/>
  <c r="L814" i="1"/>
  <c r="L806" i="1"/>
  <c r="L798" i="1"/>
  <c r="L790" i="1"/>
  <c r="L782" i="1"/>
  <c r="L774" i="1"/>
  <c r="L766" i="1"/>
  <c r="L758" i="1"/>
  <c r="L750" i="1"/>
  <c r="L742" i="1"/>
  <c r="L734" i="1"/>
  <c r="L726" i="1"/>
  <c r="L718" i="1"/>
  <c r="L710" i="1"/>
  <c r="L702" i="1"/>
  <c r="L694" i="1"/>
  <c r="L686" i="1"/>
  <c r="L678" i="1"/>
  <c r="L670" i="1"/>
  <c r="L662" i="1"/>
  <c r="L654" i="1"/>
  <c r="L646" i="1"/>
  <c r="L638" i="1"/>
  <c r="L630" i="1"/>
  <c r="L622" i="1"/>
  <c r="L614" i="1"/>
  <c r="L606" i="1"/>
  <c r="L598" i="1"/>
  <c r="L590" i="1"/>
  <c r="L582" i="1"/>
  <c r="L574" i="1"/>
  <c r="L560" i="1"/>
  <c r="L552" i="1"/>
  <c r="L544" i="1"/>
  <c r="L536" i="1"/>
  <c r="L528" i="1"/>
  <c r="L520" i="1"/>
  <c r="L512" i="1"/>
  <c r="L504" i="1"/>
  <c r="L496" i="1"/>
  <c r="L488" i="1"/>
  <c r="L480" i="1"/>
  <c r="L472" i="1"/>
  <c r="L464" i="1"/>
  <c r="L456" i="1"/>
  <c r="L448" i="1"/>
  <c r="L440" i="1"/>
  <c r="L432" i="1"/>
  <c r="L424" i="1"/>
  <c r="L416" i="1"/>
  <c r="L1077" i="1"/>
  <c r="L1069" i="1"/>
  <c r="L1061" i="1"/>
  <c r="L1053" i="1"/>
  <c r="L1045" i="1"/>
  <c r="L1037" i="1"/>
  <c r="L1029" i="1"/>
  <c r="L1021" i="1"/>
  <c r="L1013" i="1"/>
  <c r="L1005" i="1"/>
  <c r="L997" i="1"/>
  <c r="L989" i="1"/>
  <c r="L981" i="1"/>
  <c r="L973" i="1"/>
  <c r="L965" i="1"/>
  <c r="L957" i="1"/>
  <c r="L949" i="1"/>
  <c r="L941" i="1"/>
  <c r="L933" i="1"/>
  <c r="L925" i="1"/>
  <c r="L917" i="1"/>
  <c r="L909" i="1"/>
  <c r="L901" i="1"/>
  <c r="L893" i="1"/>
  <c r="L885" i="1"/>
  <c r="L877" i="1"/>
  <c r="L869" i="1"/>
  <c r="L861" i="1"/>
  <c r="L853" i="1"/>
  <c r="L845" i="1"/>
  <c r="L837" i="1"/>
  <c r="L829" i="1"/>
  <c r="L821" i="1"/>
  <c r="L813" i="1"/>
  <c r="L805" i="1"/>
  <c r="L797" i="1"/>
  <c r="L789" i="1"/>
  <c r="L781" i="1"/>
  <c r="L773" i="1"/>
  <c r="L765" i="1"/>
  <c r="L757" i="1"/>
  <c r="L749" i="1"/>
  <c r="L741" i="1"/>
  <c r="L733" i="1"/>
  <c r="L725" i="1"/>
  <c r="L717" i="1"/>
  <c r="L709" i="1"/>
  <c r="L701" i="1"/>
  <c r="L693" i="1"/>
  <c r="L685" i="1"/>
  <c r="L677" i="1"/>
  <c r="L669" i="1"/>
  <c r="L661" i="1"/>
  <c r="L653" i="1"/>
  <c r="L645" i="1"/>
  <c r="L637" i="1"/>
  <c r="L629" i="1"/>
  <c r="L621" i="1"/>
  <c r="L613" i="1"/>
  <c r="L605" i="1"/>
  <c r="L597" i="1"/>
  <c r="L589" i="1"/>
  <c r="L581" i="1"/>
  <c r="L573" i="1"/>
  <c r="L559" i="1"/>
  <c r="L551" i="1"/>
  <c r="L543" i="1"/>
  <c r="L535" i="1"/>
  <c r="L527" i="1"/>
  <c r="L519" i="1"/>
  <c r="L511" i="1"/>
  <c r="L503" i="1"/>
  <c r="L495" i="1"/>
  <c r="L487" i="1"/>
  <c r="L479" i="1"/>
  <c r="L471" i="1"/>
  <c r="L463" i="1"/>
  <c r="L455" i="1"/>
  <c r="L447" i="1"/>
  <c r="L439" i="1"/>
  <c r="L431" i="1"/>
  <c r="L423" i="1"/>
  <c r="G779" i="1" l="1"/>
  <c r="G709" i="1"/>
  <c r="G461" i="1"/>
  <c r="G1184" i="1"/>
  <c r="G626" i="1"/>
  <c r="G881" i="1"/>
  <c r="G943" i="1"/>
  <c r="G565" i="1"/>
  <c r="G574" i="1"/>
  <c r="G567" i="1"/>
  <c r="G372" i="1"/>
  <c r="G1057" i="1"/>
  <c r="G790" i="1"/>
  <c r="G753" i="1"/>
  <c r="G712" i="1"/>
  <c r="G696" i="1"/>
  <c r="G345" i="1"/>
  <c r="G319" i="1"/>
  <c r="G1154" i="1"/>
  <c r="G222" i="1"/>
  <c r="G161" i="1"/>
  <c r="G427" i="1"/>
  <c r="G885" i="1"/>
  <c r="G960" i="1"/>
  <c r="G911" i="1"/>
  <c r="G580" i="1"/>
  <c r="G784" i="1"/>
  <c r="G1042" i="1"/>
  <c r="G546" i="1"/>
  <c r="G322" i="1"/>
  <c r="G123" i="1"/>
  <c r="G108" i="1"/>
  <c r="G1136" i="1"/>
  <c r="G1120" i="1"/>
  <c r="G136" i="1"/>
  <c r="G219" i="1"/>
  <c r="G168" i="1"/>
  <c r="G165" i="1"/>
  <c r="G154" i="1"/>
  <c r="G635" i="1"/>
  <c r="G439" i="1"/>
  <c r="G611" i="1"/>
  <c r="G241" i="1"/>
  <c r="G1145" i="1"/>
  <c r="G1095" i="1"/>
  <c r="G24" i="1"/>
  <c r="G559" i="1"/>
  <c r="G757" i="1"/>
  <c r="G544" i="1"/>
  <c r="G717" i="1"/>
  <c r="G543" i="1"/>
  <c r="G694" i="1"/>
  <c r="G460" i="1"/>
  <c r="G1158" i="1"/>
  <c r="G205" i="1"/>
  <c r="G566" i="1"/>
  <c r="G905" i="1"/>
  <c r="G1055" i="1"/>
  <c r="G1082" i="1"/>
  <c r="G996" i="1"/>
  <c r="G988" i="1"/>
  <c r="G937" i="1"/>
  <c r="G584" i="1"/>
  <c r="G392" i="1"/>
  <c r="G378" i="1"/>
  <c r="G785" i="1"/>
  <c r="G1044" i="1"/>
  <c r="G548" i="1"/>
  <c r="G532" i="1"/>
  <c r="G5" i="1"/>
  <c r="G482" i="1"/>
  <c r="G841" i="1"/>
  <c r="G53" i="1"/>
  <c r="G170" i="1"/>
  <c r="G454" i="1"/>
  <c r="G612" i="1"/>
  <c r="G969" i="1"/>
  <c r="G955" i="1"/>
  <c r="G1012" i="1"/>
  <c r="G266" i="1"/>
  <c r="G235" i="1"/>
  <c r="G33" i="1"/>
  <c r="G259" i="1"/>
  <c r="G746" i="1"/>
  <c r="G723" i="1"/>
  <c r="G812" i="1"/>
  <c r="G189" i="1"/>
  <c r="G162" i="1"/>
  <c r="G1049" i="1"/>
  <c r="G907" i="1"/>
  <c r="G1051" i="1"/>
  <c r="G794" i="1"/>
  <c r="G882" i="1"/>
  <c r="G1040" i="1"/>
  <c r="G594" i="1"/>
  <c r="G897" i="1"/>
  <c r="G873" i="1"/>
  <c r="G739" i="1"/>
  <c r="G484" i="1"/>
  <c r="G683" i="1"/>
  <c r="G674" i="1"/>
  <c r="G277" i="1"/>
  <c r="G196" i="1"/>
  <c r="G315" i="1"/>
  <c r="G625" i="1"/>
  <c r="G431" i="1"/>
  <c r="G987" i="1"/>
  <c r="G979" i="1"/>
  <c r="G28" i="1"/>
  <c r="G571" i="1"/>
  <c r="G547" i="1"/>
  <c r="G752" i="1"/>
  <c r="G351" i="1"/>
  <c r="G1105" i="1"/>
  <c r="G501" i="1"/>
  <c r="G471" i="1"/>
  <c r="G681" i="1"/>
  <c r="G821" i="1"/>
  <c r="G805" i="1"/>
  <c r="G657" i="1"/>
  <c r="G244" i="1"/>
  <c r="G84" i="1"/>
  <c r="G68" i="1"/>
  <c r="G52" i="1"/>
  <c r="G40" i="1"/>
  <c r="G1003" i="1"/>
  <c r="G283" i="1"/>
  <c r="G1030" i="1"/>
  <c r="G578" i="1"/>
  <c r="G575" i="1"/>
  <c r="G868" i="1"/>
  <c r="G726" i="1"/>
  <c r="G356" i="1"/>
  <c r="G8" i="1"/>
  <c r="G1159" i="1"/>
  <c r="G121" i="1"/>
  <c r="G97" i="1"/>
  <c r="G1134" i="1"/>
  <c r="G150" i="1"/>
  <c r="G132" i="1"/>
  <c r="G1180" i="1"/>
  <c r="G203" i="1"/>
  <c r="G1079" i="1"/>
  <c r="G634" i="1"/>
  <c r="G1050" i="1"/>
  <c r="G1077" i="1"/>
  <c r="G602" i="1"/>
  <c r="G239" i="1"/>
  <c r="G1143" i="1"/>
  <c r="G1099" i="1"/>
  <c r="G1093" i="1"/>
  <c r="G393" i="1"/>
  <c r="G305" i="1"/>
  <c r="G777" i="1"/>
  <c r="G549" i="1"/>
  <c r="G361" i="1"/>
  <c r="G328" i="1"/>
  <c r="G848" i="1"/>
  <c r="G273" i="1"/>
  <c r="G269" i="1"/>
  <c r="G637" i="1"/>
  <c r="G451" i="1"/>
  <c r="G302" i="1"/>
  <c r="G899" i="1"/>
  <c r="G588" i="1"/>
  <c r="G382" i="1"/>
  <c r="G1081" i="1"/>
  <c r="G771" i="1"/>
  <c r="G735" i="1"/>
  <c r="G540" i="1"/>
  <c r="G1165" i="1"/>
  <c r="G496" i="1"/>
  <c r="G666" i="1"/>
  <c r="G462" i="1"/>
  <c r="G820" i="1"/>
  <c r="G818" i="1"/>
  <c r="G1161" i="1"/>
  <c r="G75" i="1"/>
  <c r="G59" i="1"/>
  <c r="G43" i="1"/>
  <c r="G177" i="1"/>
  <c r="G317" i="1"/>
  <c r="G627" i="1"/>
  <c r="G405" i="1"/>
  <c r="G295" i="1"/>
  <c r="G590" i="1"/>
  <c r="G577" i="1"/>
  <c r="G249" i="1"/>
  <c r="G909" i="1"/>
  <c r="G1163" i="1"/>
  <c r="G734" i="1"/>
  <c r="G339" i="1"/>
  <c r="G521" i="1"/>
  <c r="G499" i="1"/>
  <c r="G477" i="1"/>
  <c r="G664" i="1"/>
  <c r="G831" i="1"/>
  <c r="G813" i="1"/>
  <c r="G169" i="1"/>
  <c r="G1047" i="1"/>
  <c r="G621" i="1"/>
  <c r="G409" i="1"/>
  <c r="G912" i="1"/>
  <c r="G366" i="1"/>
  <c r="G772" i="1"/>
  <c r="G737" i="1"/>
  <c r="G352" i="1"/>
  <c r="G847" i="1"/>
  <c r="G69" i="1"/>
  <c r="G41" i="1"/>
  <c r="G174" i="1"/>
  <c r="G1151" i="1"/>
  <c r="G1066" i="1"/>
  <c r="G618" i="1"/>
  <c r="G422" i="1"/>
  <c r="G413" i="1"/>
  <c r="G406" i="1"/>
  <c r="G946" i="1"/>
  <c r="G596" i="1"/>
  <c r="G1096" i="1"/>
  <c r="G876" i="1"/>
  <c r="G1059" i="1"/>
  <c r="G731" i="1"/>
  <c r="G535" i="1"/>
  <c r="G525" i="1"/>
  <c r="G704" i="1"/>
  <c r="G336" i="1"/>
  <c r="G700" i="1"/>
  <c r="G341" i="1"/>
  <c r="G495" i="1"/>
  <c r="G467" i="1"/>
  <c r="G279" i="1"/>
  <c r="G660" i="1"/>
  <c r="G275" i="1"/>
  <c r="G206" i="1"/>
  <c r="G158" i="1"/>
  <c r="G631" i="1"/>
  <c r="G428" i="1"/>
  <c r="G1118" i="1"/>
  <c r="G803" i="1"/>
  <c r="G373" i="1"/>
  <c r="G1058" i="1"/>
  <c r="G854" i="1"/>
  <c r="G1168" i="1"/>
  <c r="G115" i="1"/>
  <c r="G98" i="1"/>
  <c r="G1124" i="1"/>
  <c r="G151" i="1"/>
  <c r="G133" i="1"/>
  <c r="G200" i="1"/>
  <c r="G437" i="1"/>
  <c r="G404" i="1"/>
  <c r="G299" i="1"/>
  <c r="G293" i="1"/>
  <c r="G399" i="1"/>
  <c r="G1149" i="1"/>
  <c r="G17" i="1"/>
  <c r="G581" i="1"/>
  <c r="G863" i="1"/>
  <c r="G1075" i="1"/>
  <c r="G562" i="1"/>
  <c r="G550" i="1"/>
  <c r="G728" i="1"/>
  <c r="G481" i="1"/>
  <c r="G1107" i="1"/>
  <c r="G107" i="1"/>
  <c r="G91" i="1"/>
  <c r="G1129" i="1"/>
  <c r="G142" i="1"/>
  <c r="G126" i="1"/>
  <c r="G1171" i="1"/>
  <c r="G1175" i="1"/>
  <c r="G188" i="1"/>
  <c r="G900" i="1"/>
  <c r="G795" i="1"/>
  <c r="G1111" i="1"/>
  <c r="G932" i="1"/>
  <c r="G894" i="1"/>
  <c r="G396" i="1"/>
  <c r="G1146" i="1"/>
  <c r="G1091" i="1"/>
  <c r="G32" i="1"/>
  <c r="G585" i="1"/>
  <c r="G787" i="1"/>
  <c r="G708" i="1"/>
  <c r="G504" i="1"/>
  <c r="G486" i="1"/>
  <c r="G685" i="1"/>
  <c r="G675" i="1"/>
  <c r="G832" i="1"/>
  <c r="G815" i="1"/>
  <c r="G73" i="1"/>
  <c r="G57" i="1"/>
  <c r="G39" i="1"/>
  <c r="G176" i="1"/>
  <c r="G218" i="1"/>
  <c r="G312" i="1"/>
  <c r="G643" i="1"/>
  <c r="G1048" i="1"/>
  <c r="G998" i="1"/>
  <c r="G906" i="1"/>
  <c r="G438" i="1"/>
  <c r="G1083" i="1"/>
  <c r="G420" i="1"/>
  <c r="G606" i="1"/>
  <c r="G300" i="1"/>
  <c r="G288" i="1"/>
  <c r="G972" i="1"/>
  <c r="G953" i="1"/>
  <c r="G947" i="1"/>
  <c r="G1015" i="1"/>
  <c r="G589" i="1"/>
  <c r="G586" i="1"/>
  <c r="G729" i="1"/>
  <c r="G533" i="1"/>
  <c r="G523" i="1"/>
  <c r="G519" i="1"/>
  <c r="G507" i="1"/>
  <c r="G472" i="1"/>
  <c r="G823" i="1"/>
  <c r="G807" i="1"/>
  <c r="G658" i="1"/>
  <c r="G191" i="1"/>
  <c r="G407" i="1"/>
  <c r="G292" i="1"/>
  <c r="G995" i="1"/>
  <c r="G1023" i="1"/>
  <c r="G398" i="1"/>
  <c r="G1148" i="1"/>
  <c r="G919" i="1"/>
  <c r="G34" i="1"/>
  <c r="G858" i="1"/>
  <c r="G342" i="1"/>
  <c r="G686" i="1"/>
  <c r="G197" i="1"/>
  <c r="G644" i="1"/>
  <c r="G1005" i="1"/>
  <c r="G999" i="1"/>
  <c r="G453" i="1"/>
  <c r="G908" i="1"/>
  <c r="G1052" i="1"/>
  <c r="G1101" i="1"/>
  <c r="G617" i="1"/>
  <c r="G429" i="1"/>
  <c r="G421" i="1"/>
  <c r="G412" i="1"/>
  <c r="G880" i="1"/>
  <c r="G986" i="1"/>
  <c r="G977" i="1"/>
  <c r="G804" i="1"/>
  <c r="G1086" i="1"/>
  <c r="G745" i="1"/>
  <c r="G347" i="1"/>
  <c r="G834" i="1"/>
  <c r="G119" i="1"/>
  <c r="G103" i="1"/>
  <c r="G100" i="1"/>
  <c r="G1125" i="1"/>
  <c r="G152" i="1"/>
  <c r="G135" i="1"/>
  <c r="G1170" i="1"/>
  <c r="G190" i="1"/>
  <c r="G186" i="1"/>
  <c r="G80" i="1"/>
  <c r="G64" i="1"/>
  <c r="G48" i="1"/>
  <c r="G180" i="1"/>
  <c r="G194" i="1"/>
  <c r="G630" i="1"/>
  <c r="G614" i="1"/>
  <c r="G400" i="1"/>
  <c r="G1031" i="1"/>
  <c r="G931" i="1"/>
  <c r="G597" i="1"/>
  <c r="G1150" i="1"/>
  <c r="G920" i="1"/>
  <c r="G860" i="1"/>
  <c r="G541" i="1"/>
  <c r="G518" i="1"/>
  <c r="G695" i="1"/>
  <c r="G323" i="1"/>
  <c r="G668" i="1"/>
  <c r="G463" i="1"/>
  <c r="G116" i="1"/>
  <c r="G113" i="1"/>
  <c r="G1138" i="1"/>
  <c r="G1122" i="1"/>
  <c r="G147" i="1"/>
  <c r="G1181" i="1"/>
  <c r="G1177" i="1"/>
  <c r="G85" i="1"/>
  <c r="G645" i="1"/>
  <c r="G1000" i="1"/>
  <c r="G267" i="1"/>
  <c r="G1085" i="1"/>
  <c r="G1071" i="1"/>
  <c r="G291" i="1"/>
  <c r="G303" i="1"/>
  <c r="G570" i="1"/>
  <c r="G754" i="1"/>
  <c r="G357" i="1"/>
  <c r="G487" i="1"/>
  <c r="G830" i="1"/>
  <c r="G226" i="1"/>
  <c r="G187" i="1"/>
  <c r="G181" i="1"/>
  <c r="G271" i="1"/>
  <c r="G639" i="1"/>
  <c r="G444" i="1"/>
  <c r="G289" i="1"/>
  <c r="G993" i="1"/>
  <c r="G985" i="1"/>
  <c r="G1022" i="1"/>
  <c r="G1018" i="1"/>
  <c r="G240" i="1"/>
  <c r="G917" i="1"/>
  <c r="G387" i="1"/>
  <c r="G23" i="1"/>
  <c r="G542" i="1"/>
  <c r="G520" i="1"/>
  <c r="G464" i="1"/>
  <c r="G824" i="1"/>
  <c r="G808" i="1"/>
  <c r="G1155" i="1"/>
  <c r="G118" i="1"/>
  <c r="G213" i="1"/>
  <c r="G166" i="1"/>
  <c r="G642" i="1"/>
  <c r="G997" i="1"/>
  <c r="G904" i="1"/>
  <c r="G419" i="1"/>
  <c r="G956" i="1"/>
  <c r="G394" i="1"/>
  <c r="G248" i="1"/>
  <c r="G736" i="1"/>
  <c r="G667" i="1"/>
  <c r="G838" i="1"/>
  <c r="G204" i="1"/>
  <c r="G889" i="1"/>
  <c r="G636" i="1"/>
  <c r="G242" i="1"/>
  <c r="G970" i="1"/>
  <c r="G1033" i="1"/>
  <c r="G1025" i="1"/>
  <c r="G936" i="1"/>
  <c r="G924" i="1"/>
  <c r="G914" i="1"/>
  <c r="G12" i="1"/>
  <c r="G10" i="1"/>
  <c r="G774" i="1"/>
  <c r="G1046" i="1"/>
  <c r="G530" i="1"/>
  <c r="G335" i="1"/>
  <c r="G514" i="1"/>
  <c r="G835" i="1"/>
  <c r="G599" i="1"/>
  <c r="G967" i="1"/>
  <c r="G1011" i="1"/>
  <c r="G256" i="1"/>
  <c r="G865" i="1"/>
  <c r="G853" i="1"/>
  <c r="G564" i="1"/>
  <c r="G551" i="1"/>
  <c r="G738" i="1"/>
  <c r="G502" i="1"/>
  <c r="G492" i="1"/>
  <c r="G324" i="1"/>
  <c r="G483" i="1"/>
  <c r="G669" i="1"/>
  <c r="G850" i="1"/>
  <c r="G110" i="1"/>
  <c r="G93" i="1"/>
  <c r="G1131" i="1"/>
  <c r="G144" i="1"/>
  <c r="G128" i="1"/>
  <c r="G229" i="1"/>
  <c r="G78" i="1"/>
  <c r="G62" i="1"/>
  <c r="G46" i="1"/>
  <c r="G179" i="1"/>
  <c r="G220" i="1"/>
  <c r="G1007" i="1"/>
  <c r="G633" i="1"/>
  <c r="G1053" i="1"/>
  <c r="G1113" i="1"/>
  <c r="G1019" i="1"/>
  <c r="G1097" i="1"/>
  <c r="G801" i="1"/>
  <c r="G780" i="1"/>
  <c r="G561" i="1"/>
  <c r="G759" i="1"/>
  <c r="G526" i="1"/>
  <c r="G698" i="1"/>
  <c r="G516" i="1"/>
  <c r="G505" i="1"/>
  <c r="G358" i="1"/>
  <c r="G488" i="1"/>
  <c r="G837" i="1"/>
  <c r="G215" i="1"/>
  <c r="G201" i="1"/>
  <c r="G653" i="1"/>
  <c r="G290" i="1"/>
  <c r="G968" i="1"/>
  <c r="G954" i="1"/>
  <c r="G264" i="1"/>
  <c r="G1090" i="1"/>
  <c r="G568" i="1"/>
  <c r="G374" i="1"/>
  <c r="G1061" i="1"/>
  <c r="G537" i="1"/>
  <c r="G529" i="1"/>
  <c r="G691" i="1"/>
  <c r="G363" i="1"/>
  <c r="G329" i="1"/>
  <c r="G320" i="1"/>
  <c r="G684" i="1"/>
  <c r="G1156" i="1"/>
  <c r="G270" i="1"/>
  <c r="G638" i="1"/>
  <c r="G448" i="1"/>
  <c r="G443" i="1"/>
  <c r="G261" i="1"/>
  <c r="G1098" i="1"/>
  <c r="G1092" i="1"/>
  <c r="G871" i="1"/>
  <c r="G781" i="1"/>
  <c r="G563" i="1"/>
  <c r="G760" i="1"/>
  <c r="G527" i="1"/>
  <c r="G706" i="1"/>
  <c r="G1166" i="1"/>
  <c r="G687" i="1"/>
  <c r="G822" i="1"/>
  <c r="G806" i="1"/>
  <c r="G1153" i="1"/>
  <c r="G212" i="1"/>
  <c r="G314" i="1"/>
  <c r="G306" i="1"/>
  <c r="G983" i="1"/>
  <c r="G951" i="1"/>
  <c r="G1014" i="1"/>
  <c r="G1010" i="1"/>
  <c r="G930" i="1"/>
  <c r="G583" i="1"/>
  <c r="G251" i="1"/>
  <c r="G869" i="1"/>
  <c r="G857" i="1"/>
  <c r="G1073" i="1"/>
  <c r="G553" i="1"/>
  <c r="G742" i="1"/>
  <c r="G515" i="1"/>
  <c r="G326" i="1"/>
  <c r="G470" i="1"/>
  <c r="G680" i="1"/>
  <c r="G122" i="1"/>
  <c r="G99" i="1"/>
  <c r="G1135" i="1"/>
  <c r="G1119" i="1"/>
  <c r="G134" i="1"/>
  <c r="G230" i="1"/>
  <c r="G82" i="1"/>
  <c r="G66" i="1"/>
  <c r="G50" i="1"/>
  <c r="G221" i="1"/>
  <c r="G652" i="1"/>
  <c r="G457" i="1"/>
  <c r="G450" i="1"/>
  <c r="G615" i="1"/>
  <c r="G1036" i="1"/>
  <c r="G893" i="1"/>
  <c r="G1144" i="1"/>
  <c r="G1089" i="1"/>
  <c r="G786" i="1"/>
  <c r="G866" i="1"/>
  <c r="G558" i="1"/>
  <c r="G362" i="1"/>
  <c r="G346" i="1"/>
  <c r="G670" i="1"/>
  <c r="G79" i="1"/>
  <c r="G63" i="1"/>
  <c r="G47" i="1"/>
  <c r="G155" i="1"/>
  <c r="G311" i="1"/>
  <c r="G650" i="1"/>
  <c r="G1054" i="1"/>
  <c r="G793" i="1"/>
  <c r="G975" i="1"/>
  <c r="G260" i="1"/>
  <c r="G383" i="1"/>
  <c r="G747" i="1"/>
  <c r="G715" i="1"/>
  <c r="G693" i="1"/>
  <c r="G511" i="1"/>
  <c r="G677" i="1"/>
  <c r="G280" i="1"/>
  <c r="G661" i="1"/>
  <c r="G211" i="1"/>
  <c r="G268" i="1"/>
  <c r="G1067" i="1"/>
  <c r="G243" i="1"/>
  <c r="G607" i="1"/>
  <c r="G1084" i="1"/>
  <c r="G605" i="1"/>
  <c r="G1028" i="1"/>
  <c r="G390" i="1"/>
  <c r="G783" i="1"/>
  <c r="G1164" i="1"/>
  <c r="G538" i="1"/>
  <c r="G489" i="1"/>
  <c r="G104" i="1"/>
  <c r="G137" i="1"/>
  <c r="G89" i="1"/>
  <c r="G153" i="1"/>
  <c r="G298" i="1"/>
  <c r="G980" i="1"/>
  <c r="G388" i="1"/>
  <c r="G872" i="1"/>
  <c r="G569" i="1"/>
  <c r="G379" i="1"/>
  <c r="G367" i="1"/>
  <c r="G22" i="1"/>
  <c r="G748" i="1"/>
  <c r="G716" i="1"/>
  <c r="G338" i="1"/>
  <c r="G678" i="1"/>
  <c r="G185" i="1"/>
  <c r="G208" i="1"/>
  <c r="G159" i="1"/>
  <c r="G903" i="1"/>
  <c r="G879" i="1"/>
  <c r="G1038" i="1"/>
  <c r="G895" i="1"/>
  <c r="G877" i="1"/>
  <c r="G870" i="1"/>
  <c r="G1106" i="1"/>
  <c r="G106" i="1"/>
  <c r="G90" i="1"/>
  <c r="G1128" i="1"/>
  <c r="G141" i="1"/>
  <c r="G125" i="1"/>
  <c r="G67" i="1"/>
  <c r="G313" i="1"/>
  <c r="G624" i="1"/>
  <c r="G973" i="1"/>
  <c r="G233" i="1"/>
  <c r="G31" i="1"/>
  <c r="G258" i="1"/>
  <c r="G576" i="1"/>
  <c r="G778" i="1"/>
  <c r="G1041" i="1"/>
  <c r="G552" i="1"/>
  <c r="G762" i="1"/>
  <c r="G246" i="1"/>
  <c r="G713" i="1"/>
  <c r="G473" i="1"/>
  <c r="G465" i="1"/>
  <c r="G278" i="1"/>
  <c r="G164" i="1"/>
  <c r="G651" i="1"/>
  <c r="G456" i="1"/>
  <c r="G1063" i="1"/>
  <c r="G797" i="1"/>
  <c r="G992" i="1"/>
  <c r="G1039" i="1"/>
  <c r="G935" i="1"/>
  <c r="G385" i="1"/>
  <c r="G384" i="1"/>
  <c r="G371" i="1"/>
  <c r="G1056" i="1"/>
  <c r="G768" i="1"/>
  <c r="G21" i="1"/>
  <c r="G724" i="1"/>
  <c r="G172" i="1"/>
  <c r="G418" i="1"/>
  <c r="G403" i="1"/>
  <c r="G965" i="1"/>
  <c r="G944" i="1"/>
  <c r="G592" i="1"/>
  <c r="G397" i="1"/>
  <c r="G1147" i="1"/>
  <c r="G15" i="1"/>
  <c r="G26" i="1"/>
  <c r="G254" i="1"/>
  <c r="G910" i="1"/>
  <c r="G718" i="1"/>
  <c r="G697" i="1"/>
  <c r="G500" i="1"/>
  <c r="G844" i="1"/>
  <c r="G156" i="1"/>
  <c r="G1002" i="1"/>
  <c r="G620" i="1"/>
  <c r="G1102" i="1"/>
  <c r="G798" i="1"/>
  <c r="G962" i="1"/>
  <c r="G257" i="1"/>
  <c r="G587" i="1"/>
  <c r="G773" i="1"/>
  <c r="G725" i="1"/>
  <c r="G707" i="1"/>
  <c r="G508" i="1"/>
  <c r="G688" i="1"/>
  <c r="G851" i="1"/>
  <c r="G112" i="1"/>
  <c r="G129" i="1"/>
  <c r="G225" i="1"/>
  <c r="G886" i="1"/>
  <c r="G991" i="1"/>
  <c r="G1027" i="1"/>
  <c r="G1141" i="1"/>
  <c r="G35" i="1"/>
  <c r="G573" i="1"/>
  <c r="G370" i="1"/>
  <c r="G859" i="1"/>
  <c r="G755" i="1"/>
  <c r="G359" i="1"/>
  <c r="G343" i="1"/>
  <c r="G497" i="1"/>
  <c r="G475" i="1"/>
  <c r="G816" i="1"/>
  <c r="G276" i="1"/>
  <c r="G184" i="1"/>
  <c r="G76" i="1"/>
  <c r="G60" i="1"/>
  <c r="G44" i="1"/>
  <c r="G178" i="1"/>
  <c r="G193" i="1"/>
  <c r="G436" i="1"/>
  <c r="G417" i="1"/>
  <c r="G994" i="1"/>
  <c r="G265" i="1"/>
  <c r="G234" i="1"/>
  <c r="G922" i="1"/>
  <c r="G582" i="1"/>
  <c r="G875" i="1"/>
  <c r="G572" i="1"/>
  <c r="G1072" i="1"/>
  <c r="G763" i="1"/>
  <c r="G741" i="1"/>
  <c r="G722" i="1"/>
  <c r="G364" i="1"/>
  <c r="G348" i="1"/>
  <c r="G671" i="1"/>
  <c r="G466" i="1"/>
  <c r="G890" i="1"/>
  <c r="G101" i="1"/>
  <c r="G1126" i="1"/>
  <c r="G139" i="1"/>
  <c r="G1178" i="1"/>
  <c r="G173" i="1"/>
  <c r="G214" i="1"/>
  <c r="G167" i="1"/>
  <c r="G410" i="1"/>
  <c r="G1112" i="1"/>
  <c r="G945" i="1"/>
  <c r="G262" i="1"/>
  <c r="G231" i="1"/>
  <c r="G1088" i="1"/>
  <c r="G30" i="1"/>
  <c r="G386" i="1"/>
  <c r="G353" i="1"/>
  <c r="G459" i="1"/>
  <c r="G623" i="1"/>
  <c r="G441" i="1"/>
  <c r="G430" i="1"/>
  <c r="G990" i="1"/>
  <c r="G984" i="1"/>
  <c r="G915" i="1"/>
  <c r="G376" i="1"/>
  <c r="G365" i="1"/>
  <c r="G788" i="1"/>
  <c r="G1074" i="1"/>
  <c r="G710" i="1"/>
  <c r="G331" i="1"/>
  <c r="G490" i="1"/>
  <c r="G468" i="1"/>
  <c r="G814" i="1"/>
  <c r="G51" i="1"/>
  <c r="G182" i="1"/>
  <c r="G195" i="1"/>
  <c r="G632" i="1"/>
  <c r="G445" i="1"/>
  <c r="G600" i="1"/>
  <c r="G11" i="1"/>
  <c r="G9" i="1"/>
  <c r="G867" i="1"/>
  <c r="G855" i="1"/>
  <c r="G334" i="1"/>
  <c r="G702" i="1"/>
  <c r="G494" i="1"/>
  <c r="G679" i="1"/>
  <c r="G826" i="1"/>
  <c r="G809" i="1"/>
  <c r="G659" i="1"/>
  <c r="G274" i="1"/>
  <c r="G209" i="1"/>
  <c r="G18" i="1"/>
  <c r="G1001" i="1"/>
  <c r="G452" i="1"/>
  <c r="G609" i="1"/>
  <c r="G432" i="1"/>
  <c r="G287" i="1"/>
  <c r="G942" i="1"/>
  <c r="G591" i="1"/>
  <c r="G896" i="1"/>
  <c r="G916" i="1"/>
  <c r="G789" i="1"/>
  <c r="G1076" i="1"/>
  <c r="G689" i="1"/>
  <c r="G506" i="1"/>
  <c r="G360" i="1"/>
  <c r="G344" i="1"/>
  <c r="G849" i="1"/>
  <c r="G1183" i="1"/>
  <c r="G77" i="1"/>
  <c r="G61" i="1"/>
  <c r="G45" i="1"/>
  <c r="G202" i="1"/>
  <c r="G902" i="1"/>
  <c r="G800" i="1"/>
  <c r="G792" i="1"/>
  <c r="G447" i="1"/>
  <c r="G426" i="1"/>
  <c r="G284" i="1"/>
  <c r="G1117" i="1"/>
  <c r="G1080" i="1"/>
  <c r="G727" i="1"/>
  <c r="G522" i="1"/>
  <c r="G340" i="1"/>
  <c r="G349" i="1"/>
  <c r="G1104" i="1"/>
  <c r="G479" i="1"/>
  <c r="G819" i="1"/>
  <c r="G817" i="1"/>
  <c r="G656" i="1"/>
  <c r="G1160" i="1"/>
  <c r="G224" i="1"/>
  <c r="G210" i="1"/>
  <c r="G160" i="1"/>
  <c r="G887" i="1"/>
  <c r="G981" i="1"/>
  <c r="G1020" i="1"/>
  <c r="G923" i="1"/>
  <c r="G913" i="1"/>
  <c r="G368" i="1"/>
  <c r="G1045" i="1"/>
  <c r="G690" i="1"/>
  <c r="G493" i="1"/>
  <c r="G811" i="1"/>
  <c r="G94" i="1"/>
  <c r="G1132" i="1"/>
  <c r="G146" i="1"/>
  <c r="G198" i="1"/>
  <c r="G455" i="1"/>
  <c r="G613" i="1"/>
  <c r="G297" i="1"/>
  <c r="G286" i="1"/>
  <c r="G966" i="1"/>
  <c r="G941" i="1"/>
  <c r="G598" i="1"/>
  <c r="G237" i="1"/>
  <c r="G391" i="1"/>
  <c r="G304" i="1"/>
  <c r="G878" i="1"/>
  <c r="G1100" i="1"/>
  <c r="G1043" i="1"/>
  <c r="G555" i="1"/>
  <c r="G765" i="1"/>
  <c r="G732" i="1"/>
  <c r="G337" i="1"/>
  <c r="G703" i="1"/>
  <c r="G662" i="1"/>
  <c r="G840" i="1"/>
  <c r="G124" i="1"/>
  <c r="G111" i="1"/>
  <c r="G1137" i="1"/>
  <c r="G1121" i="1"/>
  <c r="G145" i="1"/>
  <c r="G1173" i="1"/>
  <c r="G1169" i="1"/>
  <c r="G223" i="1"/>
  <c r="G1006" i="1"/>
  <c r="G901" i="1"/>
  <c r="G799" i="1"/>
  <c r="G446" i="1"/>
  <c r="G883" i="1"/>
  <c r="G934" i="1"/>
  <c r="G1116" i="1"/>
  <c r="G14" i="1"/>
  <c r="G25" i="1"/>
  <c r="G1087" i="1"/>
  <c r="G770" i="1"/>
  <c r="G750" i="1"/>
  <c r="G330" i="1"/>
  <c r="G478" i="1"/>
  <c r="G469" i="1"/>
  <c r="G828" i="1"/>
  <c r="G810" i="1"/>
  <c r="G1182" i="1"/>
  <c r="G81" i="1"/>
  <c r="G65" i="1"/>
  <c r="G49" i="1"/>
  <c r="G308" i="1"/>
  <c r="G647" i="1"/>
  <c r="G1062" i="1"/>
  <c r="G449" i="1"/>
  <c r="G433" i="1"/>
  <c r="G424" i="1"/>
  <c r="G415" i="1"/>
  <c r="G1029" i="1"/>
  <c r="G949" i="1"/>
  <c r="G927" i="1"/>
  <c r="G579" i="1"/>
  <c r="G756" i="1"/>
  <c r="G476" i="1"/>
  <c r="G281" i="1"/>
  <c r="G827" i="1"/>
  <c r="G19" i="1"/>
  <c r="G217" i="1"/>
  <c r="G655" i="1"/>
  <c r="G285" i="1"/>
  <c r="G1026" i="1"/>
  <c r="G1021" i="1"/>
  <c r="G940" i="1"/>
  <c r="G925" i="1"/>
  <c r="G593" i="1"/>
  <c r="G1140" i="1"/>
  <c r="G16" i="1"/>
  <c r="G27" i="1"/>
  <c r="G775" i="1"/>
  <c r="G350" i="1"/>
  <c r="G480" i="1"/>
  <c r="G839" i="1"/>
  <c r="G83" i="1"/>
  <c r="G199" i="1"/>
  <c r="G888" i="1"/>
  <c r="G1103" i="1"/>
  <c r="G791" i="1"/>
  <c r="G425" i="1"/>
  <c r="G416" i="1"/>
  <c r="G604" i="1"/>
  <c r="G601" i="1"/>
  <c r="G1110" i="1"/>
  <c r="G1069" i="1"/>
  <c r="G989" i="1"/>
  <c r="G964" i="1"/>
  <c r="G959" i="1"/>
  <c r="G950" i="1"/>
  <c r="G1016" i="1"/>
  <c r="G928" i="1"/>
  <c r="G595" i="1"/>
  <c r="G389" i="1"/>
  <c r="G740" i="1"/>
  <c r="G730" i="1"/>
  <c r="G7" i="1"/>
  <c r="G485" i="1"/>
  <c r="G852" i="1"/>
  <c r="G120" i="1"/>
  <c r="G96" i="1"/>
  <c r="G1133" i="1"/>
  <c r="G148" i="1"/>
  <c r="G130" i="1"/>
  <c r="G1172" i="1"/>
  <c r="G1176" i="1"/>
  <c r="G1174" i="1"/>
  <c r="G88" i="1"/>
  <c r="G72" i="1"/>
  <c r="G56" i="1"/>
  <c r="G38" i="1"/>
  <c r="G411" i="1"/>
  <c r="G238" i="1"/>
  <c r="G1142" i="1"/>
  <c r="G776" i="1"/>
  <c r="G332" i="1"/>
  <c r="G699" i="1"/>
  <c r="G109" i="1"/>
  <c r="G92" i="1"/>
  <c r="G1130" i="1"/>
  <c r="G143" i="1"/>
  <c r="G127" i="1"/>
  <c r="G1179" i="1"/>
  <c r="G310" i="1"/>
  <c r="G649" i="1"/>
  <c r="G641" i="1"/>
  <c r="G1004" i="1"/>
  <c r="G628" i="1"/>
  <c r="G978" i="1"/>
  <c r="G948" i="1"/>
  <c r="G381" i="1"/>
  <c r="G1139" i="1"/>
  <c r="G758" i="1"/>
  <c r="G545" i="1"/>
  <c r="G539" i="1"/>
  <c r="G321" i="1"/>
  <c r="G676" i="1"/>
  <c r="G665" i="1"/>
  <c r="G140" i="1"/>
  <c r="G610" i="1"/>
  <c r="G434" i="1"/>
  <c r="G1109" i="1"/>
  <c r="G1032" i="1"/>
  <c r="G1024" i="1"/>
  <c r="G938" i="1"/>
  <c r="G263" i="1"/>
  <c r="G232" i="1"/>
  <c r="G782" i="1"/>
  <c r="G1162" i="1"/>
  <c r="G245" i="1"/>
  <c r="G1060" i="1"/>
  <c r="G701" i="1"/>
  <c r="G6" i="1"/>
  <c r="G829" i="1"/>
  <c r="G20" i="1"/>
  <c r="G1157" i="1"/>
  <c r="G294" i="1"/>
  <c r="G1008" i="1"/>
  <c r="G1068" i="1"/>
  <c r="G442" i="1"/>
  <c r="G423" i="1"/>
  <c r="G414" i="1"/>
  <c r="G408" i="1"/>
  <c r="G971" i="1"/>
  <c r="G961" i="1"/>
  <c r="G952" i="1"/>
  <c r="G743" i="1"/>
  <c r="G705" i="1"/>
  <c r="G327" i="1"/>
  <c r="G318" i="1"/>
  <c r="G672" i="1"/>
  <c r="G1152" i="1"/>
  <c r="G163" i="1"/>
  <c r="G640" i="1"/>
  <c r="G301" i="1"/>
  <c r="G974" i="1"/>
  <c r="G963" i="1"/>
  <c r="G898" i="1"/>
  <c r="G250" i="1"/>
  <c r="G375" i="1"/>
  <c r="G856" i="1"/>
  <c r="G509" i="1"/>
  <c r="G843" i="1"/>
  <c r="G316" i="1"/>
  <c r="G619" i="1"/>
  <c r="G976" i="1"/>
  <c r="G957" i="1"/>
  <c r="G1013" i="1"/>
  <c r="G1009" i="1"/>
  <c r="G395" i="1"/>
  <c r="G861" i="1"/>
  <c r="G557" i="1"/>
  <c r="G766" i="1"/>
  <c r="G744" i="1"/>
  <c r="G733" i="1"/>
  <c r="G720" i="1"/>
  <c r="G528" i="1"/>
  <c r="G512" i="1"/>
  <c r="G1167" i="1"/>
  <c r="G498" i="1"/>
  <c r="G663" i="1"/>
  <c r="G842" i="1"/>
  <c r="G117" i="1"/>
  <c r="G114" i="1"/>
  <c r="G95" i="1"/>
  <c r="G1123" i="1"/>
  <c r="G149" i="1"/>
  <c r="G131" i="1"/>
  <c r="G227" i="1"/>
  <c r="G86" i="1"/>
  <c r="G70" i="1"/>
  <c r="G54" i="1"/>
  <c r="G36" i="1"/>
  <c r="G157" i="1"/>
  <c r="G629" i="1"/>
  <c r="G1065" i="1"/>
  <c r="G796" i="1"/>
  <c r="G608" i="1"/>
  <c r="G603" i="1"/>
  <c r="G1034" i="1"/>
  <c r="G891" i="1"/>
  <c r="G236" i="1"/>
  <c r="G862" i="1"/>
  <c r="G554" i="1"/>
  <c r="G764" i="1"/>
  <c r="G751" i="1"/>
  <c r="G531" i="1"/>
  <c r="G845" i="1"/>
  <c r="G309" i="1"/>
  <c r="G648" i="1"/>
  <c r="G435" i="1"/>
  <c r="G402" i="1"/>
  <c r="G282" i="1"/>
  <c r="G1115" i="1"/>
  <c r="G253" i="1"/>
  <c r="G874" i="1"/>
  <c r="G380" i="1"/>
  <c r="G369" i="1"/>
  <c r="G767" i="1"/>
  <c r="G749" i="1"/>
  <c r="G534" i="1"/>
  <c r="G524" i="1"/>
  <c r="G513" i="1"/>
  <c r="G355" i="1"/>
  <c r="G325" i="1"/>
  <c r="G1035" i="1"/>
  <c r="G933" i="1"/>
  <c r="G926" i="1"/>
  <c r="G892" i="1"/>
  <c r="G29" i="1"/>
  <c r="G255" i="1"/>
  <c r="G802" i="1"/>
  <c r="G864" i="1"/>
  <c r="G556" i="1"/>
  <c r="G711" i="1"/>
  <c r="G491" i="1"/>
  <c r="G682" i="1"/>
  <c r="G673" i="1"/>
  <c r="G825" i="1"/>
  <c r="G1108" i="1"/>
  <c r="G440" i="1"/>
  <c r="G884" i="1"/>
  <c r="G296" i="1"/>
  <c r="G1017" i="1"/>
  <c r="G13" i="1"/>
  <c r="G247" i="1"/>
  <c r="G560" i="1"/>
  <c r="G714" i="1"/>
  <c r="G692" i="1"/>
  <c r="G510" i="1"/>
  <c r="G474" i="1"/>
  <c r="G836" i="1"/>
  <c r="G272" i="1"/>
  <c r="G105" i="1"/>
  <c r="G102" i="1"/>
  <c r="G1127" i="1"/>
  <c r="G138" i="1"/>
  <c r="G228" i="1"/>
  <c r="G183" i="1"/>
  <c r="G74" i="1"/>
  <c r="G58" i="1"/>
  <c r="G42" i="1"/>
  <c r="G171" i="1"/>
  <c r="G192" i="1"/>
  <c r="G1078" i="1"/>
  <c r="G616" i="1"/>
  <c r="G401" i="1"/>
  <c r="G958" i="1"/>
  <c r="G921" i="1"/>
  <c r="G1114" i="1"/>
  <c r="G1094" i="1"/>
  <c r="G769" i="1"/>
  <c r="G761" i="1"/>
  <c r="G721" i="1"/>
  <c r="G333" i="1"/>
  <c r="G503" i="1"/>
  <c r="G354" i="1"/>
  <c r="G833" i="1"/>
  <c r="G87" i="1"/>
  <c r="G71" i="1"/>
  <c r="G55" i="1"/>
  <c r="G37" i="1"/>
  <c r="G175" i="1"/>
  <c r="G307" i="1"/>
  <c r="G646" i="1"/>
  <c r="G1064" i="1"/>
  <c r="G252" i="1"/>
  <c r="G377" i="1"/>
  <c r="G719" i="1"/>
  <c r="G536" i="1"/>
  <c r="G517" i="1"/>
  <c r="G846" i="1"/>
  <c r="G216" i="1"/>
  <c r="G207" i="1"/>
  <c r="G654" i="1"/>
  <c r="G458" i="1"/>
  <c r="G622" i="1"/>
  <c r="G1070" i="1"/>
  <c r="G982" i="1"/>
  <c r="G1037" i="1"/>
  <c r="G939" i="1"/>
  <c r="G929" i="1"/>
  <c r="G9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7C41C2-C648-4FE5-98A6-2D48A32E62B3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14C1E828-F4D9-4D73-A78B-515B1CBAE86E}" keepAlive="1" name="Запрос — col_list (10)" description="Соединение с запросом &quot;col_list (10)&quot; в книге." type="5" refreshedVersion="0" background="1">
    <dbPr connection="Provider=Microsoft.Mashup.OleDb.1;Data Source=$Workbook$;Location=&quot;col_list (10)&quot;;Extended Properties=&quot;&quot;" command="SELECT * FROM [col_list (10)]"/>
  </connection>
  <connection id="3" xr16:uid="{2DBA53A8-D6ED-4691-AD21-1FF7F325E0FC}" keepAlive="1" name="Запрос — col_list (11)" description="Соединение с запросом &quot;col_list (11)&quot; в книге." type="5" refreshedVersion="0" background="1">
    <dbPr connection="Provider=Microsoft.Mashup.OleDb.1;Data Source=$Workbook$;Location=&quot;col_list (11)&quot;;Extended Properties=&quot;&quot;" command="SELECT * FROM [col_list (11)]"/>
  </connection>
  <connection id="4" xr16:uid="{865E2EBE-D761-4326-8C6B-85F3FCFF91D3}" keepAlive="1" name="Запрос — col_list (12)" description="Соединение с запросом &quot;col_list (12)&quot; в книге." type="5" refreshedVersion="0" background="1">
    <dbPr connection="Provider=Microsoft.Mashup.OleDb.1;Data Source=$Workbook$;Location=&quot;col_list (12)&quot;;Extended Properties=&quot;&quot;" command="SELECT * FROM [col_list (12)]"/>
  </connection>
  <connection id="5" xr16:uid="{2C5EBC51-4FF3-40C8-8DEE-0585A8B7EA4C}" keepAlive="1" name="Запрос — col_list (13)" description="Соединение с запросом &quot;col_list (13)&quot; в книге." type="5" refreshedVersion="0" background="1">
    <dbPr connection="Provider=Microsoft.Mashup.OleDb.1;Data Source=$Workbook$;Location=&quot;col_list (13)&quot;;Extended Properties=&quot;&quot;" command="SELECT * FROM [col_list (13)]"/>
  </connection>
  <connection id="6" xr16:uid="{E677247E-69ED-4CA2-BECA-1D1197F7203F}" keepAlive="1" name="Запрос — col_list (14)" description="Соединение с запросом &quot;col_list (14)&quot; в книге." type="5" refreshedVersion="0" background="1">
    <dbPr connection="Provider=Microsoft.Mashup.OleDb.1;Data Source=$Workbook$;Location=&quot;col_list (14)&quot;;Extended Properties=&quot;&quot;" command="SELECT * FROM [col_list (14)]"/>
  </connection>
  <connection id="7" xr16:uid="{562B2F54-8D20-47D4-9ED7-9474532CEE1D}" keepAlive="1" name="Запрос — col_list (15)" description="Соединение с запросом &quot;col_list (15)&quot; в книге." type="5" refreshedVersion="0" background="1">
    <dbPr connection="Provider=Microsoft.Mashup.OleDb.1;Data Source=$Workbook$;Location=&quot;col_list (15)&quot;;Extended Properties=&quot;&quot;" command="SELECT * FROM [col_list (15)]"/>
  </connection>
  <connection id="8" xr16:uid="{82757EFE-26A7-4B72-8325-84F114B60B3A}" keepAlive="1" name="Запрос — col_list (16)" description="Соединение с запросом &quot;col_list (16)&quot; в книге." type="5" refreshedVersion="0" background="1">
    <dbPr connection="Provider=Microsoft.Mashup.OleDb.1;Data Source=$Workbook$;Location=&quot;col_list (16)&quot;;Extended Properties=&quot;&quot;" command="SELECT * FROM [col_list (16)]"/>
  </connection>
  <connection id="9" xr16:uid="{FE1D1FE5-EF5F-4AF4-98E8-0FA8921D59F9}" keepAlive="1" name="Запрос — col_list (17)" description="Соединение с запросом &quot;col_list (17)&quot; в книге." type="5" refreshedVersion="0" background="1">
    <dbPr connection="Provider=Microsoft.Mashup.OleDb.1;Data Source=$Workbook$;Location=&quot;col_list (17)&quot;;Extended Properties=&quot;&quot;" command="SELECT * FROM [col_list (17)]"/>
  </connection>
  <connection id="10" xr16:uid="{1FD49E1C-CFBA-4076-86A6-57EE5862836E}" keepAlive="1" name="Запрос — col_list (18)" description="Соединение с запросом &quot;col_list (18)&quot; в книге." type="5" refreshedVersion="0" background="1">
    <dbPr connection="Provider=Microsoft.Mashup.OleDb.1;Data Source=$Workbook$;Location=&quot;col_list (18)&quot;;Extended Properties=&quot;&quot;" command="SELECT * FROM [col_list (18)]"/>
  </connection>
  <connection id="11" xr16:uid="{639CE4F1-31E5-4988-8434-5CAD02C7E447}" keepAlive="1" name="Запрос — col_list (19)" description="Соединение с запросом &quot;col_list (19)&quot; в книге." type="5" refreshedVersion="0" background="1">
    <dbPr connection="Provider=Microsoft.Mashup.OleDb.1;Data Source=$Workbook$;Location=&quot;col_list (19)&quot;;Extended Properties=&quot;&quot;" command="SELECT * FROM [col_list (19)]"/>
  </connection>
  <connection id="12" xr16:uid="{CA3647E9-594A-4497-B90C-C33899DA25F7}" keepAlive="1" name="Запрос — col_list (2)" description="Соединение с запросом &quot;col_list (2)&quot; в книге." type="5" refreshedVersion="0" background="1">
    <dbPr connection="Provider=Microsoft.Mashup.OleDb.1;Data Source=$Workbook$;Location=&quot;col_list (2)&quot;;Extended Properties=&quot;&quot;" command="SELECT * FROM [col_list (2)]"/>
  </connection>
  <connection id="13" xr16:uid="{CCCEA618-C75F-4B7C-9F60-037EDA697522}" keepAlive="1" name="Запрос — col_list (3)" description="Соединение с запросом &quot;col_list (3)&quot; в книге." type="5" refreshedVersion="0" background="1">
    <dbPr connection="Provider=Microsoft.Mashup.OleDb.1;Data Source=$Workbook$;Location=&quot;col_list (3)&quot;;Extended Properties=&quot;&quot;" command="SELECT * FROM [col_list (3)]"/>
  </connection>
  <connection id="14" xr16:uid="{08629C72-0E92-4E44-90B6-3FAF29DED71B}" keepAlive="1" name="Запрос — col_list (4)" description="Соединение с запросом &quot;col_list (4)&quot; в книге." type="5" refreshedVersion="0" background="1">
    <dbPr connection="Provider=Microsoft.Mashup.OleDb.1;Data Source=$Workbook$;Location=&quot;col_list (4)&quot;;Extended Properties=&quot;&quot;" command="SELECT * FROM [col_list (4)]"/>
  </connection>
  <connection id="15" xr16:uid="{FC9B3982-28E0-47A4-8656-C809675FDFD8}" keepAlive="1" name="Запрос — col_list (5)" description="Соединение с запросом &quot;col_list (5)&quot; в книге." type="5" refreshedVersion="0" background="1">
    <dbPr connection="Provider=Microsoft.Mashup.OleDb.1;Data Source=$Workbook$;Location=&quot;col_list (5)&quot;;Extended Properties=&quot;&quot;" command="SELECT * FROM [col_list (5)]"/>
  </connection>
  <connection id="16" xr16:uid="{30D8AD07-D832-405A-A8D3-24125D836276}" keepAlive="1" name="Запрос — col_list (6)" description="Соединение с запросом &quot;col_list (6)&quot; в книге." type="5" refreshedVersion="0" background="1">
    <dbPr connection="Provider=Microsoft.Mashup.OleDb.1;Data Source=$Workbook$;Location=&quot;col_list (6)&quot;;Extended Properties=&quot;&quot;" command="SELECT * FROM [col_list (6)]"/>
  </connection>
  <connection id="17" xr16:uid="{63CBE5BB-F181-4A0A-959A-0CC30B6D5C5A}" keepAlive="1" name="Запрос — col_list (7)" description="Соединение с запросом &quot;col_list (7)&quot; в книге." type="5" refreshedVersion="0" background="1">
    <dbPr connection="Provider=Microsoft.Mashup.OleDb.1;Data Source=$Workbook$;Location=&quot;col_list (7)&quot;;Extended Properties=&quot;&quot;" command="SELECT * FROM [col_list (7)]"/>
  </connection>
  <connection id="18" xr16:uid="{1D37E9AB-4A52-457B-92DF-4089F405498B}" keepAlive="1" name="Запрос — col_list (8)" description="Соединение с запросом &quot;col_list (8)&quot; в книге." type="5" refreshedVersion="0" background="1">
    <dbPr connection="Provider=Microsoft.Mashup.OleDb.1;Data Source=$Workbook$;Location=&quot;col_list (8)&quot;;Extended Properties=&quot;&quot;" command="SELECT * FROM [col_list (8)]"/>
  </connection>
  <connection id="19" xr16:uid="{C8F57144-509A-420D-8F77-A46794DFDB79}" keepAlive="1" name="Запрос — col_list (9)" description="Соединение с запросом &quot;col_list (9)&quot; в книге." type="5" refreshedVersion="0" background="1">
    <dbPr connection="Provider=Microsoft.Mashup.OleDb.1;Data Source=$Workbook$;Location=&quot;col_list (9)&quot;;Extended Properties=&quot;&quot;" command="SELECT * FROM [col_list (9)]"/>
  </connection>
  <connection id="20" xr16:uid="{B70FA1F7-B05F-4706-872F-5AA0CF383C94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21" xr16:uid="{1F832762-A607-49FD-86A9-E9B76BEF58D5}" keepAlive="1" name="Запрос — Входящие_файлы(СЧЕТА) (10)" description="Соединение с запросом &quot;Входящие_файлы(СЧЕТА) (10)&quot; в книге." type="5" refreshedVersion="7" background="1" saveData="1">
    <dbPr connection="Provider=Microsoft.Mashup.OleDb.1;Data Source=$Workbook$;Location=&quot;Входящие_файлы(СЧЕТА) (10)&quot;;Extended Properties=&quot;&quot;" command="SELECT * FROM [Входящие_файлы(СЧЕТА) (10)]"/>
  </connection>
  <connection id="22" xr16:uid="{13428B41-ACD7-42DF-8A22-A23E71439547}" keepAlive="1" name="Запрос — Входящие_файлы(СЧЕТА) (11)" description="Соединение с запросом &quot;Входящие_файлы(СЧЕТА) (11)&quot; в книге." type="5" refreshedVersion="7" background="1" saveData="1">
    <dbPr connection="Provider=Microsoft.Mashup.OleDb.1;Data Source=$Workbook$;Location=&quot;Входящие_файлы(СЧЕТА) (11)&quot;;Extended Properties=&quot;&quot;" command="SELECT * FROM [Входящие_файлы(СЧЕТА) (11)]"/>
  </connection>
  <connection id="23" xr16:uid="{1742FE0B-7375-4418-A6E3-18CCA2EF7422}" keepAlive="1" name="Запрос — Входящие_файлы(СЧЕТА) (12)" description="Соединение с запросом &quot;Входящие_файлы(СЧЕТА) (12)&quot; в книге." type="5" refreshedVersion="7" background="1" saveData="1">
    <dbPr connection="Provider=Microsoft.Mashup.OleDb.1;Data Source=$Workbook$;Location=&quot;Входящие_файлы(СЧЕТА) (12)&quot;;Extended Properties=&quot;&quot;" command="SELECT * FROM [Входящие_файлы(СЧЕТА) (12)]"/>
  </connection>
  <connection id="24" xr16:uid="{E250E9C7-816C-4B8F-91DF-D690466D89F2}" keepAlive="1" name="Запрос — Входящие_файлы(СЧЕТА) (13)" description="Соединение с запросом &quot;Входящие_файлы(СЧЕТА) (13)&quot; в книге." type="5" refreshedVersion="7" background="1" saveData="1">
    <dbPr connection="Provider=Microsoft.Mashup.OleDb.1;Data Source=$Workbook$;Location=&quot;Входящие_файлы(СЧЕТА) (13)&quot;;Extended Properties=&quot;&quot;" command="SELECT * FROM [Входящие_файлы(СЧЕТА) (13)]"/>
  </connection>
  <connection id="25" xr16:uid="{1F6C152F-7A65-49C0-9033-4EF5998F33EA}" keepAlive="1" name="Запрос — Входящие_файлы(СЧЕТА) (14)" description="Соединение с запросом &quot;Входящие_файлы(СЧЕТА) (14)&quot; в книге." type="5" refreshedVersion="7" background="1" saveData="1">
    <dbPr connection="Provider=Microsoft.Mashup.OleDb.1;Data Source=$Workbook$;Location=&quot;Входящие_файлы(СЧЕТА) (14)&quot;;Extended Properties=&quot;&quot;" command="SELECT * FROM [Входящие_файлы(СЧЕТА) (14)]"/>
  </connection>
  <connection id="26" xr16:uid="{D133F51C-2F9D-45F8-9A5F-5433EECAC1A1}" keepAlive="1" name="Запрос — Входящие_файлы(СЧЕТА) (15)" description="Соединение с запросом &quot;Входящие_файлы(СЧЕТА) (15)&quot; в книге." type="5" refreshedVersion="7" background="1" saveData="1">
    <dbPr connection="Provider=Microsoft.Mashup.OleDb.1;Data Source=$Workbook$;Location=&quot;Входящие_файлы(СЧЕТА) (15)&quot;;Extended Properties=&quot;&quot;" command="SELECT * FROM [Входящие_файлы(СЧЕТА) (15)]"/>
  </connection>
  <connection id="27" xr16:uid="{CB277AC0-D47A-4B9A-831E-6848E172DC17}" keepAlive="1" name="Запрос — Входящие_файлы(СЧЕТА) (16)" description="Соединение с запросом &quot;Входящие_файлы(СЧЕТА) (16)&quot; в книге." type="5" refreshedVersion="7" background="1" saveData="1">
    <dbPr connection="Provider=Microsoft.Mashup.OleDb.1;Data Source=$Workbook$;Location=&quot;Входящие_файлы(СЧЕТА) (16)&quot;;Extended Properties=&quot;&quot;" command="SELECT * FROM [Входящие_файлы(СЧЕТА) (16)]"/>
  </connection>
  <connection id="28" xr16:uid="{75908CD5-5EDB-4C05-A089-80A5A0B71E92}" keepAlive="1" name="Запрос — Входящие_файлы(СЧЕТА) (17)" description="Соединение с запросом &quot;Входящие_файлы(СЧЕТА) (17)&quot; в книге." type="5" refreshedVersion="7" background="1" saveData="1">
    <dbPr connection="Provider=Microsoft.Mashup.OleDb.1;Data Source=$Workbook$;Location=&quot;Входящие_файлы(СЧЕТА) (17)&quot;;Extended Properties=&quot;&quot;" command="SELECT * FROM [Входящие_файлы(СЧЕТА) (17)]"/>
  </connection>
  <connection id="29" xr16:uid="{399855DC-B339-49E8-934E-F8B4A3DF5831}" keepAlive="1" name="Запрос — Входящие_файлы(СЧЕТА) (18)" description="Соединение с запросом &quot;Входящие_файлы(СЧЕТА) (18)&quot; в книге." type="5" refreshedVersion="7" background="1" saveData="1">
    <dbPr connection="Provider=Microsoft.Mashup.OleDb.1;Data Source=$Workbook$;Location=&quot;Входящие_файлы(СЧЕТА) (18)&quot;;Extended Properties=&quot;&quot;" command="SELECT * FROM [Входящие_файлы(СЧЕТА) (18)]"/>
  </connection>
  <connection id="30" xr16:uid="{6EA756D0-D731-4586-A1E9-3C1862DD15FB}" keepAlive="1" name="Запрос — Входящие_файлы(СЧЕТА) (19)" description="Соединение с запросом &quot;Входящие_файлы(СЧЕТА) (19)&quot; в книге." type="5" refreshedVersion="7" background="1" saveData="1">
    <dbPr connection="Provider=Microsoft.Mashup.OleDb.1;Data Source=$Workbook$;Location=&quot;Входящие_файлы(СЧЕТА) (19)&quot;;Extended Properties=&quot;&quot;" command="SELECT * FROM [Входящие_файлы(СЧЕТА) (19)]"/>
  </connection>
  <connection id="31" xr16:uid="{7B90FAC8-82E5-4FA4-840D-05595C07402B}" keepAlive="1" name="Запрос — Входящие_файлы(СЧЕТА) (2)" description="Соединение с запросом &quot;Входящие_файлы(СЧЕТА) (2)&quot; в книге." type="5" refreshedVersion="7" background="1" saveData="1">
    <dbPr connection="Provider=Microsoft.Mashup.OleDb.1;Data Source=$Workbook$;Location=&quot;Входящие_файлы(СЧЕТА) (2)&quot;;Extended Properties=&quot;&quot;" command="SELECT * FROM [Входящие_файлы(СЧЕТА) (2)]"/>
  </connection>
  <connection id="32" xr16:uid="{3C6A0C9F-409B-4A74-8F3B-F7BF716465FC}" keepAlive="1" name="Запрос — Входящие_файлы(СЧЕТА) (3)" description="Соединение с запросом &quot;Входящие_файлы(СЧЕТА) (3)&quot; в книге." type="5" refreshedVersion="7" background="1" saveData="1">
    <dbPr connection="Provider=Microsoft.Mashup.OleDb.1;Data Source=$Workbook$;Location=&quot;Входящие_файлы(СЧЕТА) (3)&quot;;Extended Properties=&quot;&quot;" command="SELECT * FROM [Входящие_файлы(СЧЕТА) (3)]"/>
  </connection>
  <connection id="33" xr16:uid="{F3F52465-F3F4-4938-81AB-8B26D3BFADCE}" keepAlive="1" name="Запрос — Входящие_файлы(СЧЕТА) (4)" description="Соединение с запросом &quot;Входящие_файлы(СЧЕТА) (4)&quot; в книге." type="5" refreshedVersion="7" background="1" saveData="1">
    <dbPr connection="Provider=Microsoft.Mashup.OleDb.1;Data Source=$Workbook$;Location=&quot;Входящие_файлы(СЧЕТА) (4)&quot;;Extended Properties=&quot;&quot;" command="SELECT * FROM [Входящие_файлы(СЧЕТА) (4)]"/>
  </connection>
  <connection id="34" xr16:uid="{7EE32A4F-AC60-42AA-BC89-4B9EBE16CAC1}" keepAlive="1" name="Запрос — Входящие_файлы(СЧЕТА) (5)" description="Соединение с запросом &quot;Входящие_файлы(СЧЕТА) (5)&quot; в книге." type="5" refreshedVersion="7" background="1" saveData="1">
    <dbPr connection="Provider=Microsoft.Mashup.OleDb.1;Data Source=$Workbook$;Location=&quot;Входящие_файлы(СЧЕТА) (5)&quot;;Extended Properties=&quot;&quot;" command="SELECT * FROM [Входящие_файлы(СЧЕТА) (5)]"/>
  </connection>
  <connection id="35" xr16:uid="{77CFC091-E0EA-4D5B-8CD1-150CA7EBF831}" keepAlive="1" name="Запрос — Входящие_файлы(СЧЕТА) (6)" description="Соединение с запросом &quot;Входящие_файлы(СЧЕТА) (6)&quot; в книге." type="5" refreshedVersion="7" background="1" saveData="1">
    <dbPr connection="Provider=Microsoft.Mashup.OleDb.1;Data Source=$Workbook$;Location=&quot;Входящие_файлы(СЧЕТА) (6)&quot;;Extended Properties=&quot;&quot;" command="SELECT * FROM [Входящие_файлы(СЧЕТА) (6)]"/>
  </connection>
  <connection id="36" xr16:uid="{7D9DB5C9-0D28-41CA-AD71-E4B0C4BD54B0}" keepAlive="1" name="Запрос — Входящие_файлы(СЧЕТА) (7)" description="Соединение с запросом &quot;Входящие_файлы(СЧЕТА) (7)&quot; в книге." type="5" refreshedVersion="7" background="1" saveData="1">
    <dbPr connection="Provider=Microsoft.Mashup.OleDb.1;Data Source=$Workbook$;Location=&quot;Входящие_файлы(СЧЕТА) (7)&quot;;Extended Properties=&quot;&quot;" command="SELECT * FROM [Входящие_файлы(СЧЕТА) (7)]"/>
  </connection>
  <connection id="37" xr16:uid="{F4EFEBD4-12A9-4263-8709-C4DB1CDF83C4}" keepAlive="1" name="Запрос — Входящие_файлы(СЧЕТА) (8)" description="Соединение с запросом &quot;Входящие_файлы(СЧЕТА) (8)&quot; в книге." type="5" refreshedVersion="7" background="1" saveData="1">
    <dbPr connection="Provider=Microsoft.Mashup.OleDb.1;Data Source=$Workbook$;Location=&quot;Входящие_файлы(СЧЕТА) (8)&quot;;Extended Properties=&quot;&quot;" command="SELECT * FROM [Входящие_файлы(СЧЕТА) (8)]"/>
  </connection>
  <connection id="38" xr16:uid="{BFF00DA8-A631-4E6E-A0A2-7B5C1FBD5E57}" keepAlive="1" name="Запрос — Входящие_файлы(СЧЕТА) (9)" description="Соединение с запросом &quot;Входящие_файлы(СЧЕТА) (9)&quot; в книге." type="5" refreshedVersion="7" background="1" saveData="1">
    <dbPr connection="Provider=Microsoft.Mashup.OleDb.1;Data Source=$Workbook$;Location=&quot;Входящие_файлы(СЧЕТА) (9)&quot;;Extended Properties=&quot;&quot;" command="SELECT * FROM [Входящие_файлы(СЧЕТА) (9)]"/>
  </connection>
  <connection id="39" xr16:uid="{3496A92C-498F-4D5A-A3F5-5C85F9E88455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0" xr16:uid="{A584B064-A206-42F4-9CB0-2E38B1E430F9}" keepAlive="1" name="Запрос — Преобразовать файл (10)" description="Соединение с запросом &quot;Преобразовать файл (10)&quot; в книге." type="5" refreshedVersion="0" background="1">
    <dbPr connection="Provider=Microsoft.Mashup.OleDb.1;Data Source=$Workbook$;Location=&quot;Преобразовать файл (10)&quot;;Extended Properties=&quot;&quot;" command="SELECT * FROM [Преобразовать файл (10)]"/>
  </connection>
  <connection id="41" xr16:uid="{20F700DE-6057-412B-8B5E-AAA91DB465F3}" keepAlive="1" name="Запрос — Преобразовать файл (11)" description="Соединение с запросом &quot;Преобразовать файл (11)&quot; в книге." type="5" refreshedVersion="0" background="1">
    <dbPr connection="Provider=Microsoft.Mashup.OleDb.1;Data Source=$Workbook$;Location=&quot;Преобразовать файл (11)&quot;;Extended Properties=&quot;&quot;" command="SELECT * FROM [Преобразовать файл (11)]"/>
  </connection>
  <connection id="42" xr16:uid="{A0C526A6-6DF6-4ECC-9625-95776E4C5533}" keepAlive="1" name="Запрос — Преобразовать файл (12)" description="Соединение с запросом &quot;Преобразовать файл (12)&quot; в книге." type="5" refreshedVersion="0" background="1">
    <dbPr connection="Provider=Microsoft.Mashup.OleDb.1;Data Source=$Workbook$;Location=&quot;Преобразовать файл (12)&quot;;Extended Properties=&quot;&quot;" command="SELECT * FROM [Преобразовать файл (12)]"/>
  </connection>
  <connection id="43" xr16:uid="{AB0E4C67-52C3-4C33-9D7E-D3429D9D250F}" keepAlive="1" name="Запрос — Преобразовать файл (13)" description="Соединение с запросом &quot;Преобразовать файл (13)&quot; в книге." type="5" refreshedVersion="0" background="1">
    <dbPr connection="Provider=Microsoft.Mashup.OleDb.1;Data Source=$Workbook$;Location=&quot;Преобразовать файл (13)&quot;;Extended Properties=&quot;&quot;" command="SELECT * FROM [Преобразовать файл (13)]"/>
  </connection>
  <connection id="44" xr16:uid="{9DA2735A-E71C-46B9-95F0-B793A751431A}" keepAlive="1" name="Запрос — Преобразовать файл (14)" description="Соединение с запросом &quot;Преобразовать файл (14)&quot; в книге." type="5" refreshedVersion="0" background="1">
    <dbPr connection="Provider=Microsoft.Mashup.OleDb.1;Data Source=$Workbook$;Location=&quot;Преобразовать файл (14)&quot;;Extended Properties=&quot;&quot;" command="SELECT * FROM [Преобразовать файл (14)]"/>
  </connection>
  <connection id="45" xr16:uid="{83405B40-70F9-4CB3-9F6B-27166A01BEB4}" keepAlive="1" name="Запрос — Преобразовать файл (15)" description="Соединение с запросом &quot;Преобразовать файл (15)&quot; в книге." type="5" refreshedVersion="0" background="1">
    <dbPr connection="Provider=Microsoft.Mashup.OleDb.1;Data Source=$Workbook$;Location=&quot;Преобразовать файл (15)&quot;;Extended Properties=&quot;&quot;" command="SELECT * FROM [Преобразовать файл (15)]"/>
  </connection>
  <connection id="46" xr16:uid="{4174DAD0-B0FD-4A42-8064-5044ADF58099}" keepAlive="1" name="Запрос — Преобразовать файл (16)" description="Соединение с запросом &quot;Преобразовать файл (16)&quot; в книге." type="5" refreshedVersion="0" background="1">
    <dbPr connection="Provider=Microsoft.Mashup.OleDb.1;Data Source=$Workbook$;Location=&quot;Преобразовать файл (16)&quot;;Extended Properties=&quot;&quot;" command="SELECT * FROM [Преобразовать файл (16)]"/>
  </connection>
  <connection id="47" xr16:uid="{50FD4082-3E98-40F3-9446-BA70FFC90074}" keepAlive="1" name="Запрос — Преобразовать файл (17)" description="Соединение с запросом &quot;Преобразовать файл (17)&quot; в книге." type="5" refreshedVersion="0" background="1">
    <dbPr connection="Provider=Microsoft.Mashup.OleDb.1;Data Source=$Workbook$;Location=&quot;Преобразовать файл (17)&quot;;Extended Properties=&quot;&quot;" command="SELECT * FROM [Преобразовать файл (17)]"/>
  </connection>
  <connection id="48" xr16:uid="{F3560145-29BB-4F0A-AA37-7BCED05C6DAF}" keepAlive="1" name="Запрос — Преобразовать файл (18)" description="Соединение с запросом &quot;Преобразовать файл (18)&quot; в книге." type="5" refreshedVersion="0" background="1">
    <dbPr connection="Provider=Microsoft.Mashup.OleDb.1;Data Source=$Workbook$;Location=&quot;Преобразовать файл (18)&quot;;Extended Properties=&quot;&quot;" command="SELECT * FROM [Преобразовать файл (18)]"/>
  </connection>
  <connection id="49" xr16:uid="{6BCF206A-0E7D-494F-9AAA-F2770179C193}" keepAlive="1" name="Запрос — Преобразовать файл (19)" description="Соединение с запросом &quot;Преобразовать файл (19)&quot; в книге." type="5" refreshedVersion="0" background="1">
    <dbPr connection="Provider=Microsoft.Mashup.OleDb.1;Data Source=$Workbook$;Location=&quot;Преобразовать файл (19)&quot;;Extended Properties=&quot;&quot;" command="SELECT * FROM [Преобразовать файл (19)]"/>
  </connection>
  <connection id="50" xr16:uid="{3992D9F5-D883-4627-808C-A24ECBA2935B}" keepAlive="1" name="Запрос — Преобразовать файл (2)" description="Соединение с запросом &quot;Преобразовать файл (2)&quot; в книге." type="5" refreshedVersion="0" background="1">
    <dbPr connection="Provider=Microsoft.Mashup.OleDb.1;Data Source=$Workbook$;Location=&quot;Преобразовать файл (2)&quot;;Extended Properties=&quot;&quot;" command="SELECT * FROM [Преобразовать файл (2)]"/>
  </connection>
  <connection id="51" xr16:uid="{72420145-B9B4-4444-878E-C4CC84406C3E}" keepAlive="1" name="Запрос — Преобразовать файл (3)" description="Соединение с запросом &quot;Преобразовать файл (3)&quot; в книге." type="5" refreshedVersion="0" background="1">
    <dbPr connection="Provider=Microsoft.Mashup.OleDb.1;Data Source=$Workbook$;Location=&quot;Преобразовать файл (3)&quot;;Extended Properties=&quot;&quot;" command="SELECT * FROM [Преобразовать файл (3)]"/>
  </connection>
  <connection id="52" xr16:uid="{2C863F41-BEBF-4110-8CC8-EB775C5D7E3C}" keepAlive="1" name="Запрос — Преобразовать файл (4)" description="Соединение с запросом &quot;Преобразовать файл (4)&quot; в книге." type="5" refreshedVersion="0" background="1">
    <dbPr connection="Provider=Microsoft.Mashup.OleDb.1;Data Source=$Workbook$;Location=&quot;Преобразовать файл (4)&quot;;Extended Properties=&quot;&quot;" command="SELECT * FROM [Преобразовать файл (4)]"/>
  </connection>
  <connection id="53" xr16:uid="{A8AB642C-2243-4260-B845-E2BB45DBF322}" keepAlive="1" name="Запрос — Преобразовать файл (5)" description="Соединение с запросом &quot;Преобразовать файл (5)&quot; в книге." type="5" refreshedVersion="0" background="1">
    <dbPr connection="Provider=Microsoft.Mashup.OleDb.1;Data Source=$Workbook$;Location=&quot;Преобразовать файл (5)&quot;;Extended Properties=&quot;&quot;" command="SELECT * FROM [Преобразовать файл (5)]"/>
  </connection>
  <connection id="54" xr16:uid="{AC0C0809-978F-4A8C-89DB-8C8815BF7B3B}" keepAlive="1" name="Запрос — Преобразовать файл (6)" description="Соединение с запросом &quot;Преобразовать файл (6)&quot; в книге." type="5" refreshedVersion="0" background="1">
    <dbPr connection="Provider=Microsoft.Mashup.OleDb.1;Data Source=$Workbook$;Location=&quot;Преобразовать файл (6)&quot;;Extended Properties=&quot;&quot;" command="SELECT * FROM [Преобразовать файл (6)]"/>
  </connection>
  <connection id="55" xr16:uid="{C3F0EC13-B1F1-49D6-B33B-426CA47826CF}" keepAlive="1" name="Запрос — Преобразовать файл (7)" description="Соединение с запросом &quot;Преобразовать файл (7)&quot; в книге." type="5" refreshedVersion="0" background="1">
    <dbPr connection="Provider=Microsoft.Mashup.OleDb.1;Data Source=$Workbook$;Location=&quot;Преобразовать файл (7)&quot;;Extended Properties=&quot;&quot;" command="SELECT * FROM [Преобразовать файл (7)]"/>
  </connection>
  <connection id="56" xr16:uid="{806F72C2-5578-4223-8667-B9BEF1F106E9}" keepAlive="1" name="Запрос — Преобразовать файл (8)" description="Соединение с запросом &quot;Преобразовать файл (8)&quot; в книге." type="5" refreshedVersion="0" background="1">
    <dbPr connection="Provider=Microsoft.Mashup.OleDb.1;Data Source=$Workbook$;Location=&quot;Преобразовать файл (8)&quot;;Extended Properties=&quot;&quot;" command="SELECT * FROM [Преобразовать файл (8)]"/>
  </connection>
  <connection id="57" xr16:uid="{BADA9A95-62ED-4AFA-A229-099550E69040}" keepAlive="1" name="Запрос — Преобразовать файл (9)" description="Соединение с запросом &quot;Преобразовать файл (9)&quot; в книге." type="5" refreshedVersion="0" background="1">
    <dbPr connection="Provider=Microsoft.Mashup.OleDb.1;Data Source=$Workbook$;Location=&quot;Преобразовать файл (9)&quot;;Extended Properties=&quot;&quot;" command="SELECT * FROM [Преобразовать файл (9)]"/>
  </connection>
  <connection id="58" xr16:uid="{9D4FDE6C-5EA6-49B8-AC89-DB18C72F8DEB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  <connection id="59" xr16:uid="{DB6C46AE-9579-4EDE-B0D2-C972668D8F32}" keepAlive="1" name="Запрос — Пример файла (10)" description="Соединение с запросом &quot;Пример файла (10)&quot; в книге." type="5" refreshedVersion="0" background="1">
    <dbPr connection="Provider=Microsoft.Mashup.OleDb.1;Data Source=$Workbook$;Location=&quot;Пример файла (10)&quot;;Extended Properties=&quot;&quot;" command="SELECT * FROM [Пример файла (10)]"/>
  </connection>
  <connection id="60" xr16:uid="{4282330C-56B0-4A92-87DC-063DEFD7314C}" keepAlive="1" name="Запрос — Пример файла (11)" description="Соединение с запросом &quot;Пример файла (11)&quot; в книге." type="5" refreshedVersion="0" background="1">
    <dbPr connection="Provider=Microsoft.Mashup.OleDb.1;Data Source=$Workbook$;Location=&quot;Пример файла (11)&quot;;Extended Properties=&quot;&quot;" command="SELECT * FROM [Пример файла (11)]"/>
  </connection>
  <connection id="61" xr16:uid="{51F887DF-CC54-41AF-AC07-F62CE616C85C}" keepAlive="1" name="Запрос — Пример файла (12)" description="Соединение с запросом &quot;Пример файла (12)&quot; в книге." type="5" refreshedVersion="0" background="1">
    <dbPr connection="Provider=Microsoft.Mashup.OleDb.1;Data Source=$Workbook$;Location=&quot;Пример файла (12)&quot;;Extended Properties=&quot;&quot;" command="SELECT * FROM [Пример файла (12)]"/>
  </connection>
  <connection id="62" xr16:uid="{A3B0FA27-7483-4734-A3FC-0C30808073EE}" keepAlive="1" name="Запрос — Пример файла (13)" description="Соединение с запросом &quot;Пример файла (13)&quot; в книге." type="5" refreshedVersion="0" background="1">
    <dbPr connection="Provider=Microsoft.Mashup.OleDb.1;Data Source=$Workbook$;Location=&quot;Пример файла (13)&quot;;Extended Properties=&quot;&quot;" command="SELECT * FROM [Пример файла (13)]"/>
  </connection>
  <connection id="63" xr16:uid="{159B2A5D-BA02-4192-AEC2-836AB3B30097}" keepAlive="1" name="Запрос — Пример файла (14)" description="Соединение с запросом &quot;Пример файла (14)&quot; в книге." type="5" refreshedVersion="0" background="1">
    <dbPr connection="Provider=Microsoft.Mashup.OleDb.1;Data Source=$Workbook$;Location=&quot;Пример файла (14)&quot;;Extended Properties=&quot;&quot;" command="SELECT * FROM [Пример файла (14)]"/>
  </connection>
  <connection id="64" xr16:uid="{299F2D66-FD8A-4E32-93E7-DADCBD231DC5}" keepAlive="1" name="Запрос — Пример файла (15)" description="Соединение с запросом &quot;Пример файла (15)&quot; в книге." type="5" refreshedVersion="0" background="1">
    <dbPr connection="Provider=Microsoft.Mashup.OleDb.1;Data Source=$Workbook$;Location=&quot;Пример файла (15)&quot;;Extended Properties=&quot;&quot;" command="SELECT * FROM [Пример файла (15)]"/>
  </connection>
  <connection id="65" xr16:uid="{6C4E087B-417B-48D6-BC33-0398ED1083B2}" keepAlive="1" name="Запрос — Пример файла (16)" description="Соединение с запросом &quot;Пример файла (16)&quot; в книге." type="5" refreshedVersion="0" background="1">
    <dbPr connection="Provider=Microsoft.Mashup.OleDb.1;Data Source=$Workbook$;Location=&quot;Пример файла (16)&quot;;Extended Properties=&quot;&quot;" command="SELECT * FROM [Пример файла (16)]"/>
  </connection>
  <connection id="66" xr16:uid="{716E0705-37BC-4A50-B9E2-788F9A24CF96}" keepAlive="1" name="Запрос — Пример файла (17)" description="Соединение с запросом &quot;Пример файла (17)&quot; в книге." type="5" refreshedVersion="0" background="1">
    <dbPr connection="Provider=Microsoft.Mashup.OleDb.1;Data Source=$Workbook$;Location=&quot;Пример файла (17)&quot;;Extended Properties=&quot;&quot;" command="SELECT * FROM [Пример файла (17)]"/>
  </connection>
  <connection id="67" xr16:uid="{2885DDD4-1F69-4F22-AAD2-AB03CE107159}" keepAlive="1" name="Запрос — Пример файла (18)" description="Соединение с запросом &quot;Пример файла (18)&quot; в книге." type="5" refreshedVersion="0" background="1">
    <dbPr connection="Provider=Microsoft.Mashup.OleDb.1;Data Source=$Workbook$;Location=&quot;Пример файла (18)&quot;;Extended Properties=&quot;&quot;" command="SELECT * FROM [Пример файла (18)]"/>
  </connection>
  <connection id="68" xr16:uid="{10C3D126-B570-4217-9764-42313B3810AA}" keepAlive="1" name="Запрос — Пример файла (19)" description="Соединение с запросом &quot;Пример файла (19)&quot; в книге." type="5" refreshedVersion="0" background="1">
    <dbPr connection="Provider=Microsoft.Mashup.OleDb.1;Data Source=$Workbook$;Location=&quot;Пример файла (19)&quot;;Extended Properties=&quot;&quot;" command="SELECT * FROM [Пример файла (19)]"/>
  </connection>
  <connection id="69" xr16:uid="{6C9D1E73-004A-43A7-8553-77BC415B33DE}" keepAlive="1" name="Запрос — Пример файла (2)" description="Соединение с запросом &quot;Пример файла (2)&quot; в книге." type="5" refreshedVersion="0" background="1">
    <dbPr connection="Provider=Microsoft.Mashup.OleDb.1;Data Source=$Workbook$;Location=&quot;Пример файла (2)&quot;;Extended Properties=&quot;&quot;" command="SELECT * FROM [Пример файла (2)]"/>
  </connection>
  <connection id="70" xr16:uid="{E4D939C3-FB99-4903-973D-788FD363AE4D}" keepAlive="1" name="Запрос — Пример файла (3)" description="Соединение с запросом &quot;Пример файла (3)&quot; в книге." type="5" refreshedVersion="0" background="1">
    <dbPr connection="Provider=Microsoft.Mashup.OleDb.1;Data Source=$Workbook$;Location=&quot;Пример файла (3)&quot;;Extended Properties=&quot;&quot;" command="SELECT * FROM [Пример файла (3)]"/>
  </connection>
  <connection id="71" xr16:uid="{96486CEA-199C-4953-9280-E94633EEE046}" keepAlive="1" name="Запрос — Пример файла (4)" description="Соединение с запросом &quot;Пример файла (4)&quot; в книге." type="5" refreshedVersion="0" background="1">
    <dbPr connection="Provider=Microsoft.Mashup.OleDb.1;Data Source=$Workbook$;Location=&quot;Пример файла (4)&quot;;Extended Properties=&quot;&quot;" command="SELECT * FROM [Пример файла (4)]"/>
  </connection>
  <connection id="72" xr16:uid="{468C8098-796B-4B1C-9A42-91BC7C354FAB}" keepAlive="1" name="Запрос — Пример файла (5)" description="Соединение с запросом &quot;Пример файла (5)&quot; в книге." type="5" refreshedVersion="0" background="1">
    <dbPr connection="Provider=Microsoft.Mashup.OleDb.1;Data Source=$Workbook$;Location=&quot;Пример файла (5)&quot;;Extended Properties=&quot;&quot;" command="SELECT * FROM [Пример файла (5)]"/>
  </connection>
  <connection id="73" xr16:uid="{9EFD5E65-3E1A-481B-91FA-A7B454236DFE}" keepAlive="1" name="Запрос — Пример файла (6)" description="Соединение с запросом &quot;Пример файла (6)&quot; в книге." type="5" refreshedVersion="0" background="1">
    <dbPr connection="Provider=Microsoft.Mashup.OleDb.1;Data Source=$Workbook$;Location=&quot;Пример файла (6)&quot;;Extended Properties=&quot;&quot;" command="SELECT * FROM [Пример файла (6)]"/>
  </connection>
  <connection id="74" xr16:uid="{BC5191AE-9B7C-4F60-8D0A-59F1D9DA0D3E}" keepAlive="1" name="Запрос — Пример файла (7)" description="Соединение с запросом &quot;Пример файла (7)&quot; в книге." type="5" refreshedVersion="0" background="1">
    <dbPr connection="Provider=Microsoft.Mashup.OleDb.1;Data Source=$Workbook$;Location=&quot;Пример файла (7)&quot;;Extended Properties=&quot;&quot;" command="SELECT * FROM [Пример файла (7)]"/>
  </connection>
  <connection id="75" xr16:uid="{09EECDD3-C79C-4B49-8054-29C2C72B16F3}" keepAlive="1" name="Запрос — Пример файла (8)" description="Соединение с запросом &quot;Пример файла (8)&quot; в книге." type="5" refreshedVersion="0" background="1">
    <dbPr connection="Provider=Microsoft.Mashup.OleDb.1;Data Source=$Workbook$;Location=&quot;Пример файла (8)&quot;;Extended Properties=&quot;&quot;" command="SELECT * FROM [Пример файла (8)]"/>
  </connection>
  <connection id="76" xr16:uid="{8B24E9D2-56B5-4653-AE1E-D7F519690C79}" keepAlive="1" name="Запрос — Пример файла (9)" description="Соединение с запросом &quot;Пример файла (9)&quot; в книге." type="5" refreshedVersion="0" background="1">
    <dbPr connection="Provider=Microsoft.Mashup.OleDb.1;Data Source=$Workbook$;Location=&quot;Пример файла (9)&quot;;Extended Properties=&quot;&quot;" command="SELECT * FROM [Пример файла (9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<sst xmlns="http://schemas.openxmlformats.org/spreadsheetml/2006/main" count="40177" uniqueCount="7499">
  <si>
    <t>Артикул</t>
  </si>
  <si>
    <t>ИС.131086</t>
  </si>
  <si>
    <t>ИС.131087</t>
  </si>
  <si>
    <t>ИС.131109</t>
  </si>
  <si>
    <t>ИС.131813</t>
  </si>
  <si>
    <t>ИС.131814</t>
  </si>
  <si>
    <t>ИС.131815</t>
  </si>
  <si>
    <t>ИС.131817</t>
  </si>
  <si>
    <t>Номенклатура</t>
  </si>
  <si>
    <t>Труба PERT  16*2 - 100 м</t>
  </si>
  <si>
    <t>Труба PERT  16*2 - 200 м</t>
  </si>
  <si>
    <t>Труба PERT  20*2 - 100 м</t>
  </si>
  <si>
    <t>Труба PERT  20*2 - 200 м</t>
  </si>
  <si>
    <t>Воздухоотводчик автоматический (поплавковый) 1/2″</t>
  </si>
  <si>
    <t>Воздухоотводчик автоматический (поплавковый) 3/8″ c остекающим клапаном 1/2″</t>
  </si>
  <si>
    <t>Группа безопасности котла 1″</t>
  </si>
  <si>
    <t>Группа безопасности котла 1″ компакт</t>
  </si>
  <si>
    <t>Группа безопасности расширительного бака</t>
  </si>
  <si>
    <t>Клапан предохранительный (не регулируемый) 1,5 Bar</t>
  </si>
  <si>
    <t>Клапан предохранительный (не регулируемый) 3 Bar</t>
  </si>
  <si>
    <t>Клапан предохранительный (не регулируемый) 6 Bar</t>
  </si>
  <si>
    <t>Клапан предохранительный для бойлера 1/2″</t>
  </si>
  <si>
    <t>Отсекающий клапан 1/2″</t>
  </si>
  <si>
    <t>Регулятор давления поршневой (редуктор) 1/2″</t>
  </si>
  <si>
    <t>Регулятор давления поршневой (редуктор) 3/4″</t>
  </si>
  <si>
    <t>Фильтр механической очистки каскадный промывной 1/2″</t>
  </si>
  <si>
    <t>Фильтр механической очистки каскадный промывной 1″</t>
  </si>
  <si>
    <t>Фильтр механической очистки каскадный промывной 3/4″</t>
  </si>
  <si>
    <t>Клапан запорный 1 1/2"  (вентиль) 15Б3р</t>
  </si>
  <si>
    <t>Клапан запорный 1 1/2" (вентиль) 15Б1п</t>
  </si>
  <si>
    <t>Клапан запорный 1 1/4"  (вентиль) 15Б3р</t>
  </si>
  <si>
    <t>Клапан запорный 1 1/4" (вентиль) 15Б1п</t>
  </si>
  <si>
    <t>Клапан запорный 1"  (вентиль) 15Б3р</t>
  </si>
  <si>
    <t>Клапан запорный 1" (вентиль) 15Б1п</t>
  </si>
  <si>
    <t>Клапан запорный 1/2" (вентиль) 15Б1п</t>
  </si>
  <si>
    <t>Клапан запорный 1/2" (вентиль) 15Б3р</t>
  </si>
  <si>
    <t>Клапан запорный 2" (вентиль) 15Б1п</t>
  </si>
  <si>
    <t>Клапан запорный 2" (вентиль) 15Б3р</t>
  </si>
  <si>
    <t>Клапан запорный 3/4" (вентиль) 15Б1п</t>
  </si>
  <si>
    <t>Клапан запорный 3/4" (вентиль) 15Б3р</t>
  </si>
  <si>
    <t>Подводка гибкая для воды "Гигант" с латунной гайкой 1" вн-вн 100 см</t>
  </si>
  <si>
    <t>Подводка гибкая для воды "Гигант" с латунной гайкой 1" вн-вн 100 см угловая</t>
  </si>
  <si>
    <t>Подводка гибкая для воды "Гигант" с латунной гайкой 1" вн-вн 120 см</t>
  </si>
  <si>
    <t>Подводка гибкая для воды "Гигант" с латунной гайкой 1" вн-вн 150 см</t>
  </si>
  <si>
    <t>Подводка гибкая для воды "Гигант" с латунной гайкой 1" вн-вн 40 см</t>
  </si>
  <si>
    <t>Подводка гибкая для воды "Гигант" с латунной гайкой 1" вн-вн 50 см</t>
  </si>
  <si>
    <t>Подводка гибкая для воды "Гигант" с латунной гайкой 1" вн-вн 50 см угловая</t>
  </si>
  <si>
    <t>Подводка гибкая для воды "Гигант" с латунной гайкой 1" вн-вн 60 см</t>
  </si>
  <si>
    <t>Подводка гибкая для воды "Гигант" с латунной гайкой 1" вн-вн 60 см угловая</t>
  </si>
  <si>
    <t>Подводка гибкая для воды "Гигант" с латунной гайкой 1" вн-вн 80 см</t>
  </si>
  <si>
    <t>Подводка гибкая для воды "Гигант" с латунной гайкой 1" вн-вн 80 см угловая</t>
  </si>
  <si>
    <t>Подводка гибкая для воды "Гигант" с латунной гайкой 1" вн-нар 100 см</t>
  </si>
  <si>
    <t>Подводка гибкая для воды "Гигант" с латунной гайкой 1" вн-нар 100 см угловая</t>
  </si>
  <si>
    <t>Подводка гибкая для воды "Гигант" с латунной гайкой 1" вн-нар 120 см</t>
  </si>
  <si>
    <t>Подводка гибкая для воды "Гигант" с латунной гайкой 1" вн-нар 150 см</t>
  </si>
  <si>
    <t>Подводка гибкая для воды "Гигант" с латунной гайкой 1" вн-нар 40 см</t>
  </si>
  <si>
    <t>Подводка гибкая для воды "Гигант" с латунной гайкой 1" вн-нар 50 см</t>
  </si>
  <si>
    <t>Подводка гибкая для воды "Гигант" с латунной гайкой 1" вн-нар 50 см угловая</t>
  </si>
  <si>
    <t>Подводка гибкая для воды "Гигант" с латунной гайкой 1" вн-нар 60 см</t>
  </si>
  <si>
    <t>Подводка гибкая для воды "Гигант" с латунной гайкой 1" вн-нар 60 см угловая</t>
  </si>
  <si>
    <t>Подводка гибкая для воды "Гигант" с латунной гайкой 1" вн-нар 80 см</t>
  </si>
  <si>
    <t>Подводка гибкая для воды "Гигант" с латунной гайкой 1" вн-нар 80 см угловая</t>
  </si>
  <si>
    <t>Подводка гибкая для воды "Гигант" с латунной гайкой 1/2" вн-вн 100 см</t>
  </si>
  <si>
    <t>Подводка гибкая для воды "Гигант" с латунной гайкой 1/2" вн-вн 120 см</t>
  </si>
  <si>
    <t>Подводка гибкая для воды "Гигант" с латунной гайкой 1/2" вн-вн 150 см</t>
  </si>
  <si>
    <t>Подводка гибкая для воды "Гигант" с латунной гайкой 1/2" вн-вн 30 см</t>
  </si>
  <si>
    <t>Подводка гибкая для воды "Гигант" с латунной гайкой 1/2" вн-вн 40 см</t>
  </si>
  <si>
    <t>Подводка гибкая для воды "Гигант" с латунной гайкой 1/2" вн-вн 50 см</t>
  </si>
  <si>
    <t>Подводка гибкая для воды "Гигант" с латунной гайкой 1/2" вн-вн 60 см</t>
  </si>
  <si>
    <t>Подводка гибкая для воды "Гигант" с латунной гайкой 1/2" вн-вн 80 см</t>
  </si>
  <si>
    <t>Подводка гибкая для воды "Гигант" с латунной гайкой 1/2" вн-нар 100 см</t>
  </si>
  <si>
    <t>Подводка гибкая для воды "Гигант" с латунной гайкой 1/2" вн-нар 120 см</t>
  </si>
  <si>
    <t>Подводка гибкая для воды "Гигант" с латунной гайкой 1/2" вн-нар 150 см</t>
  </si>
  <si>
    <t>Подводка гибкая для воды "Гигант" с латунной гайкой 1/2" вн-нар 30 см</t>
  </si>
  <si>
    <t>Подводка гибкая для воды "Гигант" с латунной гайкой 1/2" вн-нар 40 см</t>
  </si>
  <si>
    <t>Подводка гибкая для воды "Гигант" с латунной гайкой 1/2" вн-нар 50 см</t>
  </si>
  <si>
    <t>Подводка гибкая для воды "Гигант" с латунной гайкой 1/2" вн-нар 60 см</t>
  </si>
  <si>
    <t>Подводка гибкая для воды "Гигант" с латунной гайкой 1/2" вн-нар 80 см</t>
  </si>
  <si>
    <t>Подводка гибкая для воды "Гигант" с латунной гайкой 3/4" вн-вн 100 см</t>
  </si>
  <si>
    <t>Подводка гибкая для воды "Гигант" с латунной гайкой 3/4" вн-вн 120 см</t>
  </si>
  <si>
    <t>Подводка гибкая для воды "Гигант" с латунной гайкой 3/4" вн-вн 150 см</t>
  </si>
  <si>
    <t>Подводка гибкая для воды "Гигант" с латунной гайкой 3/4" вн-вн 30 см</t>
  </si>
  <si>
    <t>Подводка гибкая для воды "Гигант" с латунной гайкой 3/4" вн-вн 40 см</t>
  </si>
  <si>
    <t>Подводка гибкая для воды "Гигант" с латунной гайкой 3/4" вн-вн 50 см</t>
  </si>
  <si>
    <t>Подводка гибкая для воды "Гигант" с латунной гайкой 3/4" вн-вн 60 см</t>
  </si>
  <si>
    <t>Подводка гибкая для воды "Гигант" с латунной гайкой 3/4" вн-вн 80 см</t>
  </si>
  <si>
    <t>Подводка гибкая для воды "Гигант" с латунной гайкой 3/4" вн-нар 100 см</t>
  </si>
  <si>
    <t>Подводка гибкая для воды "Гигант" с латунной гайкой 3/4" вн-нар 120 см</t>
  </si>
  <si>
    <t>Подводка гибкая для воды "Гигант" с латунной гайкой 3/4" вн-нар 150 см</t>
  </si>
  <si>
    <t>Подводка гибкая для воды "Гигант" с латунной гайкой 3/4" вн-нар 30 см</t>
  </si>
  <si>
    <t>Подводка гибкая для воды "Гигант" с латунной гайкой 3/4" вн-нар 40 см</t>
  </si>
  <si>
    <t>Подводка гибкая для воды "Гигант" с латунной гайкой 3/4" вн-нар 50 см</t>
  </si>
  <si>
    <t>Подводка гибкая для воды "Гигант" с латунной гайкой 3/4" вн-нар 60 см</t>
  </si>
  <si>
    <t>Подводка гибкая для воды "Гигант" с латунной гайкой 3/4" вн-нар 80 см</t>
  </si>
  <si>
    <t>Подводка с ПВХ покрытием для воды 1/2" вн-вн 100 см</t>
  </si>
  <si>
    <t>Подводка с ПВХ покрытием для воды 1/2" вн-вн 120 см</t>
  </si>
  <si>
    <t>Подводка с ПВХ покрытием для воды 1/2" вн-вн 150 см</t>
  </si>
  <si>
    <t>Подводка с ПВХ покрытием для воды 1/2" вн-вн 200 см</t>
  </si>
  <si>
    <t>Подводка с ПВХ покрытием для воды 1/2" вн-вн 250 см</t>
  </si>
  <si>
    <t>Подводка с ПВХ покрытием для воды 1/2" вн-вн 30 см</t>
  </si>
  <si>
    <t>Подводка с ПВХ покрытием для воды 1/2" вн-вн 300 см</t>
  </si>
  <si>
    <t>Подводка с ПВХ покрытием для воды 1/2" вн-вн 350 см</t>
  </si>
  <si>
    <t>Подводка с ПВХ покрытием для воды 1/2" вн-вн 40 см</t>
  </si>
  <si>
    <t>Подводка с ПВХ покрытием для воды 1/2" вн-вн 400 см</t>
  </si>
  <si>
    <t>Подводка с ПВХ покрытием для воды 1/2" вн-вн 50 см</t>
  </si>
  <si>
    <t>Подводка с ПВХ покрытием для воды 1/2" вн-вн 60 см</t>
  </si>
  <si>
    <t>Подводка с ПВХ покрытием для воды 1/2" вн-вн 80 см</t>
  </si>
  <si>
    <t>Подводка с ПВХ покрытием для воды 1/2" вн-нар 100 см</t>
  </si>
  <si>
    <t>Подводка с ПВХ покрытием для воды 1/2" вн-нар 120 см</t>
  </si>
  <si>
    <t>Подводка с ПВХ покрытием для воды 1/2" вн-нар 150 см</t>
  </si>
  <si>
    <t>Подводка с ПВХ покрытием для воды 1/2" вн-нар 200 см</t>
  </si>
  <si>
    <t>Подводка с ПВХ покрытием для воды 1/2" вн-нар 250 см</t>
  </si>
  <si>
    <t>Подводка с ПВХ покрытием для воды 1/2" вн-нар 30 см</t>
  </si>
  <si>
    <t>Подводка с ПВХ покрытием для воды 1/2" вн-нар 300 см</t>
  </si>
  <si>
    <t>Подводка с ПВХ покрытием для воды 1/2" вн-нар 350 см</t>
  </si>
  <si>
    <t>Подводка с ПВХ покрытием для воды 1/2" вн-нар 40 см</t>
  </si>
  <si>
    <t>Подводка с ПВХ покрытием для воды 1/2" вн-нар 400 см</t>
  </si>
  <si>
    <t>Подводка с ПВХ покрытием для воды 1/2" вн-нар 50 см</t>
  </si>
  <si>
    <t>Подводка с ПВХ покрытием для воды 1/2" вн-нар 60 см</t>
  </si>
  <si>
    <t>Подводка с ПВХ покрытием для воды 1/2" вн-нар 80 см</t>
  </si>
  <si>
    <t>Подводка с ПВХ покрытием для смесителя 100 см вн-нар (2 шт.)</t>
  </si>
  <si>
    <t>Подводка с ПВХ покрытием для смесителя 120 см вн-нар (2 шт.)</t>
  </si>
  <si>
    <t>Подводка с ПВХ покрытием для смесителя 150 см вн-нар (2 шт.)</t>
  </si>
  <si>
    <t>Подводка с ПВХ покрытием для смесителя 200 см вн-нар (2 шт.)</t>
  </si>
  <si>
    <t>Подводка с ПВХ покрытием для смесителя 30 см вн-нар (2 шт.)</t>
  </si>
  <si>
    <t>Подводка с ПВХ покрытием для смесителя 40 см вн-нар (2 шт.)</t>
  </si>
  <si>
    <t>Подводка с ПВХ покрытием для смесителя 50 см вн-нар (2 шт.)</t>
  </si>
  <si>
    <t>Подводка с ПВХ покрытием для смесителя 60 см вн-нар (2 шт.)</t>
  </si>
  <si>
    <t>Подводка с ПВХ покрытием для смесителя 80 см вн-нар (2 шт.)</t>
  </si>
  <si>
    <t>Подводка ПВХ для газа 1/2" вн-вн 100 см</t>
  </si>
  <si>
    <t>Подводка ПВХ для газа 1/2" вн-вн 120 см</t>
  </si>
  <si>
    <t>Подводка ПВХ для газа 1/2" вн-вн 150 см</t>
  </si>
  <si>
    <t>Подводка ПВХ для газа 1/2" вн-вн 180 см</t>
  </si>
  <si>
    <t>Подводка ПВХ для газа 1/2" вн-вн 200 см</t>
  </si>
  <si>
    <t>Подводка ПВХ для газа 1/2" вн-вн 250 см</t>
  </si>
  <si>
    <t>Подводка ПВХ для газа 1/2" вн-вн 30 см</t>
  </si>
  <si>
    <t>Подводка ПВХ для газа 1/2" вн-вн 300 см</t>
  </si>
  <si>
    <t>Подводка ПВХ для газа 1/2" вн-вн 40 см</t>
  </si>
  <si>
    <t>Подводка ПВХ для газа 1/2" вн-вн 400 см</t>
  </si>
  <si>
    <t>Подводка ПВХ для газа 1/2" вн-вн 50 см</t>
  </si>
  <si>
    <t>Подводка ПВХ для газа 1/2" вн-вн 500 см</t>
  </si>
  <si>
    <t>Подводка ПВХ для газа 1/2" вн-вн 60 см</t>
  </si>
  <si>
    <t>Подводка ПВХ для газа 1/2" вн-вн 80 см</t>
  </si>
  <si>
    <t>Подводка ПВХ для газа 1/2" вн-нар 100 см</t>
  </si>
  <si>
    <t>Подводка ПВХ для газа 1/2" вн-нар 120 см</t>
  </si>
  <si>
    <t>Подводка ПВХ для газа 1/2" вн-нар 150 см</t>
  </si>
  <si>
    <t>Подводка ПВХ для газа 1/2" вн-нар 180 см</t>
  </si>
  <si>
    <t>Подводка ПВХ для газа 1/2" вн-нар 200 см</t>
  </si>
  <si>
    <t>Подводка ПВХ для газа 1/2" вн-нар 250 см</t>
  </si>
  <si>
    <t>Подводка ПВХ для газа 1/2" вн-нар 30 см</t>
  </si>
  <si>
    <t>Подводка ПВХ для газа 1/2" вн-нар 300 см</t>
  </si>
  <si>
    <t>Подводка ПВХ для газа 1/2" вн-нар 40 см</t>
  </si>
  <si>
    <t>Подводка ПВХ для газа 1/2" вн-нар 400 см</t>
  </si>
  <si>
    <t>Подводка ПВХ для газа 1/2" вн-нар 50 см</t>
  </si>
  <si>
    <t>Подводка ПВХ для газа 1/2" вн-нар 500 см</t>
  </si>
  <si>
    <t>Подводка ПВХ для газа 1/2" вн-нар 60 см</t>
  </si>
  <si>
    <t>Подводка ПВХ для газа 1/2" вн-нар 80 см</t>
  </si>
  <si>
    <t>Подводка  FF   20</t>
  </si>
  <si>
    <t>Подводка  FF   30</t>
  </si>
  <si>
    <t>Подводка  FF   40</t>
  </si>
  <si>
    <t>Подводка  FF   50</t>
  </si>
  <si>
    <t>Подводка  FF   60</t>
  </si>
  <si>
    <t>Подводка  FF   80</t>
  </si>
  <si>
    <t>Подводка  FF  100</t>
  </si>
  <si>
    <t>Подводка  FF  120</t>
  </si>
  <si>
    <t>Подводка  FF  150</t>
  </si>
  <si>
    <t>Подводка  FF  180</t>
  </si>
  <si>
    <t>Подводка  FF  200</t>
  </si>
  <si>
    <t>Подводка  FF  250</t>
  </si>
  <si>
    <t>Подводка  FF  300</t>
  </si>
  <si>
    <t>Подводка  FF  350</t>
  </si>
  <si>
    <t>Подводка  FF  400</t>
  </si>
  <si>
    <t>Подводка  FM   20</t>
  </si>
  <si>
    <t>Подводка  FM   30</t>
  </si>
  <si>
    <t>Подводка  FM   40</t>
  </si>
  <si>
    <t>Подводка  FM   50</t>
  </si>
  <si>
    <t>Подводка  FM   60</t>
  </si>
  <si>
    <t>Подводка  FM   80</t>
  </si>
  <si>
    <t>Подводка  FM  100</t>
  </si>
  <si>
    <t>Подводка  FM  120</t>
  </si>
  <si>
    <t>Подводка  FM  150</t>
  </si>
  <si>
    <t>Подводка  FM  180</t>
  </si>
  <si>
    <t>Подводка  FM  200</t>
  </si>
  <si>
    <t>Подводка  FM  250</t>
  </si>
  <si>
    <t>Подводка  FM  300</t>
  </si>
  <si>
    <t>Подводка  FM  350</t>
  </si>
  <si>
    <t>Подводка  FM  400</t>
  </si>
  <si>
    <t>Подводка для смесителя   30 см  (2 шт.)</t>
  </si>
  <si>
    <t>Подводка для смесителя   40 см  (2 шт.)</t>
  </si>
  <si>
    <t>Подводка для смесителя   50 см  (2 шт.)</t>
  </si>
  <si>
    <t>Подводка для смесителя   60 см  (2 шт.)</t>
  </si>
  <si>
    <t>Подводка для смесителя   80 см  (2 шт.)</t>
  </si>
  <si>
    <t>Подводка для смесителя  100 см  (2 шт.)</t>
  </si>
  <si>
    <t>Подводка для смесителя  120 см  (2 шт.)</t>
  </si>
  <si>
    <t>Подводка для смесителя  150 см  (2 шт.)</t>
  </si>
  <si>
    <t>Подводка для смесителя  200 см  (2 шт.)</t>
  </si>
  <si>
    <t>Подводка  FF   20  стальная гайка</t>
  </si>
  <si>
    <t>Подводка  FF   30  стальная гайка</t>
  </si>
  <si>
    <t>Подводка  FF   40  стальная гайка</t>
  </si>
  <si>
    <t>Подводка  FF   50  стальная гайка</t>
  </si>
  <si>
    <t>Подводка  FF   60  стальная гайка</t>
  </si>
  <si>
    <t>Подводка  FF   80  стальная гайка</t>
  </si>
  <si>
    <t>Подводка  FF  100  стальная гайка</t>
  </si>
  <si>
    <t>Подводка  FF  120  стальная гайка</t>
  </si>
  <si>
    <t>Подводка  FF  150  стальная гайка</t>
  </si>
  <si>
    <t>Подводка  FF  180  стальная гайка</t>
  </si>
  <si>
    <t>Подводка  FF  200  стальная гайка</t>
  </si>
  <si>
    <t>Подводка  FF  250  стальная гайка</t>
  </si>
  <si>
    <t>Подводка  FF  300  стальная гайка</t>
  </si>
  <si>
    <t>Подводка  FF  350  стальная гайка</t>
  </si>
  <si>
    <t>Подводка  FF  400  стальная гайка</t>
  </si>
  <si>
    <t>Подводка  FM   100  стальная гайка</t>
  </si>
  <si>
    <t>Подводка  FM   120  стальная гайка</t>
  </si>
  <si>
    <t>Подводка  FM   150  стальная гайка</t>
  </si>
  <si>
    <t>Подводка  FM   180  стальная гайка</t>
  </si>
  <si>
    <t>Подводка  FM   20  стальная гайка</t>
  </si>
  <si>
    <t>Подводка  FM   200  стальная гайка</t>
  </si>
  <si>
    <t>Подводка  FM   250  стальная гайка</t>
  </si>
  <si>
    <t>Подводка  FM   30  стальная гайка</t>
  </si>
  <si>
    <t>Подводка  FM   300  стальная гайка</t>
  </si>
  <si>
    <t>Подводка  FM   350  стальная гайка</t>
  </si>
  <si>
    <t>Подводка  FM   40  стальная гайка</t>
  </si>
  <si>
    <t>Подводка  FM   400  стальная гайка</t>
  </si>
  <si>
    <t>Подводка  FM   50  стальная гайка</t>
  </si>
  <si>
    <t>Подводка  FM   60  стальная гайка</t>
  </si>
  <si>
    <t>Подводка  FM   80  стальная гайка</t>
  </si>
  <si>
    <t>Подводка для смесителя  100 см  стальная гайка  (2 шт.)</t>
  </si>
  <si>
    <t>Подводка для смесителя  120 см  стальная гайка  (2 шт.)</t>
  </si>
  <si>
    <t>Подводка для смесителя  150 см  стальная гайка  (2 шт.)</t>
  </si>
  <si>
    <t>Подводка для смесителя  200 см  стальная гайка  (2 шт.)</t>
  </si>
  <si>
    <t>Подводка для смесителя  30 см  стальная гайка  (2 шт.)</t>
  </si>
  <si>
    <t>Подводка для смесителя  40 см  стальная гайка  (2 шт.)</t>
  </si>
  <si>
    <t>Подводка для смесителя  50 см  стальная гайка  (2 шт.)</t>
  </si>
  <si>
    <t>Подводка для смесителя  60 см  стальная гайка  (2 шт.)</t>
  </si>
  <si>
    <t>Подводка для смесителя  80 см  стальная гайка  (2 шт.)</t>
  </si>
  <si>
    <t>Коллекторная группа с расходомерами, сливным краном и автомат. возд-ком, нерж. сталь 1"х10х3/4"</t>
  </si>
  <si>
    <t>Коллекторная группа с расходомерами, сливным краном и автомат. возд-ком, нерж. сталь 1"х11х3/4"</t>
  </si>
  <si>
    <t>Коллекторная группа с расходомерами, сливным краном и автомат. возд-ком, нерж. сталь 1"х12х3/4"</t>
  </si>
  <si>
    <t>Коллекторная группа с расходомерами, сливным краном и автомат. возд-ком, нерж. сталь 1"х2х3/4"</t>
  </si>
  <si>
    <t>Коллекторная группа с расходомерами, сливным краном и автомат. возд-ком, нерж. сталь 1"х3х3/4"</t>
  </si>
  <si>
    <t>Коллекторная группа с расходомерами, сливным краном и автомат. возд-ком, нерж. сталь 1"х4х3/4"</t>
  </si>
  <si>
    <t>Коллекторная группа с расходомерами, сливным краном и автомат. возд-ком, нерж. сталь 1"х5х3/4"</t>
  </si>
  <si>
    <t>Коллекторная группа с расходомерами, сливным краном и автомат. возд-ком, нерж. сталь 1"х6х3/4"</t>
  </si>
  <si>
    <t>Коллекторная группа с расходомерами, сливным краном и автомат. возд-ком, нерж. сталь 1"х7х3/4"</t>
  </si>
  <si>
    <t>Коллекторная группа с расходомерами, сливным краном и автомат. возд-ком, нерж. сталь 1"х8х3/4"</t>
  </si>
  <si>
    <t>Коллекторная группа с расходомерами, сливным краном и автомат. возд-ком, нерж. сталь 1"х9х3/4"</t>
  </si>
  <si>
    <t>Кронштейн раздвижной для коллекторной группы 1"</t>
  </si>
  <si>
    <t>Насосно-смесительный узел</t>
  </si>
  <si>
    <t>Расходомер для коллекторной группы 1/2"</t>
  </si>
  <si>
    <t>Фитинг коллекторный обжимной (евроконус) для полимерных труб 3/4"х16</t>
  </si>
  <si>
    <t>Фитинг коллекторный обжимной (евроконус) для полимерных труб 3/4"х20</t>
  </si>
  <si>
    <t>Воздухоотводчик автоматический (радиаторный) 1'' левый</t>
  </si>
  <si>
    <t>Воздухоотводчик автоматический (радиаторный) 1'' правый</t>
  </si>
  <si>
    <t>Воздухоотводчик ручной  1/2''  (кран Маевского)</t>
  </si>
  <si>
    <t>Воздухоотводчик ручной  3/4''  (кран Маевского)</t>
  </si>
  <si>
    <t>Воздухоотводчик ручной с пластиковой ручкой  1/2''  (кран Маевского)</t>
  </si>
  <si>
    <t>Воздухоотводчик ручной с пластиковой ручкой  3/4''  (кран Маевского)</t>
  </si>
  <si>
    <t>Заглушка для радиатора левая с силиконовой прокладкой  1"</t>
  </si>
  <si>
    <t>Заглушка для радиатора правая с силиконовой прокладкой  1"</t>
  </si>
  <si>
    <t>Заглушка на переходник для радиатора  1/2</t>
  </si>
  <si>
    <t>Заглушка на переходник для радиатора  3/4</t>
  </si>
  <si>
    <t>Запорный клапан для радиатора прямой  FM 1/2"</t>
  </si>
  <si>
    <t>Запорный клапан для радиатора прямой  FM 3/4"</t>
  </si>
  <si>
    <t>Запорный клапан для радиатора угловой  FM 1/2"</t>
  </si>
  <si>
    <t>Запорный клапан для радиатора угловой  FM 3/4"</t>
  </si>
  <si>
    <t>Комплект для монтажа радиатора 1/2, 11 элементов (2 кронштейна)</t>
  </si>
  <si>
    <t>Комплект для монтажа радиатора 1/2, 13 элементов (3 кронштейна)</t>
  </si>
  <si>
    <t>Комплект для монтажа радиатора 1/2, 7 элементов</t>
  </si>
  <si>
    <t>Комплект для монтажа радиатора 3/4, 11 элементов (2 кронштейна)</t>
  </si>
  <si>
    <t>Комплект для монтажа радиатора 3/4, 13 элементов (3 кронштейна)</t>
  </si>
  <si>
    <t>Комплект для монтажа радиатора 3/4, 7 элементов</t>
  </si>
  <si>
    <t>Ниппель межсекционный для радиатора  1''</t>
  </si>
  <si>
    <t>Переходник для радиатора лев. 1''х1/2''  с силик. прокл.</t>
  </si>
  <si>
    <t>Переходник для радиатора лев. 1''х3/4''  с силик. прокл.</t>
  </si>
  <si>
    <t>Переходник для радиатора прав. 1''х1/2''  с силик. прокл.</t>
  </si>
  <si>
    <t>Переходник для радиатора прав. 1''х3/4''  с силик. прокл.</t>
  </si>
  <si>
    <t>Прокладка межсекционная для ниппеля  1''</t>
  </si>
  <si>
    <t>Регулирующий клапан для радиатора прямой  FM 1/2"</t>
  </si>
  <si>
    <t>Регулирующий клапан для радиатора прямой  FM 3/4"</t>
  </si>
  <si>
    <t>Регулирующий клапан для радиатора угловой  FM 1/2"</t>
  </si>
  <si>
    <t>Регулирующий клапан для радиатора угловой  FM 3/4"</t>
  </si>
  <si>
    <t>Термостатическая головка (жидкостная) M30x1,5</t>
  </si>
  <si>
    <t>Термостатический клапан для радиатора прямой 1/2"</t>
  </si>
  <si>
    <t>Термостатический клапан для радиатора прямой 3/4"</t>
  </si>
  <si>
    <t>Термостатический клапан для радиатора угловой 1/2"</t>
  </si>
  <si>
    <t>Термостатический клапан для радиатора угловой 3/4"</t>
  </si>
  <si>
    <t>Крепление-клипса  16-18</t>
  </si>
  <si>
    <t>Крепление-клипса  20-22</t>
  </si>
  <si>
    <t>Крепление-клипса  25-27</t>
  </si>
  <si>
    <t>Крепление-клипса  32-34</t>
  </si>
  <si>
    <t>Крепление-клипса  40-42</t>
  </si>
  <si>
    <t>Крепление-клипса  с  защелкой  16-18</t>
  </si>
  <si>
    <t>Крепление-клипса  с  защелкой  20-22</t>
  </si>
  <si>
    <t>Крепление-клипса  с  защелкой  25-27</t>
  </si>
  <si>
    <t>Крепление-клипса  с  защелкой  32-34</t>
  </si>
  <si>
    <t>Крепление-клипса  с  защелкой  40-42</t>
  </si>
  <si>
    <t>Крепление-клипса  с  защелкой  50-52</t>
  </si>
  <si>
    <t>Крепление-клипса  с  защелкой  60-63</t>
  </si>
  <si>
    <t>Планка д/труб PERT 16/20 универ</t>
  </si>
  <si>
    <t>Кронштейн напольный регулируемый д/радиатора 200-500 мм</t>
  </si>
  <si>
    <t>Кронштейн универсальный угловой</t>
  </si>
  <si>
    <t>Кронштейн штыревой 7*180 круглый с дюбелем</t>
  </si>
  <si>
    <t>Кронштейн штыревой 7*180 плоский с дюбелем</t>
  </si>
  <si>
    <t>МП труба  16х2  б/ш  100 м</t>
  </si>
  <si>
    <t>МП труба  16х2  б/ш  200 м</t>
  </si>
  <si>
    <t>МП труба  20х2  б/ш</t>
  </si>
  <si>
    <t>МП труба  26х3  б/ш</t>
  </si>
  <si>
    <t>Водорозетка  L16х1/2 F-W</t>
  </si>
  <si>
    <t>Водорозетка  L20х1/2 F-W</t>
  </si>
  <si>
    <t>Водорозетка  L20х3/4 F-W</t>
  </si>
  <si>
    <t>Крестовина  С16х16х16х16</t>
  </si>
  <si>
    <t>Переходник  S16х1/2 F</t>
  </si>
  <si>
    <t>Переходник  S16х1/2 M</t>
  </si>
  <si>
    <t>Переходник  S16х16</t>
  </si>
  <si>
    <t>Переходник  S16х20</t>
  </si>
  <si>
    <t>Переходник  S16х3/4 F</t>
  </si>
  <si>
    <t>Переходник  S16х3/4 M</t>
  </si>
  <si>
    <t>Переходник  S20х1/2 F</t>
  </si>
  <si>
    <t>Переходник  S20х1/2 M</t>
  </si>
  <si>
    <t>Переходник  S20х20</t>
  </si>
  <si>
    <t>Переходник  S20х3/4 F</t>
  </si>
  <si>
    <t>Переходник  S20х3/4 M</t>
  </si>
  <si>
    <t>Тройник  Т16х1/2Fx16</t>
  </si>
  <si>
    <t>Тройник  Т16х1/2Mx16</t>
  </si>
  <si>
    <t>Тройник  Т16х16x16</t>
  </si>
  <si>
    <t>Тройник  Т16х20x16</t>
  </si>
  <si>
    <t>Тройник  Т16х3/4Fx16</t>
  </si>
  <si>
    <t>Тройник  Т16х3/4Mx16</t>
  </si>
  <si>
    <t>Тройник  Т20х1/2Fx20</t>
  </si>
  <si>
    <t>Тройник  Т20х1/2Mx20</t>
  </si>
  <si>
    <t>Тройник  Т20х16x20</t>
  </si>
  <si>
    <t>Тройник  Т20х20x20</t>
  </si>
  <si>
    <t>Тройник  Т20х3/4Fx20</t>
  </si>
  <si>
    <t>Тройник  Т20х3/4Mx20</t>
  </si>
  <si>
    <t>Уголок  L16х1/2 F</t>
  </si>
  <si>
    <t>Уголок  L16х1/2 M</t>
  </si>
  <si>
    <t>Уголок  L16х16</t>
  </si>
  <si>
    <t>Уголок  L16х20</t>
  </si>
  <si>
    <t>Уголок  L16х3/4 F</t>
  </si>
  <si>
    <t>Уголок  L16х3/4 M</t>
  </si>
  <si>
    <t>Уголок  L20х1/2 F</t>
  </si>
  <si>
    <t>Уголок  L20х1/2 M</t>
  </si>
  <si>
    <t>Уголок  L20х20</t>
  </si>
  <si>
    <t>Уголок  L20х3/4 F</t>
  </si>
  <si>
    <t>Уголок  L20х3/4 M</t>
  </si>
  <si>
    <t>Труба PN 20  20 х 2,8 арм. стекловолокном</t>
  </si>
  <si>
    <t>Труба PN 20  25 х 3,5 арм. стекловолокном</t>
  </si>
  <si>
    <t>Труба PN 20  32 х 4,4 арм. стекловолокном</t>
  </si>
  <si>
    <t>Труба PN 20  40 х 5,5 арм. стекловолокном</t>
  </si>
  <si>
    <t>Труба PN 20  50 х 6,9 арм. стекловолокном</t>
  </si>
  <si>
    <t>Труба PN 20  63 х 8,6 арм. стекловолокном</t>
  </si>
  <si>
    <t>Труба PN20  20 х 3,4  для холодной и горячей воды</t>
  </si>
  <si>
    <t>Труба PN20  25 х 4,2  для холодной и горячей воды</t>
  </si>
  <si>
    <t>Труба PN20  32 х 5,4  для холодной и горячей воды</t>
  </si>
  <si>
    <t>Труба PN20  40 х 6,7  для холодной и горячей воды</t>
  </si>
  <si>
    <t>Труба PN20  50 х 8,3  для холодной и горячей воды</t>
  </si>
  <si>
    <t>Труба PN20  63 х 10,5  для холодной и горячей воды</t>
  </si>
  <si>
    <t>Труба PN20  75 х 12,5  для холодной и горячей воды</t>
  </si>
  <si>
    <t>Труба PN20  90 х 15,0  для холодной и горячей воды</t>
  </si>
  <si>
    <t>Труба PN20 110 х 18,3  для холодной и горячей воды</t>
  </si>
  <si>
    <t>Труба PN25  20 х 3,4  арм. стекловолокном  для отопления</t>
  </si>
  <si>
    <t>Труба PN25  25 х 4,2  арм. стекловолокном  для отопления</t>
  </si>
  <si>
    <t>Труба PN25  32 х 5,4  арм. стекловолокном  для отопления</t>
  </si>
  <si>
    <t>Труба PN25  40 х 6,7  арм. стекловолокном  для отопления</t>
  </si>
  <si>
    <t>Труба PN25  50 х 8,3  арм. стекловолокном  для отопления</t>
  </si>
  <si>
    <t>Труба PN25  63 х 10,5  арм. стекловолокном  для отопления</t>
  </si>
  <si>
    <t>Труба PN25  75 х 12,5  арм. стекловолокном  для отопления</t>
  </si>
  <si>
    <t>Труба PN25  90 х 15,0  арм. стекловолокном  для отопления</t>
  </si>
  <si>
    <t>Труба PN25 110 х 18,3  арм. стекловолокном  для отопления</t>
  </si>
  <si>
    <t>Американкa  20 х1/2 F</t>
  </si>
  <si>
    <t>Американкa  20 х3/4 F</t>
  </si>
  <si>
    <t>Американкa  25 х1 F</t>
  </si>
  <si>
    <t>Американкa  25 х1/2 F</t>
  </si>
  <si>
    <t>Американкa  25 х3/4 F</t>
  </si>
  <si>
    <t>Американкa  32 х1 F</t>
  </si>
  <si>
    <t>Американкa  32 х3/4 F</t>
  </si>
  <si>
    <t>Американкa  40 х1 1/4 F</t>
  </si>
  <si>
    <t>Американкa  50 х1 1/2 F</t>
  </si>
  <si>
    <t>Американкa  63 х2 F</t>
  </si>
  <si>
    <t>Американка  20 х1/2 M</t>
  </si>
  <si>
    <t>Американка  20 х3/4 M</t>
  </si>
  <si>
    <t>Американка  25 х1 M</t>
  </si>
  <si>
    <t>Американка  25 х1/2 M</t>
  </si>
  <si>
    <t>Американка  25 х3/4 M</t>
  </si>
  <si>
    <t>Американка  32 х1 M</t>
  </si>
  <si>
    <t>Американка  32 х3/4 M</t>
  </si>
  <si>
    <t>Американка  40 х1 1/4 M</t>
  </si>
  <si>
    <t>Американка  50 х1 1/2 M</t>
  </si>
  <si>
    <t>Американка  63 х2 M</t>
  </si>
  <si>
    <t>Вентиль 90*20</t>
  </si>
  <si>
    <t>Вентиль 90*25</t>
  </si>
  <si>
    <t>Вентиль 90*32</t>
  </si>
  <si>
    <t>Заглушка   20</t>
  </si>
  <si>
    <t>Заглушка   25</t>
  </si>
  <si>
    <t>Заглушка   32</t>
  </si>
  <si>
    <t>Заглушка  40</t>
  </si>
  <si>
    <t>Заглушка  50</t>
  </si>
  <si>
    <t>Заглушка  63</t>
  </si>
  <si>
    <t>Заглушка  резьбовая   20х1/2</t>
  </si>
  <si>
    <t>Заглушка  резьбовая  25х3/4</t>
  </si>
  <si>
    <t>Компенсационная петля  20</t>
  </si>
  <si>
    <t>Компенсационная петля  25</t>
  </si>
  <si>
    <t>Компенсационная петля  32</t>
  </si>
  <si>
    <t>Компенсационная петля  40</t>
  </si>
  <si>
    <t>Крестовина  20</t>
  </si>
  <si>
    <t>Крестовина  25</t>
  </si>
  <si>
    <t>Крестовина  32</t>
  </si>
  <si>
    <t>Муфта  20</t>
  </si>
  <si>
    <t>Муфта  25</t>
  </si>
  <si>
    <t>Муфта  32</t>
  </si>
  <si>
    <t>Муфта  40</t>
  </si>
  <si>
    <t>Муфта  50</t>
  </si>
  <si>
    <t>Муфта  63</t>
  </si>
  <si>
    <t>Муфта  75</t>
  </si>
  <si>
    <t>Муфта  90</t>
  </si>
  <si>
    <t>Муфта 110</t>
  </si>
  <si>
    <t>Муфта комбинированнaя  20 х1/2 F</t>
  </si>
  <si>
    <t>Муфта комбинированнaя  20 х1/2 М</t>
  </si>
  <si>
    <t>Муфта комбинированнaя  20 х3/4 F</t>
  </si>
  <si>
    <t>Муфта комбинированнaя  20 х3/4 М</t>
  </si>
  <si>
    <t>Муфта комбинированнaя  25 х1 F</t>
  </si>
  <si>
    <t>Муфта комбинированнaя  25 х1 М</t>
  </si>
  <si>
    <t>Муфта комбинированнaя  25 х1/2 F</t>
  </si>
  <si>
    <t>Муфта комбинированнaя  25 х1/2 М</t>
  </si>
  <si>
    <t>Муфта комбинированнaя  25 х3/4 F</t>
  </si>
  <si>
    <t>Муфта комбинированнaя  25 х3/4 М</t>
  </si>
  <si>
    <t>Муфта комбинированнaя  32 х1 F</t>
  </si>
  <si>
    <t>Муфта комбинированнaя  32 х1 М</t>
  </si>
  <si>
    <t>Муфта комбинированнaя  32 х1/2 F</t>
  </si>
  <si>
    <t>Муфта комбинированнaя  32 х1/2 М</t>
  </si>
  <si>
    <t>Муфта комбинированнaя  32 х3/4 F</t>
  </si>
  <si>
    <t>Муфта комбинированнaя  32 х3/4 М</t>
  </si>
  <si>
    <t>Муфта комбинированнaя  под ключ  32 х1 F</t>
  </si>
  <si>
    <t>Муфта комбинированнaя  под ключ  32 х1 М</t>
  </si>
  <si>
    <t>Муфта комбинированнaя  под ключ  40 х1 1/4 F</t>
  </si>
  <si>
    <t>Муфта комбинированнaя  под ключ  40 х1 1/4 М</t>
  </si>
  <si>
    <t>Муфта комбинированнaя  под ключ  50 х1 1/2 F</t>
  </si>
  <si>
    <t>Муфта комбинированнaя  под ключ  50 х1 1/2 М</t>
  </si>
  <si>
    <t>Муфта комбинированнaя  под ключ  63 х2 F</t>
  </si>
  <si>
    <t>Муфта комбинированнaя  под ключ  63 х2 М</t>
  </si>
  <si>
    <t>Муфта переходная  25-20</t>
  </si>
  <si>
    <t>Муфта переходная  32-20</t>
  </si>
  <si>
    <t>Муфта переходная  32-25</t>
  </si>
  <si>
    <t>Муфта переходная  40-20</t>
  </si>
  <si>
    <t>Муфта переходная  40-25</t>
  </si>
  <si>
    <t>Муфта переходная  40-32</t>
  </si>
  <si>
    <t>Муфта переходная  50-25</t>
  </si>
  <si>
    <t>Муфта переходная  50-32</t>
  </si>
  <si>
    <t>Муфта переходная  50-40</t>
  </si>
  <si>
    <t>Муфта переходная  63-32</t>
  </si>
  <si>
    <t>Муфта переходная  63-40</t>
  </si>
  <si>
    <t>Муфта переходная  63-50</t>
  </si>
  <si>
    <t>Муфта с накидной гайкой  20х1/2</t>
  </si>
  <si>
    <t>Муфта с накидной гайкой  20х3/4</t>
  </si>
  <si>
    <t>Муфта с накидной гайкой  25х3/4</t>
  </si>
  <si>
    <t>Настенный комплект для смесителя  20х1/2 F</t>
  </si>
  <si>
    <t>Настенный комплект для смесителя  25х1/2 F</t>
  </si>
  <si>
    <t>Обвод  (С Тип)  20</t>
  </si>
  <si>
    <t>Обвод  (С Тип)  25</t>
  </si>
  <si>
    <t>Обвод  (С Тип)  32</t>
  </si>
  <si>
    <t>Обвод  20</t>
  </si>
  <si>
    <t>Обвод  25</t>
  </si>
  <si>
    <t>Обвод  32</t>
  </si>
  <si>
    <t>Обвод  с муфтами  20</t>
  </si>
  <si>
    <t>Тройник  110</t>
  </si>
  <si>
    <t>Тройник  20</t>
  </si>
  <si>
    <t>Тройник  25</t>
  </si>
  <si>
    <t>Тройник  32</t>
  </si>
  <si>
    <t>Тройник  40</t>
  </si>
  <si>
    <t>Тройник  50</t>
  </si>
  <si>
    <t>Тройник  63</t>
  </si>
  <si>
    <t>Тройник  75</t>
  </si>
  <si>
    <t>Тройник  90</t>
  </si>
  <si>
    <t>Тройник  переходной  25-20-20</t>
  </si>
  <si>
    <t>Тройник  переходной  25-20-25</t>
  </si>
  <si>
    <t>Тройник  переходной  32-20-20</t>
  </si>
  <si>
    <t>Тройник  переходной  32-20-25</t>
  </si>
  <si>
    <t>Тройник  переходной  32-20-32</t>
  </si>
  <si>
    <t>Тройник  переходной  32-25-20</t>
  </si>
  <si>
    <t>Тройник  переходной  32-25-25</t>
  </si>
  <si>
    <t>Тройник  переходной  32-25-32</t>
  </si>
  <si>
    <t>Тройник  переходной  40-20-40</t>
  </si>
  <si>
    <t>Тройник  переходной  40-25-40</t>
  </si>
  <si>
    <t>Тройник  переходной  40-32-40</t>
  </si>
  <si>
    <t>Тройник  переходной  50-20-50</t>
  </si>
  <si>
    <t>Тройник  переходной  50-25-50</t>
  </si>
  <si>
    <t>Тройник  переходной  50-32-50</t>
  </si>
  <si>
    <t>Тройник  переходной  50-40-50</t>
  </si>
  <si>
    <t>Тройник  переходной  63-20-63</t>
  </si>
  <si>
    <t>Тройник  переходной  63-25-63</t>
  </si>
  <si>
    <t>Тройник  переходной  63-32-63</t>
  </si>
  <si>
    <t>Тройник  переходной  63-40-63</t>
  </si>
  <si>
    <t>Тройник  переходной  63-50-63</t>
  </si>
  <si>
    <t>Тройник комбинированный  20 х 1/2 х 20 F</t>
  </si>
  <si>
    <t>Тройник комбинированный  20 х 1/2 х 20 М</t>
  </si>
  <si>
    <t>Тройник комбинированный  20 х 3/4 х 20 F</t>
  </si>
  <si>
    <t>Тройник комбинированный  20 х 3/4 х 20 М</t>
  </si>
  <si>
    <t>Тройник комбинированный  25 х 1/2 х 25 F</t>
  </si>
  <si>
    <t>Тройник комбинированный  25 х 1/2 х 25 М</t>
  </si>
  <si>
    <t>Тройник комбинированный  25 х 3/4 х 25 F</t>
  </si>
  <si>
    <t>Тройник комбинированный  25 х 3/4 х 25 М</t>
  </si>
  <si>
    <t>Тройник комбинированный  32 х 1 х 32 F</t>
  </si>
  <si>
    <t>Тройник комбинированный  32 х 1 х 32 М</t>
  </si>
  <si>
    <t>Тройник комбинированный  32 х 1/2 х 32 F</t>
  </si>
  <si>
    <t>Тройник комбинированный  32 х 1/2 х 32 М</t>
  </si>
  <si>
    <t>Тройник комбинированный  32 х 3/4 х 32 F</t>
  </si>
  <si>
    <t>Тройник комбинированный  32 х 3/4 х 32 М</t>
  </si>
  <si>
    <t>Уголок  45* 20</t>
  </si>
  <si>
    <t>Уголок  45* 25</t>
  </si>
  <si>
    <t>Уголок  45* 32</t>
  </si>
  <si>
    <t>Уголок  45* 40</t>
  </si>
  <si>
    <t>Уголок  45* 50</t>
  </si>
  <si>
    <t>Уголок  45* 63</t>
  </si>
  <si>
    <t>Уголок  90* 110</t>
  </si>
  <si>
    <t>Уголок  90* 20</t>
  </si>
  <si>
    <t>Уголок  90* 25</t>
  </si>
  <si>
    <t>Уголок  90* 32</t>
  </si>
  <si>
    <t>Уголок  90* 40</t>
  </si>
  <si>
    <t>Уголок  90* 50</t>
  </si>
  <si>
    <t>Уголок  90* 63</t>
  </si>
  <si>
    <t>Уголок  90* 75</t>
  </si>
  <si>
    <t>Уголок  90* 90</t>
  </si>
  <si>
    <t>Уголок  FM  45* 20</t>
  </si>
  <si>
    <t>Уголок  FM  45* 25</t>
  </si>
  <si>
    <t>Уголок  FM  90* 20</t>
  </si>
  <si>
    <t>Уголок  FM  90* 25</t>
  </si>
  <si>
    <t>Уголок  переходной  90* 25-20</t>
  </si>
  <si>
    <t>Уголок комбинированный  20 х 1/2 F</t>
  </si>
  <si>
    <t>Уголок комбинированный  20 х 1/2 М</t>
  </si>
  <si>
    <t>Уголок комбинированный  20 х 3/4 F</t>
  </si>
  <si>
    <t>Уголок комбинированный  20 х 3/4 М</t>
  </si>
  <si>
    <t>Уголок комбинированный  25 х 1/2 F</t>
  </si>
  <si>
    <t>Уголок комбинированный  25 х 1/2 М</t>
  </si>
  <si>
    <t>Уголок комбинированный  25 х 3/4 F</t>
  </si>
  <si>
    <t>Уголок комбинированный  25 х 3/4 М</t>
  </si>
  <si>
    <t>Уголок комбинированный  32 х 1 F</t>
  </si>
  <si>
    <t>Уголок комбинированный  32 х 1 М</t>
  </si>
  <si>
    <t>Уголок комбинированный  32 х 1/2 F</t>
  </si>
  <si>
    <t>Уголок комбинированный  32 х 1/2 М</t>
  </si>
  <si>
    <t>Уголок комбинированный  32 х 3/4 F</t>
  </si>
  <si>
    <t>Уголок комбинированный  32 х 3/4 М</t>
  </si>
  <si>
    <t>Уголок с накидной гайкой  20 х 1/2</t>
  </si>
  <si>
    <t>Уголок с накидной гайкой  20 х 3/4</t>
  </si>
  <si>
    <t>Уголок с накидной гайкой  25 х 3/4</t>
  </si>
  <si>
    <t>Уголок с настенным креплением  20 х 1/2 F</t>
  </si>
  <si>
    <t>Уголок с настенным креплением  20 х 1/2 М</t>
  </si>
  <si>
    <t>Уголок с настенным креплением  25 х 1/2 F</t>
  </si>
  <si>
    <t>Уголок с настенным креплением  25 х 1/2 М</t>
  </si>
  <si>
    <t>Фильтр муфта-муфта  20</t>
  </si>
  <si>
    <t>Фильтр муфта-муфта  25</t>
  </si>
  <si>
    <t>Фильтр муфта-муфта  32</t>
  </si>
  <si>
    <t>Фильтр муфта-штуцер  20</t>
  </si>
  <si>
    <t>Фильтр муфта-штуцер  25</t>
  </si>
  <si>
    <t>Фильтр муфта-штуцер  32</t>
  </si>
  <si>
    <t>Шаровой кран  20</t>
  </si>
  <si>
    <t>Шаровой кран  25</t>
  </si>
  <si>
    <t>Шаровой кран  32</t>
  </si>
  <si>
    <t>Шаровой кран  40</t>
  </si>
  <si>
    <t>Шаровой кран  50</t>
  </si>
  <si>
    <t>Шаровой кран  63</t>
  </si>
  <si>
    <t>Шаровой кран  ЭКО  20</t>
  </si>
  <si>
    <t>Шаровой кран  ЭКО  25</t>
  </si>
  <si>
    <t>Шаровой кран  ЭКО  32</t>
  </si>
  <si>
    <t>Шаровой кран для радиатора  20 х 1/2</t>
  </si>
  <si>
    <t>Шаровой кран для радиатора  25 х 1/2</t>
  </si>
  <si>
    <t>Шаровой кран для радиатора  25 х 3/4</t>
  </si>
  <si>
    <t>Шаровой кран для радиатора угловой  20 х 1/2</t>
  </si>
  <si>
    <t>Шаровой кран для радиатора угловой  25 х 1/2</t>
  </si>
  <si>
    <t>Шаровой кран для радиатора угловой  25 х 3/4</t>
  </si>
  <si>
    <t>Калибратор  10-26 мм</t>
  </si>
  <si>
    <t>Ножницы</t>
  </si>
  <si>
    <t>Американка  FM   1/2''</t>
  </si>
  <si>
    <t>Американка  FM   3/4''</t>
  </si>
  <si>
    <t>Американка  FM  1''</t>
  </si>
  <si>
    <t>Американка  FM  1 1/2''</t>
  </si>
  <si>
    <t>Американка  FM  1 1/4''</t>
  </si>
  <si>
    <t>Американка  FM  2''</t>
  </si>
  <si>
    <t>Американка угловая  FM   1/2''</t>
  </si>
  <si>
    <t>Американка угловая  FM   3/4''</t>
  </si>
  <si>
    <t>Американка угловая  FM  1''</t>
  </si>
  <si>
    <t>Американка угловая  FM  1 1/4''</t>
  </si>
  <si>
    <t>Заглушка  F   1/2''</t>
  </si>
  <si>
    <t>Заглушка  F   3/4''</t>
  </si>
  <si>
    <t>Заглушка  F  1''</t>
  </si>
  <si>
    <t>Заглушка  F  1 1/2''</t>
  </si>
  <si>
    <t>Заглушка  F  1 1/4''</t>
  </si>
  <si>
    <t>Заглушка  F  2''</t>
  </si>
  <si>
    <t>Заглушка  M   1/2''</t>
  </si>
  <si>
    <t>Заглушка  M   3/4'</t>
  </si>
  <si>
    <t>Заглушка  M  1''</t>
  </si>
  <si>
    <t>Заглушка  M  1 1/2''</t>
  </si>
  <si>
    <t>Заглушка  M  1 1/4''</t>
  </si>
  <si>
    <t>Заглушка  M  2''</t>
  </si>
  <si>
    <t>Контргайка  F   1/2''</t>
  </si>
  <si>
    <t>Контргайка  F   3/4''</t>
  </si>
  <si>
    <t>Контргайка  F  1''</t>
  </si>
  <si>
    <t>Контргайка  F  1 1/2''</t>
  </si>
  <si>
    <t>Контргайка  F  1 1/4''</t>
  </si>
  <si>
    <t>Контргайка  F  2''</t>
  </si>
  <si>
    <t>Контргайка с ребордой  F   1/2''</t>
  </si>
  <si>
    <t>Контргайка с ребордой  F   3/4''</t>
  </si>
  <si>
    <t>Контргайка с ребордой  F  1''</t>
  </si>
  <si>
    <t>Контргайка с ребордой  F  1 1/4''</t>
  </si>
  <si>
    <t>Крестовина  FFFF  1/2''</t>
  </si>
  <si>
    <t>Крестовина  FFFF  3/4''</t>
  </si>
  <si>
    <t>Муфта  1/2''</t>
  </si>
  <si>
    <t>Муфта  3/4''</t>
  </si>
  <si>
    <t>Муфта 1''</t>
  </si>
  <si>
    <t>Муфта 1 1/2''</t>
  </si>
  <si>
    <t>Муфта 1 1/4''</t>
  </si>
  <si>
    <t>Муфта 2''</t>
  </si>
  <si>
    <t>Муфта переходная    3/8''F x 1/2"F</t>
  </si>
  <si>
    <t>Муфта переходная   1/2''F x 3/4"F</t>
  </si>
  <si>
    <t>Муфта переходная   1/2''F x1"F</t>
  </si>
  <si>
    <t>Муфта переходная   3/4''F x 1 1/2"F</t>
  </si>
  <si>
    <t>Муфта переходная   3/4''F x 1 1/4"F</t>
  </si>
  <si>
    <t>Муфта переходная   3/4''F x 1"F</t>
  </si>
  <si>
    <t>Муфта переходная  1 1/2''F x 2"F</t>
  </si>
  <si>
    <t>Муфта переходная  1 1/4''F x 1 1/2"F</t>
  </si>
  <si>
    <t>Муфта переходная  1 1/4''F x 2"F</t>
  </si>
  <si>
    <t>Муфта переходная 1''F x 1 1/2"F</t>
  </si>
  <si>
    <t>Муфта переходная 1''F x 1 1/4"F</t>
  </si>
  <si>
    <t>Муфта переходная 1''F x 2"F</t>
  </si>
  <si>
    <t>Ниппель  1/2"</t>
  </si>
  <si>
    <t>Ниппель  3/4''</t>
  </si>
  <si>
    <t>Ниппель 1''</t>
  </si>
  <si>
    <t>Ниппель 1 1/2''</t>
  </si>
  <si>
    <t>Ниппель 1 1/4''</t>
  </si>
  <si>
    <t>Ниппель 2''</t>
  </si>
  <si>
    <t>Ниппель переходной   1/2''M x 1 1/4''M</t>
  </si>
  <si>
    <t>Ниппель переходной   1/2''M x 1''M</t>
  </si>
  <si>
    <t>Ниппель переходной   1/2''M x 3/4''M</t>
  </si>
  <si>
    <t>Ниппель переходной   3/4''M x 1 1/2''M</t>
  </si>
  <si>
    <t>Ниппель переходной   3/4''M x 1 1/4''M</t>
  </si>
  <si>
    <t>Ниппель переходной   3/4''M x 1''M</t>
  </si>
  <si>
    <t>Ниппель переходной   3/4''M x 2''M</t>
  </si>
  <si>
    <t>Ниппель переходной   3/8''M x 1/2''M</t>
  </si>
  <si>
    <t>Ниппель переходной  1 1/2''M x 2''M</t>
  </si>
  <si>
    <t>Ниппель переходной  1 1/4''M x 1 1/2''M</t>
  </si>
  <si>
    <t>Ниппель переходной  1 1/4''M x 2''M</t>
  </si>
  <si>
    <t>Ниппель переходной  1''M x 1 1/2''M</t>
  </si>
  <si>
    <t>Ниппель переходной  1''M x 1 1/4''M</t>
  </si>
  <si>
    <t>Ниппель переходной  1''M x 2''M</t>
  </si>
  <si>
    <t>Ниппель с полной резьбой 1/2''M x 1/2''M</t>
  </si>
  <si>
    <t>Ниппель с полной резьбой 3/4''M x 3/4''M</t>
  </si>
  <si>
    <t>Переходник    3/8''M x 1/2"F</t>
  </si>
  <si>
    <t>Переходник   1/2''M x 1 1/4"F</t>
  </si>
  <si>
    <t>Переходник   1/2''M x 1"F</t>
  </si>
  <si>
    <t>Переходник   1/2''M x 1/2"F</t>
  </si>
  <si>
    <t>Переходник   1/2''M x 3/4"F</t>
  </si>
  <si>
    <t>Переходник   3/4''M x 1 1/2"F</t>
  </si>
  <si>
    <t>Переходник   3/4''M x 1 1/4"F</t>
  </si>
  <si>
    <t>Переходник   3/4''M x 1"F</t>
  </si>
  <si>
    <t>Переходник   3/4''M x 3/4"F</t>
  </si>
  <si>
    <t>Переходник  1 1/2''M x 2"F</t>
  </si>
  <si>
    <t>Переходник  1 1/4''M x 1 1/2"F</t>
  </si>
  <si>
    <t>Переходник  1 1/4''M x 2"F</t>
  </si>
  <si>
    <t>Переходник  1''M x 1 1/2"F</t>
  </si>
  <si>
    <t>Переходник  1''M x 1 1/4"F</t>
  </si>
  <si>
    <t>Переходник  1''M x 2"F</t>
  </si>
  <si>
    <t>Сгон MM  1/2" -  50</t>
  </si>
  <si>
    <t>Сгон MM  1/2" -  75</t>
  </si>
  <si>
    <t>Сгон MM  1/2" - 100</t>
  </si>
  <si>
    <t>Сгон MM  1/2" - 125</t>
  </si>
  <si>
    <t>Сгон MM  1/2" - 150</t>
  </si>
  <si>
    <t>Сгон MM  1/2" - 200</t>
  </si>
  <si>
    <t>Тройник  FFF   1/2''</t>
  </si>
  <si>
    <t>Тройник  FFF   3/4''</t>
  </si>
  <si>
    <t>Тройник  FFF   3/4'' x 1/2" x 3/4"</t>
  </si>
  <si>
    <t>Тройник  FFF  1 1/2''</t>
  </si>
  <si>
    <t>Тройник  FFF  1 1/4''</t>
  </si>
  <si>
    <t>Тройник  FFF  1 1/4'' x 1" x 1 1/4"</t>
  </si>
  <si>
    <t>Тройник  FFF  1 1/4'' x 3/4" x 1 1/4"</t>
  </si>
  <si>
    <t>Тройник  FFF 1''</t>
  </si>
  <si>
    <t>Тройник  FFF 1'' x 1/2" x 1"</t>
  </si>
  <si>
    <t>Тройник  FFF 1'' x 3/4" x 1"</t>
  </si>
  <si>
    <t>Тройник  FFF 2''</t>
  </si>
  <si>
    <t>Тройник  FFM   1/2''</t>
  </si>
  <si>
    <t>Тройник  FFM   3/4''</t>
  </si>
  <si>
    <t>Тройник  FFM  1''</t>
  </si>
  <si>
    <t>Тройник  FMF  1/2''</t>
  </si>
  <si>
    <t>Тройник  FMF  3/4''</t>
  </si>
  <si>
    <t>Тройник  FMF  3/4'' x 1/2" x 3/4"</t>
  </si>
  <si>
    <t>Тройник  FMM   1/2''</t>
  </si>
  <si>
    <t>Тройник  FMM   3/4''</t>
  </si>
  <si>
    <t>Тройник  FMM  1''</t>
  </si>
  <si>
    <t>Тройник  MFM   1/2''</t>
  </si>
  <si>
    <t>Тройник  MFM   3/4''</t>
  </si>
  <si>
    <t>Тройник  MFM  1''</t>
  </si>
  <si>
    <t>Тройник  MMM   1/2''</t>
  </si>
  <si>
    <t>Тройник  MMM   3/4''</t>
  </si>
  <si>
    <t>Тройник  MMM   3/4'' x 1/2" x 3/4"</t>
  </si>
  <si>
    <t>Тройник  MMM  1''</t>
  </si>
  <si>
    <t>Уголок  FF   1/2''</t>
  </si>
  <si>
    <t>Уголок  FF   1/2'' x 1"</t>
  </si>
  <si>
    <t>Уголок  FF   1/2'' x 3/4"</t>
  </si>
  <si>
    <t>Уголок  FF   3/4''</t>
  </si>
  <si>
    <t>Уголок  FF   3/4'' x 1"</t>
  </si>
  <si>
    <t>Уголок  FF  1''</t>
  </si>
  <si>
    <t>Уголок  FF  1 1/2''</t>
  </si>
  <si>
    <t>Уголок  FF  1 1/4''</t>
  </si>
  <si>
    <t>Уголок  FF  2''</t>
  </si>
  <si>
    <t>Уголок  FM   1/2''</t>
  </si>
  <si>
    <t>Уголок  FM   3/4''</t>
  </si>
  <si>
    <t>Уголок  FM  1''</t>
  </si>
  <si>
    <t>Уголок  FM  1 1/2''</t>
  </si>
  <si>
    <t>Уголок  FM  1 1/4''</t>
  </si>
  <si>
    <t>Уголок  FM  2''</t>
  </si>
  <si>
    <t>Уголок  MF  1/2" x 3/4"</t>
  </si>
  <si>
    <t>Уголок  MF  3/4" x 1"</t>
  </si>
  <si>
    <t>Уголок  MM   1/2"</t>
  </si>
  <si>
    <t>Уголок  MM   3/4"</t>
  </si>
  <si>
    <t>Уголок  MM  1"</t>
  </si>
  <si>
    <t>Уголок с настенным креплением  FF  1/2''</t>
  </si>
  <si>
    <t>Уголок с настенным креплением  FM  1/2''</t>
  </si>
  <si>
    <t>Уголоки для смесителя на планке  FF  1/2''</t>
  </si>
  <si>
    <t>Удлинитель FM   1/2" - 10</t>
  </si>
  <si>
    <t>Удлинитель FM   1/2" - 15</t>
  </si>
  <si>
    <t>Удлинитель FM   1/2" - 20</t>
  </si>
  <si>
    <t>Удлинитель FM   1/2" - 25</t>
  </si>
  <si>
    <t>Удлинитель FM   1/2" - 30</t>
  </si>
  <si>
    <t>Удлинитель FM   1/2" - 40</t>
  </si>
  <si>
    <t>Удлинитель FM   1/2" - 50</t>
  </si>
  <si>
    <t>Удлинитель FM   1/2" - 60</t>
  </si>
  <si>
    <t>Удлинитель FM   1/2" - 70</t>
  </si>
  <si>
    <t>Удлинитель FM   1/2" - 80</t>
  </si>
  <si>
    <t>Удлинитель FM   1/2" - 90</t>
  </si>
  <si>
    <t>Удлинитель FM   1/2" -100</t>
  </si>
  <si>
    <t>Удлинитель FM   3/4" - 10</t>
  </si>
  <si>
    <t>Удлинитель FM   3/4" - 15</t>
  </si>
  <si>
    <t>Удлинитель FM   3/4" - 20</t>
  </si>
  <si>
    <t>Удлинитель FM   3/4" - 25</t>
  </si>
  <si>
    <t>Удлинитель FM   3/4" - 30</t>
  </si>
  <si>
    <t>Удлинитель FM   3/4" - 40</t>
  </si>
  <si>
    <t>Удлинитель FM   3/4" - 50</t>
  </si>
  <si>
    <t>Удлинитель FM   3/4" - 60</t>
  </si>
  <si>
    <t>Удлинитель FM   3/4" - 70</t>
  </si>
  <si>
    <t>Удлинитель FM   3/4" - 80</t>
  </si>
  <si>
    <t>Удлинитель FM   3/4" -100</t>
  </si>
  <si>
    <t>Удлинитель FM  1" - 10</t>
  </si>
  <si>
    <t>Удлинитель FM  1" - 15</t>
  </si>
  <si>
    <t>Удлинитель FM  1" - 20</t>
  </si>
  <si>
    <t>Удлинитель FM  1" - 25</t>
  </si>
  <si>
    <t>Удлинитель FM  1" - 30</t>
  </si>
  <si>
    <t>Удлинитель FM  1" - 40</t>
  </si>
  <si>
    <t>Удлинитель FM  1" - 50</t>
  </si>
  <si>
    <t>Удлинитель MM  1/2" - 20</t>
  </si>
  <si>
    <t>Удлинитель MM  1/2" - 30</t>
  </si>
  <si>
    <t>Удлинитель MM  1/2" - 40</t>
  </si>
  <si>
    <t>Удлинитель MM  1/2" - 50</t>
  </si>
  <si>
    <t>Удлинитель MM  1/2" - 60</t>
  </si>
  <si>
    <t>Удлинитель MM  1/2" - 70</t>
  </si>
  <si>
    <t>Удлинитель MM  1/2" - 80</t>
  </si>
  <si>
    <t>Удлинитель MM  1/2" - 90</t>
  </si>
  <si>
    <t>Удлинитель MM  1/2" -100</t>
  </si>
  <si>
    <t>Удлинитель MM  1/2" -120</t>
  </si>
  <si>
    <t>Удлинитель MM  1/2" -150</t>
  </si>
  <si>
    <t>Удлинитель MM  1/2" -200</t>
  </si>
  <si>
    <t>Футорка    3/8''F x 1/2"M</t>
  </si>
  <si>
    <t>Футорка   1/2''F x 1 1/4"M</t>
  </si>
  <si>
    <t>Футорка   1/2''F x 1"M</t>
  </si>
  <si>
    <t>Футорка   1/2''F x 3/4"M</t>
  </si>
  <si>
    <t>Футорка   3/4''F x 1 1/2"M</t>
  </si>
  <si>
    <t>Футорка   3/4''F x 1 1/4"M</t>
  </si>
  <si>
    <t>Футорка   3/4''F x 1"M</t>
  </si>
  <si>
    <t>Футорка   3/4''F x 2"M</t>
  </si>
  <si>
    <t>Футорка  1 1/2''F x 2"M</t>
  </si>
  <si>
    <t>Футорка  1 1/4''F x 1 1/2"M</t>
  </si>
  <si>
    <t>Футорка  1 1/4''F x 2"M</t>
  </si>
  <si>
    <t>Футорка  1''F x 1 1/2"M</t>
  </si>
  <si>
    <t>Футорка  1''F x 1 1/4"M</t>
  </si>
  <si>
    <t>Футорка  1''F x 2"M</t>
  </si>
  <si>
    <t>Штуцер под шланг  F  1/2'' x 10 мм</t>
  </si>
  <si>
    <t>Штуцер под шланг  F  1/2'' x 12 мм</t>
  </si>
  <si>
    <t>Штуцер под шланг  F  1/2'' x 14 мм</t>
  </si>
  <si>
    <t>Штуцер под шланг  F  1/2'' x 16 мм</t>
  </si>
  <si>
    <t>Штуцер под шланг  F  1/2'' x 18 мм</t>
  </si>
  <si>
    <t>Штуцер под шланг  F  1/2'' x 20 мм</t>
  </si>
  <si>
    <t>Штуцер под шланг  F  3/4'' x 20 мм</t>
  </si>
  <si>
    <t>Штуцер под шланг  F  3/4'' x 25 мм</t>
  </si>
  <si>
    <t>Штуцер под шланг  F 1'' x 20 мм</t>
  </si>
  <si>
    <t>Штуцер под шланг  F 1'' x 25 мм</t>
  </si>
  <si>
    <t>Штуцер под шланг  F 1'' x 30 мм</t>
  </si>
  <si>
    <t>Штуцер под шланг  M  1/2'' x 10 мм</t>
  </si>
  <si>
    <t>Штуцер под шланг  M  1/2'' x 12 мм</t>
  </si>
  <si>
    <t>Штуцер под шланг  M  1/2'' x 14 мм</t>
  </si>
  <si>
    <t>Штуцер под шланг  M  1/2'' x 16 мм</t>
  </si>
  <si>
    <t>Штуцер под шланг  M  1/2'' x 18 мм</t>
  </si>
  <si>
    <t>Штуцер под шланг  M  1/2'' x 20 мм</t>
  </si>
  <si>
    <t>Штуцер под шланг  M  3/4'' x 20 мм</t>
  </si>
  <si>
    <t>Штуцер под шланг  M  3/4'' x 25 мм</t>
  </si>
  <si>
    <t>Штуцер под шланг  M 1'' x 20 мм</t>
  </si>
  <si>
    <t>Штуцер под шланг  M 1'' x 25 мм</t>
  </si>
  <si>
    <t>Штуцер под шланг  M 1'' x 30 мм</t>
  </si>
  <si>
    <t>Эксцентрик  1/2''M x 3/4"M</t>
  </si>
  <si>
    <t>Набор для сварки ППР труб  20-32 мм  А-03</t>
  </si>
  <si>
    <t>Набор для сварки ППР труб  20-32 мм  А-04</t>
  </si>
  <si>
    <t>Набор для сварки ППР труб  20-40 мм (1500 Вт)  A-05</t>
  </si>
  <si>
    <t>Набор для сварки ППР труб  75-110 мм (1800 Вт)  A-02</t>
  </si>
  <si>
    <t>Насадка  20</t>
  </si>
  <si>
    <t>Насадка  25</t>
  </si>
  <si>
    <t>Насадка  32</t>
  </si>
  <si>
    <t>Насадка  40</t>
  </si>
  <si>
    <t>Насадка  50</t>
  </si>
  <si>
    <t>Насадка  63</t>
  </si>
  <si>
    <t>Диэлектрическая муфта для газа 1/2" в/н</t>
  </si>
  <si>
    <t>Диэлектрическая муфта для газа 1/2" н/н</t>
  </si>
  <si>
    <t>Диэлектрическая муфта для газа 3/4" в/н</t>
  </si>
  <si>
    <t>Диэлектрическая муфта для газа 3/4" н/н</t>
  </si>
  <si>
    <t>Сильфонная подводка для газа 1/2" в/в 100 см</t>
  </si>
  <si>
    <t>Сильфонная подводка для газа 1/2" в/в 120 см</t>
  </si>
  <si>
    <t>Сильфонная подводка для газа 1/2" в/в 150 см</t>
  </si>
  <si>
    <t>Сильфонная подводка для газа 1/2" в/в 180 см</t>
  </si>
  <si>
    <t>Сильфонная подводка для газа 1/2" в/в 200 см</t>
  </si>
  <si>
    <t>Сильфонная подводка для газа 1/2" в/в 250 см</t>
  </si>
  <si>
    <t>Сильфонная подводка для газа 1/2" в/в 30 см</t>
  </si>
  <si>
    <t>Сильфонная подводка для газа 1/2" в/в 300 см</t>
  </si>
  <si>
    <t>Сильфонная подводка для газа 1/2" в/в 40 см</t>
  </si>
  <si>
    <t>Сильфонная подводка для газа 1/2" в/в 400 см</t>
  </si>
  <si>
    <t>Сильфонная подводка для газа 1/2" в/в 50 см</t>
  </si>
  <si>
    <t>Сильфонная подводка для газа 1/2" в/в 500 см</t>
  </si>
  <si>
    <t>Сильфонная подводка для газа 1/2" в/в 60 см</t>
  </si>
  <si>
    <t>Сильфонная подводка для газа 1/2" в/в 80 см</t>
  </si>
  <si>
    <t>Сильфонная подводка для газа 1/2" в/н 100 см</t>
  </si>
  <si>
    <t>Сильфонная подводка для газа 1/2" в/н 120 см</t>
  </si>
  <si>
    <t>Сильфонная подводка для газа 1/2" в/н 150 см</t>
  </si>
  <si>
    <t>Сильфонная подводка для газа 1/2" в/н 180 см</t>
  </si>
  <si>
    <t>Сильфонная подводка для газа 1/2" в/н 200 см</t>
  </si>
  <si>
    <t>Сильфонная подводка для газа 1/2" в/н 250 см</t>
  </si>
  <si>
    <t>Сильфонная подводка для газа 1/2" в/н 30 см</t>
  </si>
  <si>
    <t>Сильфонная подводка для газа 1/2" в/н 300 см</t>
  </si>
  <si>
    <t>Сильфонная подводка для газа 1/2" в/н 40 см</t>
  </si>
  <si>
    <t>Сильфонная подводка для газа 1/2" в/н 400 см</t>
  </si>
  <si>
    <t>Сильфонная подводка для газа 1/2" в/н 50 см</t>
  </si>
  <si>
    <t>Сильфонная подводка для газа 1/2" в/н 500 см</t>
  </si>
  <si>
    <t>Сильфонная подводка для газа 1/2" в/н 60 см</t>
  </si>
  <si>
    <t>Сильфонная подводка для газа 1/2" в/н 80 см</t>
  </si>
  <si>
    <t>Сильфонная подводка для газа 3/4" в/в 100 см</t>
  </si>
  <si>
    <t>Сильфонная подводка для газа 3/4" в/в 120 см</t>
  </si>
  <si>
    <t>Сильфонная подводка для газа 3/4" в/в 150 см</t>
  </si>
  <si>
    <t>Сильфонная подводка для газа 3/4" в/в 200 см</t>
  </si>
  <si>
    <t>Сильфонная подводка для газа 3/4" в/в 250 см</t>
  </si>
  <si>
    <t>Сильфонная подводка для газа 3/4" в/в 300 см</t>
  </si>
  <si>
    <t>Сильфонная подводка для газа 3/4" в/в 40 см</t>
  </si>
  <si>
    <t>Сильфонная подводка для газа 3/4" в/в 50 см</t>
  </si>
  <si>
    <t>Сильфонная подводка для газа 3/4" в/в 60 см</t>
  </si>
  <si>
    <t>Сильфонная подводка для газа 3/4" в/в 80 см</t>
  </si>
  <si>
    <t>Сильфонная подводка для газа 3/4" в/н 100 см</t>
  </si>
  <si>
    <t>Сильфонная подводка для газа 3/4" в/н 120 см</t>
  </si>
  <si>
    <t>Сильфонная подводка для газа 3/4" в/н 150 см</t>
  </si>
  <si>
    <t>Сильфонная подводка для газа 3/4" в/н 200 см</t>
  </si>
  <si>
    <t>Сильфонная подводка для газа 3/4" в/н 250 см</t>
  </si>
  <si>
    <t>Сильфонная подводка для газа 3/4" в/н 300 см</t>
  </si>
  <si>
    <t>Сильфонная подводка для газа 3/4" в/н 40 см</t>
  </si>
  <si>
    <t>Сильфонная подводка для газа 3/4" в/н 50 см</t>
  </si>
  <si>
    <t>Сильфонная подводка для газа 3/4" в/н 60 см</t>
  </si>
  <si>
    <t>Сильфонная подводка для газа 3/4" в/н 80 см</t>
  </si>
  <si>
    <t>Шланг заливной 1,0 м</t>
  </si>
  <si>
    <t>Шланг заливной 1,5 м</t>
  </si>
  <si>
    <t>Шланг заливной 2,0 м</t>
  </si>
  <si>
    <t>Шланг заливной 2,5 м</t>
  </si>
  <si>
    <t>Шланг заливной 3,0 м</t>
  </si>
  <si>
    <t>Шланг заливной 3,5 м</t>
  </si>
  <si>
    <t>Шланг заливной 4,0 м</t>
  </si>
  <si>
    <t>Шланг заливной 4,5 м</t>
  </si>
  <si>
    <t>Шланг заливной 5,0 м</t>
  </si>
  <si>
    <t>Шланг сливной 1,0 м</t>
  </si>
  <si>
    <t>Шланг сливной 1,5 м</t>
  </si>
  <si>
    <t>Шланг сливной 2,0 м</t>
  </si>
  <si>
    <t>Шланг сливной 2,5 м</t>
  </si>
  <si>
    <t>Шланг сливной 3,0 м</t>
  </si>
  <si>
    <t>Шланг сливной 3,5 м</t>
  </si>
  <si>
    <t>Шланг сливной 4,0 м</t>
  </si>
  <si>
    <t>Шланг сливной 4,5 м</t>
  </si>
  <si>
    <t>Шланг сливной 5,0 м</t>
  </si>
  <si>
    <t>Анаэробный клей-герметик AQUALINK "Высокопрочный" 100г</t>
  </si>
  <si>
    <t>Анаэробный клей-герметик AQUALINK "Высокопрочный" 10г в блистере</t>
  </si>
  <si>
    <t>Анаэробный клей-герметик AQUALINK "Высокопрочный" 30г в блистере</t>
  </si>
  <si>
    <t>Анаэробный клей-герметик AQUALINK "Высокопрочный" 50г</t>
  </si>
  <si>
    <t>Анаэробный клей-герметик AQUALINK "Разборный" 100г</t>
  </si>
  <si>
    <t>Анаэробный клей-герметик AQUALINK "Разборный" 10г в блистере</t>
  </si>
  <si>
    <t>Анаэробный клей-герметик AQUALINK "Разборный" 30г в блистере</t>
  </si>
  <si>
    <t>Анаэробный клей-герметик AQUALINK "Разборный" 50г</t>
  </si>
  <si>
    <t>Лён чёсаный пакет  20 г</t>
  </si>
  <si>
    <t>Лён чёсаный пакет  50 г</t>
  </si>
  <si>
    <t>Лён чёсаный пакет 100 г</t>
  </si>
  <si>
    <t>Лён чёсаный пакет 200 г</t>
  </si>
  <si>
    <t>Лён чёсаный пакет 500 г</t>
  </si>
  <si>
    <t>Лента ФУМ  12мм</t>
  </si>
  <si>
    <t>Лента ФУМ  12мм для газа</t>
  </si>
  <si>
    <t>Лента ФУМ  19мм</t>
  </si>
  <si>
    <t>Паста уплотнительная (вода, пар) 20-25гр</t>
  </si>
  <si>
    <t>Паста уплотнительная (вода, пар) 250гр</t>
  </si>
  <si>
    <t>Паста уплотнительная (вода, пар) 65-70гр</t>
  </si>
  <si>
    <t>Подмотка для труб  блистер 50м</t>
  </si>
  <si>
    <t>Комплект: хомут с гайкой, шпилька-шуруп, дюбель пластиковый   1/2  (20-24)</t>
  </si>
  <si>
    <t>Комплект: хомут с гайкой, шпилька-шуруп, дюбель пластиковый   3/4   (25-28)</t>
  </si>
  <si>
    <t>Комплект: хомут с гайкой, шпилька-шуруп, дюбель пластиковый  1 (32-35)</t>
  </si>
  <si>
    <t>Комплект: хомут с гайкой, шпилька-шуруп, дюбель пластиковый  1 1/2  (47-52)</t>
  </si>
  <si>
    <t>Комплект: хомут с гайкой, шпилька-шуруп, дюбель пластиковый  1 1/4  (40-45)</t>
  </si>
  <si>
    <t>Комплект: хомут с гайкой, шпилька-шуруп, дюбель пластиковый  2  (59-64)</t>
  </si>
  <si>
    <t>Комплект: хомут с гайкой, шпилька-шуруп, дюбель пластиковый  2  1/2  (75-80)</t>
  </si>
  <si>
    <t>Комплект: хомут с гайкой, шпилька-шуруп, дюбель пластиковый  3   (87-92)</t>
  </si>
  <si>
    <t>Комплект: хомут с гайкой, шпилька-шуруп, дюбель пластиковый  4   (106-111)</t>
  </si>
  <si>
    <t>Насос для повышения давления  15-9  160  с гайками</t>
  </si>
  <si>
    <t>Насос циркуляционный  25-4  130  с гайками</t>
  </si>
  <si>
    <t>Насос циркуляционный  25-4  180  с гайками</t>
  </si>
  <si>
    <t>Насос циркуляционный  25-6  130  с гайками</t>
  </si>
  <si>
    <t>Насос циркуляционный  25-6  180  с гайками</t>
  </si>
  <si>
    <t>Насос циркуляционный  25-8  180  с гайками</t>
  </si>
  <si>
    <t>Насос циркуляционный  32-4  180  с гайками</t>
  </si>
  <si>
    <t>Насос циркуляционный  32-6  180  с гайками</t>
  </si>
  <si>
    <t>Насос циркуляционный  32-8  180  с гайками</t>
  </si>
  <si>
    <t>Вентиль трехпроходной  FMM 1/2x1/2x3/4</t>
  </si>
  <si>
    <t>Евроконус для коллектора  16x1/2"</t>
  </si>
  <si>
    <t>Коллектор резьбовой  FМ  3/4x3/4x1/2x2</t>
  </si>
  <si>
    <t>Коллектор резьбовой  FМ  3/4x3/4x1/2x3</t>
  </si>
  <si>
    <t>Коллектор резьбовой  FМ  3/4x3/4x1/2x4</t>
  </si>
  <si>
    <t>Коллектор резьбовой с вентилями  FМ  3/4x3/4x1/2x2</t>
  </si>
  <si>
    <t>Коллектор резьбовой с вентилями  FМ  3/4x3/4x1/2x3</t>
  </si>
  <si>
    <t>Коллектор резьбовой с вентилями  FМ  3/4x3/4x1/2x4</t>
  </si>
  <si>
    <t>Коллектор резьбовой с шар.кранами  FМ  3/4x3/4x1/2x2</t>
  </si>
  <si>
    <t>Коллектор резьбовой с шар.кранами  FМ  3/4x3/4x1/2x3</t>
  </si>
  <si>
    <t>Коллектор резьбовой с шар.кранами  FМ  3/4x3/4x1/2x4</t>
  </si>
  <si>
    <t>Коллектор универсальный для МП труб с шар.кранами и евроконусом  FМ  3/4x3/4x16x2</t>
  </si>
  <si>
    <t>Коллектор универсальный для МП труб с шар.кранами и евроконусом  FМ  3/4x3/4x16x3</t>
  </si>
  <si>
    <t>Коллектор универсальный для МП труб с шар.кранами и евроконусом  FМ  3/4x3/4x16x4</t>
  </si>
  <si>
    <t>Косой фильтр  FF  1/2 V</t>
  </si>
  <si>
    <t>Косой фильтр  FF  3/4 V</t>
  </si>
  <si>
    <t>Косой фильтр  FF 1  V</t>
  </si>
  <si>
    <t>Косой фильтр  FF 1 1/4 V</t>
  </si>
  <si>
    <t>Косой фильтр  FM  1/2 V</t>
  </si>
  <si>
    <t>Косой фильтр  FM  3/4 V</t>
  </si>
  <si>
    <t>Косой фильтр  FM 1 V</t>
  </si>
  <si>
    <t>Косой фильтр  MM  1/2 V</t>
  </si>
  <si>
    <t>Кран шаровой  FF  1/2  B  бабочка</t>
  </si>
  <si>
    <t>Кран шаровой  FF  1/2  ручка</t>
  </si>
  <si>
    <t>Кран шаровой  FF  3/4  B  бабочка</t>
  </si>
  <si>
    <t>Кран шаровой  FF  3/4  ручка</t>
  </si>
  <si>
    <t>Кран шаровой  FF 1  B  бабочка</t>
  </si>
  <si>
    <t>Кран шаровой  FF 1  ручка</t>
  </si>
  <si>
    <t>Кран шаровой  FF 1 1/2  ручка</t>
  </si>
  <si>
    <t>Кран шаровой  FF 1 1/4  ручка</t>
  </si>
  <si>
    <t>Кран шаровой  FF 2  ручка</t>
  </si>
  <si>
    <t>Кран шаровой  FF 2 1/2  ручка</t>
  </si>
  <si>
    <t>Кран шаровой  FF 3  ручка</t>
  </si>
  <si>
    <t>Кран шаровой  FF 4  ручка</t>
  </si>
  <si>
    <t>Кран шаровой  FM  1/2  B  бабочка</t>
  </si>
  <si>
    <t>Кран шаровой  FM  1/2  ручка</t>
  </si>
  <si>
    <t>Кран шаровой  FM  3/4  B  бабочка</t>
  </si>
  <si>
    <t>Кран шаровой  FM  3/4  ручка</t>
  </si>
  <si>
    <t>Кран шаровой  FM 1  B  бабочка</t>
  </si>
  <si>
    <t>Кран шаровой  FM 1  ручка</t>
  </si>
  <si>
    <t>Кран шаровой  FM 1 1/2  ручка</t>
  </si>
  <si>
    <t>Кран шаровой  FM 1 1/4  ручка</t>
  </si>
  <si>
    <t>Кран шаровой  FM 2  ручка</t>
  </si>
  <si>
    <t>Кран шаровой  MM  1/2  B  бабочка</t>
  </si>
  <si>
    <t>Кран шаровой  MM  1/2  ручка</t>
  </si>
  <si>
    <t>Кран шаровой  MM  3/4  B  бабочка</t>
  </si>
  <si>
    <t>Кран шаровой  MM  3/4  ручка</t>
  </si>
  <si>
    <t>Кран шаровой  MM 1  B  бабочка</t>
  </si>
  <si>
    <t>Кран шаровой  MM 1  ручка</t>
  </si>
  <si>
    <t>Кран шаровой "мини" хром  FF 1/2 m</t>
  </si>
  <si>
    <t>Кран шаровой "мини" хром  FF 1/2 m Cr  хром. ручка</t>
  </si>
  <si>
    <t>Кран шаровой "мини" хром  FM 1/2 m</t>
  </si>
  <si>
    <t>Кран шаровой "мини" хром  FM 1/2 m Cr  хром. ручка</t>
  </si>
  <si>
    <t>Кран шаровой "мини" хром  MM 1/2 m</t>
  </si>
  <si>
    <t>Кран шаровой "мини" хром  MM 1/2x3/4 m Cr  хром. ручка</t>
  </si>
  <si>
    <t>Кран шаровой водоразборный под шланг  1/2  Wh  ручка</t>
  </si>
  <si>
    <t>Кран шаровой водоразборный под шланг  1/2  Wh  ручка ECO</t>
  </si>
  <si>
    <t>Кран шаровой водоразборный под шланг  1/2  Wh B  бабочка</t>
  </si>
  <si>
    <t>Кран шаровой водоразборный под шланг  3/4  Wh  ручка</t>
  </si>
  <si>
    <t>Кран шаровой водоразборный под шланг  3/4  Wh  ручка ECO</t>
  </si>
  <si>
    <t>Кран шаровой водоразборный под шланг  3/4  Wh B  бабочка</t>
  </si>
  <si>
    <t>Кран шаровой для МП труб  16x16  B  бабочка</t>
  </si>
  <si>
    <t>Кран шаровой для МП труб  20x20  B  бабочка</t>
  </si>
  <si>
    <t>Кран шаровой для МП труб  F 1/2x16  B  бабочка</t>
  </si>
  <si>
    <t>Кран шаровой для МП труб  F 1/2x20  B  бабочка</t>
  </si>
  <si>
    <t>Кран шаровой для МП труб  F 3/4x20  B  бабочка</t>
  </si>
  <si>
    <t>Кран шаровой для МП труб  M 1/2x16  B  бабочка</t>
  </si>
  <si>
    <t>Кран шаровой для МП труб  M 1/2x20  B  бабочка</t>
  </si>
  <si>
    <t>Кран шаровой для МП труб  M 3/4x20  B  бабочка</t>
  </si>
  <si>
    <t>Кран шаровой с косым фильтром  FF  1/2  Vs  ручка</t>
  </si>
  <si>
    <t>Кран шаровой с косым фильтром  FF  1/2  Vs B  бабочка</t>
  </si>
  <si>
    <t>Кран шаровой с косым фильтром  FF  3/4  Vs  ручка</t>
  </si>
  <si>
    <t>Кран шаровой с косым фильтром  FF  3/4  Vs B  бабочка</t>
  </si>
  <si>
    <t>Кран шаровой с косым фильтром  FF 1  Vs  ручка</t>
  </si>
  <si>
    <t>Кран шаровой со сгоном  FM  1/2  U  ручка</t>
  </si>
  <si>
    <t>Кран шаровой со сгоном  FM  1/2  U B  бабочка</t>
  </si>
  <si>
    <t>Кран шаровой со сгоном  FM  3/4  U  ручка</t>
  </si>
  <si>
    <t>Кран шаровой со сгоном  FM  3/4  U B  бабочка</t>
  </si>
  <si>
    <t>Кран шаровой со сгоном  FM 1  U  ручка</t>
  </si>
  <si>
    <t>Кран шаровой со сгоном  FM 1  U B  бабочка</t>
  </si>
  <si>
    <t>Кран шаровой со сгоном  FM 1 1/4  U  ручка</t>
  </si>
  <si>
    <t>Кран шаровой со сгоном  FM 1/2  LU B  бабочка</t>
  </si>
  <si>
    <t>Кран шаровой со сгоном  FM 3/4  LU B  бабочка</t>
  </si>
  <si>
    <t>Кран шаровой трехпроходной  FMM 1/2x3/4x1/2</t>
  </si>
  <si>
    <t>Кран шаровой угловой для СМ с отраж., хром  MM 1/2x3/4</t>
  </si>
  <si>
    <t>Кран шаровой угловой с обр.клап. и отраж., хром  MM 1/2x3/4</t>
  </si>
  <si>
    <t>Кран шаровой угловой с удлин.резьбой и отраж., хром  MM 1/2x1/2</t>
  </si>
  <si>
    <t>Кран шаровой угловой с удлин.резьбой и отраж., хром  MM 1/2x3/4</t>
  </si>
  <si>
    <t>Обратный клапан с латунным сердечником  FF  1/2</t>
  </si>
  <si>
    <t>Обратный клапан с латунным сердечником  FF  3/4</t>
  </si>
  <si>
    <t>Обратный клапан с латунным сердечником  FF 1</t>
  </si>
  <si>
    <t>Обратный клапан с латунным сердечником  FF 1 1/4</t>
  </si>
  <si>
    <t>Обратный клапан с пластиковым сердечником  FF  1/2</t>
  </si>
  <si>
    <t>Обратный клапан с пластиковым сердечником  FF  3/4</t>
  </si>
  <si>
    <t>Обратный клапан с пластиковым сердечником  FF 1</t>
  </si>
  <si>
    <t>Обратный клапан с пластиковым сердечником  FF 1 1/4</t>
  </si>
  <si>
    <t>Обратный клапан с сеткой  FF  1/2</t>
  </si>
  <si>
    <t>Обратный клапан с сеткой  FF  3/4</t>
  </si>
  <si>
    <t>Обратный клапан с сеткой  FF 1</t>
  </si>
  <si>
    <t>Обратный клапан с сеткой  FF 1 1/4</t>
  </si>
  <si>
    <t>Кран шаровой  FF  1/2  B  бабочка  11Б27п1</t>
  </si>
  <si>
    <t>Кран шаровой  FF  1/2  ручка  11Б27п1</t>
  </si>
  <si>
    <t>Кран шаровой  FF  3/4  B  бабочка  11Б27п1</t>
  </si>
  <si>
    <t>Кран шаровой  FF  3/4  ручка  11Б27п1</t>
  </si>
  <si>
    <t>Кран шаровой  FF 1  B  бабочка  11Б27п1</t>
  </si>
  <si>
    <t>Кран шаровой  FF 1  ручка  11Б27п1</t>
  </si>
  <si>
    <t>Кран шаровой  FF 1 1/2  ручка  11Б27п1</t>
  </si>
  <si>
    <t>Кран шаровой  FF 1 1/4  ручка  11Б27п1</t>
  </si>
  <si>
    <t>Кран шаровой  FF 2  ручка  11Б27п1</t>
  </si>
  <si>
    <t>Кран шаровой  FM  1/2  B  бабочка  11Б27п1</t>
  </si>
  <si>
    <t>Кран шаровой  FM  1/2  ручка  11Б27п1</t>
  </si>
  <si>
    <t>Кран шаровой  FM  3/4  B  бабочка  11Б27п1</t>
  </si>
  <si>
    <t>Кран шаровой  FM  3/4  ручка  11Б27п1</t>
  </si>
  <si>
    <t>Кран шаровой  FM 1  B  бабочка  11Б27п1</t>
  </si>
  <si>
    <t>Кран шаровой  FM 1  ручка  11Б27п1</t>
  </si>
  <si>
    <t>Кран шаровой  FM 1 1/2  ручка  11Б27п1</t>
  </si>
  <si>
    <t>Кран шаровой  FM 1 1/4  ручка  11Б27п1</t>
  </si>
  <si>
    <t>Кран шаровой  FM 2  ручка  11Б27п1</t>
  </si>
  <si>
    <t>Кран шаровой со сгоном  FM  1/2  U B  бабочка  11Б27п1</t>
  </si>
  <si>
    <t>Кран шаровой со сгоном  FM  3/4  U B  бабочка  11Б27п1</t>
  </si>
  <si>
    <t>Кран шаровой со сгоном  FM 1  U B  бабочка  11Б27п1</t>
  </si>
  <si>
    <t>Кран шаровой со сгоном  FM 1 1/4 U B  бабочка  11Б27п1</t>
  </si>
  <si>
    <t>Кран шаровой для газа 1" в/в ручка</t>
  </si>
  <si>
    <t>Кран шаровой для газа 1" в/н ручка</t>
  </si>
  <si>
    <t>Кран шаровой для газа 1/2" в/в бабочка</t>
  </si>
  <si>
    <t>Кран шаровой для газа 1/2" в/в ручка</t>
  </si>
  <si>
    <t>Кран шаровой для газа 1/2" в/н бабочка</t>
  </si>
  <si>
    <t>Кран шаровой для газа 1/2" в/н ручка</t>
  </si>
  <si>
    <t>Кран шаровой для газа 3/4" в/в бабочка</t>
  </si>
  <si>
    <t>Кран шаровой для газа 3/4" в/в ручка</t>
  </si>
  <si>
    <t>Кран шаровой для газа 3/4" в/н бабочка</t>
  </si>
  <si>
    <t>Кран шаровой для газа 3/4" в/н ручка</t>
  </si>
  <si>
    <t>Шланг д/душа  конус  имп (1/2") + имп (1/2")  длина 1,5 м  в блистере</t>
  </si>
  <si>
    <t>Шланг д/душа  конус  рус (М22) +  рус (М22)  длина 1,5 м  в блистере</t>
  </si>
  <si>
    <t>Шланг д/душа  конус имп (1/2") +  рус (М22)  длина 1,5 м  в блистере</t>
  </si>
  <si>
    <t>Шланг д/душа  конус имп (1/2") + имп (1/2")  длина 1,5 м</t>
  </si>
  <si>
    <t>Шланг д/душа  конус имп (1/2") + рус (М22)  длина 1,5 м</t>
  </si>
  <si>
    <t>Шланг д/душа  конус рус (М22) + рус (М22)  длина 1,5 м</t>
  </si>
  <si>
    <t>Обратный клапан с ППР корпусом 20</t>
  </si>
  <si>
    <t>Обратный клапан с ППР корпусом 25</t>
  </si>
  <si>
    <t>Обратный клапан с ППР корпусом 32</t>
  </si>
  <si>
    <t>Насос вибрационный AQUALINK VP U-65/18-10 280 Вт</t>
  </si>
  <si>
    <t>Насос вибрационный AQUALINK VP U-65/18-16 280 Вт</t>
  </si>
  <si>
    <t>Насос вибрационный AQUALINK VP U-65/18-25 280 Вт</t>
  </si>
  <si>
    <t>Насос вибрационный AQUALINK VP D-65/18-10 280 Вт</t>
  </si>
  <si>
    <t>Насос вибрационный AQUALINK VP D-65/18-16 280 Вт</t>
  </si>
  <si>
    <t>Насос вибрационный AQUALINK VP D-65/18-25 280 Вт</t>
  </si>
  <si>
    <t>Насосная станция автоматическая AQUALINK AS CI-37/60-24 600 Вт</t>
  </si>
  <si>
    <t>Насосная станция автоматическая AQUALINK AS CI-42/60-24 800 Вт</t>
  </si>
  <si>
    <t>Насосная станция автоматическая AQUALINK AS CI-50/70-24 1100 Вт</t>
  </si>
  <si>
    <t>Насосная станция автоматическая AQUALINK AS VI-35/35-24 370 Вт</t>
  </si>
  <si>
    <t>Узел нижнего подключения радиатора Н-образный прямой 1/2" нар х 3/4" нар (евроконус)</t>
  </si>
  <si>
    <t>Узел нижнего подключения радиатора Н-образный угловой 1/2" нар х 3/4" нар (евроконус)</t>
  </si>
  <si>
    <t>Насос дренажный AQUALINK DP D-9,5/250 1100 Вт</t>
  </si>
  <si>
    <t>Насос дренажный AQUALINK DP D-8/208 750 Вт</t>
  </si>
  <si>
    <t>Насос дренажный AQUALINK DP D-5/125 400 Вт</t>
  </si>
  <si>
    <t>Насос дренажный AQUALINK DP C-8/150 550 Вт</t>
  </si>
  <si>
    <t>Насос дренажный AQUALINK DP C-7/117 400 Вт</t>
  </si>
  <si>
    <t>Обратный клапан с латунным сердечником  FF 1 1/2</t>
  </si>
  <si>
    <t>Обратный клапан с латунным сердечником  FF 2</t>
  </si>
  <si>
    <t>Лейка для душа, 1 режим (пакет)</t>
  </si>
  <si>
    <t>Лейка для душа, 3 режима (блистер)</t>
  </si>
  <si>
    <t>Лейка для душа, 5 режимов (блистер)</t>
  </si>
  <si>
    <t>Шланг д/душа  конус  имп (1/2") + имп (1/2")  длина 1,75 м  в блистере</t>
  </si>
  <si>
    <t>Шланг д/душа  конус  имп (1/2") + имп (1/2")  длина 2 м  в блистере</t>
  </si>
  <si>
    <t>Шланг д/душа ПВХ  конус  имп (1/2") + имп (1/2")  длина 1,5 м  в блистере</t>
  </si>
  <si>
    <t>Шланг д/душа ПВХ  конус  имп (1/2") + имп (1/2")  длина 1,75 м  в блистере</t>
  </si>
  <si>
    <t>Шланг д/душа ПВХ  конус  имп (1/2") + имп (1/2")  длина 2 м  в блистере</t>
  </si>
  <si>
    <t>Набор для сварки ППР труб  20-63 мм (1500 Вт)</t>
  </si>
  <si>
    <t>Ножницы для резки полимерных труб усиленные 20-42 мм</t>
  </si>
  <si>
    <t>Ножницы для резки полимерных труб  20-63мм</t>
  </si>
  <si>
    <t>Американкa  32 х1 1/4 F</t>
  </si>
  <si>
    <t>Американкa  32 х1 1/4 M</t>
  </si>
  <si>
    <t>Муфта комбинированнaя  под ключ  32 х1 1/4 F</t>
  </si>
  <si>
    <t>Муфта комбинированнaя  под ключ  32 х1 1/4 M</t>
  </si>
  <si>
    <t>Муфта комбинированнaя  под ключ  32 х3/4 F</t>
  </si>
  <si>
    <t>Муфта комбинированнaя  под ключ  32 х3/4 M</t>
  </si>
  <si>
    <t>Автоматическая насосная станция AQUALINK AS CS-42/70-24 1100 Вт</t>
  </si>
  <si>
    <t>Автоматическая насосная станция AQUALINK AS SPI-35/35-2 370 Вт</t>
  </si>
  <si>
    <t>Клапан регулирующий для радиатора с уплотнением прямой вн-нар 1/2"</t>
  </si>
  <si>
    <t>Клапан регулирующий для радиатора с уплотнением прямой вн-нар 3/4"</t>
  </si>
  <si>
    <t>Клапан регулирующий для радиатора с уплотнением угловой вн-нар 1/2"</t>
  </si>
  <si>
    <t>Клапан регулирующий для радиатора с уплотнением угловой вн-нар 3/4"</t>
  </si>
  <si>
    <t>Клапан настроечный для радиатора с уплотнением прямой вн-нар 1/2"</t>
  </si>
  <si>
    <t>Клапан настроечный для радиатора с уплотнением прямой вн-нар 3/4"</t>
  </si>
  <si>
    <t>Клапан настроечный для радиатора с уплотнением угловой вн-нар 1/2"</t>
  </si>
  <si>
    <t>Клапан настроечный для радиатора с уплотнением угловой вн-нар 3/4"</t>
  </si>
  <si>
    <t>Клапан термостатический для радиатора с уплотнением прямой вн-нар 1/2"</t>
  </si>
  <si>
    <t>Клапан термостатический для радиатора с уплотнением прямой вн-нар 3/4"</t>
  </si>
  <si>
    <t>Клапан термостатический для радиатора с уплотнением угловой вн-нар 1/2"</t>
  </si>
  <si>
    <t>Клапан термостатический для радиатора с уплотнением угловой вн-нар 3/4"</t>
  </si>
  <si>
    <t>Шланг сливной модульный в бухте 50 м</t>
  </si>
  <si>
    <t>Наконечник для модульного сливного шланга</t>
  </si>
  <si>
    <t>Насос дренажный AQUALINK DP DI - 5/125 400 Вт</t>
  </si>
  <si>
    <t>Насос дренажный AQUALINK DP DI - 8/208 750 Вт</t>
  </si>
  <si>
    <t>Труба PE-Xb EVOH  16х2.0 - 200 м</t>
  </si>
  <si>
    <t>Труба PE-Xb EVOH  20х2.0 - 200 м</t>
  </si>
  <si>
    <t>Прокладка резиновая  1/2" - 18,8х11,4 (100 шт.)</t>
  </si>
  <si>
    <t>Прокладка резиновая  3/4" - 24,2х15 (100 шт.)</t>
  </si>
  <si>
    <t>Прокладка резиновая 1" - 30,3х18,8 (100 шт.)</t>
  </si>
  <si>
    <t>Манжета для канализации 50х25 (черная)</t>
  </si>
  <si>
    <t>Манжета для канализации 50х32 (черная)</t>
  </si>
  <si>
    <t>Манжета для канализации 50х40 (черная)</t>
  </si>
  <si>
    <t>Манжета для канализации 124х110 (черная)</t>
  </si>
  <si>
    <t>Набор для сварки полипропиленовых труб 20-32 мм (800 Вт)</t>
  </si>
  <si>
    <t>Коллектор PP-R с шаровыми кранами 32х20 2 выхода</t>
  </si>
  <si>
    <t>Коллектор PP-R с шаровыми кранами 32х20 3 выхода</t>
  </si>
  <si>
    <t>Коллектор PP-R с шаровыми кранами 32х20 4 выхода</t>
  </si>
  <si>
    <t>Коллектор PP-R с шаровыми кранами 32х20 5 выходов</t>
  </si>
  <si>
    <t>Кронштейн PP-R для коллектора 32</t>
  </si>
  <si>
    <t>Подводка ПВХ для газа 3/4" вн-вн  40 см</t>
  </si>
  <si>
    <t>Подводка ПВХ для газа 3/4" вн-вн  50 см</t>
  </si>
  <si>
    <t>Подводка ПВХ для газа 3/4" вн-вн  60 см</t>
  </si>
  <si>
    <t>Подводка ПВХ для газа 3/4" вн-вн 80 см</t>
  </si>
  <si>
    <t>Подводка ПВХ для газа 3/4" вн-вн 100 см</t>
  </si>
  <si>
    <t>Подводка ПВХ для газа 3/4" вн-вн 120 см</t>
  </si>
  <si>
    <t>Подводка ПВХ для газа 3/4" вн-вн 150 см</t>
  </si>
  <si>
    <t>Подводка ПВХ для газа 3/4" вн-вн 200 см</t>
  </si>
  <si>
    <t>Подводка ПВХ для газа 3/4" вн-вн 250 см</t>
  </si>
  <si>
    <t>Подводка ПВХ для газа 3/4" вн-вн 300 см</t>
  </si>
  <si>
    <t>Подводка ПВХ для газа 3/4" вн-нар  40 см</t>
  </si>
  <si>
    <t>Подводка ПВХ для газа 3/4" вн-нар  50 см</t>
  </si>
  <si>
    <t>Подводка ПВХ для газа 3/4" вн-нар  60 см</t>
  </si>
  <si>
    <t>Подводка ПВХ для газа 3/4" вн-нар  80 см</t>
  </si>
  <si>
    <t>Подводка ПВХ для газа 3/4" вн-нар 100 см</t>
  </si>
  <si>
    <t>Подводка ПВХ для газа 3/4" вн-нар 120 см</t>
  </si>
  <si>
    <t>Подводка ПВХ для газа 3/4" вн-нар 150 см</t>
  </si>
  <si>
    <t>Подводка ПВХ для газа 3/4" вн-нар 200 см</t>
  </si>
  <si>
    <t>Подводка ПВХ для газа 3/4" вн-нар 250 см</t>
  </si>
  <si>
    <t>Подводка ПВХ для газа 3/4" вн-нар 300 см</t>
  </si>
  <si>
    <t>Шланг поливочный d 13 мм садовый Soft-Touch (бухта 15м)</t>
  </si>
  <si>
    <t>Коллекторная группа с настр. и рег. клапанами, авт. возд-ками и дренаж. клап. нерж. сталь 1", 2х3/4"</t>
  </si>
  <si>
    <t>Коллекторная группа с настр. и рег. клапанами, авт. возд-ками и дренаж. клап. нерж. сталь 1", 3х3/4"</t>
  </si>
  <si>
    <t>Коллекторная группа с настр. и рег. клапанами, авт. возд-ками и дренаж. клап. нерж. сталь 1", 4х3/4"</t>
  </si>
  <si>
    <t>Коллекторная группа с настр. и рег. клапанами, авт. возд-ками и дренаж. клап. нерж. сталь 1", 5х3/4"</t>
  </si>
  <si>
    <t>Коллекторная группа с настр. и рег. клапанами, авт. возд-ками и дренаж. клап. нерж. сталь 1", 6х3/4"</t>
  </si>
  <si>
    <t>Коллекторная группа с настр. и рег. клапанами, авт. возд-ками и дренаж. клап. нерж. сталь 1", 7х3/4"</t>
  </si>
  <si>
    <t>Коллекторная группа с настр. и рег. клапанами, авт. возд-ками и дренаж. клап. нерж. сталь 1", 8х3/4"</t>
  </si>
  <si>
    <t>Коллекторная группа с настр. и рег. клапанами, авт. возд-ками и дренаж. клап. нерж. сталь 1", 9х3/4"</t>
  </si>
  <si>
    <t>Коллекторная группа с настр. и рег. клапанами, авт. возд-ками и дренаж. клап. нерж. сталь 1",10х3/4"</t>
  </si>
  <si>
    <t>Коллекторная группа с настр. и рег. клапанами, авт. возд-ками и дренаж. клап. нерж. сталь 1",11х3/4"</t>
  </si>
  <si>
    <t>Коллекторная группа с настр. и рег. клапанами, авт. возд-ками и дренаж. клап. нерж. сталь 1",12х3/4"</t>
  </si>
  <si>
    <t>Насосно-смесительный узел универсальный с байпасом</t>
  </si>
  <si>
    <t>Валюта прайса</t>
  </si>
  <si>
    <t>без НДС</t>
  </si>
  <si>
    <t>с НДС</t>
  </si>
  <si>
    <t>Курс доллара в таблице расчета</t>
  </si>
  <si>
    <r>
      <t>Расчетная себ-ть</t>
    </r>
    <r>
      <rPr>
        <sz val="11"/>
        <color rgb="FFFF0000"/>
        <rFont val="Calibri"/>
        <family val="2"/>
        <charset val="204"/>
        <scheme val="minor"/>
      </rPr>
      <t xml:space="preserve"> с НДС</t>
    </r>
  </si>
  <si>
    <t>МАКС себ-ть с НДС</t>
  </si>
  <si>
    <t>Радиатор алюминиевый 500/80  4 секции</t>
  </si>
  <si>
    <t>Радиатор алюминиевый 500/80  6 секций</t>
  </si>
  <si>
    <t>Радиатор алюминиевый 500/80  8 секций</t>
  </si>
  <si>
    <t>Радиатор алюминиевый 500/80 10 секций</t>
  </si>
  <si>
    <t>Радиатор алюминиевый 500/80 12 секций</t>
  </si>
  <si>
    <t>Радиатор биметаллический 500/80  4 секции</t>
  </si>
  <si>
    <t>Радиатор биметаллический 500/80  6 секции</t>
  </si>
  <si>
    <t>Радиатор биметаллический 500/80  8 секции</t>
  </si>
  <si>
    <t>Радиатор биметаллический 500/80 10 секции</t>
  </si>
  <si>
    <t>Радиатор биметаллический 500/80 12 секции</t>
  </si>
  <si>
    <t>RUB</t>
  </si>
  <si>
    <t>РУБ со скидкой с НДС</t>
  </si>
  <si>
    <t>Расчетная наценка</t>
  </si>
  <si>
    <t>Шланг напорно-всасывающий 22х25 мм с комплектом подключения к насосной станции, 5 м</t>
  </si>
  <si>
    <t>Шланг напорно-всасывающий 22х25 мм с комплектом подключения к насосной станции, 7 м</t>
  </si>
  <si>
    <t>Шланг напорно-всасывающий 22х25 мм с комплектом подключения к насосной станции, 9 м</t>
  </si>
  <si>
    <t>Труба PE-Xa EVOH  16х2.0 - 200 м</t>
  </si>
  <si>
    <t>Труба PE-Xa EVOH  16х2.2 - 200 м</t>
  </si>
  <si>
    <t>Труба PE-Xa EVOH  20х2.0 - 200 м</t>
  </si>
  <si>
    <t>Труба PE-Xa EVOH  20х2.8 - 200 м</t>
  </si>
  <si>
    <t>CNY</t>
  </si>
  <si>
    <t>Подводка для смесителя  30 см длинный штуцер (35мм) (AQUALINE 100/10)</t>
  </si>
  <si>
    <t>Подводка гибкая для смесителя F1/2хM10х35 40 см, стальная гайка (AQUALINE 100/10)</t>
  </si>
  <si>
    <t>Подводка гибкая для смесителя F1/2хM10х35 50 см, стальная гайка (AQUALINE 100/10)</t>
  </si>
  <si>
    <t>Подводка гибкая для смесителя F1/2хM10х35 60 см, стальная гайка (AQUALINE 100/10)</t>
  </si>
  <si>
    <t>Подводка гибкая для смесителя F1/2хM10х35 80 см, стальная гайка (AQUALINE 50/10)</t>
  </si>
  <si>
    <t>Подводка гибкая для смесителя F1/2хM10х35 100 см, стальная гайка (AQUALINE 50/10)</t>
  </si>
  <si>
    <t>Подводка гибкая для смесителя F1/2хM10х35 150 см, стальная гайка (AQUALINE 50/10)</t>
  </si>
  <si>
    <t>Подводка гибкая для смесителя F1/2хM10х35 200 см, стальная гайка (AQUALINE 50/10)</t>
  </si>
  <si>
    <t>Подводка гибкая для смесителя F1/2хM10х18 30 см, стальная гайка (AQUALINE 100/10)</t>
  </si>
  <si>
    <t>Подводка гибкая для смесителя F1/2хM10х18 40 см, стальная гайка (AQUALINE 100/10)</t>
  </si>
  <si>
    <t>Подводка гибкая для смесителя F1/2хM10х18 50 см, стальная гайка (AQUALINE 100/10)</t>
  </si>
  <si>
    <t>Подводка гибкая для смесителя F1/2хM10х18 60 см, стальная гайка (AQUALINE 100/10)</t>
  </si>
  <si>
    <t>Подводка гибкая для смесителя F1/2хM10х18 80 см, стальная гайка (AQUALINE 50/10)</t>
  </si>
  <si>
    <t>Подводка гибкая для смесителя F1/2хM10х18 100 см, стальная гайка (AQUALINE 50/10)</t>
  </si>
  <si>
    <t>Подводка гибкая для смесителя F1/2хM10х18 150 см, стальная гайка (AQUALINE 50/10)</t>
  </si>
  <si>
    <t>Подводка гибкая для смесителя F1/2хM10х18 200 см, стальная гайка (AQUALINE 50/10)</t>
  </si>
  <si>
    <t>Валюта закупки</t>
  </si>
  <si>
    <t>Наименование</t>
  </si>
  <si>
    <t>Наименование для печати</t>
  </si>
  <si>
    <t>Группа</t>
  </si>
  <si>
    <t>Шаг заказа</t>
  </si>
  <si>
    <t>Признак поставщика</t>
  </si>
  <si>
    <t>Мин. заказ</t>
  </si>
  <si>
    <t>Вид номенклатуры</t>
  </si>
  <si>
    <t>Товарная категория</t>
  </si>
  <si>
    <t>Группа спроса</t>
  </si>
  <si>
    <t>Дата первого поступления</t>
  </si>
  <si>
    <t>Основной ШК</t>
  </si>
  <si>
    <t>Код ТНВЭД</t>
  </si>
  <si>
    <t>Выгрузка на сайт</t>
  </si>
  <si>
    <t>Группа настроек фин. учета</t>
  </si>
  <si>
    <t>H-образный клапан 1/2*3/4</t>
  </si>
  <si>
    <t>ProEXPERT</t>
  </si>
  <si>
    <t>Шаровые краны</t>
  </si>
  <si>
    <t>Под заказ</t>
  </si>
  <si>
    <t>8481808199</t>
  </si>
  <si>
    <t>Нет</t>
  </si>
  <si>
    <t>Товары на продажу</t>
  </si>
  <si>
    <t>LG P1.26 LAS012DB4-F LED дисплей / LAS012DB4-F / LG P1.26 LAS012DB4-F LED дисплей</t>
  </si>
  <si>
    <t>ЛИИС</t>
  </si>
  <si>
    <t>Ответственное хранение</t>
  </si>
  <si>
    <t>H-01174</t>
  </si>
  <si>
    <t>T Base plate d&amp;b audiotechnik Z5375.000</t>
  </si>
  <si>
    <t>BRM-3510</t>
  </si>
  <si>
    <t xml:space="preserve">Z-образный профиль 50х50х50, L1000, толщ.2,5 мм </t>
  </si>
  <si>
    <t>Z-образный профиль 50х50х50, L1000, толщ.2,5 мм</t>
  </si>
  <si>
    <t>Автоматическая насосная станция AQUALINK AS CI-37/60-24 600 Вт</t>
  </si>
  <si>
    <t>Насосные станции</t>
  </si>
  <si>
    <t>Насосы GOR</t>
  </si>
  <si>
    <t>Новинка</t>
  </si>
  <si>
    <t>Группа 1</t>
  </si>
  <si>
    <t>02.04.2021</t>
  </si>
  <si>
    <t>4660129405818</t>
  </si>
  <si>
    <t>8413704500</t>
  </si>
  <si>
    <t>Да</t>
  </si>
  <si>
    <t>Автоматическая насосная станция AQUALINK AS CI-42/60-24 800 Вт</t>
  </si>
  <si>
    <t>4660129405825</t>
  </si>
  <si>
    <t>Автоматическая насосная станция AQUALINK AS CI-50/70-24 1100 Вт</t>
  </si>
  <si>
    <t>4660129405832</t>
  </si>
  <si>
    <t>Группа 2</t>
  </si>
  <si>
    <t>01.04.2022</t>
  </si>
  <si>
    <t>4660129408321</t>
  </si>
  <si>
    <t>4660129408376</t>
  </si>
  <si>
    <t>Автоматическая насосная станция AQUALINK AS VI-35/35-24 370 Вт</t>
  </si>
  <si>
    <t>4660129405801</t>
  </si>
  <si>
    <t>H-01171</t>
  </si>
  <si>
    <t>Адаптер для установки на штатив CI системы d&amp;b audiotechnik Z5024.000.00</t>
  </si>
  <si>
    <t>H-01176</t>
  </si>
  <si>
    <t>Активная вертикальная управляемая звуковая колонна VSA 2050 II RCF</t>
  </si>
  <si>
    <t>H-01177</t>
  </si>
  <si>
    <t>Активная вертикальная управляемая звуковая колонна VSA 850 II RCF</t>
  </si>
  <si>
    <t>Американки</t>
  </si>
  <si>
    <t>ППР фитинги</t>
  </si>
  <si>
    <t>Основной ассортимент</t>
  </si>
  <si>
    <t>01.01.2016</t>
  </si>
  <si>
    <t>4650098213569</t>
  </si>
  <si>
    <t>3917400009</t>
  </si>
  <si>
    <t>03647-DIY</t>
  </si>
  <si>
    <t>Американкa  20 х1/2 F DIY</t>
  </si>
  <si>
    <t>DIY</t>
  </si>
  <si>
    <t>4650098213620</t>
  </si>
  <si>
    <t>03653-DIY</t>
  </si>
  <si>
    <t>Американкa  20 х3/4 F DIY</t>
  </si>
  <si>
    <t>4650098213644</t>
  </si>
  <si>
    <t>4650098213637</t>
  </si>
  <si>
    <t>4650098213576</t>
  </si>
  <si>
    <t>03648-DIY</t>
  </si>
  <si>
    <t>Американкa  25 х3/4 F DIY</t>
  </si>
  <si>
    <t>01.01.2022</t>
  </si>
  <si>
    <t>4660129408130</t>
  </si>
  <si>
    <t>4660129408239</t>
  </si>
  <si>
    <t>4650098213583</t>
  </si>
  <si>
    <t>03649-DIY</t>
  </si>
  <si>
    <t>Американкa  32 х1 F DIY</t>
  </si>
  <si>
    <t>4650098213651</t>
  </si>
  <si>
    <t>4650098213590</t>
  </si>
  <si>
    <t>4650098213606</t>
  </si>
  <si>
    <t>4650098213613</t>
  </si>
  <si>
    <t>V-03647</t>
  </si>
  <si>
    <t>Американкa 20 х1/2 F</t>
  </si>
  <si>
    <t>Водолей</t>
  </si>
  <si>
    <t>V-03653</t>
  </si>
  <si>
    <t>Американкa 20 х3/4 F</t>
  </si>
  <si>
    <t>V-03655</t>
  </si>
  <si>
    <t>Американкa 25 х1 F</t>
  </si>
  <si>
    <t>V-03654</t>
  </si>
  <si>
    <t>Американкa 25 х1/2 F</t>
  </si>
  <si>
    <t>V-03648</t>
  </si>
  <si>
    <t>Американкa 25 х3/4 F</t>
  </si>
  <si>
    <t>V-03649</t>
  </si>
  <si>
    <t>Американкa 32 х1 F</t>
  </si>
  <si>
    <t>V-03656</t>
  </si>
  <si>
    <t>Американкa 32 х3/4 F</t>
  </si>
  <si>
    <t>Группа 3</t>
  </si>
  <si>
    <t>V-03650</t>
  </si>
  <si>
    <t>Американкa 40 х1 1/4 F</t>
  </si>
  <si>
    <t>V-03651</t>
  </si>
  <si>
    <t>Американкa 50 х1 1/2 F</t>
  </si>
  <si>
    <t>V-03652</t>
  </si>
  <si>
    <t>Американкa 63 х2 F</t>
  </si>
  <si>
    <t>4650098213668</t>
  </si>
  <si>
    <t>03657-DIY</t>
  </si>
  <si>
    <t>Американка  20 х1/2 M DIY</t>
  </si>
  <si>
    <t>4650098213729</t>
  </si>
  <si>
    <t>4650098213743</t>
  </si>
  <si>
    <t>4650098213736</t>
  </si>
  <si>
    <t>4650098213675</t>
  </si>
  <si>
    <t>03658-DIY</t>
  </si>
  <si>
    <t>Американка  25 х3/4 M DIY</t>
  </si>
  <si>
    <t>4650098213682</t>
  </si>
  <si>
    <t>03659-DIY</t>
  </si>
  <si>
    <t>Американка  32 х1 M DIY</t>
  </si>
  <si>
    <t>4650098213750</t>
  </si>
  <si>
    <t>4650098213699</t>
  </si>
  <si>
    <t>4650098213705</t>
  </si>
  <si>
    <t>4650098213712</t>
  </si>
  <si>
    <t>02592-DIY</t>
  </si>
  <si>
    <t>Американка  FM  1 1/4'' DIY</t>
  </si>
  <si>
    <t>Резьбовые фитинги</t>
  </si>
  <si>
    <t>Резьба никелированная</t>
  </si>
  <si>
    <t>4630003322548</t>
  </si>
  <si>
    <t>7412200000</t>
  </si>
  <si>
    <t>V-03657</t>
  </si>
  <si>
    <t>Американка 20 х1/2 M</t>
  </si>
  <si>
    <t>V-03663</t>
  </si>
  <si>
    <t>Американка 20 х3/4 M</t>
  </si>
  <si>
    <t>V-03665</t>
  </si>
  <si>
    <t>Американка 25 х1 M</t>
  </si>
  <si>
    <t>V-03664</t>
  </si>
  <si>
    <t>Американка 25 х1/2 M</t>
  </si>
  <si>
    <t>V-03658</t>
  </si>
  <si>
    <t>Американка 25 х3/4 M</t>
  </si>
  <si>
    <t>V-03659</t>
  </si>
  <si>
    <t>Американка 32 х1 M</t>
  </si>
  <si>
    <t>V-03666</t>
  </si>
  <si>
    <t>Американка 32 х3/4 M</t>
  </si>
  <si>
    <t>V-03660</t>
  </si>
  <si>
    <t>Американка 40 х1 1/4 M</t>
  </si>
  <si>
    <t>V-03661</t>
  </si>
  <si>
    <t>Американка 50 х1 1/2 M</t>
  </si>
  <si>
    <t>V-03662</t>
  </si>
  <si>
    <t>Американка 63 х2 M</t>
  </si>
  <si>
    <t>Американка прямая  1 1/4''FM</t>
  </si>
  <si>
    <t>02589-1</t>
  </si>
  <si>
    <t>Американка  FM  1/2''</t>
  </si>
  <si>
    <t>Американка прямая  1/2''FM</t>
  </si>
  <si>
    <t>АРХИВ</t>
  </si>
  <si>
    <t>0</t>
  </si>
  <si>
    <t>Вывод из ассортимента</t>
  </si>
  <si>
    <t>4630003322043</t>
  </si>
  <si>
    <t>4630003322524</t>
  </si>
  <si>
    <t>02589-DIY</t>
  </si>
  <si>
    <t>Американка  FM   1/2'' DIY</t>
  </si>
  <si>
    <t>Американка прямая  1/2''FM DIY</t>
  </si>
  <si>
    <t>02588-1</t>
  </si>
  <si>
    <t>Американка  FM 1''</t>
  </si>
  <si>
    <t>Американка прямая  1''FM</t>
  </si>
  <si>
    <t>Архив</t>
  </si>
  <si>
    <t>4650098211589</t>
  </si>
  <si>
    <t>02588-DIY</t>
  </si>
  <si>
    <t>Американка  FM  1'' DIY</t>
  </si>
  <si>
    <t>Американка прямая  1''FM DIY</t>
  </si>
  <si>
    <t>Американка прямая  2''FM</t>
  </si>
  <si>
    <t>02590-1</t>
  </si>
  <si>
    <t>Американка  FM  3/4''</t>
  </si>
  <si>
    <t>Американка прямая  3/4''FM</t>
  </si>
  <si>
    <t>4630003322531</t>
  </si>
  <si>
    <t>02590-DIY</t>
  </si>
  <si>
    <t>Американка  FM   3/4'' DIY</t>
  </si>
  <si>
    <t>Американка прямая  3/4''FM DIY</t>
  </si>
  <si>
    <t>Американка прямая 1 1/2''FM</t>
  </si>
  <si>
    <t>4650098211572</t>
  </si>
  <si>
    <t>02591 DIY</t>
  </si>
  <si>
    <t>Американка  FM  1 1/2''-DIY</t>
  </si>
  <si>
    <t>Американка прямая 1 1/2''FM DIY</t>
  </si>
  <si>
    <t>0805-В</t>
  </si>
  <si>
    <t>Американка прямая 1* г лат</t>
  </si>
  <si>
    <t>Резьба латунная</t>
  </si>
  <si>
    <t>0801-В</t>
  </si>
  <si>
    <t>Американка прямая 1/2* г лат</t>
  </si>
  <si>
    <t>0806-В</t>
  </si>
  <si>
    <t>Американка угловая   1*  лат</t>
  </si>
  <si>
    <t>Вывод  из ассортимента</t>
  </si>
  <si>
    <t>Американка угловая  1 1/4'' FM</t>
  </si>
  <si>
    <t>10.11.2020</t>
  </si>
  <si>
    <t>4650098211596</t>
  </si>
  <si>
    <t>Американка угловая  1'' FM</t>
  </si>
  <si>
    <t>4630003323408</t>
  </si>
  <si>
    <t>02390-DIY</t>
  </si>
  <si>
    <t>Американка угловая  FM  1'' DIY</t>
  </si>
  <si>
    <t>Американка угловая  1'' FM DIY</t>
  </si>
  <si>
    <t>Американка угловая  1/2'' FM</t>
  </si>
  <si>
    <t>4630003322500</t>
  </si>
  <si>
    <t>02586-DIY</t>
  </si>
  <si>
    <t>Американка угловая  FM   1/2'' DIY</t>
  </si>
  <si>
    <t>Американка угловая  1/2'' FM DIY</t>
  </si>
  <si>
    <t>Американка угловая  3/4'' FM</t>
  </si>
  <si>
    <t>4630003322517</t>
  </si>
  <si>
    <t>02587-DIY</t>
  </si>
  <si>
    <t>Американка угловая  FM   3/4''-DIY</t>
  </si>
  <si>
    <t>0802-В</t>
  </si>
  <si>
    <t>Американка угловая 1/2*  лат</t>
  </si>
  <si>
    <t>0804-В</t>
  </si>
  <si>
    <t>Американка угловая 3/4*  лат</t>
  </si>
  <si>
    <t>Анаэробный клей-герметик "Фиксатор" №3 20 гр</t>
  </si>
  <si>
    <t>Уплотнительные материалы</t>
  </si>
  <si>
    <t>4630001340490</t>
  </si>
  <si>
    <t>3214101009</t>
  </si>
  <si>
    <t>Анаэробный клей-герметик "Фиксатор" №3 40 гр</t>
  </si>
  <si>
    <t>4630001340483</t>
  </si>
  <si>
    <t xml:space="preserve">Гель для резьбовых соединений </t>
  </si>
  <si>
    <t>Герметики</t>
  </si>
  <si>
    <t>01.09.2020</t>
  </si>
  <si>
    <t>4670064716856</t>
  </si>
  <si>
    <t>01.10.2019</t>
  </si>
  <si>
    <t>4650098215693</t>
  </si>
  <si>
    <t>4650098215709</t>
  </si>
  <si>
    <t>4650098215716</t>
  </si>
  <si>
    <t>4670064716849</t>
  </si>
  <si>
    <t>4650098215662</t>
  </si>
  <si>
    <t>4650098215679</t>
  </si>
  <si>
    <t>4650098215686</t>
  </si>
  <si>
    <t>M-00006</t>
  </si>
  <si>
    <t>Ассорти "Чудо Сибири" / грильяж, марципан, ягодень / 90 г.</t>
  </si>
  <si>
    <t>Рекламные материалы</t>
  </si>
  <si>
    <t>Материалы</t>
  </si>
  <si>
    <t>Материалы прочие</t>
  </si>
  <si>
    <t>H-01161</t>
  </si>
  <si>
    <t>БЗ конвектор Коробка соединительная</t>
  </si>
  <si>
    <t>H-01151</t>
  </si>
  <si>
    <t>Бирка для кабеля У134</t>
  </si>
  <si>
    <t>H-01152</t>
  </si>
  <si>
    <t>Бирка для кабеля У136</t>
  </si>
  <si>
    <t>Блокнот</t>
  </si>
  <si>
    <t>Материалы для офиса</t>
  </si>
  <si>
    <t>M-01118</t>
  </si>
  <si>
    <t>Блокнот.</t>
  </si>
  <si>
    <t>Рекламная продукция</t>
  </si>
  <si>
    <t>1111111111014</t>
  </si>
  <si>
    <t>M-00019</t>
  </si>
  <si>
    <t>Блокноты 2022, белые</t>
  </si>
  <si>
    <t>1111111111031</t>
  </si>
  <si>
    <t>M-00034</t>
  </si>
  <si>
    <t>Буклет «СантехСтандарт» 2023-01</t>
  </si>
  <si>
    <t>1111111111050</t>
  </si>
  <si>
    <t>M-00001</t>
  </si>
  <si>
    <t>Буклет для ГК Энергомикс</t>
  </si>
  <si>
    <t>1111111111003</t>
  </si>
  <si>
    <t>M-00016</t>
  </si>
  <si>
    <t>Буклет СантехСтандарт 2022-01</t>
  </si>
  <si>
    <t>1111111111028</t>
  </si>
  <si>
    <t>M-00004</t>
  </si>
  <si>
    <t>Варенье из сосновых шишек, 160г. (НГ)</t>
  </si>
  <si>
    <t>Ввод кабельный для труб IP55 диаметр 20мм</t>
  </si>
  <si>
    <t>Ввод кабельный для труб IP55 диаметр 25мм</t>
  </si>
  <si>
    <t xml:space="preserve">Ввод кабельный для труб IP55 диаметр 32мм </t>
  </si>
  <si>
    <t>Вентиль   хромированный  20х1/2</t>
  </si>
  <si>
    <t>Вентили</t>
  </si>
  <si>
    <t>8481805990</t>
  </si>
  <si>
    <t>Вентиль   хромированный  25х3/4</t>
  </si>
  <si>
    <t>Вентиль   хромированный  32х1</t>
  </si>
  <si>
    <t>Вентиль   хромированный скрытый  20х1/2</t>
  </si>
  <si>
    <t>Вентиль   хромированный скрытый  25х3/4</t>
  </si>
  <si>
    <t>Вентиль   хромированный скрытый  32х1</t>
  </si>
  <si>
    <t>1124-В</t>
  </si>
  <si>
    <t>Вентиль  1 1/2*  15Б3Р лат  Ду-40</t>
  </si>
  <si>
    <t>1123-В</t>
  </si>
  <si>
    <t>Вентиль  1 1/4*  15Б3Р лат  Ду-32</t>
  </si>
  <si>
    <t>1122-В</t>
  </si>
  <si>
    <t>Вентиль  1*  15Б3Р лат  Ду-25</t>
  </si>
  <si>
    <t>1111-В</t>
  </si>
  <si>
    <t>Вентиль  1/2*  15Б3Р лат  Ду-15</t>
  </si>
  <si>
    <t>1125-В</t>
  </si>
  <si>
    <t>Вентиль  2*  15Б3Р лат  Ду-50</t>
  </si>
  <si>
    <t>Вентиль</t>
  </si>
  <si>
    <t>1126-В</t>
  </si>
  <si>
    <t>Вентиль  2*  г/ш  15Б3Р лат  Ду-50  пожарный</t>
  </si>
  <si>
    <t>1112-В</t>
  </si>
  <si>
    <t>Вентиль  3/4*  15Б3Р лат  Ду-20</t>
  </si>
  <si>
    <t>V-03625</t>
  </si>
  <si>
    <t>Вентиль  90*20</t>
  </si>
  <si>
    <t>8481807900</t>
  </si>
  <si>
    <t>V-03626</t>
  </si>
  <si>
    <t>Вентиль  90*25</t>
  </si>
  <si>
    <t>V-03627</t>
  </si>
  <si>
    <t>Вентиль  90*32</t>
  </si>
  <si>
    <t>4650098214306</t>
  </si>
  <si>
    <t>4650098214313</t>
  </si>
  <si>
    <t>4650098214320</t>
  </si>
  <si>
    <t>Вентиль муфта-муфта 45* 20</t>
  </si>
  <si>
    <t>Вентиль муфта-муфта 45* 25</t>
  </si>
  <si>
    <t>Вентиль муфта-муфта 45* 32</t>
  </si>
  <si>
    <t>Вентиль муфта-штуцер 45* 20</t>
  </si>
  <si>
    <t>Вентиль муфта-штуцер 45* 25</t>
  </si>
  <si>
    <t>Вентиль муфта-штуцер 45* 32</t>
  </si>
  <si>
    <t>Вентиль трехпроходной FMM 1/2x1/2x3/4  гайка-штуцер-штуцер</t>
  </si>
  <si>
    <t>Шаровые краны для бытовых приборов</t>
  </si>
  <si>
    <t>4650098211473</t>
  </si>
  <si>
    <t>03968-DIY</t>
  </si>
  <si>
    <t>Вентиль трехпроходной  FMM 1/2x1/2x3/4 DIY</t>
  </si>
  <si>
    <t>Вентиль трехпроходной FMM 1/2x1/2x3/4  гайка-штуцер-штуцер DIY</t>
  </si>
  <si>
    <t>ШК для сантех приборов</t>
  </si>
  <si>
    <t>M-00017</t>
  </si>
  <si>
    <t>Вода брендированная</t>
  </si>
  <si>
    <t>1111111111029</t>
  </si>
  <si>
    <t>Водорозетка  T16х1/2Fx16-W</t>
  </si>
  <si>
    <t>Водорозетка (тройник с креплением) 2 цанги/гайка T16х1/2Fx16-W</t>
  </si>
  <si>
    <t>Обжимные фитинги</t>
  </si>
  <si>
    <t>Водорозетка (уголок с креплением) цанга/гайка L16х1/2 F-W</t>
  </si>
  <si>
    <t>Уголки</t>
  </si>
  <si>
    <t>4630003324849</t>
  </si>
  <si>
    <t>00286-DIY</t>
  </si>
  <si>
    <t>Водорозетка  L16х1/2 F-W DIY</t>
  </si>
  <si>
    <t>Водорозетка (уголок с креплением) цанга/гайка L16х1/2 F-W DIY</t>
  </si>
  <si>
    <t>Обжимные фитинги 16</t>
  </si>
  <si>
    <t>Водорозетка  L16х3/4 F-W</t>
  </si>
  <si>
    <t>Водорозетка (уголок с креплением) цанга/гайка L16х3/4 F-W</t>
  </si>
  <si>
    <t>Водорозетка (уголок с креплением) цанга/гайка L20х1/2 F-W</t>
  </si>
  <si>
    <t>4650098210032</t>
  </si>
  <si>
    <t>00168-DIY</t>
  </si>
  <si>
    <t>Водорозетка  L20х1/2 F-W-DIY</t>
  </si>
  <si>
    <t>Водорозетка (уголок с креплением) цанга/гайка L20х1/2 F-W-DIY</t>
  </si>
  <si>
    <t>Водорозетка (уголок с креплением) цанга/гайка L20х3/4 F-W</t>
  </si>
  <si>
    <t>4650098210957</t>
  </si>
  <si>
    <t>00492-DIY</t>
  </si>
  <si>
    <t>Водорозетка  L20х3/4 F-W-DIY</t>
  </si>
  <si>
    <t>Водорозетка (уголок с креплением) цанга/гайка L20х3/4 F-W-DIY</t>
  </si>
  <si>
    <t>Воздухоотводчик 1/2"</t>
  </si>
  <si>
    <t>Воздухоотводчик автоматический  1/2” BUGATTI ILLINOIS</t>
  </si>
  <si>
    <t>ILLINOIS</t>
  </si>
  <si>
    <t>Bugatti</t>
  </si>
  <si>
    <t>Шаровые краны Bugatti</t>
  </si>
  <si>
    <t>Арматура безопасности</t>
  </si>
  <si>
    <t>Группы безопасности</t>
  </si>
  <si>
    <t>01.11.2020</t>
  </si>
  <si>
    <t>4650098217611</t>
  </si>
  <si>
    <t>8481401000</t>
  </si>
  <si>
    <t>Воздухоотводчик автоматический (поплавковый) 3/8″ c отcекающим клапаном 1/2″</t>
  </si>
  <si>
    <t>4650098217635</t>
  </si>
  <si>
    <t>Воздухоотводчик автоматический (радиаторный) 1''  левый</t>
  </si>
  <si>
    <t>Комплектующие для радиаторов AQUALINK</t>
  </si>
  <si>
    <t>Термостатика</t>
  </si>
  <si>
    <t>Комплектующие для радиаторов</t>
  </si>
  <si>
    <t>01.12.2019</t>
  </si>
  <si>
    <t>4650098215426</t>
  </si>
  <si>
    <t>8481803900</t>
  </si>
  <si>
    <t>Воздухоотводчик автоматический (радиаторный) 1''  правый</t>
  </si>
  <si>
    <t>4650098215419</t>
  </si>
  <si>
    <t>02606-DIY</t>
  </si>
  <si>
    <t>Воздухоотводчик автоматический (радиаторный) 1'' левый DIY</t>
  </si>
  <si>
    <t>Клапаны и термостатика для радиаторов AQUALINK</t>
  </si>
  <si>
    <t>02605-DIY</t>
  </si>
  <si>
    <t>Воздухоотводчик автоматический (радиаторный) 1'' правый DIY</t>
  </si>
  <si>
    <t>Воздухоотводчик автоматический 1/2” BUGATTI ILLINOIS</t>
  </si>
  <si>
    <t>01330-DIY</t>
  </si>
  <si>
    <t>Воздухоотводчик ручной    1/2''  (кран Маевского) DIY</t>
  </si>
  <si>
    <t>4650098214566</t>
  </si>
  <si>
    <t>02061-DIY</t>
  </si>
  <si>
    <t>Воздухоотводчик ручной   3/4''  (кран Маевского) DIY</t>
  </si>
  <si>
    <t>4650098214573</t>
  </si>
  <si>
    <t>4650098215648</t>
  </si>
  <si>
    <t>04602-DIY</t>
  </si>
  <si>
    <t>Воздухоотводчик ручной с пластиковой ручкой  1/2''  (кран Маевского) DIY</t>
  </si>
  <si>
    <t>4650098215655</t>
  </si>
  <si>
    <t>04603-DIY</t>
  </si>
  <si>
    <t>Воздухоотводчик ручной с пластиковой ручкой  3/4''  (кран Маевского) DIY</t>
  </si>
  <si>
    <t>3801-В</t>
  </si>
  <si>
    <t>Врезка  1/2 г лат</t>
  </si>
  <si>
    <t>3802-В</t>
  </si>
  <si>
    <t>Врезка  3/4 г лат</t>
  </si>
  <si>
    <t>Врезка</t>
  </si>
  <si>
    <t>H-01165</t>
  </si>
  <si>
    <t>Гайка М8 с насечками</t>
  </si>
  <si>
    <t>Гильза аксиальная 16 мм</t>
  </si>
  <si>
    <t>Гильзы аксиальные</t>
  </si>
  <si>
    <t>Аксиальные фитинги</t>
  </si>
  <si>
    <t>01.09.2023</t>
  </si>
  <si>
    <t>4660129410553</t>
  </si>
  <si>
    <t>Гильза аксиальная 20 мм</t>
  </si>
  <si>
    <t>4660129410560</t>
  </si>
  <si>
    <t>Головка термостатического клапана BUGATTI DALLAS</t>
  </si>
  <si>
    <t>DALLAS</t>
  </si>
  <si>
    <t>M-00014</t>
  </si>
  <si>
    <t>Гофрокороб 400 х 270 х 150 с логотипом</t>
  </si>
  <si>
    <t>Расходные материалы для маркировки</t>
  </si>
  <si>
    <t>Товары на замену</t>
  </si>
  <si>
    <t>1111111111024</t>
  </si>
  <si>
    <t>M-00012</t>
  </si>
  <si>
    <t>Гофрокороб 400 х 270 х 260 "Сборный короб"</t>
  </si>
  <si>
    <t>1111111111022</t>
  </si>
  <si>
    <t>M-00011</t>
  </si>
  <si>
    <t>Гофрокороб 400 х 270 х 260 с логотипом</t>
  </si>
  <si>
    <t>1111111111021</t>
  </si>
  <si>
    <t>M-00010</t>
  </si>
  <si>
    <t>Гофрокороб 400 х 270 х 260 с логотипом ППР</t>
  </si>
  <si>
    <t>1111111111020</t>
  </si>
  <si>
    <t>M-00013</t>
  </si>
  <si>
    <t>Гофрокороб 600 х 400 х 270 слив и налив</t>
  </si>
  <si>
    <t>1111111111023</t>
  </si>
  <si>
    <t>M-00020</t>
  </si>
  <si>
    <t>Гофрокороб 600 х 400 х 400 "Сборный короб" Леруа</t>
  </si>
  <si>
    <t>1111111111035</t>
  </si>
  <si>
    <t>4650098218205</t>
  </si>
  <si>
    <t>8481409009</t>
  </si>
  <si>
    <t>4650098218229</t>
  </si>
  <si>
    <t>4650098218243</t>
  </si>
  <si>
    <t>H21024</t>
  </si>
  <si>
    <t>Двухзахватный смеситель для ванны (длинный излив), хром, H21024</t>
  </si>
  <si>
    <t>Groneo</t>
  </si>
  <si>
    <t>Смесители GRONEO</t>
  </si>
  <si>
    <t>8481801100</t>
  </si>
  <si>
    <t>H30024</t>
  </si>
  <si>
    <t>Двухзахватный смеситель для ванны (короткий излив), хром, H30024</t>
  </si>
  <si>
    <t>H43024</t>
  </si>
  <si>
    <t>Двухзахватный смеситель для ванны (короткий излив), хром, H43024</t>
  </si>
  <si>
    <t>H42024</t>
  </si>
  <si>
    <t>Двухзахватный смеситель для кухни с высоким изливом, хром, H42024</t>
  </si>
  <si>
    <t>H46009</t>
  </si>
  <si>
    <t>Двухзахватный смеситель для кухни, хром, H46009</t>
  </si>
  <si>
    <t>H47009</t>
  </si>
  <si>
    <t>Двухзахватный смеситель для кухни, хром, H47009</t>
  </si>
  <si>
    <t>H10009</t>
  </si>
  <si>
    <t>Двухзахватный смеситель для раковины с 2-я маховиками, хром, H10009</t>
  </si>
  <si>
    <t>H13024</t>
  </si>
  <si>
    <t>Двухзахватный смеситель для раковины, хром (гаечный крепеж), H13024</t>
  </si>
  <si>
    <t>Держатель оцинкованный односторонний 25-26мм</t>
  </si>
  <si>
    <t>Держатель с защелкой 20 мм для труб</t>
  </si>
  <si>
    <t>Держатель с защелкой 40 мм для труб</t>
  </si>
  <si>
    <t>Дисплей LG 55SM5KE-B / 55SM5KE-B / LG 55SM5KE- 55`` FH LED display, яркость 450 нит, WebOS 4.0</t>
  </si>
  <si>
    <t>Дисплей LG 55UH5C-B / 55UH5C-B / LG 55UH5C-B 55`` 4K LED display, яркость 500 нит, 24/7, WebOS 3.0</t>
  </si>
  <si>
    <t>H-01181</t>
  </si>
  <si>
    <t>Дисплей LG 98UH5F 4K  LED, яркость 500нит, колонки, рамка 14,9мм, 24/7, WebOS 4.1</t>
  </si>
  <si>
    <t>Дисплей Samsung Flipcart 55`` 4K LED displey, TochScreen, яркость 350 нит, колонки, Wi-Fi, USB,Pivot</t>
  </si>
  <si>
    <t>Дисплей Samsung WM65R 4K LED displey, TochScreen, яркость 350 нит, колонки, Wi-Fi, USB,Pivot</t>
  </si>
  <si>
    <t>Сильфонная подводка для газа и диэлектрики AQUALINK</t>
  </si>
  <si>
    <t>Сильфон</t>
  </si>
  <si>
    <t>Сильфонная подводка</t>
  </si>
  <si>
    <t>01.04.2019</t>
  </si>
  <si>
    <t>4650098215044</t>
  </si>
  <si>
    <t>07002-DIY</t>
  </si>
  <si>
    <t>Диэлектрическая муфта для газа 1/2" в/н-DIY</t>
  </si>
  <si>
    <t>Сильфонная подводка для газа и диэлектрики</t>
  </si>
  <si>
    <t>4650098215020</t>
  </si>
  <si>
    <t>07000-DIY</t>
  </si>
  <si>
    <t>Диэлектрическая муфта для газа 1/2" н/н-DIY</t>
  </si>
  <si>
    <t>4650098215051</t>
  </si>
  <si>
    <t>4650098215037</t>
  </si>
  <si>
    <t>G24125-12</t>
  </si>
  <si>
    <t>Душевая система, белая, карт. 40 мм, G24125-12</t>
  </si>
  <si>
    <t>G24125-15</t>
  </si>
  <si>
    <t>Душевая система, салатовая, карт. 40 мм, G24125-15</t>
  </si>
  <si>
    <t>G23080</t>
  </si>
  <si>
    <t>Душевая система, хром G23080</t>
  </si>
  <si>
    <t>G24250</t>
  </si>
  <si>
    <t>Душевая система, хром, карт. 35 мм, G24250</t>
  </si>
  <si>
    <t>G24252</t>
  </si>
  <si>
    <t>Душевая система, хром, карт. 35 мм, G24252</t>
  </si>
  <si>
    <t>G24253</t>
  </si>
  <si>
    <t>Душевая система, хром, карт. 35 мм, G24253</t>
  </si>
  <si>
    <t>G24255</t>
  </si>
  <si>
    <t>Душевая система, хром, карт. 35 мм, G24255</t>
  </si>
  <si>
    <t>G24110</t>
  </si>
  <si>
    <t>Душевая система, хром, карт. 40 мм G24110</t>
  </si>
  <si>
    <t>G24112</t>
  </si>
  <si>
    <t>Душевая система, хром, карт. 40 мм, G24112</t>
  </si>
  <si>
    <t>G24114</t>
  </si>
  <si>
    <t>Душевая система, хром, карт. 40 мм, G24114</t>
  </si>
  <si>
    <t>G24120</t>
  </si>
  <si>
    <t>Душевая система, хром, карт. 40 мм, G24120</t>
  </si>
  <si>
    <t>G24124</t>
  </si>
  <si>
    <t>Душевая система, хром, карт. 40 мм, G24124</t>
  </si>
  <si>
    <t>G24125</t>
  </si>
  <si>
    <t>Душевая система, хром, карт. 40 мм, G24125</t>
  </si>
  <si>
    <t>G24125-11</t>
  </si>
  <si>
    <t>Душевая система, черная, карт. 40 мм, G24125-11</t>
  </si>
  <si>
    <t>H-01163</t>
  </si>
  <si>
    <t>Дюбель нейлоновый 6мм</t>
  </si>
  <si>
    <t>Евроконус для H-образного клапана</t>
  </si>
  <si>
    <t>Коллекторы AQUALINK</t>
  </si>
  <si>
    <t>4630003322739</t>
  </si>
  <si>
    <t>04475-DIY</t>
  </si>
  <si>
    <t>Евро-конус для коллектора  16x1/2" DIY</t>
  </si>
  <si>
    <t>Коллекторы</t>
  </si>
  <si>
    <t>M-00009</t>
  </si>
  <si>
    <t>Жилеты с логотипом Алматерм</t>
  </si>
  <si>
    <t>1111111111019</t>
  </si>
  <si>
    <t>H-01166</t>
  </si>
  <si>
    <t>Жолоб оцинкованный</t>
  </si>
  <si>
    <t>Заглушки</t>
  </si>
  <si>
    <t>4650098213767</t>
  </si>
  <si>
    <t>03675-DIY</t>
  </si>
  <si>
    <t>Заглушка   20 DIY</t>
  </si>
  <si>
    <t>4650098213774</t>
  </si>
  <si>
    <t>03676-DIY</t>
  </si>
  <si>
    <t>Заглушка   25 DIY</t>
  </si>
  <si>
    <t>4650098213781</t>
  </si>
  <si>
    <t>Заглушка  1 1/2''F</t>
  </si>
  <si>
    <t>4650098211602</t>
  </si>
  <si>
    <t>Заглушка  1 1/2''M</t>
  </si>
  <si>
    <t>4650098211626</t>
  </si>
  <si>
    <t>Заглушка  1 1/4''F</t>
  </si>
  <si>
    <t>4630003323149</t>
  </si>
  <si>
    <t>04523-DIY</t>
  </si>
  <si>
    <t>Заглушка  F  1 1/4'' DIY</t>
  </si>
  <si>
    <t>Заглушка  1 1/4''F DIY</t>
  </si>
  <si>
    <t>Заглушка  1 1/4''M</t>
  </si>
  <si>
    <t>4630003322487</t>
  </si>
  <si>
    <t>04526-DIY</t>
  </si>
  <si>
    <t>Заглушка  M  1 1/4'' DIY</t>
  </si>
  <si>
    <t>Заглушка  1 1/4''M DIY</t>
  </si>
  <si>
    <t>1007-В</t>
  </si>
  <si>
    <t>Заглушка  1 г с контр отв  (25)  лат</t>
  </si>
  <si>
    <t>1008-В</t>
  </si>
  <si>
    <t>Заглушка  1 ш с контр отв (25)  лат</t>
  </si>
  <si>
    <t>1001-В</t>
  </si>
  <si>
    <t>Заглушка  1/2 г (15)  лат</t>
  </si>
  <si>
    <t>1003-В</t>
  </si>
  <si>
    <t>Заглушка  1/2 г с контр отв  (15)  лат</t>
  </si>
  <si>
    <t>1091-В</t>
  </si>
  <si>
    <t>Заглушка  1/2 ш (15)  лат</t>
  </si>
  <si>
    <t>1004-В</t>
  </si>
  <si>
    <t>Заглушка  1/2 ш с контр отв  (15)  лат</t>
  </si>
  <si>
    <t>Заглушка  1/2''M</t>
  </si>
  <si>
    <t>4630003322012</t>
  </si>
  <si>
    <t>02584-DIY</t>
  </si>
  <si>
    <t>Заглушка  M   1/2'' DIY</t>
  </si>
  <si>
    <t>Заглушка  1/2''M DIY</t>
  </si>
  <si>
    <t>Заглушка  1''F</t>
  </si>
  <si>
    <t>4630003322463</t>
  </si>
  <si>
    <t>02581-DIY</t>
  </si>
  <si>
    <t>Заглушка  F  1'' DIY</t>
  </si>
  <si>
    <t>Заглушка  1''F DIY</t>
  </si>
  <si>
    <t>Заглушка  1''M</t>
  </si>
  <si>
    <t>4630003322470</t>
  </si>
  <si>
    <t>02580-DIY</t>
  </si>
  <si>
    <t>Заглушка  M  1'' DIY</t>
  </si>
  <si>
    <t>Заглушка  1''M DIY</t>
  </si>
  <si>
    <t>V-03675</t>
  </si>
  <si>
    <t>Заглушка  20</t>
  </si>
  <si>
    <t>ППР фитинги местные</t>
  </si>
  <si>
    <t>V-03676</t>
  </si>
  <si>
    <t>Заглушка  25</t>
  </si>
  <si>
    <t>Заглушка  2''F</t>
  </si>
  <si>
    <t>4650098211619</t>
  </si>
  <si>
    <t>Заглушка  2''M</t>
  </si>
  <si>
    <t>4650098211633</t>
  </si>
  <si>
    <t>1002-В</t>
  </si>
  <si>
    <t>Заглушка  3/4 г (20)  лат</t>
  </si>
  <si>
    <t>1005-В</t>
  </si>
  <si>
    <t>Заглушка  3/4 г с контр отв  лат</t>
  </si>
  <si>
    <t>1092-В</t>
  </si>
  <si>
    <t>Заглушка  3/4 ш (20)  лат</t>
  </si>
  <si>
    <t>1006-В</t>
  </si>
  <si>
    <t>Заглушка  3/4 ш с контр отв  (20)  лат</t>
  </si>
  <si>
    <t>Заглушка  3/4''F</t>
  </si>
  <si>
    <t>4630003323132</t>
  </si>
  <si>
    <t>Заглушка  3/4''M</t>
  </si>
  <si>
    <t>4630003322456</t>
  </si>
  <si>
    <t>02585-DIY</t>
  </si>
  <si>
    <t>Заглушка  M   3/4 DIY</t>
  </si>
  <si>
    <t>Заглушка  3/4''M DIY</t>
  </si>
  <si>
    <t>V-03677</t>
  </si>
  <si>
    <t>Заглушка  32</t>
  </si>
  <si>
    <t>4650098213798</t>
  </si>
  <si>
    <t>4650098213804</t>
  </si>
  <si>
    <t>4650098213811</t>
  </si>
  <si>
    <t>Заглушка  75</t>
  </si>
  <si>
    <t>Заглушка  90</t>
  </si>
  <si>
    <t>02583-DIY</t>
  </si>
  <si>
    <t>Заглушка  F   3/4'' DIY</t>
  </si>
  <si>
    <t>Заглушка  резьбовая  20х1/2</t>
  </si>
  <si>
    <t>4650098213828</t>
  </si>
  <si>
    <t>Заглушка  резьбовая   25х1</t>
  </si>
  <si>
    <t>Заглушка  резьбовая  25х1</t>
  </si>
  <si>
    <t>4650098215297</t>
  </si>
  <si>
    <t>4650098213835</t>
  </si>
  <si>
    <t>Заглушка  удлиненная  20х1/2 М</t>
  </si>
  <si>
    <t>Заглушка 1/2''F</t>
  </si>
  <si>
    <t>4630003322029</t>
  </si>
  <si>
    <t>02582-DIY</t>
  </si>
  <si>
    <t>Заглушка  F  1/2'' DIY</t>
  </si>
  <si>
    <t>Заглушка 1/2''F DIY</t>
  </si>
  <si>
    <t>Заглушка 110</t>
  </si>
  <si>
    <t>Заглушка 20</t>
  </si>
  <si>
    <t>V-03678</t>
  </si>
  <si>
    <t>Заглушка 40</t>
  </si>
  <si>
    <t>V-03679</t>
  </si>
  <si>
    <t>Заглушка 50</t>
  </si>
  <si>
    <t>V-03680</t>
  </si>
  <si>
    <t>Заглушка 63</t>
  </si>
  <si>
    <t>Заглушка аксиальная 16 мм</t>
  </si>
  <si>
    <t>Заглушки аксиальные</t>
  </si>
  <si>
    <t>4660129410577</t>
  </si>
  <si>
    <t>Заглушка аксиальная 20 мм</t>
  </si>
  <si>
    <t>4660129410584</t>
  </si>
  <si>
    <t>04744-DIY</t>
  </si>
  <si>
    <t>Заглушка для радиатора левая с силиконовой прокладкой   1" DIY</t>
  </si>
  <si>
    <t>4650098214665</t>
  </si>
  <si>
    <t>7307991000</t>
  </si>
  <si>
    <t>04743-DIY</t>
  </si>
  <si>
    <t>Заглушка для радиатора правая с силиконовой прокладкой   1 DIY"</t>
  </si>
  <si>
    <t>4650098214672</t>
  </si>
  <si>
    <t>Заглушка для радиатора правая с силиконовой прокладкой 1"</t>
  </si>
  <si>
    <t>Заглушка Ду 20</t>
  </si>
  <si>
    <t>Фасовка</t>
  </si>
  <si>
    <t>Заглушка Ду 25</t>
  </si>
  <si>
    <t>Заглушка Ду 32</t>
  </si>
  <si>
    <t>Заглушка Ду 40</t>
  </si>
  <si>
    <t>Заглушка Ду 50</t>
  </si>
  <si>
    <t>Заглушка Ду 63</t>
  </si>
  <si>
    <t>04585-DIY</t>
  </si>
  <si>
    <t>Заглушка на переходник для радиатора   1/2 DIY</t>
  </si>
  <si>
    <t>4650098214634</t>
  </si>
  <si>
    <t>04586-DIY</t>
  </si>
  <si>
    <t>Заглушка на переходник для радиатора   3/4 DIY</t>
  </si>
  <si>
    <t>4650098214641</t>
  </si>
  <si>
    <t>BPO-5029</t>
  </si>
  <si>
    <t>Заглушка торцевая</t>
  </si>
  <si>
    <t xml:space="preserve">Заглушка ТС </t>
  </si>
  <si>
    <t>Заглушка ТС 50х50мм</t>
  </si>
  <si>
    <t>Задвижка клиновая стандартная 1/2” BUGATTI NEBRASKA</t>
  </si>
  <si>
    <t>NEBRASKA</t>
  </si>
  <si>
    <t>Задвижка клиновая стандартная 1” BUGATTI NEBRASKA</t>
  </si>
  <si>
    <t>Задвижка клиновая стандартная 3/4” BUGATTI NEBRASKA</t>
  </si>
  <si>
    <t>4650098212265</t>
  </si>
  <si>
    <t>02599-DIY</t>
  </si>
  <si>
    <t>Запорный клапан для радиатора прямой  FM 1/2" DIY</t>
  </si>
  <si>
    <t>4650098212272</t>
  </si>
  <si>
    <t>02600-DIY</t>
  </si>
  <si>
    <t>Запорный клапан для радиатора прямой  FM 3/4" DIY</t>
  </si>
  <si>
    <t>4650098212289</t>
  </si>
  <si>
    <t>02601-DIY</t>
  </si>
  <si>
    <t>Запорный клапан для радиатора угловой  FM 1/2" DIY</t>
  </si>
  <si>
    <t>4650098212296</t>
  </si>
  <si>
    <t>02602-DIY</t>
  </si>
  <si>
    <t>Запорный клапан для радиатора угловой  FM 3/4" DIY</t>
  </si>
  <si>
    <t>Зачистка для PPRC труб 20/25</t>
  </si>
  <si>
    <t>8205598099</t>
  </si>
  <si>
    <t>Зачистка для PPRC труб 32/40</t>
  </si>
  <si>
    <t>M-00005</t>
  </si>
  <si>
    <t>Иван-чай с клюквой "Северная ягода", картон, 50г. (НГ)</t>
  </si>
  <si>
    <t>H-01125</t>
  </si>
  <si>
    <t>Кабель  КПЭПнг-HF 8х2х0,5</t>
  </si>
  <si>
    <t>H-01137</t>
  </si>
  <si>
    <t>Кабель (провод) ParLan F/UTP Cat5e 4х2х0,52 ZH нг(А)-HF</t>
  </si>
  <si>
    <t>H-01146</t>
  </si>
  <si>
    <t>Кабель Parlan F/UTP Cat 5e PVC/РЕ 4х2х0.52</t>
  </si>
  <si>
    <t>H-01129</t>
  </si>
  <si>
    <t>Кабель КАПнг(А)-HF 2х1х0,64 (ТУ 16.К99-024-2005)</t>
  </si>
  <si>
    <t>H-01122</t>
  </si>
  <si>
    <t>Кабель КАПнг(А)-HF 2х2х0,64 (ТУ 16.К99-024-2005)</t>
  </si>
  <si>
    <t>H-01123</t>
  </si>
  <si>
    <t>Кабель КИПвЭнг(А)-HF 2х2х0,78 (ТУ 16.К99-025-2005)</t>
  </si>
  <si>
    <t>H-01119</t>
  </si>
  <si>
    <t>Кабель контрольный КППГнг-HF 4х1,5</t>
  </si>
  <si>
    <t>H-01120</t>
  </si>
  <si>
    <t>Кабель контрольный КППГЭнг-HF 4х1</t>
  </si>
  <si>
    <t>H-01141</t>
  </si>
  <si>
    <t>Кабель КППГнг(А)-HF 4х1</t>
  </si>
  <si>
    <t>H-01142</t>
  </si>
  <si>
    <t>Кабель КППГнг(А)-HF 4х1,5</t>
  </si>
  <si>
    <t>H-01128</t>
  </si>
  <si>
    <t>Кабель КПЭПнг(А)-FRHF 1x2x0,5-250 ТУ  16.К71-338-2004</t>
  </si>
  <si>
    <t>H-01124</t>
  </si>
  <si>
    <t>Кабель КПЭПнг(А)-FRHF 24х2х0,5</t>
  </si>
  <si>
    <t>H-01135</t>
  </si>
  <si>
    <t>Кабель КПЭПнг(А)-HF 1x2x0,5</t>
  </si>
  <si>
    <t>H-01136</t>
  </si>
  <si>
    <t>Кабель КПЭПнг(А)-HF 1x2x0,8-250 ТУ16.К71-338-2004</t>
  </si>
  <si>
    <t>H-01143</t>
  </si>
  <si>
    <t>Кабель КПЭПнг(А)-HF 2x2x0,8</t>
  </si>
  <si>
    <t>H-01145</t>
  </si>
  <si>
    <t>Кабель сигнальной блокировки КПЭПнг(А)-HF 10х2х0,5</t>
  </si>
  <si>
    <t>H-01134</t>
  </si>
  <si>
    <t>Кабель сигнальной блокировки КПЭПнг(А)-HF 6х2х0,5</t>
  </si>
  <si>
    <t>M-00008</t>
  </si>
  <si>
    <t>Календарь 2022</t>
  </si>
  <si>
    <t>1111111111017</t>
  </si>
  <si>
    <t>M-00022</t>
  </si>
  <si>
    <t>Календарь 2023</t>
  </si>
  <si>
    <t>1111111111037</t>
  </si>
  <si>
    <t>Калибратор 10-26 мм</t>
  </si>
  <si>
    <t>Инструменты AQUALINK</t>
  </si>
  <si>
    <t>Сварочники</t>
  </si>
  <si>
    <t>Принадлежности</t>
  </si>
  <si>
    <t>4650098213958</t>
  </si>
  <si>
    <t>3926909709</t>
  </si>
  <si>
    <t>00895-DIY</t>
  </si>
  <si>
    <t>Калибратор  10-26 мм DIY</t>
  </si>
  <si>
    <t>Калибратор 10-26 мм DIY</t>
  </si>
  <si>
    <t>Калибратор стальной с пл.ручкой  16 мм</t>
  </si>
  <si>
    <t>Калибратор стальной с пл.ручкой 16 мм</t>
  </si>
  <si>
    <t>Калибратор стальной с пл.ручкой  20 мм</t>
  </si>
  <si>
    <t>Калибратор стальной с пл.ручкой 20 мм</t>
  </si>
  <si>
    <t>Калибратор стальной с пл.ручкой  26 мм</t>
  </si>
  <si>
    <t>Калибратор стальной с пл.ручкой 26 мм</t>
  </si>
  <si>
    <t>Калибратор стальной с пл.ручкой  32 мм</t>
  </si>
  <si>
    <t>Калибратор стальной с пл.ручкой 32 мм</t>
  </si>
  <si>
    <t>Калибратор тройной  16-20-25 мм</t>
  </si>
  <si>
    <t>Калибратор тройной 16-20-25 мм</t>
  </si>
  <si>
    <t>Калибратор тройной  20-25-32 мм</t>
  </si>
  <si>
    <t>Калибратор тройной 20-25-32 мм</t>
  </si>
  <si>
    <t>M-01115</t>
  </si>
  <si>
    <t>Картридер 60х117мм</t>
  </si>
  <si>
    <t>1111111111025</t>
  </si>
  <si>
    <t>M-01114</t>
  </si>
  <si>
    <t>Картридер 60х80мм</t>
  </si>
  <si>
    <t>1111111111026</t>
  </si>
  <si>
    <t>M-00033</t>
  </si>
  <si>
    <t>Каталог «СантехСтандарт» 2023-01</t>
  </si>
  <si>
    <t>1111111111049</t>
  </si>
  <si>
    <t>Каталог 2021</t>
  </si>
  <si>
    <t>1111111111005</t>
  </si>
  <si>
    <t>M-00015</t>
  </si>
  <si>
    <t>Каталог СантехСтандарт 2022-01</t>
  </si>
  <si>
    <t>1111111111027</t>
  </si>
  <si>
    <t>Клапан запорный  1/2"x1/2" BUGATTI DALLAS</t>
  </si>
  <si>
    <t>Клапан запорный  1/2”х16х1/2" BUGATTI W4000</t>
  </si>
  <si>
    <t>W4000</t>
  </si>
  <si>
    <t>Клапан запорный  3/4"x3/4" BUGATTI DALLAS</t>
  </si>
  <si>
    <t>Запорные клапаны (вентили) AQUALINK</t>
  </si>
  <si>
    <t>4650098215525</t>
  </si>
  <si>
    <t>4650098215587</t>
  </si>
  <si>
    <t>4650098215518</t>
  </si>
  <si>
    <t>4650098215570</t>
  </si>
  <si>
    <t>4650098215501</t>
  </si>
  <si>
    <t>4650098215563</t>
  </si>
  <si>
    <t>4650098215549</t>
  </si>
  <si>
    <t>04910-DIY</t>
  </si>
  <si>
    <t>Клапан запорный 1/2" (вентиль) 15Б1п DIY</t>
  </si>
  <si>
    <t>4650098215488</t>
  </si>
  <si>
    <t>Клапан запорный 1/2"x1/2" BUGATTI DALLAS</t>
  </si>
  <si>
    <t>Клапан запорный 1/2”х16х1/2" BUGATTI W4000</t>
  </si>
  <si>
    <t>4650098215594</t>
  </si>
  <si>
    <t>4650098215532</t>
  </si>
  <si>
    <t>4650098215556</t>
  </si>
  <si>
    <t>4650098215495</t>
  </si>
  <si>
    <t>Клапан запорный 3/4"x3/4" BUGATTI DALLAS</t>
  </si>
  <si>
    <t>4660129408703</t>
  </si>
  <si>
    <t>4660129408734</t>
  </si>
  <si>
    <t>4660129408772</t>
  </si>
  <si>
    <t>4660129408802</t>
  </si>
  <si>
    <t>Клапан предохранительный (нерегулируемый) 1,5 Bar</t>
  </si>
  <si>
    <t>4650098218267</t>
  </si>
  <si>
    <t>Клапан предохранительный (нерегулируемый) 3 Bar</t>
  </si>
  <si>
    <t>4650098218281</t>
  </si>
  <si>
    <t>Клапан предохранительный (нерегулируемый) 6 Bar</t>
  </si>
  <si>
    <t>4650098218304</t>
  </si>
  <si>
    <t>4650098218731</t>
  </si>
  <si>
    <t>02760-DIY</t>
  </si>
  <si>
    <t>Клапан предохранительный для бойлера 1/2″-DIY</t>
  </si>
  <si>
    <t>Клапан предохранительный нерегулируемый (с возм подключ манометра) F 1/2” 1,5 бар BUGATTI ILLINOIS</t>
  </si>
  <si>
    <t>Клапан предохранительный нерегулируемый (с возм подключ манометра) F 1/2” 3 бар BUGATTI ILLINOIS</t>
  </si>
  <si>
    <t>Клапан предохранительный нерегулируемый (с возм подключ манометра) F 1/2” 6 бар BUGATTI ILLINOIS</t>
  </si>
  <si>
    <t>Клапан предохранительный нерегулируемый (с возм подключ манометра) FM 1/2” 1,5 бар BUGATTI ILLINOIS</t>
  </si>
  <si>
    <t>Клапан предохранительный нерегулируемый (с возм подключ манометра) FM 1/2” 3 бар BUGATTI ILLINOIS</t>
  </si>
  <si>
    <t>Клапан предохранительный нерегулируемый (с возм подключ манометра) FM 1/2” 6 бар BUGATTI ILLINOIS</t>
  </si>
  <si>
    <t>Клапан предохранительный нерегулируемый F 1/2” 1,5 бар BUGATTI ILLINOIS</t>
  </si>
  <si>
    <t>Клапан предохранительный нерегулируемый F 1/2” 3 бар BUGATTI ILLINOIS</t>
  </si>
  <si>
    <t>Клапан предохранительный нерегулируемый F 1/2” 6 бар BUGATTI ILLINOIS</t>
  </si>
  <si>
    <t>Клапан предохранительный нерегулируемый FM 1/2” 1,5 бар BUGATTI ILLINOIS</t>
  </si>
  <si>
    <t>Клапан предохранительный нерегулируемый FM 1/2” 3 бар BUGATTI ILLINOIS</t>
  </si>
  <si>
    <t>Клапан предохранительный нерегулируемый FM 1/2” 6 бар BUGATTI ILLINOIS</t>
  </si>
  <si>
    <t>4660129408574</t>
  </si>
  <si>
    <t>4660129408604</t>
  </si>
  <si>
    <t>4660129408642</t>
  </si>
  <si>
    <t>4660129408673</t>
  </si>
  <si>
    <t>Клапан термостатический (RTL)</t>
  </si>
  <si>
    <t>Клапан термостатический (RTL) ограничитель температуры обратного потока среды 1/2" нар х 3/4" нар (евроконус)</t>
  </si>
  <si>
    <t>Термостатика FLY</t>
  </si>
  <si>
    <t>4660129410959</t>
  </si>
  <si>
    <t>8481805100</t>
  </si>
  <si>
    <t>4660129408864</t>
  </si>
  <si>
    <t>8481803100</t>
  </si>
  <si>
    <t>4660129408895</t>
  </si>
  <si>
    <t>02622-DIY</t>
  </si>
  <si>
    <t>Клапан термостатический для радиатора с уплотнением прямой вн-нар 3/4"-DIY</t>
  </si>
  <si>
    <t>4660129408932</t>
  </si>
  <si>
    <t>4660129408963</t>
  </si>
  <si>
    <t>Клапан термостатический прямой F 1/2”хF 1/2" BUGATTI DALLAS</t>
  </si>
  <si>
    <t>Клапан термостатический угловой F 1/2”хF 1/2" L BUGATTI DALLAS</t>
  </si>
  <si>
    <t>H-01164</t>
  </si>
  <si>
    <t>Клемма электрическая</t>
  </si>
  <si>
    <t>28.02.2023</t>
  </si>
  <si>
    <t>4660129410164</t>
  </si>
  <si>
    <t>4660129410188</t>
  </si>
  <si>
    <t>4660129410218</t>
  </si>
  <si>
    <t>4660129410232</t>
  </si>
  <si>
    <t>Коллектор для МП труб  FМ  3/4x3/4x16x2</t>
  </si>
  <si>
    <t>Коллектор для МП труб FМ 3/4x3/4x16x2</t>
  </si>
  <si>
    <t>Коллектор для МП труб  FМ  3/4x3/4x16x3</t>
  </si>
  <si>
    <t>Коллектор для МП труб FМ 3/4x3/4x16x3</t>
  </si>
  <si>
    <t>Коллектор для МП труб  FМ  3/4x3/4x16x4</t>
  </si>
  <si>
    <t>Коллектор для МП труб FМ 3/4x3/4x16x4</t>
  </si>
  <si>
    <t>Коллектор для МП труб с шар.кранами  FМ  3/4x3/4x16x2</t>
  </si>
  <si>
    <t>Коллектор для МП труб с шар.кранами  FМ  3/4x3/4x16x3</t>
  </si>
  <si>
    <t>Коллектор для МП труб с шар.кранами  FМ  3/4x3/4x16x4</t>
  </si>
  <si>
    <t>Коллектор для МП труб с шар.кранами и евро-конусом  FМ  3/4x3/4x16x2</t>
  </si>
  <si>
    <t>Коллектор для МП труб с шар.кранами и евро-конусом FМ 3/4x3/4x16x2</t>
  </si>
  <si>
    <t>Коллектор для МП труб с шар.кранами и евро-конусом  FМ  3/4x3/4x16x3</t>
  </si>
  <si>
    <t>Коллектор для МП труб с шар.кранами и евро-конусом FМ 3/4x3/4x16x3</t>
  </si>
  <si>
    <t>Коллектор для МП труб с шар.кранами и евро-конусом  FМ  3/4x3/4x16x4</t>
  </si>
  <si>
    <t>Коллектор для МП труб с шар.кранами и евро-конусом FМ 3/4x3/4x16x4</t>
  </si>
  <si>
    <t>02423-DIY</t>
  </si>
  <si>
    <t>Коллектор резьбовой  FМ  3/4x3/4x1/2x4 DIY</t>
  </si>
  <si>
    <t>4650098211565</t>
  </si>
  <si>
    <t>Коллектор резьбовой FМ 3/4x3/4x1/2x2</t>
  </si>
  <si>
    <t>4630003322715</t>
  </si>
  <si>
    <t>02421-DIY</t>
  </si>
  <si>
    <t>Коллектор резьбовой  FМ  3/4x3/4x1/2x2 DIY</t>
  </si>
  <si>
    <t>Коллектор резьбовой FМ 3/4x3/4x1/2x2 DIY</t>
  </si>
  <si>
    <t>Коллектор резьбовой FМ 3/4x3/4x1/2x3</t>
  </si>
  <si>
    <t>4630003322722</t>
  </si>
  <si>
    <t>02422-DIY</t>
  </si>
  <si>
    <t>Коллектор резьбовой  FМ  3/4x3/4x1/2x3 DIY</t>
  </si>
  <si>
    <t>Коллектор резьбовой FМ 3/4x3/4x1/2x3 DIY</t>
  </si>
  <si>
    <t>Коллектор резьбовой FМ 3/4x3/4x1/2x4</t>
  </si>
  <si>
    <t>04476-DIY</t>
  </si>
  <si>
    <t>Коллектор резьбовой с вентилями  FМ  3/4x3/4x1/2x2 DIY</t>
  </si>
  <si>
    <t>4650098211442</t>
  </si>
  <si>
    <t>04477-DIY</t>
  </si>
  <si>
    <t>Коллектор резьбовой с вентилями  FМ  3/4x3/4x1/2x3 DIY</t>
  </si>
  <si>
    <t>4650098211459</t>
  </si>
  <si>
    <t>04478-DIY</t>
  </si>
  <si>
    <t>Коллектор резьбовой с вентилями  FМ  3/4x3/4x1/2x4 DIY</t>
  </si>
  <si>
    <t>4650098211466</t>
  </si>
  <si>
    <t>Коллектор резьбовой с вентилями FМ 3/4x3/4x1/2x2</t>
  </si>
  <si>
    <t>Коллектор резьбовой с вентилями FМ 3/4x3/4x1/2x3</t>
  </si>
  <si>
    <t>Коллектор резьбовой с вентилями FМ 3/4x3/4x1/2x4</t>
  </si>
  <si>
    <t>02426-DIY</t>
  </si>
  <si>
    <t>Коллектор резьбовой с шар.кранами  FМ  3/4x3/4x1/2x4 DIY</t>
  </si>
  <si>
    <t>4650098211121</t>
  </si>
  <si>
    <t>Коллектор резьбовой с шар.кранами FМ 3/4x3/4x1/2x2</t>
  </si>
  <si>
    <t>4630003322692</t>
  </si>
  <si>
    <t>02424-DIY</t>
  </si>
  <si>
    <t>Коллектор резьбовой с шар.кранами  FМ  3/4x3/4x1/2x2 DIY</t>
  </si>
  <si>
    <t>Коллектор резьбовой с шар.кранами FМ 3/4x3/4x1/2x2 DIY</t>
  </si>
  <si>
    <t>Коллектор резьбовой с шар.кранами FМ 3/4x3/4x1/2x3</t>
  </si>
  <si>
    <t>4630003322708</t>
  </si>
  <si>
    <t>02425-DIY</t>
  </si>
  <si>
    <t>Коллектор резьбовой с шар.кранами  FМ  3/4x3/4x1/2x3 DIY</t>
  </si>
  <si>
    <t>Коллектор резьбовой с шар.кранами FМ 3/4x3/4x1/2x3 DIY</t>
  </si>
  <si>
    <t>Коллектор резьбовой с шар.кранами FМ 3/4x3/4x1/2x4</t>
  </si>
  <si>
    <t>Коллектор с кранами шар на 2 выхода, межос расст 36 мм 1”х2х1/2" BUGATTI W4000</t>
  </si>
  <si>
    <t>Коллектор с кранами шар на 2 выхода, межос расст 36 мм 1”х3х1/2" BUGATTI W4000</t>
  </si>
  <si>
    <t>Коллектор с кранами шар на 2 выхода, межос расст 36 мм 3/4”х2х1/2" BUGATTI W4000</t>
  </si>
  <si>
    <t>Коллектор с кранами шар на 2 выхода, межос расст 36 мм 3/4”х3х1/2" BUGATTI W4000</t>
  </si>
  <si>
    <t>Коллектор с переходами на наружную резьбу 1”х2х1/2" BUGATTI W4000</t>
  </si>
  <si>
    <t>Коллектор с переходами на наружную резьбу 1”х3х1/2" BUGATTI W4000</t>
  </si>
  <si>
    <t>Коллектор с переходами на наружную резьбу 1”х4х1/2" BUGATTI W4000</t>
  </si>
  <si>
    <t>Коллектор с переходами на наружную резьбу 1”х5х1/2" BUGATTI W4000</t>
  </si>
  <si>
    <t>Коллектор с переходами на наружную резьбу 3/4”х2х1/2" BUGATTI W4000</t>
  </si>
  <si>
    <t>Коллектор с переходами на наружную резьбу 3/4”х3х1/2" BUGATTI W4000</t>
  </si>
  <si>
    <t>Коллектор с переходами на наружную резьбу 3/4”х4х1/2" BUGATTI W4000</t>
  </si>
  <si>
    <t>Коллектор с переходами на наружную резьбу 3/4”х5х1/2" BUGATTI W4000</t>
  </si>
  <si>
    <t>Коллектор с рег вентилями и переходами на наруж резьбу 1”х2х1/2" BUGATTI W4000</t>
  </si>
  <si>
    <t>Коллектор с рег вентилями и переходами на наруж резьбу 1”х3х1/2" BUGATTI W4000</t>
  </si>
  <si>
    <t>Коллектор с рег вентилями и переходами на наруж резьбу 1”х4х1/2" BUGATTI W4000</t>
  </si>
  <si>
    <t>Коллектор с рег вентилями и переходами на наруж резьбу 3/4”х2х1/2" BUGATTI W4000</t>
  </si>
  <si>
    <t>Коллектор с рег вентилями и переходами на наруж резьбу 3/4”х3х1/2" BUGATTI W4000</t>
  </si>
  <si>
    <t>Коллектор с рег вентилями и переходами на наруж резьбу 3/4”х4х1/2" BUGATTI W4000</t>
  </si>
  <si>
    <t>03933-DIY</t>
  </si>
  <si>
    <t>Коллектор универсальный для МП труб с шар.кранами и евроконусом  FМ  3/4x3/4x16x2 DIY</t>
  </si>
  <si>
    <t>4650098211138</t>
  </si>
  <si>
    <t>03934-DIY</t>
  </si>
  <si>
    <t>Коллектор универсальный для МП труб с шар.кранами и евроконусом  FМ  3/4x3/4x16x3 DIY</t>
  </si>
  <si>
    <t>4650098211145</t>
  </si>
  <si>
    <t>03935-DIY</t>
  </si>
  <si>
    <t>Коллектор универсальный для МП труб с шар.кранами и евроконусом  FМ  3/4x3/4x16x4 DIY</t>
  </si>
  <si>
    <t>4650098211152</t>
  </si>
  <si>
    <t>Коллектор универсальный для МП труб с шар.кранами и евроконусом FМ 3/4x3/4x16x2</t>
  </si>
  <si>
    <t>Коллектор универсальный для МП труб с шар.кранами и евроконусом FМ 3/4x3/4x16x3</t>
  </si>
  <si>
    <t>Коллектор универсальный для МП труб с шар.кранами и евроконусом FМ 3/4x3/4x16x4</t>
  </si>
  <si>
    <t>Коллекторная группа из нержавеющей стали с регулирующими и настроечными клапанами, автоматич. воздухоотводчиками и дренаж. клапанами 1", 10х3/4" (евроконус)</t>
  </si>
  <si>
    <t>Коллекторные группы AQUALINK</t>
  </si>
  <si>
    <t>Коллекторные группы</t>
  </si>
  <si>
    <t>20.04.2023</t>
  </si>
  <si>
    <t>4660129410393</t>
  </si>
  <si>
    <t>8481807399</t>
  </si>
  <si>
    <t>Коллекторная группа из нержавеющей стали с регулирующими и настроечными клапанами, автоматич. воздухоотводчиками и дренаж. клапанами 1", 11х3/4" (евроконус)</t>
  </si>
  <si>
    <t>4660129410409</t>
  </si>
  <si>
    <t>Коллекторная группа из нержавеющей стали с регулирующими и настроечными клапанами, автоматич. воздухоотводчиками и дренаж. клапанами 1", 12х3/4" (евроконус)</t>
  </si>
  <si>
    <t>4660129410416</t>
  </si>
  <si>
    <t>Коллекторная группа из нержавеющей стали с регулирующими и настроечными клапанами, автоматич. воздухоотводчиками и дренаж. клапанами 1", 2х3/4" (евроконус)</t>
  </si>
  <si>
    <t>4660129410317</t>
  </si>
  <si>
    <t>Коллекторная группа из нержавеющей стали с регулирующими и настроечными клапанами, автоматич. воздухоотводчиками и дренаж. клапанами 1", 3х3/4" (евроконус)</t>
  </si>
  <si>
    <t>4660129410324</t>
  </si>
  <si>
    <t>Коллекторная группа из нержавеющей стали с регулирующими и настроечными клапанами, автоматич. воздухоотводчиками и дренаж. клапанами 1", 4х3/4" (евроконус)</t>
  </si>
  <si>
    <t>4660129410331</t>
  </si>
  <si>
    <t>Коллекторная группа из нержавеющей стали с регулирующими и настроечными клапанами, автоматич. воздухоотводчиками и дренаж. клапанами 1", 5х3/4" (евроконус)</t>
  </si>
  <si>
    <t>4660129410348</t>
  </si>
  <si>
    <t>Коллекторная группа из нержавеющей стали с регулирующими и настроечными клапанами, автоматич. воздухоотводчиками и дренаж. клапанами 1", 6х3/4" (евроконус)</t>
  </si>
  <si>
    <t>4660129410355</t>
  </si>
  <si>
    <t>Коллекторная группа из нержавеющей стали с регулирующими и настроечными клапанами, автоматич. воздухоотводчиками и дренаж. клапанами 1", 7х3/4" (евроконус)</t>
  </si>
  <si>
    <t>4660129410362</t>
  </si>
  <si>
    <t>Коллекторная группа из нержавеющей стали с регулирующими и настроечными клапанами, автоматич. воздухоотводчиками и дренаж. клапанами 1", 8х3/4" (евроконус)</t>
  </si>
  <si>
    <t>4660129410379</t>
  </si>
  <si>
    <t>Коллекторная группа из нержавеющей стали с регулирующими и настроечными клапанами, автоматич. воздухоотводчиками и дренаж. клапанами 1", 9х3/4" (евроконус)</t>
  </si>
  <si>
    <t>4660129410386</t>
  </si>
  <si>
    <t>Коллекторная группа с расходомерами, авт. возд-ками, дренаж. клап., нерж. сталь 1", 10х3/4"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</si>
  <si>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10х3/4" (евроконус)</t>
  </si>
  <si>
    <t>01.06.2019</t>
  </si>
  <si>
    <t>4650098215242</t>
  </si>
  <si>
    <t>Коллекторная группа с расходомерами, авт. возд-ками, дренаж. клап., нерж. сталь 1", 11х3/4"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</si>
  <si>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11х3/4" (евроконус)</t>
  </si>
  <si>
    <t>4650098215259</t>
  </si>
  <si>
    <t>Коллекторная группа с расходомерами, авт. возд-ками, дренаж. клап., нерж. сталь 1", 12х3/4"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</si>
  <si>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12х3/4" (евроконус)</t>
  </si>
  <si>
    <t>01.11.2019</t>
  </si>
  <si>
    <t>4650098215402</t>
  </si>
  <si>
    <t>Коллекторная группа с расходомерами, авт. возд-ками, дренаж. клап., нерж. сталь 1", 2х3/4"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</si>
  <si>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2х3/4" (евроконус)</t>
  </si>
  <si>
    <t>4650098215167</t>
  </si>
  <si>
    <t>Коллекторная группа с расходомерами, авт. возд-ками, дренаж. клап., нерж. сталь 1", 3х3/4"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</si>
  <si>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3х3/4" (евроконус)</t>
  </si>
  <si>
    <t>4650098215174</t>
  </si>
  <si>
    <t>Коллекторная группа с расходомерами, авт. возд-ками, дренаж. клап., нерж. сталь 1", 4х3/4"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</si>
  <si>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4х3/4" (евроконус)</t>
  </si>
  <si>
    <t>4650098215181</t>
  </si>
  <si>
    <t>Коллекторная группа с расходомерами, авт. возд-ками, дренаж. клап., нерж. сталь 1", 5х3/4"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</si>
  <si>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5х3/4" (евроконус)</t>
  </si>
  <si>
    <t>4650098215198</t>
  </si>
  <si>
    <t>Коллекторная группа с расходомерами, авт. возд-ками, дренаж. клап., нерж. сталь 1", 6х3/4"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</si>
  <si>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6х3/4" (евроконус)</t>
  </si>
  <si>
    <t>4650098215204</t>
  </si>
  <si>
    <t>Коллекторная группа с расходомерами, авт. возд-ками, дренаж. клап., нерж. сталь 1", 7х3/4"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</si>
  <si>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7х3/4" (евроконус)</t>
  </si>
  <si>
    <t>4650098215211</t>
  </si>
  <si>
    <t>Коллекторная группа с расходомерами, авт. возд-ками, дренаж. клап., нерж. сталь 1", 8х3/4"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</si>
  <si>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8х3/4" (евроконус)</t>
  </si>
  <si>
    <t>4650098215228</t>
  </si>
  <si>
    <t>Коллекторная группа с расходомерами, авт. возд-ками, дренаж. клап., нерж. сталь 1", 9х3/4"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</si>
  <si>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9х3/4" (евроконус)</t>
  </si>
  <si>
    <t>4650098215235</t>
  </si>
  <si>
    <t>H-01170</t>
  </si>
  <si>
    <t>Компактная AC NLT4F/M d&amp;b audiotexhnik T10 Z0550.002</t>
  </si>
  <si>
    <t>Компенсационные петли</t>
  </si>
  <si>
    <t>ППР трубы</t>
  </si>
  <si>
    <t>4650098215358</t>
  </si>
  <si>
    <t>4650098215365</t>
  </si>
  <si>
    <t>4650098215372</t>
  </si>
  <si>
    <t>4650098215389</t>
  </si>
  <si>
    <t>R9861580CN</t>
  </si>
  <si>
    <t>Комплект Barco ClickShare CSE-800</t>
  </si>
  <si>
    <t>4630003323576</t>
  </si>
  <si>
    <t>4650098215624</t>
  </si>
  <si>
    <t>4630003323552</t>
  </si>
  <si>
    <t>4630003323583</t>
  </si>
  <si>
    <t>4650098215631</t>
  </si>
  <si>
    <t>4630003323569</t>
  </si>
  <si>
    <t xml:space="preserve">Комплекты: хомут с гайкой/шпилька-шуруп/дюбель пластиковый </t>
  </si>
  <si>
    <t>Хомуты</t>
  </si>
  <si>
    <t>4630003325297</t>
  </si>
  <si>
    <t>7326909807</t>
  </si>
  <si>
    <t>03724-DIY</t>
  </si>
  <si>
    <t>Комплект: хомут с гайкой, шпилька-шуруп, дюбель пластиковый   1/2  (20-24) DIY</t>
  </si>
  <si>
    <t>Комплекты: хомут с гайкой/шпилька-шуруп/дюбель пластиковый</t>
  </si>
  <si>
    <t>4630003325303</t>
  </si>
  <si>
    <t>03725-DIY</t>
  </si>
  <si>
    <t>Комплект: хомут с гайкой, шпилька-шуруп, дюбель пластиковый   3/4   (25-28) DIY</t>
  </si>
  <si>
    <t>4630003325310</t>
  </si>
  <si>
    <t>03726-DIY</t>
  </si>
  <si>
    <t>Комплект: хомут с гайкой, шпилька-шуруп, дюбель пластиковый  1 (32-35) DIY</t>
  </si>
  <si>
    <t>4630003325334</t>
  </si>
  <si>
    <t>03728-DIY</t>
  </si>
  <si>
    <t>Комплект: хомут с гайкой, шпилька-шуруп, дюбель пластиковый  1 1/2  (47-52) DIY</t>
  </si>
  <si>
    <t>4630003325327</t>
  </si>
  <si>
    <t>03727-DIY</t>
  </si>
  <si>
    <t>Комплект: хомут с гайкой, шпилька-шуруп, дюбель пластиковый  1 1/4  (40-45) DIY</t>
  </si>
  <si>
    <t>4630003325341</t>
  </si>
  <si>
    <t>03729-DIY</t>
  </si>
  <si>
    <t>Комплект: хомут с гайкой, шпилька-шуруп, дюбель пластиковый  2  (59-64) DIY</t>
  </si>
  <si>
    <t>4630003325358</t>
  </si>
  <si>
    <t>03732-DIY</t>
  </si>
  <si>
    <t>Комплект: хомут с гайкой, шпилька-шуруп, дюбель пластиковый  2  1/2  (75-80) DIY</t>
  </si>
  <si>
    <t>4630003325365</t>
  </si>
  <si>
    <t>03730-DIY</t>
  </si>
  <si>
    <t>Комплект: хомут с гайкой, шпилька-шуруп, дюбель пластиковый  3   (87-92) DIY</t>
  </si>
  <si>
    <t>4630003325372</t>
  </si>
  <si>
    <t>03731-DIY</t>
  </si>
  <si>
    <t>Комплект: хомут с гайкой, шпилька-шуруп, дюбель пластиковый  4   (106-111) DIY</t>
  </si>
  <si>
    <t>BBP-2120</t>
  </si>
  <si>
    <t>Консоль DBM основание 200мм одиночная</t>
  </si>
  <si>
    <t>1203-В</t>
  </si>
  <si>
    <t>Контргайка  1  лат</t>
  </si>
  <si>
    <t>Контргайка  1 1/2''F</t>
  </si>
  <si>
    <t>Контргайки</t>
  </si>
  <si>
    <t>4650098211640</t>
  </si>
  <si>
    <t>7415330000</t>
  </si>
  <si>
    <t>1207-В</t>
  </si>
  <si>
    <t>Контргайка  1 1/4  лат</t>
  </si>
  <si>
    <t>Контргайка  1 1/4''F</t>
  </si>
  <si>
    <t>4630003323347</t>
  </si>
  <si>
    <t>04529-DIY</t>
  </si>
  <si>
    <t>Контргайка  F  1 1/4'' DIY</t>
  </si>
  <si>
    <t>Контргайка  1 1/4''F DIY</t>
  </si>
  <si>
    <t>1201-В</t>
  </si>
  <si>
    <t>Контргайка  1/2  лат</t>
  </si>
  <si>
    <t>1202-В</t>
  </si>
  <si>
    <t>Контргайка  3/4  лат</t>
  </si>
  <si>
    <t>Контргайка 1'' F</t>
  </si>
  <si>
    <t>4630003322494</t>
  </si>
  <si>
    <t>02484-DIY</t>
  </si>
  <si>
    <t>Контргайка  F  1'' DIY</t>
  </si>
  <si>
    <t>Контргайка 1'' F DIY</t>
  </si>
  <si>
    <t>Контргайка 1/2'' F</t>
  </si>
  <si>
    <t>4630003323163</t>
  </si>
  <si>
    <t>02481-DIY</t>
  </si>
  <si>
    <t>Контргайка  F   1/2'' DIY</t>
  </si>
  <si>
    <t>Контргайка 1/2'' F DIY</t>
  </si>
  <si>
    <t>Контргайка 2'' F</t>
  </si>
  <si>
    <t>4650098211657</t>
  </si>
  <si>
    <t>Контргайка 3/4'' F</t>
  </si>
  <si>
    <t>4630003323170</t>
  </si>
  <si>
    <t>02483-DIY</t>
  </si>
  <si>
    <t>Контргайка  F   3/4'' DIY</t>
  </si>
  <si>
    <t>Контргайка 3/4'' F DIY</t>
  </si>
  <si>
    <t>Контргайка с ребордой  1 1/4''F</t>
  </si>
  <si>
    <t>4650098211688</t>
  </si>
  <si>
    <t>Контргайка с ребордой  1/2''F</t>
  </si>
  <si>
    <t>4650098211664</t>
  </si>
  <si>
    <t>04532-DIY</t>
  </si>
  <si>
    <t>Контргайка с ребордой  F   1/2'' DIY</t>
  </si>
  <si>
    <t>Контргайка с ребордой  1/2''F DIY</t>
  </si>
  <si>
    <t>Контргайка с ребордой  3/4''F</t>
  </si>
  <si>
    <t>4650098211671</t>
  </si>
  <si>
    <t>04533-DIY</t>
  </si>
  <si>
    <t>Контргайка с ребордой  F   3/4'' DIY</t>
  </si>
  <si>
    <t>04534-DIY</t>
  </si>
  <si>
    <t>Контргайка с ребордой  F  1'' DIY</t>
  </si>
  <si>
    <t>4650098211695</t>
  </si>
  <si>
    <t>Контргайка с ребордой 1'' F</t>
  </si>
  <si>
    <t>Контроллер LG LCLY006U / LCLY006U / LG LCLY006U</t>
  </si>
  <si>
    <t>H-01169</t>
  </si>
  <si>
    <t>Контроллер для управления по протоколу RCF RDNET CONTROL 8</t>
  </si>
  <si>
    <t>Короб кросс-докинг</t>
  </si>
  <si>
    <t>Товары для замены, поддоны</t>
  </si>
  <si>
    <t>H-01153</t>
  </si>
  <si>
    <t>Коробка 70мм</t>
  </si>
  <si>
    <t>H-01162</t>
  </si>
  <si>
    <t>Коробка монтажная для полых стен 70мм</t>
  </si>
  <si>
    <t xml:space="preserve">Коробка распределительная 100х100х50мм IP55 с кабельными вводами </t>
  </si>
  <si>
    <t>Коробка распределительная 240х190х90мм  IP55 8 вводов с кабельными вводами</t>
  </si>
  <si>
    <t>Коробка распределительная 240х190х90мм IP55 с кабельными вводами</t>
  </si>
  <si>
    <t xml:space="preserve">Коробка распределительная 65х35мм IP44 с кабельными вводами </t>
  </si>
  <si>
    <t>Коробка распределительная 65х35мм IP44 с кабельными вводами</t>
  </si>
  <si>
    <t>Коробка распределительная 80х40мм IP44 с кабельными вводами</t>
  </si>
  <si>
    <t>Коробка распределительная IP56 100х100х50мм гладкие стенки</t>
  </si>
  <si>
    <t>Коробка распределительная IP56 150х110х70мм гладкие стенки</t>
  </si>
  <si>
    <t>Коробка распределительная IP56 190х140х70мм гладкие стенки</t>
  </si>
  <si>
    <t>Коробка распределительная прозрачная IP56 150х110х135мм</t>
  </si>
  <si>
    <t>Коробка распределительная с гладкими стенками прозрачная IP56 150х110х70мм</t>
  </si>
  <si>
    <t>Коробка установочная 70х100мм в бетон</t>
  </si>
  <si>
    <t>L01013301</t>
  </si>
  <si>
    <t>Косой фильтр  FF   1/2 V ProEXPERT</t>
  </si>
  <si>
    <t>Косой фильтр FF  1/2 V гайка-гайка</t>
  </si>
  <si>
    <t>7930110050981</t>
  </si>
  <si>
    <t>8421210009</t>
  </si>
  <si>
    <t>Косой фильтр  FF 1 1/2 V</t>
  </si>
  <si>
    <t>Косой фильтр FF 1 1/2 V гайка-гайка</t>
  </si>
  <si>
    <t>Косой фильтр FF 1 1/4 V гайка-гайка</t>
  </si>
  <si>
    <t>Косые фильтры механической очистки AQUALINK</t>
  </si>
  <si>
    <t>4630003322678</t>
  </si>
  <si>
    <t>03953-DIY</t>
  </si>
  <si>
    <t>Косой фильтр  FF 1 1/4 V DIY</t>
  </si>
  <si>
    <t>Косой фильтр FF 1 1/4 V гайка-гайка DIY</t>
  </si>
  <si>
    <t>Косые фильтры</t>
  </si>
  <si>
    <t>Косой фильтр FF 1 V гайка-гайка</t>
  </si>
  <si>
    <t>4630003322661</t>
  </si>
  <si>
    <t>02335-DIY</t>
  </si>
  <si>
    <t>Косой фильтр  FF 1  V DIY</t>
  </si>
  <si>
    <t>Косой фильтр FF 1 V гайка-гайка DIY</t>
  </si>
  <si>
    <t>Косой фильтр  FF  1/2 V ProEXPERT</t>
  </si>
  <si>
    <t>Косой фильтр FF 1/2 V гайка-гайка</t>
  </si>
  <si>
    <t>4630003321992</t>
  </si>
  <si>
    <t>01324-DIY</t>
  </si>
  <si>
    <t>Косой фильтр  FF  1/2 V DIY</t>
  </si>
  <si>
    <t>Косой фильтр FF 1/2 V гайка-гайка DIY</t>
  </si>
  <si>
    <t>Косой фильтр  FF 2  V</t>
  </si>
  <si>
    <t>Косой фильтр FF 2 V гайка-гайка</t>
  </si>
  <si>
    <t>Косой фильтр FF 3/4 V гайка-гайка</t>
  </si>
  <si>
    <t>4630003322920</t>
  </si>
  <si>
    <t>01325-DIY</t>
  </si>
  <si>
    <t>Косой фильтр  FF  3/4 V DIY</t>
  </si>
  <si>
    <t>Косой фильтр FF 3/4 V гайка-гайка DIY</t>
  </si>
  <si>
    <t>Косой фильтр FM 1 V гайка-штуцер</t>
  </si>
  <si>
    <t>4650098211541</t>
  </si>
  <si>
    <t>Косой фильтр FM 1/2 V гайка-штуцер</t>
  </si>
  <si>
    <t>4630003324283</t>
  </si>
  <si>
    <t>01319-DIY</t>
  </si>
  <si>
    <t>Косой фильтр  FM  1/2 V DIY</t>
  </si>
  <si>
    <t>Косой фильтр FM 1/2 V гайка-штуцер DIY</t>
  </si>
  <si>
    <t>Косой фильтр FM 3/4 V гайка-штуцер</t>
  </si>
  <si>
    <t>4630003324290</t>
  </si>
  <si>
    <t>Косой фильтр MM 1/2 V штуцер-штуцер</t>
  </si>
  <si>
    <t>4650098211558</t>
  </si>
  <si>
    <t>H-01121</t>
  </si>
  <si>
    <t>КППГнг(А)-HF 4х0,75 0,66 кВ ТУ 16.К121-029-2013</t>
  </si>
  <si>
    <t>H-01130</t>
  </si>
  <si>
    <t>КППГнг(А)-HF 4х1 СегментЭнерго</t>
  </si>
  <si>
    <t>H-01132</t>
  </si>
  <si>
    <t>КППГнг(А)-HF 4х1,5 СегментЭнерго</t>
  </si>
  <si>
    <t>H-01110</t>
  </si>
  <si>
    <t>КППГнг(А)-HF 5х0,75 0,66 кВ ТУ 16.К73.102-2011</t>
  </si>
  <si>
    <t>H-01131</t>
  </si>
  <si>
    <t>КППГнг(А)-HF 5х0,75 СегментЭнерго</t>
  </si>
  <si>
    <t>H-01133</t>
  </si>
  <si>
    <t>КППГЭнг(А)-HF 2х1,5ок (NM)  СегнментЭнерго</t>
  </si>
  <si>
    <t>H-01111</t>
  </si>
  <si>
    <t>КППГЭнг(А)-HF 4х0,75 0,66 кВ ТУ 16.К73.102-2011</t>
  </si>
  <si>
    <t>H-01126</t>
  </si>
  <si>
    <t>КППГЭнг(А)-HF 4х0,75 Сегмент Энерго</t>
  </si>
  <si>
    <t>H-01127</t>
  </si>
  <si>
    <t>КППГЭнг(А)-HF 4х0,75 СегнментЭнерго</t>
  </si>
  <si>
    <t>H-01112</t>
  </si>
  <si>
    <t>КПЭПнг(А)-FRHF 10х2х0,5-250В ТУ 16.К71-338-2004</t>
  </si>
  <si>
    <t>H-01113</t>
  </si>
  <si>
    <t>КПЭПнг(А)-FRHF 2х2х0,5-250В ТУ 16.К71-338-2004</t>
  </si>
  <si>
    <t>H-01114</t>
  </si>
  <si>
    <t>КПЭПнг(А)-FRHF 4х2х0,5-250В ТУ 16.К71-338-2004</t>
  </si>
  <si>
    <t>H-01115</t>
  </si>
  <si>
    <t>КПЭПнг(А)-FRHF 6х2х0,5-250В ТУ 16.К71-338-2004</t>
  </si>
  <si>
    <t>H-01116</t>
  </si>
  <si>
    <t>КПЭПнг(А)-FRHF 8х2х0,5-250В ТУ 16.К71-338-2004</t>
  </si>
  <si>
    <t>LL 1028B 1/2</t>
  </si>
  <si>
    <t>Кран мини ВВ никел.1/2 DOUBLE-LIN</t>
  </si>
  <si>
    <t>Шаровые краны DOUBLE-LIN</t>
  </si>
  <si>
    <t>LL 1028А 1/2</t>
  </si>
  <si>
    <t>Кран мини ВН никел.1/2 DOUBLE-LIN</t>
  </si>
  <si>
    <t>04776 DIY</t>
  </si>
  <si>
    <t>Кран шаровой  FM  1/2  B  бабочка  11Б27п1 DIY</t>
  </si>
  <si>
    <t>Шаровые краны (желтые)</t>
  </si>
  <si>
    <t>4650098211053</t>
  </si>
  <si>
    <t>Кран шаровой  для сантехприборов FMM 1/2"*1/2"*3/4" ProEXPERT</t>
  </si>
  <si>
    <t>Кран шаровой  для скрытых трубопроводов FF  1/2”  BUGATTI OREGON</t>
  </si>
  <si>
    <t>Кран шаровой  для скрытых трубопроводов FF  1/2” BUGATTI OREGON</t>
  </si>
  <si>
    <t>Кран шаровой  для скрытых трубопроводов FF  3/4”  BUGATTI OREGON</t>
  </si>
  <si>
    <t>Кран шаровой  для скрытых трубопроводов FF  3/4” BUGATTI OREGON</t>
  </si>
  <si>
    <t>Кран шаровой  для скрытых трубопроводов FF 1/2” BUGATTI OREGON</t>
  </si>
  <si>
    <t>Кран шаровой  для скрытых трубопроводов FF 3/4” BUGATTI OREGON</t>
  </si>
  <si>
    <t>Кран шаровой "мини" хромированный  FF 1/2 m гайка-гайка ручка-флажок</t>
  </si>
  <si>
    <t>Шаровые краны "мини"</t>
  </si>
  <si>
    <t>4630003325617</t>
  </si>
  <si>
    <t>01316-DIY</t>
  </si>
  <si>
    <t>Кран шаровой "мини" хром  FF 1/2 m DIY</t>
  </si>
  <si>
    <t>Кран шаровой "мини" хромированный  FF 1/2 m гайка-гайка ручка-флажок DIY</t>
  </si>
  <si>
    <t>ШК мини</t>
  </si>
  <si>
    <t>Кран шаровой "мини" хромированный FF 1/2 m Cr  гайка-гайка ручка-флажок: хром</t>
  </si>
  <si>
    <t>4630003327574</t>
  </si>
  <si>
    <t>01320-DIY</t>
  </si>
  <si>
    <t>Кран шаровой "мини" хром  FF 1/2 m Cr  хром. ручка DIY</t>
  </si>
  <si>
    <t>Кран шаровой "мини" хромированный FF 1/2 m Cr  гайка-гайка ручка-флажок: хром DIY</t>
  </si>
  <si>
    <t>Кран шаровой "мини" хромированный FM 1/2 m Cr  гайка-штуцер ручка-флажок: хром</t>
  </si>
  <si>
    <t>4630003324337</t>
  </si>
  <si>
    <t>01321-DIY</t>
  </si>
  <si>
    <t>Кран шаровой "мини" хром  FM 1/2 m Cr  хром. ручка DIY</t>
  </si>
  <si>
    <t>Кран шаровой "мини" хромированный FM 1/2 m Cr  гайка-штуцер ручка-флажок: хром DIY</t>
  </si>
  <si>
    <t>Кран шаровой "мини" хромированный FM 1/2 m гайка-штуцер ручка-флажок</t>
  </si>
  <si>
    <t>4630003325600</t>
  </si>
  <si>
    <t>01318-DIY</t>
  </si>
  <si>
    <t>Кран шаровой "мини" хром  FM 1/2 m DIY</t>
  </si>
  <si>
    <t>Кран шаровой "мини" хромированный FM 1/2 m гайка-штуцер ручка-флажок DIY</t>
  </si>
  <si>
    <t>Кран шаровой "мини" хромированный MM 1/2 m штуцер-штуцер ручка-флажок</t>
  </si>
  <si>
    <t>4630003322005</t>
  </si>
  <si>
    <t>01487-DIY</t>
  </si>
  <si>
    <t>Кран шаровой "мини" хром  MM 1/2 m DIY</t>
  </si>
  <si>
    <t>Кран шаровой "мини" хромированный MM 1/2 m штуцер-штуцер ручка-флажок DIY</t>
  </si>
  <si>
    <t>Кран шаровой "мини" хромированный MM 1/2x3/4 m Cr  штуцер-штуцер ручка-флажок: хром</t>
  </si>
  <si>
    <t>4630003324276</t>
  </si>
  <si>
    <t>01322-DIY</t>
  </si>
  <si>
    <t>Кран шаровой "мини" хром  MM 1/2x3/4 m Cr  хром. ручка DIY</t>
  </si>
  <si>
    <t>Кран шаровой "мини" хромированный MM 1/2x3/4 m Cr  штуцер-штуцер ручка-флажок: хром DIY</t>
  </si>
  <si>
    <t>Кран шаровой 1/2" водоразборный  ProEXPERT</t>
  </si>
  <si>
    <t>Кран шаровой 1/2" под манометр ProEXPERT</t>
  </si>
  <si>
    <t>Кран шаровой FF 1  гайка-гайка ручка 11Б27п1</t>
  </si>
  <si>
    <t>4650098211336</t>
  </si>
  <si>
    <t>04780-DIY</t>
  </si>
  <si>
    <t>Кран шаровой  FF 1  ручка  11Б27п1-DIY</t>
  </si>
  <si>
    <t>Кран шаровой FF 1  гайка-гайка ручка 11Б27п1-DIY</t>
  </si>
  <si>
    <t>Кран шаровой FF 1 1/2 гайка-гайка ручка</t>
  </si>
  <si>
    <t>4630003327642</t>
  </si>
  <si>
    <t>01147-DIY</t>
  </si>
  <si>
    <t>Кран шаровой  FF 1 1/2  ручка DIY</t>
  </si>
  <si>
    <t>Кран шаровой FF 1 1/2 гайка-гайка ручка  DIY</t>
  </si>
  <si>
    <t>ШК FF</t>
  </si>
  <si>
    <t>Кран шаровой FF 1 1/2 гайка-гайка ручка 11Б27п1</t>
  </si>
  <si>
    <t>4650098211343</t>
  </si>
  <si>
    <t>Кран шаровой FF 1 1/2” ручка-алюминий BUGATTI ARIZONA</t>
  </si>
  <si>
    <t>Кран шаровой FF 1 1/2” ручка-алюминий BUGATTI NEW JERSEY</t>
  </si>
  <si>
    <t>Кран шаровой FF 1 1/2” ручка-алюминий BUGATTI OREGON</t>
  </si>
  <si>
    <t>8027010082897</t>
  </si>
  <si>
    <t>Кран шаровой FF 1 1/2” ручка-сталь BUGATTI ARIZONA</t>
  </si>
  <si>
    <t>Кран шаровой FF 1 1/2” ручка-сталь BUGATTI NEW JERSEY</t>
  </si>
  <si>
    <t>Кран шаровой FF 1 1/2” ручка-сталь BUGATTI OREGON</t>
  </si>
  <si>
    <t>Кран шаровой FF 1 1/4 гайка-гайка ручка</t>
  </si>
  <si>
    <t>4630003327666</t>
  </si>
  <si>
    <t>Кран шаровой FF 1 1/4 гайка-гайка ручка 11Б27п1</t>
  </si>
  <si>
    <t>4650098211084</t>
  </si>
  <si>
    <t>01146-DIY</t>
  </si>
  <si>
    <t>Кран шаровой  FF 1 1/4  ручка DIY</t>
  </si>
  <si>
    <t>Кран шаровой FF 1 1/4 гайка-гайка ручка DIY</t>
  </si>
  <si>
    <t>Кран шаровой FF 1 1/4” B бабочка BUGATTI ARIZONA</t>
  </si>
  <si>
    <t>Кран шаровой FF 1 1/4” B бабочка BUGATTI NEW JERSEY</t>
  </si>
  <si>
    <t>Кран шаровой FF 1 1/4” B бабочка BUGATTI OREGON</t>
  </si>
  <si>
    <t>Кран шаровой FF 1 1/4” ручка-алюминий BUGATTI ARIZONA</t>
  </si>
  <si>
    <t>Кран шаровой FF 1 1/4” ручка-алюминий BUGATTI NEW JERSEY</t>
  </si>
  <si>
    <t>Кран шаровой FF 1 1/4” ручка-алюминий BUGATTI OREGON</t>
  </si>
  <si>
    <t>Кран шаровой FF 1 1/4” ручка-сталь BUGATTI ARIZONA</t>
  </si>
  <si>
    <t>Кран шаровой FF 1 1/4” ручка-сталь BUGATTI NEW JERSEY</t>
  </si>
  <si>
    <t>Кран шаровой FF 1 1/4” ручка-сталь BUGATTI OREGON</t>
  </si>
  <si>
    <t>Кран шаровой FF 1 B гайка-гайка бабочка</t>
  </si>
  <si>
    <t>4630003321923</t>
  </si>
  <si>
    <t>Кран шаровой FF 1 B гайка-гайка бабочка 11Б27п1</t>
  </si>
  <si>
    <t>4650098211329</t>
  </si>
  <si>
    <t>04788-DIY</t>
  </si>
  <si>
    <t>Кран шаровой  FF 1  B  бабочка  11Б27п1 DIY</t>
  </si>
  <si>
    <t>Кран шаровой FF 1 B гайка-гайка бабочка 11Б27п1 DIY</t>
  </si>
  <si>
    <t>01157-DIY</t>
  </si>
  <si>
    <t>Кран шаровой  FF 1  B  бабочка  DIY</t>
  </si>
  <si>
    <t>Кран шаровой FF 1 B гайка-гайка бабочка DIY</t>
  </si>
  <si>
    <t>Кран шаровой FF 1 гайка-гайка ручка</t>
  </si>
  <si>
    <t>4630003321930</t>
  </si>
  <si>
    <t>01145-DIY</t>
  </si>
  <si>
    <t>Кран шаровой  FF 1  ручка DIY</t>
  </si>
  <si>
    <t>Кран шаровой FF 1 гайка-гайка ручка DIY</t>
  </si>
  <si>
    <t>Кран шаровой FF 1" B  ProEXPERT</t>
  </si>
  <si>
    <t>Кран шаровой FF 1/2  гайка-гайка ручка</t>
  </si>
  <si>
    <t>4630003322562</t>
  </si>
  <si>
    <t>Кран шаровой FF 1/2  гайка-гайка ручка 11Б27п1</t>
  </si>
  <si>
    <t>4650098211299</t>
  </si>
  <si>
    <t>04770-DIY</t>
  </si>
  <si>
    <t>Кран шаровой  FF  1/2  ручка  11Б27п1-DIY</t>
  </si>
  <si>
    <t>Кран шаровой FF 1/2  гайка-гайка ручка 11Б27п1-DIY</t>
  </si>
  <si>
    <t>01143-DIY</t>
  </si>
  <si>
    <t>Кран шаровой  FF  1/2  ручка DIY</t>
  </si>
  <si>
    <t>Кран шаровой FF 1/2  гайка-гайка ручка DIY</t>
  </si>
  <si>
    <t>Кран шаровой FF 1/2 B гайка-гайка бабочка</t>
  </si>
  <si>
    <t>4630003321947</t>
  </si>
  <si>
    <t>Кран шаровой FF 1/2 B гайка-гайка бабочка 11Б27п1</t>
  </si>
  <si>
    <t>4650098211046</t>
  </si>
  <si>
    <t>04774-DIY</t>
  </si>
  <si>
    <t>Кран шаровой  FF  1/2  B  бабочка  11Б27п1 DIY</t>
  </si>
  <si>
    <t>Кран шаровой FF 1/2 B гайка-гайка бабочка 11Б27п1 DIY</t>
  </si>
  <si>
    <t>ШК желтые</t>
  </si>
  <si>
    <t>01155-DIY</t>
  </si>
  <si>
    <t>Кран шаровой  FF  1/2  B  бабочка DIY</t>
  </si>
  <si>
    <t>Кран шаровой FF 1/2 B гайка-гайка бабочка DIY</t>
  </si>
  <si>
    <t>L01013001</t>
  </si>
  <si>
    <t>Кран шаровой FF 1/2"  B ProEXPERT</t>
  </si>
  <si>
    <t>7930110050547</t>
  </si>
  <si>
    <t>Кран шаровой FF 1/2" B  ProEXPERT</t>
  </si>
  <si>
    <t>Кран шаровой FF 1/2" B ProEXPERT</t>
  </si>
  <si>
    <t>Кран шаровой FF 1/2” B бабочка BUGATTI ARIZONA</t>
  </si>
  <si>
    <t>ARIZONA</t>
  </si>
  <si>
    <t>8027010011910</t>
  </si>
  <si>
    <t>Кран шаровой FF 1/2” B бабочка BUGATTI NEW JERSEY</t>
  </si>
  <si>
    <t>NEW JERSEY</t>
  </si>
  <si>
    <t>8027010182856</t>
  </si>
  <si>
    <t>9120004-DIY</t>
  </si>
  <si>
    <t>Кран шаровой FF 1/2” B бабочка BUGATTI NEW JERSEY DIY</t>
  </si>
  <si>
    <t>Шаровые краны BUGATTI</t>
  </si>
  <si>
    <t>Кран шаровой FF 1/2” B бабочка BUGATTI OREGON</t>
  </si>
  <si>
    <t>8027010089087</t>
  </si>
  <si>
    <t>Кран шаровой FF 1/2” ручка-алюминий BUGATTI ARIZONA</t>
  </si>
  <si>
    <t>8027010011316</t>
  </si>
  <si>
    <t>Кран шаровой FF 1/2” ручка-алюминий BUGATTI NEW JERSEY</t>
  </si>
  <si>
    <t>8027010182771</t>
  </si>
  <si>
    <t>9100012-DIY</t>
  </si>
  <si>
    <t>Кран шаровой FF 1/2” ручка-алюминий BUGATTI NEW JERSEY DIY</t>
  </si>
  <si>
    <t>Кран шаровой FF 1/2” ручка-алюминий BUGATTI OREGON</t>
  </si>
  <si>
    <t>OREGON</t>
  </si>
  <si>
    <t>8027010082736</t>
  </si>
  <si>
    <t>Кран шаровой FF 1/2” ручка-сталь BUGATTI ARIZONA</t>
  </si>
  <si>
    <t>Кран шаровой FF 1/2” ручка-сталь BUGATTI NEW JERSEY</t>
  </si>
  <si>
    <t>Кран шаровой FF 1/2” ручка-сталь BUGATTI OREGON</t>
  </si>
  <si>
    <t>Кран шаровой FF 1/4” B бабочка BUGATTI OREGON</t>
  </si>
  <si>
    <t>Кран шаровой FF 1/4” ручка-алюминий BUGATTI OREGON</t>
  </si>
  <si>
    <t>Кран шаровой FF 1/4” ручка-сталь BUGATTI OREGON</t>
  </si>
  <si>
    <t>Кран шаровой FF 1” B бабочка BUGATTI ARIZONA</t>
  </si>
  <si>
    <t>Кран шаровой FF 1” B бабочка BUGATTI NEW JERSEY</t>
  </si>
  <si>
    <t>8027010182764</t>
  </si>
  <si>
    <t>Кран шаровой FF 1” B бабочка BUGATTI OREGON</t>
  </si>
  <si>
    <t>Кран шаровой FF 1” ручка-алюминий BUGATTI ARIZONA</t>
  </si>
  <si>
    <t>Кран шаровой FF 1” ручка-алюминий BUGATTI NEW JERSEY</t>
  </si>
  <si>
    <t>Кран шаровой FF 1” ручка-алюминий BUGATTI OREGON</t>
  </si>
  <si>
    <t>Кран шаровой FF 1” ручка-сталь BUGATTI ARIZONA</t>
  </si>
  <si>
    <t>Кран шаровой FF 1” ручка-сталь BUGATTI NEW JERSEY</t>
  </si>
  <si>
    <t>Кран шаровой FF 1” ручка-сталь BUGATTI OREGON</t>
  </si>
  <si>
    <t>Кран шаровой FF 2 1/2 гайка-гайка ручка</t>
  </si>
  <si>
    <t>21.09.2020</t>
  </si>
  <si>
    <t>4670064711776</t>
  </si>
  <si>
    <t>Кран шаровой FF 2 1/2” ручка-алюминий BUGATTI NEW JERSEY</t>
  </si>
  <si>
    <t>Кран шаровой FF 2 1/2” ручка-сталь BUGATTI NEW JERSEY</t>
  </si>
  <si>
    <t>Кран шаровой FF 2 гайка-гайка ручка</t>
  </si>
  <si>
    <t>4630003327659</t>
  </si>
  <si>
    <t>Кран шаровой FF 2 гайка-гайка ручка 11Б27п1</t>
  </si>
  <si>
    <t>4650098211350</t>
  </si>
  <si>
    <t>01148-DIY</t>
  </si>
  <si>
    <t>Кран шаровой  FF 2  ручка DIY</t>
  </si>
  <si>
    <t>Кран шаровой FF 2 гайка-гайка ручка DIY</t>
  </si>
  <si>
    <t>Кран шаровой FF 2” ручка-алюминий BUGATTI ARIZONA</t>
  </si>
  <si>
    <t>Кран шаровой FF 2” ручка-алюминий BUGATTI NEW JERSEY</t>
  </si>
  <si>
    <t>8027010185611</t>
  </si>
  <si>
    <t>Кран шаровой FF 2” ручка-алюминий BUGATTI OREGON</t>
  </si>
  <si>
    <t>Кран шаровой FF 2” ручка-сталь BUGATTI ARIZONA</t>
  </si>
  <si>
    <t>Кран шаровой FF 2” ручка-сталь BUGATTI NEW JERSEY</t>
  </si>
  <si>
    <t>Кран шаровой FF 2” ручка-сталь BUGATTI OREGON</t>
  </si>
  <si>
    <t>Кран шаровой FF 3 гайка-гайка ручка</t>
  </si>
  <si>
    <t>4670064711806</t>
  </si>
  <si>
    <t>Кран шаровой FF 3/4  гайка-гайка ручка</t>
  </si>
  <si>
    <t>4630003321978</t>
  </si>
  <si>
    <t>Кран шаровой FF 3/4  гайка-гайка ручка 11Б27п1</t>
  </si>
  <si>
    <t>4650098211312</t>
  </si>
  <si>
    <t>04771-DIY</t>
  </si>
  <si>
    <t>Кран шаровой  FF  3/4  ручка  11Б27п1-DIY</t>
  </si>
  <si>
    <t>Кран шаровой FF 3/4  гайка-гайка ручка 11Б27п1-DIY</t>
  </si>
  <si>
    <t>01144-DIY</t>
  </si>
  <si>
    <t>Кран шаровой  FF  3/4  ручка DIY</t>
  </si>
  <si>
    <t>Кран шаровой FF 3/4  гайка-гайка ручка DIY</t>
  </si>
  <si>
    <t>Кран шаровой FF 3/4 B гайка-гайка бабочка</t>
  </si>
  <si>
    <t>4630003322579</t>
  </si>
  <si>
    <t>Кран шаровой FF 3/4 B гайка-гайка бабочка 11Б27п1</t>
  </si>
  <si>
    <t>4650098211305</t>
  </si>
  <si>
    <t>04775-DIY</t>
  </si>
  <si>
    <t>Кран шаровой  FF  3/4  B  бабочка  11Б27п1 DIY</t>
  </si>
  <si>
    <t>Кран шаровой FF 3/4 B гайка-гайка бабочка 11Б27п1 DIY</t>
  </si>
  <si>
    <t>01156-DIY</t>
  </si>
  <si>
    <t>Кран шаровой  FF  3/4  B  бабочка DIY</t>
  </si>
  <si>
    <t>Кран шаровой FF 3/4 B гайка-гайка бабочка DIY</t>
  </si>
  <si>
    <t>Кран шаровой FF 3/4" B  ProEXPERT</t>
  </si>
  <si>
    <t>PE01156</t>
  </si>
  <si>
    <t>Кран шаровой FF 3/4" B ProEXPERT</t>
  </si>
  <si>
    <t>Кран шаровой FF 3/4” B бабочка BUGATTI ARIZONA</t>
  </si>
  <si>
    <t>Кран шаровой FF 3/4” B бабочка BUGATTI NEW JERSEY</t>
  </si>
  <si>
    <t>8027010182894</t>
  </si>
  <si>
    <t>Кран шаровой FF 3/4” B бабочка BUGATTI OREGON</t>
  </si>
  <si>
    <t>8027010089124</t>
  </si>
  <si>
    <t>Кран шаровой FF 3/4” ручка-алюминий BUGATTI ARIZONA</t>
  </si>
  <si>
    <t>Кран шаровой FF 3/4” ручка-алюминий BUGATTI NEW JERSEY</t>
  </si>
  <si>
    <t>8027010182863</t>
  </si>
  <si>
    <t>9100013-DIY</t>
  </si>
  <si>
    <t>Кран шаровой FF 3/4” ручка-алюминий BUGATTI NEW JERSEY DIY</t>
  </si>
  <si>
    <t>Кран шаровой FF 3/4” ручка-алюминий BUGATTI OREGON</t>
  </si>
  <si>
    <t>8027010082774</t>
  </si>
  <si>
    <t>Кран шаровой FF 3/4” ручка-сталь BUGATTI ARIZONA</t>
  </si>
  <si>
    <t>Кран шаровой FF 3/4” ручка-сталь BUGATTI NEW JERSEY</t>
  </si>
  <si>
    <t>Кран шаровой FF 3/4” ручка-сталь BUGATTI OREGON</t>
  </si>
  <si>
    <t>Кран шаровой FF 3/8” B бабочка BUGATTI OREGON</t>
  </si>
  <si>
    <t>Кран шаровой FF 3/8” ручка-алюминий BUGATTI OREGON</t>
  </si>
  <si>
    <t>Кран шаровой FF 3/8” ручка-сталь BUGATTI OREGON</t>
  </si>
  <si>
    <t>Кран шаровой FF 3” ручка-сталь BUGATTI NEW JERSEY</t>
  </si>
  <si>
    <t>Кран шаровой FF 4 гайка-гайка ручка</t>
  </si>
  <si>
    <t>4670064711837</t>
  </si>
  <si>
    <t>Кран шаровой FF 4” ручка-сталь BUGATTI NEW JERSEY</t>
  </si>
  <si>
    <t>Кран шаровой FM 1  гайка-штуцер ручка 11Б27п1</t>
  </si>
  <si>
    <t>4650098211091</t>
  </si>
  <si>
    <t>04784-DIY</t>
  </si>
  <si>
    <t>Кран шаровой  FM 1  ручка  11Б27п1 DIY</t>
  </si>
  <si>
    <t>Кран шаровой FM 1  гайка-штуцер ручка 11Б27п1 DIY</t>
  </si>
  <si>
    <t>Кран шаровой FM 1 1/2  гайка-штуцер ручка 11Б27п1</t>
  </si>
  <si>
    <t>4650098211404</t>
  </si>
  <si>
    <t>Кран шаровой FM 1 1/2 гайка-штуцер ручка</t>
  </si>
  <si>
    <t>4630003325723</t>
  </si>
  <si>
    <t>01153-DIY</t>
  </si>
  <si>
    <t>Кран шаровой  FM 1 1/2  ручка DIY</t>
  </si>
  <si>
    <t>Кран шаровой FM 1 1/2 гайка-штуцер ручка DIY</t>
  </si>
  <si>
    <t>ШК FM</t>
  </si>
  <si>
    <t>Кран шаровой FM 1 1/2” ручка-алюминий BUGATTI ARIZONA</t>
  </si>
  <si>
    <t>Кран шаровой FM 1 1/2” ручка-алюминий BUGATTI NEW JERSEY</t>
  </si>
  <si>
    <t>Кран шаровой FM 1 1/2” ручка-алюминий BUGATTI OREGON</t>
  </si>
  <si>
    <t>Кран шаровой FM 1 1/2” ручка-сталь BUGATTI ARIZONA</t>
  </si>
  <si>
    <t>Кран шаровой FM 1 1/2” ручка-сталь BUGATTI NEW JERSEY</t>
  </si>
  <si>
    <t>Кран шаровой FM 1 1/2” ручка-сталь BUGATTI OREGON</t>
  </si>
  <si>
    <t>Кран шаровой FM 1 1/4  гайка-штуцер ручка 11Б27п1</t>
  </si>
  <si>
    <t>4650098211107</t>
  </si>
  <si>
    <t>Кран шаровой FM 1 1/4 гайка-штуцер ручка</t>
  </si>
  <si>
    <t>4630003327673</t>
  </si>
  <si>
    <t>01152-DIY</t>
  </si>
  <si>
    <t>Кран шаровой  FM 1 1/4  ручка DIY</t>
  </si>
  <si>
    <t>Кран шаровой FM 1 1/4 гайка-штуцер ручка DIY</t>
  </si>
  <si>
    <t>Кран шаровой FM 1 1/4" B U  ProEXPERT</t>
  </si>
  <si>
    <t>Кран шаровой FM 1 1/4” B бабочка BUGATTI ARIZONA</t>
  </si>
  <si>
    <t>Кран шаровой FM 1 1/4” B бабочка BUGATTI NEW JERSEY</t>
  </si>
  <si>
    <t>Кран шаровой FM 1 1/4” B бабочка BUGATTI OREGON</t>
  </si>
  <si>
    <t>Кран шаровой FM 1 1/4” ручка-алюминий BUGATTI ARIZONA</t>
  </si>
  <si>
    <t>Кран шаровой FM 1 1/4” ручка-алюминий BUGATTI NEW JERSEY</t>
  </si>
  <si>
    <t>8027010183914</t>
  </si>
  <si>
    <t>Кран шаровой FM 1 1/4” ручка-алюминий BUGATTI OREGON</t>
  </si>
  <si>
    <t>Кран шаровой FM 1 1/4” ручка-сталь BUGATTI ARIZONA</t>
  </si>
  <si>
    <t>Кран шаровой FM 1 1/4” ручка-сталь BUGATTI NEW JERSEY</t>
  </si>
  <si>
    <t>Кран шаровой FM 1 1/4” ручка-сталь BUGATTI OREGON</t>
  </si>
  <si>
    <t>Кран шаровой FM 1 B гайка-штуцер бабочка</t>
  </si>
  <si>
    <t>4630003322616</t>
  </si>
  <si>
    <t>Кран шаровой FM 1 B гайка-штуцер бабочка 11Б27п1</t>
  </si>
  <si>
    <t>4650098211398</t>
  </si>
  <si>
    <t>04789-DIY</t>
  </si>
  <si>
    <t>Кран шаровой  FM 1  B  бабочка  11Б27п1-DIY</t>
  </si>
  <si>
    <t>Кран шаровой FM 1 B гайка-штуцер бабочка 11Б27п1-DIY</t>
  </si>
  <si>
    <t>01160-DIY</t>
  </si>
  <si>
    <t>Кран шаровой  FM 1  B  бабочка DIY</t>
  </si>
  <si>
    <t>Кран шаровой FM 1 B гайка-штуцер бабочка DIY</t>
  </si>
  <si>
    <t>Кран шаровой FM 1 гайка-штуцер ручка</t>
  </si>
  <si>
    <t>4630003322623</t>
  </si>
  <si>
    <t>01151-DIY</t>
  </si>
  <si>
    <t>Кран шаровой  FM 1  ручка DIY</t>
  </si>
  <si>
    <t>Кран шаровой FM 1 гайка-штуцер ручка DIY</t>
  </si>
  <si>
    <t>Кран шаровой FM 1" B U  ProEXPERT</t>
  </si>
  <si>
    <t>Кран шаровой FM 1/2  гайка-штуцер ручка 11Б27п1</t>
  </si>
  <si>
    <t>4650098211367</t>
  </si>
  <si>
    <t>04772-DIY</t>
  </si>
  <si>
    <t>Кран шаровой  FM  1/2  ручка  11Б27п1 DIY</t>
  </si>
  <si>
    <t>Кран шаровой FM 1/2  гайка-штуцер ручка 11Б27п1 DIY</t>
  </si>
  <si>
    <t>01158-DIY</t>
  </si>
  <si>
    <t>Кран шаровой  FM  1/2  B  бабочка DIY</t>
  </si>
  <si>
    <t>Кран шаровой FM 1/2 B гайка-штуцер DIY</t>
  </si>
  <si>
    <t>4630003321954</t>
  </si>
  <si>
    <t>Кран шаровой FM 1/2 B гайка-штуцер бабочка</t>
  </si>
  <si>
    <t>Кран шаровой FM 1/2 B гайка-штуцер бабочка 11Б27п1</t>
  </si>
  <si>
    <t>Кран шаровой FM 1/2 гайка-штуцер ручка</t>
  </si>
  <si>
    <t>4630003322586</t>
  </si>
  <si>
    <t>01149-DIY</t>
  </si>
  <si>
    <t>Кран шаровой  FM  1/2  ручка DIY</t>
  </si>
  <si>
    <t>Кран шаровой FM 1/2 гайка-штуцер ручка DIY</t>
  </si>
  <si>
    <t>L01013003</t>
  </si>
  <si>
    <t>Кран шаровой FM 1/2"  B ProEXPERT</t>
  </si>
  <si>
    <t>7930110050660</t>
  </si>
  <si>
    <t>L01010701</t>
  </si>
  <si>
    <t>Кран шаровой FM 1/2"  B U  ProEXPERT</t>
  </si>
  <si>
    <t>Кран шаровой FM 1/2"  ProEXPERT</t>
  </si>
  <si>
    <t>Кран шаровой FM 1/2" B  ProEXPERT</t>
  </si>
  <si>
    <t>Кран шаровой FM 1/2" B L  ProEXPERT</t>
  </si>
  <si>
    <t>Кран шаровой FM 1/2" B ProEXPERT</t>
  </si>
  <si>
    <t>Кран шаровой FM 1/2" B U  ProEXPERT</t>
  </si>
  <si>
    <t>Кран шаровой FM 1/2” B бабочка BUGATTI ARIZONA</t>
  </si>
  <si>
    <t>Кран шаровой FM 1/2” B бабочка BUGATTI NEW JERSEY</t>
  </si>
  <si>
    <t>8027010182818</t>
  </si>
  <si>
    <t>Кран шаровой FM 1/2” B бабочка BUGATTI OREGON</t>
  </si>
  <si>
    <t>8027010089964</t>
  </si>
  <si>
    <t>Кран шаровой FM 1/2” ручка-алюминий BUGATTI ARIZONA</t>
  </si>
  <si>
    <t>Кран шаровой FM 1/2” ручка-алюминий BUGATTI NEW JERSEY</t>
  </si>
  <si>
    <t>9150003-DIY</t>
  </si>
  <si>
    <t>Кран шаровой FM 1/2” ручка-алюминий BUGATTI NEW JERSEY DIY</t>
  </si>
  <si>
    <t>8027010182849</t>
  </si>
  <si>
    <t>Кран шаровой FM 1/2” ручка-алюминий BUGATTI OREGON</t>
  </si>
  <si>
    <t>8027010089322</t>
  </si>
  <si>
    <t>Кран шаровой FM 1/2” ручка-сталь BUGATTI ARIZONA</t>
  </si>
  <si>
    <t>Кран шаровой FM 1/2” ручка-сталь BUGATTI NEW JERSEY</t>
  </si>
  <si>
    <t>Кран шаровой FM 1/2” ручка-сталь BUGATTI OREGON</t>
  </si>
  <si>
    <t>Кран шаровой FM 1/4” B бабочка BUGATTI OREGON</t>
  </si>
  <si>
    <t>Кран шаровой FM 1/4” ручка-алюминий BUGATTI OREGON</t>
  </si>
  <si>
    <t>Кран шаровой FM 1/4” ручка-сталь BUGATTI OREGON</t>
  </si>
  <si>
    <t>Кран шаровой FM 1” B бабочка BUGATTI ARIZONA</t>
  </si>
  <si>
    <t>Кран шаровой FM 1” B бабочка BUGATTI NEW JERSEY</t>
  </si>
  <si>
    <t>8027010182825</t>
  </si>
  <si>
    <t>Кран шаровой FM 1” B бабочка BUGATTI OREGON</t>
  </si>
  <si>
    <t>Кран шаровой FM 1” ручка-алюминий BUGATTI ARIZONA</t>
  </si>
  <si>
    <t>Кран шаровой FM 1” ручка-алюминий BUGATTI NEW JERSEY</t>
  </si>
  <si>
    <t>8027010182832</t>
  </si>
  <si>
    <t>Кран шаровой FM 1” ручка-алюминий BUGATTI OREGON</t>
  </si>
  <si>
    <t>8027010089407</t>
  </si>
  <si>
    <t>Кран шаровой FM 1” ручка-сталь BUGATTI ARIZONA</t>
  </si>
  <si>
    <t>Кран шаровой FM 1” ручка-сталь BUGATTI NEW JERSEY</t>
  </si>
  <si>
    <t>Кран шаровой FM 1” ручка-сталь BUGATTI OREGON</t>
  </si>
  <si>
    <t>Кран шаровой FM 2  гайка-штуцер ручка 11Б27п1</t>
  </si>
  <si>
    <t>4650098211411</t>
  </si>
  <si>
    <t>Кран шаровой FM 2 гайка-штуцер ручка</t>
  </si>
  <si>
    <t>4650098211169</t>
  </si>
  <si>
    <t>Кран шаровой FM 2” ручка-алюминий BUGATTI ARIZONA</t>
  </si>
  <si>
    <t>Кран шаровой FM 2” ручка-алюминий BUGATTI NEW JERSEY</t>
  </si>
  <si>
    <t>Кран шаровой FM 2” ручка-алюминий BUGATTI OREGON</t>
  </si>
  <si>
    <t>Кран шаровой FM 2” ручка-сталь BUGATTI ARIZONA</t>
  </si>
  <si>
    <t>Кран шаровой FM 2” ручка-сталь BUGATTI NEW JERSEY</t>
  </si>
  <si>
    <t>Кран шаровой FM 2” ручка-сталь BUGATTI OREGON</t>
  </si>
  <si>
    <t>Кран шаровой FM 3/4  гайка-штуцер ручка 11Б27п1</t>
  </si>
  <si>
    <t>4650098211381</t>
  </si>
  <si>
    <t>04773-DIY</t>
  </si>
  <si>
    <t>Кран шаровой  FM  3/4  ручка  11Б27п1 DIY</t>
  </si>
  <si>
    <t>Кран шаровой FM 3/4  гайка-штуцер ручка 11Б27п1 DIY</t>
  </si>
  <si>
    <t>Кран шаровой FM 3/4 B гайка-штуцер бабочка</t>
  </si>
  <si>
    <t>4630003322593</t>
  </si>
  <si>
    <t>Кран шаровой FM 3/4 B гайка-штуцер бабочка 11Б27п1</t>
  </si>
  <si>
    <t>4650098211374</t>
  </si>
  <si>
    <t>04777-DIY</t>
  </si>
  <si>
    <t>Кран шаровой  FM  3/4  B  бабочка  11Б27п1 DIY</t>
  </si>
  <si>
    <t>Кран шаровой FM 3/4 B гайка-штуцер бабочка 11Б27п1 DIY</t>
  </si>
  <si>
    <t>01159-DIY</t>
  </si>
  <si>
    <t>Кран шаровой  FM  3/4  B  бабочка DIY</t>
  </si>
  <si>
    <t>Кран шаровой FM 3/4 B гайка-штуцер бабочка DIY</t>
  </si>
  <si>
    <t>Кран шаровой FM 3/4 гайка-штуцер ручка</t>
  </si>
  <si>
    <t>4630003322609</t>
  </si>
  <si>
    <t>01150-DIY</t>
  </si>
  <si>
    <t>Кран шаровой  FM  3/4  ручка DIY</t>
  </si>
  <si>
    <t>Кран шаровой FM 3/4 гайка-штуцер ручка DIY</t>
  </si>
  <si>
    <t>PE01159</t>
  </si>
  <si>
    <t>Кран шаровой FM 3/4" B ProEXPERT</t>
  </si>
  <si>
    <t>Кран шаровой FM 3/4" B U  ProEXPERT</t>
  </si>
  <si>
    <t>Кран шаровой FM 3/4” B бабочка BUGATTI ARIZONA</t>
  </si>
  <si>
    <t>Кран шаровой FM 3/4” B бабочка BUGATTI NEW JERSEY</t>
  </si>
  <si>
    <t>8027010182948</t>
  </si>
  <si>
    <t>Кран шаровой FM 3/4” B бабочка BUGATTI OREGON</t>
  </si>
  <si>
    <t>8027010090007</t>
  </si>
  <si>
    <t>Кран шаровой FM 3/4” ручка-алюминий BUGATTI ARIZONA</t>
  </si>
  <si>
    <t>8027010012191</t>
  </si>
  <si>
    <t>Кран шаровой FM 3/4” ручка-алюминий BUGATTI NEW JERSEY</t>
  </si>
  <si>
    <t>8027010182955</t>
  </si>
  <si>
    <t>Кран шаровой FM 3/4” ручка-алюминий BUGATTI OREGON</t>
  </si>
  <si>
    <t>Кран шаровой FM 3/4” ручка-сталь BUGATTI ARIZONA</t>
  </si>
  <si>
    <t>Кран шаровой FM 3/4” ручка-сталь BUGATTI NEW JERSEY</t>
  </si>
  <si>
    <t>Кран шаровой FM 3/4” ручка-сталь BUGATTI OREGON</t>
  </si>
  <si>
    <t>Кран шаровой FM 3/8” B бабочка BUGATTI OREGON</t>
  </si>
  <si>
    <t>Кран шаровой FM 3/8” ручка-алюминий BUGATTI OREGON</t>
  </si>
  <si>
    <t>Кран шаровой FM 3/8” ручка-сталь BUGATTI OREGON</t>
  </si>
  <si>
    <t>Кран шаровой FM mini 1/2" ProEXPERT</t>
  </si>
  <si>
    <t>Кран шаровой MINI редуцированный FF 1/2" m BUGATTI MINNESOTA</t>
  </si>
  <si>
    <t>MINNESOTA</t>
  </si>
  <si>
    <t>Кран шаровой MINI редуцированный FF 1/4" m BUGATTI MINNESOTA</t>
  </si>
  <si>
    <t>Кран шаровой MINI редуцированный FF 3/8" m BUGATTI MINNESOTA</t>
  </si>
  <si>
    <t>Кран шаровой MINI редуцированный для подкл сантех пр FM 1/2" m BUGATTI MINNESOTA</t>
  </si>
  <si>
    <t>Кран шаровой MINI редуцированный для подкл сантех пр FM 1/4" m BUGATTI MINNESOTA</t>
  </si>
  <si>
    <t>Кран шаровой MINI редуцированный для подкл сантех пр FM 3/8" m BUGATTI MINNESOTA</t>
  </si>
  <si>
    <t>Кран шаровой MINI редуцированный для подкл сантех пр MM 1/2" m BUGATTI MINNESOTA</t>
  </si>
  <si>
    <t>Кран шаровой MINI редуцированный для подкл сантех пр MM 1/4" m BUGATTI MINNESOTA</t>
  </si>
  <si>
    <t>Кран шаровой MINI редуцированный для подкл сантех пр MM 3/8" m BUGATTI MINNESOTA</t>
  </si>
  <si>
    <t>Кран шаровой MM 1 B штуцер-штуцер бабочка</t>
  </si>
  <si>
    <t>4630003327697</t>
  </si>
  <si>
    <t>02338-DIY</t>
  </si>
  <si>
    <t>Кран шаровой  MM 1  B  бабочка DIY</t>
  </si>
  <si>
    <t>Кран шаровой MM 1 B штуцер-штуцер бабочка DIY</t>
  </si>
  <si>
    <t>ШК MM</t>
  </si>
  <si>
    <t>Кран шаровой MM 1 штуцер-штуцер ручка</t>
  </si>
  <si>
    <t>4630003322647</t>
  </si>
  <si>
    <t>02429-DIY</t>
  </si>
  <si>
    <t>Кран шаровой  MM 1  ручка DIY</t>
  </si>
  <si>
    <t>Кран шаровой MM 1 штуцер-штуцер ручка DIY</t>
  </si>
  <si>
    <t>Кран шаровой MM 1/2 B штуцер-штуцер бабочка</t>
  </si>
  <si>
    <t>4630003321961</t>
  </si>
  <si>
    <t>02336-DIY</t>
  </si>
  <si>
    <t>Кран шаровой  MM  1/2  B  бабочка DIY</t>
  </si>
  <si>
    <t>Кран шаровой MM 1/2 B штуцер-штуцер бабочка DIY</t>
  </si>
  <si>
    <t>Кран шаровой MM 1/2 штуцер-штуцер ручка</t>
  </si>
  <si>
    <t>4630003322760</t>
  </si>
  <si>
    <t>02427-DIY</t>
  </si>
  <si>
    <t>Кран шаровой  MM  1/2  ручка DIY</t>
  </si>
  <si>
    <t>Кран шаровой MM 1/2 штуцер-штуцер ручка DIY</t>
  </si>
  <si>
    <t>Кран шаровой MM 1/2" B  ProEXPERT</t>
  </si>
  <si>
    <t>Кран шаровой MM 1/2” B бабочка BUGATTI OREGON</t>
  </si>
  <si>
    <t>8027010096399</t>
  </si>
  <si>
    <t>Кран шаровой MM 1/2” ручка-алюминий BUGATTI OREGON</t>
  </si>
  <si>
    <t>8027010096153</t>
  </si>
  <si>
    <t>Кран шаровой MM 1/2” ручка-сталь BUGATTI OREGON</t>
  </si>
  <si>
    <t>Кран шаровой MM 1” B бабочка BUGATTI OREGON</t>
  </si>
  <si>
    <t>Кран шаровой MM 1” ручка-алюминий BUGATTI OREGON</t>
  </si>
  <si>
    <t>Кран шаровой MM 1” ручка-сталь BUGATTI OREGON</t>
  </si>
  <si>
    <t>Кран шаровой MM 3/4 B штуцер-штуцер бабочка</t>
  </si>
  <si>
    <t>4630003322630</t>
  </si>
  <si>
    <t>02337-DIY</t>
  </si>
  <si>
    <t>Кран шаровой  MM  3/4  B  бабочка DIY</t>
  </si>
  <si>
    <t>Кран шаровой MM 3/4 B штуцер-штуцер бабочка DIY</t>
  </si>
  <si>
    <t>Кран шаровой MM 3/4 штуцер-штуцер ручка</t>
  </si>
  <si>
    <t>4630003322777</t>
  </si>
  <si>
    <t>02428-DIY</t>
  </si>
  <si>
    <t>Кран шаровой  MM  3/4  ручка DIY</t>
  </si>
  <si>
    <t>Кран шаровой MM 3/4 штуцер-штуцер ручка DIY</t>
  </si>
  <si>
    <t>Кран шаровой MM 3/4” B бабочка BUGATTI OREGON</t>
  </si>
  <si>
    <t>8027010096436</t>
  </si>
  <si>
    <t>Кран шаровой MM 3/4” ручка-алюминий BUGATTI OREGON</t>
  </si>
  <si>
    <t>Кран шаровой MM 3/4” ручка-сталь BUGATTI OREGON</t>
  </si>
  <si>
    <t>LL 1042 1</t>
  </si>
  <si>
    <t>Кран шаровой ВВ 1  бабочка DOUBLE-LIN</t>
  </si>
  <si>
    <t>LL 1001 1</t>
  </si>
  <si>
    <t>Кран шаровой ВВ 1 ручка DOUBLE-LIN</t>
  </si>
  <si>
    <t>LL 1042 1/2</t>
  </si>
  <si>
    <t>Кран шаровой ВВ 1/2  бабочка DOUBLE-LIN</t>
  </si>
  <si>
    <t>LL 1001 1/2</t>
  </si>
  <si>
    <t>Кран шаровой ВВ 1/2 ручка DOUBLE-LIN</t>
  </si>
  <si>
    <t>LL 1042 3/4</t>
  </si>
  <si>
    <t>Кран шаровой ВВ 3/4  бабочка DOUBLE-LIN</t>
  </si>
  <si>
    <t>LL 1001 3/4</t>
  </si>
  <si>
    <t>Кран шаровой ВВ 3/4 ручка DOUBLE-LIN</t>
  </si>
  <si>
    <t>LL 1041 1</t>
  </si>
  <si>
    <t>Кран шаровой ВН 1  бабочка DOUBLE-LIN</t>
  </si>
  <si>
    <t>LL 1003 1</t>
  </si>
  <si>
    <t>Кран шаровой ВН 1 ручка DOUBLE-LIN</t>
  </si>
  <si>
    <t>LL 1041 1/2</t>
  </si>
  <si>
    <t>Кран шаровой ВН 1/2  бабочка DOUBLE-LIN</t>
  </si>
  <si>
    <t>LL 1003 1/2</t>
  </si>
  <si>
    <t>Кран шаровой ВН 1/2 ручка DOUBLE-LIN</t>
  </si>
  <si>
    <t>LL 1041 3/4</t>
  </si>
  <si>
    <t>Кран шаровой ВН 3/4  бабочка DOUBLE-LIN</t>
  </si>
  <si>
    <t>LL 1003 3/4</t>
  </si>
  <si>
    <t>Кран шаровой ВН 3/4 ручка DOUBLE-LIN</t>
  </si>
  <si>
    <t>Кран шаровой водоразборный  1/2” W h ручка-рычаг BUGATTI ALASKA</t>
  </si>
  <si>
    <t>2501-В</t>
  </si>
  <si>
    <t>Кран шаровой водоразборный 1/2 с вентильной головкой Ду-15  лат</t>
  </si>
  <si>
    <t>Кран шаровой водоразборный 1/2” W h ручка-рычаг BUGATTI ALASKA</t>
  </si>
  <si>
    <t>ALASKA</t>
  </si>
  <si>
    <t>Кран шаровой водоразборный 3/4” W h ручка-рычаг BUGATTI ALASKA</t>
  </si>
  <si>
    <t>Кран шаровой водоразборный 3/8” W h ручка-рычаг BUGATTI ALASKA</t>
  </si>
  <si>
    <t>Водоразборные шаровые краны</t>
  </si>
  <si>
    <t>Цинковые краны</t>
  </si>
  <si>
    <t>4650098211176</t>
  </si>
  <si>
    <t>03965-DIY</t>
  </si>
  <si>
    <t>Кран шаровой водоразборный под шланг  1/2  Wh  ручка ECO DIY</t>
  </si>
  <si>
    <t>4650098211190</t>
  </si>
  <si>
    <t>03966-DIY</t>
  </si>
  <si>
    <t>Кран шаровой водоразборный под шланг  3/4  Wh  ручка ECO-DIY</t>
  </si>
  <si>
    <t>Кран шаровой водоразборный под шланг 1  Wh  ручка</t>
  </si>
  <si>
    <t>Кран шаровой водоразборный под шланг 1 Wh ручка</t>
  </si>
  <si>
    <t>4630003321817</t>
  </si>
  <si>
    <t>Кран шаровой водоразборный под шланг 1/2 Wh бабочка</t>
  </si>
  <si>
    <t>4650098211183</t>
  </si>
  <si>
    <t>01489-DIY</t>
  </si>
  <si>
    <t>Кран шаровой водоразборный под шланг  1/2  Wh B  бабочка-DIY</t>
  </si>
  <si>
    <t>Кран шаровой водоразборный под шланг 1/2 Wh бабочка-DIY</t>
  </si>
  <si>
    <t>Кран шаровой водоразборный под шланг 1/2 Wh ручка</t>
  </si>
  <si>
    <t>4630003321831</t>
  </si>
  <si>
    <t>01323-DIY</t>
  </si>
  <si>
    <t>Кран шаровой водоразборный под шланг  1/2  Wh  ручка DIY</t>
  </si>
  <si>
    <t>Кран шаровой водоразборный под шланг 1/2 Wh ручка DIY</t>
  </si>
  <si>
    <t>ШК водоразборные</t>
  </si>
  <si>
    <t>Кран шаровой водоразборный под шланг 3/4 Wh бабочка</t>
  </si>
  <si>
    <t>4630003325150</t>
  </si>
  <si>
    <t>01490-DIY</t>
  </si>
  <si>
    <t>Кран шаровой водоразборный под шланг  3/4  Wh B  бабочка-DIY</t>
  </si>
  <si>
    <t>Кран шаровой водоразборный под шланг 3/4 Wh бабочка-DIY</t>
  </si>
  <si>
    <t>Кран шаровой водоразборный под шланг 3/4 Wh ручка</t>
  </si>
  <si>
    <t>4630003321862</t>
  </si>
  <si>
    <t>03951-DIY</t>
  </si>
  <si>
    <t>Кран шаровой водоразборный под шланг  3/4  Wh  ручка DIY</t>
  </si>
  <si>
    <t>Кран шаровой водоразборный под шланг 3/4 Wh ручка DIY</t>
  </si>
  <si>
    <t>Шаровые краны для газа AQUALINK</t>
  </si>
  <si>
    <t>Шаровые краны для газа</t>
  </si>
  <si>
    <t>4650098215082</t>
  </si>
  <si>
    <t>07103-DIY</t>
  </si>
  <si>
    <t>Кран шаровой для газа 1" в/в ручка DIY</t>
  </si>
  <si>
    <t>ШК для газа</t>
  </si>
  <si>
    <t>4650098215112</t>
  </si>
  <si>
    <t>07106-DIY</t>
  </si>
  <si>
    <t>Кран шаровой для газа 1" в/н ручка DIY</t>
  </si>
  <si>
    <t>4650098215129</t>
  </si>
  <si>
    <t>07107-DIY</t>
  </si>
  <si>
    <t>Кран шаровой для газа 1/2" в/в бабочка DIY</t>
  </si>
  <si>
    <t>4650098215068</t>
  </si>
  <si>
    <t>07101-DIY</t>
  </si>
  <si>
    <t>Кран шаровой для газа 1/2" в/в ручка DIY</t>
  </si>
  <si>
    <t>4650098215143</t>
  </si>
  <si>
    <t>07109-DIY</t>
  </si>
  <si>
    <t>Кран шаровой для газа 1/2" в/н бабочка DIY</t>
  </si>
  <si>
    <t>4650098215099</t>
  </si>
  <si>
    <t>07104-DIY</t>
  </si>
  <si>
    <t>Кран шаровой для газа 1/2" в/н ручка DIY</t>
  </si>
  <si>
    <t>4650098215136</t>
  </si>
  <si>
    <t>07108-DIY</t>
  </si>
  <si>
    <t>Кран шаровой для газа 3/4" в/в бабочка DIY</t>
  </si>
  <si>
    <t>4650098215075</t>
  </si>
  <si>
    <t>07102-DIY</t>
  </si>
  <si>
    <t>Кран шаровой для газа 3/4" в/в ручка DIY</t>
  </si>
  <si>
    <t>4650098215150</t>
  </si>
  <si>
    <t>07110-DIY</t>
  </si>
  <si>
    <t>Кран шаровой для газа 3/4" в/н бабочка DIY</t>
  </si>
  <si>
    <t>4650098215105</t>
  </si>
  <si>
    <t>07105-DIY</t>
  </si>
  <si>
    <t>Кран шаровой для газа 3/4" в/н ручка DIY</t>
  </si>
  <si>
    <t>Кран шаровой для газа полнопроходной FF 1/2” B бабочка-алюминий BUGATTI COLORADO</t>
  </si>
  <si>
    <t>COLORADO</t>
  </si>
  <si>
    <t>Кран шаровой для газа полнопроходной FF 1/2” рычаг-сталь BUGATTI COLORADO</t>
  </si>
  <si>
    <t>Кран шаровой для газа полнопроходной FF 3/4” B бабочка-алюминий BUGATTI COLORADO</t>
  </si>
  <si>
    <t>Кран шаровой для газа полнопроходной FF 3/4” рычаг-сталь BUGATTI COLORADO</t>
  </si>
  <si>
    <t>Кран шаровой для газа полнопроходной FM 1/2” B бабочка-алюминий BUGATTI COLORADO</t>
  </si>
  <si>
    <t>Кран шаровой для газа полнопроходной FM 1/2” рычаг-сталь BUGATTI COLORADO</t>
  </si>
  <si>
    <t>Кран шаровой для газа полнопроходной FM 3/4” B бабочка-алюминий BUGATTI COLORADO</t>
  </si>
  <si>
    <t>Кран шаровой для газа полнопроходной FM 3/4” рычаг-сталь BUGATTI COLORADO</t>
  </si>
  <si>
    <t>Кран шаровой для МП труб 16x16 B цанга-цанга бабочка</t>
  </si>
  <si>
    <t>Шаровые краны для металлополимерных труб</t>
  </si>
  <si>
    <t>4630003324306</t>
  </si>
  <si>
    <t>00872-DIY</t>
  </si>
  <si>
    <t>Кран шаровой для МП труб  16x16  B  бабочка DIY</t>
  </si>
  <si>
    <t>Кран шаровой для МП труб 16x16 B цанга-цанга бабочка DIY</t>
  </si>
  <si>
    <t>ШК для МП труб</t>
  </si>
  <si>
    <t>Кран шаровой для МП труб  16x20  B  бабочка</t>
  </si>
  <si>
    <t>Кран шаровой для МП труб 16x20 B цанга-цанга бабочка</t>
  </si>
  <si>
    <t>Кран шаровой для МП труб 20x20 B цанга-цанга бабочка</t>
  </si>
  <si>
    <t>4630003325112</t>
  </si>
  <si>
    <t>00873-DIY</t>
  </si>
  <si>
    <t>Кран шаровой для МП труб  20x20  B  бабочка DIY</t>
  </si>
  <si>
    <t>Кран шаровой для МП труб 20x20 B цанга-цанга бабочка DIY</t>
  </si>
  <si>
    <t>Кран шаровой для МП труб  26x26  B  бабочка</t>
  </si>
  <si>
    <t>Кран шаровой для МП труб 26x26 B цанга-цанга бабочка</t>
  </si>
  <si>
    <t>Кран шаровой для МП труб F 1/2x16 B гайка-цанга бабочка</t>
  </si>
  <si>
    <t>4630003324313</t>
  </si>
  <si>
    <t>00874-DIY</t>
  </si>
  <si>
    <t>Кран шаровой для МП труб  F 1/2x16  B  бабочка DIY</t>
  </si>
  <si>
    <t>Кран шаровой для МП труб F 1/2x16 B гайка-цанга бабочка DIY</t>
  </si>
  <si>
    <t>Кран шаровой для МП труб F 1/2x20 B гайка-цанга бабочка</t>
  </si>
  <si>
    <t>4630003325136</t>
  </si>
  <si>
    <t>01165-DIY</t>
  </si>
  <si>
    <t>Кран шаровой для МП труб  F 1/2x20  B  бабочка DIY</t>
  </si>
  <si>
    <t>Кран шаровой для МП труб F 1/2x20 B гайка-цанга бабочка DIY</t>
  </si>
  <si>
    <t>Кран шаровой для МП труб  F1x26  B  бабочка</t>
  </si>
  <si>
    <t>Кран шаровой для МП труб F 1x26 B гайка-цанга бабочка</t>
  </si>
  <si>
    <t>4630003325129</t>
  </si>
  <si>
    <t>Кран шаровой для МП труб F 3/4x20 B гайка-цанга бабочка</t>
  </si>
  <si>
    <t>00875-DIY</t>
  </si>
  <si>
    <t>Кран шаровой для МП труб  F 3/4x20  B  бабочка DIY</t>
  </si>
  <si>
    <t>Кран шаровой для МП труб F 3/4x20 B гайка-цанга бабочка DIY</t>
  </si>
  <si>
    <t>Кран шаровой для МП труб M 1/2x16 B штуцер-цанга бабочка</t>
  </si>
  <si>
    <t>4630003324320</t>
  </si>
  <si>
    <t>00876-DIY</t>
  </si>
  <si>
    <t>Кран шаровой для МП труб  M 1/2x16  B  бабочка DIY</t>
  </si>
  <si>
    <t>Кран шаровой для МП труб M 1/2x16 B штуцер-цанга бабочка DIY</t>
  </si>
  <si>
    <t>Кран шаровой для МП труб M 1/2x20 B штуцер-цанга бабочка</t>
  </si>
  <si>
    <t>4630003325174</t>
  </si>
  <si>
    <t>02430-DIY</t>
  </si>
  <si>
    <t>Кран шаровой для МП труб  M 1/2x20  B  бабочка DIY</t>
  </si>
  <si>
    <t>Кран шаровой для МП труб M 1/2x20 B штуцер-цанга бабочка DIY</t>
  </si>
  <si>
    <t>Кран шаровой для МП труб  M1x26  B  бабочка</t>
  </si>
  <si>
    <t>Кран шаровой для МП труб M 1x26 B штуцер-цанга бабочка</t>
  </si>
  <si>
    <t>Кран шаровой для МП труб M 3/4x20 B штуцер-цанга бабочка</t>
  </si>
  <si>
    <t>4630003325143</t>
  </si>
  <si>
    <t>01310-DIY</t>
  </si>
  <si>
    <t>Кран шаровой для МП труб  M 3/4x20  B  бабочка DIY</t>
  </si>
  <si>
    <t>Кран шаровой для МП труб M 3/4x20 B штуцер-цанга бабочка DIY</t>
  </si>
  <si>
    <t>Кран шаровой для подключения сантех приборов 1/2" Mх1/2" M BUGATTI MIAMI</t>
  </si>
  <si>
    <t>8027010064015</t>
  </si>
  <si>
    <t>Кран шаровой для подключения сантех приборов 1/2" Mх3/4" M BUGATTI MIAMI</t>
  </si>
  <si>
    <t>MIAMI</t>
  </si>
  <si>
    <t>Кран шаровой для подключения смесителя  1/2" Mх1/2" M BUGATTI MINNESOTA</t>
  </si>
  <si>
    <t>Кран шаровой для подключения смесителя  1/2" Mх3/8" M BUGATTI MINNESOTA</t>
  </si>
  <si>
    <t>Кран шаровой для подключения смесителя 1/2" Mх1/2" M BUGATTI MINNESOTA</t>
  </si>
  <si>
    <t>Кран шаровой для подключения смесителя 1/2" Mх3/8" M BUGATTI MINNESOTA</t>
  </si>
  <si>
    <t>LL 1036 1/2</t>
  </si>
  <si>
    <t>Кран шаровой НН 1/2  бабочка DOUBLE-LIN</t>
  </si>
  <si>
    <t>LL 1004 1/2</t>
  </si>
  <si>
    <t>Кран шаровой НН 1/2 ручка DOUBLE-LIN</t>
  </si>
  <si>
    <t>LL 1036 3/4</t>
  </si>
  <si>
    <t>Кран шаровой НН 3/4  бабочка DOUBLE-LIN</t>
  </si>
  <si>
    <t>LL 1004 3/4</t>
  </si>
  <si>
    <t>Кран шаровой НН 3/4 ручка DOUBLE-LIN</t>
  </si>
  <si>
    <t>Кран шаровой с дренажем и воздухоотводчиком FF 1/2” B бабочка BUGATTI OREGON</t>
  </si>
  <si>
    <t>Кран шаровой с дренажем и воздухоотводчиком FF 1/2” ручка-алюминий BUGATTI OREGON</t>
  </si>
  <si>
    <t>Кран шаровой с дренажем и воздухоотводчиком FF 1/2” ручка-сталь BUGATTI OREGON</t>
  </si>
  <si>
    <t>Кран шаровой с дренажем и воздухоотводчиком FF 1” B бабочка BUGATTI OREGON</t>
  </si>
  <si>
    <t>Кран шаровой с дренажем и воздухоотводчиком FF 1” ручка-алюминий BUGATTI OREGON</t>
  </si>
  <si>
    <t>Кран шаровой с дренажем и воздухоотводчиком FF 1” ручка-сталь BUGATTI OREGON</t>
  </si>
  <si>
    <t>Кран шаровой с дренажем и воздухоотводчиком FF 3/4” B бабочка BUGATTI OREGON</t>
  </si>
  <si>
    <t>Кран шаровой с дренажем и воздухоотводчиком FF 3/4” ручка-алюминий BUGATTI OREGON</t>
  </si>
  <si>
    <t>Кран шаровой с дренажем и воздухоотводчиком FF 3/4” ручка-сталь BUGATTI OREGON</t>
  </si>
  <si>
    <t>Кран шаровой с косым фильтром FF 1 Vs гайка-гайка ручка</t>
  </si>
  <si>
    <t>Шаровые краны со встроенным фильтром грубой очистки</t>
  </si>
  <si>
    <t>4650098211237</t>
  </si>
  <si>
    <t>Кран шаровой с косым фильтром FF 1/2 Vs B гайка-гайка бабочка</t>
  </si>
  <si>
    <t>4630003321985</t>
  </si>
  <si>
    <t>01161-DIY</t>
  </si>
  <si>
    <t>Кран шаровой с косым фильтром  FF  1/2  Vs B  бабочка-DIY</t>
  </si>
  <si>
    <t>Кран шаровой с косым фильтром FF 1/2 Vs B гайка-гайка бабочка-DIY</t>
  </si>
  <si>
    <t>Кран шаровой с косым фильтром FF 1/2 Vs гайка-гайка ручка</t>
  </si>
  <si>
    <t>4630003321824</t>
  </si>
  <si>
    <t>01163-DIY</t>
  </si>
  <si>
    <t>Кран шаровой с косым фильтром  FF  1/2  Vs  ручка DIY</t>
  </si>
  <si>
    <t>Кран шаровой с косым фильтром FF 1/2 Vs гайка-гайка ручка DIY</t>
  </si>
  <si>
    <t>ШК с косым фильтром</t>
  </si>
  <si>
    <t>Кран шаровой с косым фильтром FF 3/4 Vs B гайка-гайка бабочка</t>
  </si>
  <si>
    <t>4650098211220</t>
  </si>
  <si>
    <t>01162-DIY</t>
  </si>
  <si>
    <t>Кран шаровой с косым фильтром  FF  3/4  Vs B  бабочка-DIY</t>
  </si>
  <si>
    <t>Кран шаровой с косым фильтром FF 3/4 Vs B гайка-гайка бабочка-DIY</t>
  </si>
  <si>
    <t>Кран шаровой с косым фильтром FF 3/4 Vs гайка-гайка ручка</t>
  </si>
  <si>
    <t>4630003321855</t>
  </si>
  <si>
    <t>LL 1067 1/2</t>
  </si>
  <si>
    <t>Кран шаровой с косым фильтром ВВ 1/2 ручка DOUBLE-LIN</t>
  </si>
  <si>
    <t>Кран шаровой с полусгоном FM 1 1/4” U B бабочка BUGATTI OREGON</t>
  </si>
  <si>
    <t>Кран шаровой с полусгоном FM 1 1/4” U ручка-алюминий BUGATTI OREGON</t>
  </si>
  <si>
    <t>8027010097228</t>
  </si>
  <si>
    <t>Кран шаровой с полусгоном FM 1/2” U B бабочка BUGATTI ARIZONA</t>
  </si>
  <si>
    <t>Кран шаровой с полусгоном FM 1/2” U B бабочка BUGATTI OREGON</t>
  </si>
  <si>
    <t>8027010097341</t>
  </si>
  <si>
    <t>Кран шаровой с полусгоном FM 1/2” U ручка-алюминий BUGATTI OREGON</t>
  </si>
  <si>
    <t>Кран шаровой с полусгоном FM 1” U B бабочка BUGATTI ARIZONA</t>
  </si>
  <si>
    <t>Кран шаровой с полусгоном FM 1” U B бабочка BUGATTI OREGON</t>
  </si>
  <si>
    <t>8027010097426</t>
  </si>
  <si>
    <t>Кран шаровой с полусгоном FM 1” U ручка-алюминий BUGATTI OREGON</t>
  </si>
  <si>
    <t>Кран шаровой с полусгоном FM 3/4” U B бабочка BUGATTI ARIZONA</t>
  </si>
  <si>
    <t>Кран шаровой с полусгоном FM 3/4” U B бабочка BUGATTI OREGON</t>
  </si>
  <si>
    <t>8027010097389</t>
  </si>
  <si>
    <t>Кран шаровой с полусгоном FM 3/4” U ручка-алюминий BUGATTI OREGON</t>
  </si>
  <si>
    <t>8027010097143</t>
  </si>
  <si>
    <t>0322P027</t>
  </si>
  <si>
    <t>Кран шаровой с полусгоном и стопорным кольцом FM 1/2” U B P бабочка BUGATTI OREGON</t>
  </si>
  <si>
    <t>0322P037</t>
  </si>
  <si>
    <t>Кран шаровой с полусгоном и стопорным кольцом FM 1” U B P бабочка BUGATTI OREGON</t>
  </si>
  <si>
    <t>0322P032</t>
  </si>
  <si>
    <t>Кран шаровой с полусгоном и стопорным кольцом FM 3/4” U B P бабочка BUGATTI OREGON</t>
  </si>
  <si>
    <t>0322PK27</t>
  </si>
  <si>
    <t>Кран шаровой с полусгоном и стопорным кольцом и обр клапаном FM 1/2” U B P K бабочка BUGATTI OREGON</t>
  </si>
  <si>
    <t>0322PK37</t>
  </si>
  <si>
    <t>Кран шаровой с полусгоном и стопорным кольцом и обр клапаном FM 1” U B P K бабочка BUGATTI OREGON</t>
  </si>
  <si>
    <t>0322PK32</t>
  </si>
  <si>
    <t>Кран шаровой с полусгоном и стопорным кольцом и обр клапаном FM 3/4” U B P K бабочка BUGATTI OREGON</t>
  </si>
  <si>
    <t>Кран шаровой со сгоном FM 1 1/2” U ручка-алюминий BUGATTI NEW JERSEY</t>
  </si>
  <si>
    <t>Кран шаровой со сгоном FM 1 1/4 U B гайка-штуцер бабочка 11Б27п1</t>
  </si>
  <si>
    <t>Шаровые краны со сгоном</t>
  </si>
  <si>
    <t>4650098211435</t>
  </si>
  <si>
    <t>Кран шаровой со сгоном FM 1 1/4” U B бабочка BUGATTI NEW JERSEY</t>
  </si>
  <si>
    <t>Кран шаровой со сгоном FM 1 1/4” U ручка-алюминий BUGATTI NEW JERSEY</t>
  </si>
  <si>
    <t>Кран шаровой со сгоном FM 1 U B гайка-штуцер бабочка 11Б27п1</t>
  </si>
  <si>
    <t>4650098211428</t>
  </si>
  <si>
    <t>04790-DIY</t>
  </si>
  <si>
    <t>Кран шаровой со сгоном  FM 1  U B  бабочка  11Б27п1-DIY</t>
  </si>
  <si>
    <t>Кран шаровой со сгоном FM 1 U B гайка-штуцер бабочка 11Б27п1-DIY</t>
  </si>
  <si>
    <t>Кран шаровой со сгоном FM 1/2 U B гайка-штуцер бабочка 11Б27п1</t>
  </si>
  <si>
    <t>4650098211060</t>
  </si>
  <si>
    <t>04778-DIY</t>
  </si>
  <si>
    <t>Кран шаровой со сгоном  FM  1/2  U B  бабочка  11Б27п1-DIY</t>
  </si>
  <si>
    <t>Кран шаровой со сгоном FM 1/2 U B гайка-штуцер бабочка 11Б27п1-DIY</t>
  </si>
  <si>
    <t>Кран шаровой со сгоном FM 1/2” U B бабочка BUGATTI NEW JERSEY</t>
  </si>
  <si>
    <t>8027010182870</t>
  </si>
  <si>
    <t>Кран шаровой со сгоном FM 1/2” U ручка-алюминий BUGATTI NEW JERSEY</t>
  </si>
  <si>
    <t>Кран шаровой со сгоном FM 1” U B бабочка BUGATTI NEW JERSEY</t>
  </si>
  <si>
    <t>8027010182900</t>
  </si>
  <si>
    <t>Кран шаровой со сгоном FM 1” U ручка-алюминий BUGATTI NEW JERSEY</t>
  </si>
  <si>
    <t>Кран шаровой со сгоном FM 2” U ручка-алюминий BUGATTI NEW JERSEY</t>
  </si>
  <si>
    <t>Кран шаровой со сгоном FM 3/4 U B гайка-штуцер бабочка 11Б27п1</t>
  </si>
  <si>
    <t>4650098211077</t>
  </si>
  <si>
    <t>04779-DIY</t>
  </si>
  <si>
    <t>Кран шаровой со сгоном  FM  3/4  U B  бабочка  11Б27п1-DIY</t>
  </si>
  <si>
    <t>Кран шаровой со сгоном FM 3/4 U B гайка-штуцер бабочка 11Б27п1-DIY</t>
  </si>
  <si>
    <t>Кран шаровой со сгоном FM 3/4” U B бабочка BUGATTI NEW JERSEY</t>
  </si>
  <si>
    <t>8027010182924</t>
  </si>
  <si>
    <t>Кран шаровой со сгоном FM 3/4” U ручка-алюминий BUGATTI NEW JERSEY</t>
  </si>
  <si>
    <t>Кран шаровой со сгоном прямой FM 1 1/4 U гайка-штуцер ручка</t>
  </si>
  <si>
    <t>4650098211275</t>
  </si>
  <si>
    <t>Кран шаровой со сгоном прямой FM 1 U B гайка-штуцер бабочка</t>
  </si>
  <si>
    <t>4630003329981</t>
  </si>
  <si>
    <t>01462-DIY</t>
  </si>
  <si>
    <t>Кран шаровой со сгоном  FM 1  U B  бабочка DIY</t>
  </si>
  <si>
    <t>Кран шаровой со сгоном прямой FM 1 U B гайка-штуцер бабочка DIY</t>
  </si>
  <si>
    <t>ШК со сгоном</t>
  </si>
  <si>
    <t>Кран шаровой со сгоном прямой FM 1 U гайка-штуцер ручка</t>
  </si>
  <si>
    <t>4650098211268</t>
  </si>
  <si>
    <t>L01013101</t>
  </si>
  <si>
    <t>Кран шаровой со сгоном  FM  1/2  U  B  бабочка ProEXPERT</t>
  </si>
  <si>
    <t>Кран шаровой со сгоном прямой FM 1/2 U  B гайка-штуцер бабочка</t>
  </si>
  <si>
    <t>Кран шаровой со сгоном  FM  1/2  U B  бабочка ProEXPERT</t>
  </si>
  <si>
    <t>Кран шаровой со сгоном прямой FM 1/2 U B гайка-штуцер бабочка</t>
  </si>
  <si>
    <t>4630003321848</t>
  </si>
  <si>
    <t>01167-DIY</t>
  </si>
  <si>
    <t>Кран шаровой со сгоном  FM  1/2  U B  бабочка DIY</t>
  </si>
  <si>
    <t>Кран шаровой со сгоном прямой FM 1/2 U B гайка-штуцер бабочка DIY</t>
  </si>
  <si>
    <t>Кран шаровой со сгоном прямой FM 1/2 U гайка-штуцер ручка</t>
  </si>
  <si>
    <t>4650098211244</t>
  </si>
  <si>
    <t>Кран шаровой со сгоном  FM  3/4  U B  бабочка ProEXPERT</t>
  </si>
  <si>
    <t>Кран шаровой со сгоном прямой FM 3/4 U B гайка-штуцер бабочка</t>
  </si>
  <si>
    <t>4630003321879</t>
  </si>
  <si>
    <t>01168-DIY</t>
  </si>
  <si>
    <t>Кран шаровой со сгоном  FM  3/4  U B  бабочка DIY</t>
  </si>
  <si>
    <t>Кран шаровой со сгоном прямой FM 3/4 U B гайка-штуцер бабочка DIY</t>
  </si>
  <si>
    <t>Кран шаровой со сгоном прямой FM 3/4 U гайка-штуцер ручка</t>
  </si>
  <si>
    <t>4650098211251</t>
  </si>
  <si>
    <t>Кран шаровой со сгоном угловой FM 1/2 LU B гайка-штуцер бабочка</t>
  </si>
  <si>
    <t>4630003322654</t>
  </si>
  <si>
    <t>01171-DIY</t>
  </si>
  <si>
    <t>Кран шаровой со сгоном  FM 1/2  LU B  бабочка DIY</t>
  </si>
  <si>
    <t>Кран шаровой со сгоном угловой FM 1/2 LU B гайка-штуцер бабочка DIY</t>
  </si>
  <si>
    <t>Кран шаровой со сгоном  FM 1/2  LU  ручка</t>
  </si>
  <si>
    <t>Кран шаровой со сгоном угловой FM 1/2 LU гайка-штуцер ручка</t>
  </si>
  <si>
    <t>Кран шаровой со сгоном угловой FM 3/4 LU B гайка-штуцер бабочка</t>
  </si>
  <si>
    <t>4650098211282</t>
  </si>
  <si>
    <t>Кран шаровой со сгоном  FM 3/4  LU  ручка</t>
  </si>
  <si>
    <t>Кран шаровой со сгоном угловой FM 3/4 LU гайка-штуцер ручка</t>
  </si>
  <si>
    <t>Кран шаровой трехпроходной FMM 1/2x3/4x1/2 гайка-штуцер-штуцер ручка-флажок</t>
  </si>
  <si>
    <t>4630003321886</t>
  </si>
  <si>
    <t>01175-DIY</t>
  </si>
  <si>
    <t>Кран шаровой трехпроходной  FMM 1/2x3/4x1/2 DIY</t>
  </si>
  <si>
    <t>Кран шаровой трехпроходной FMM 1/2x3/4x1/2 гайка-штуцер-штуцер ручка-флажок DIY</t>
  </si>
  <si>
    <t>Кран шаровой тройник для подключения сантех приборов 1/2" Mх1/2" Mх3/4" F BUGATTI MIAMI</t>
  </si>
  <si>
    <t>Кран шаровой тройник для подключения сантех приборов 1/2" Mх1/2' Mх3/4" F BUGATTI MIAMI</t>
  </si>
  <si>
    <t>8027010176107</t>
  </si>
  <si>
    <t>Кран шаровой угловой для СМ с отраж., хром. MM 1/2x3/4 штуцер-штуцер ручка-флажок: хром</t>
  </si>
  <si>
    <t>4630003321916</t>
  </si>
  <si>
    <t>01331-DIY</t>
  </si>
  <si>
    <t>Кран шаровой угловой для СМ с отраж., хром  MM 1/2x3/4 DIY</t>
  </si>
  <si>
    <t>Кран шаровой угловой для СМ с отраж., хром. MM 1/2x3/4 штуцер-штуцер ручка-флажок: хром DIY</t>
  </si>
  <si>
    <t>Кран шаровой угловой с обр.клап. и отраж., хром MM 1/2x3/4 штуцер-штуцер ручка-флажок: хром</t>
  </si>
  <si>
    <t>4630003327598</t>
  </si>
  <si>
    <t>03971-DIY</t>
  </si>
  <si>
    <t>Кран шаровой угловой с обр.клап. и отраж., хром  MM 1/2x3/4 DIY</t>
  </si>
  <si>
    <t>Кран шаровой угловой с обр.клап. и отраж., хром MM 1/2x3/4 штуцер-штуцер ручка-флажок: хром DIY</t>
  </si>
  <si>
    <t>Кран шаровой угловой с полусгоном FM 1/2” LU B бабочка BUGATTI NEW JERSEY</t>
  </si>
  <si>
    <t>Кран шаровой угловой с полусгоном FM 1/2” LU B бабочка BUGATTI OREGON</t>
  </si>
  <si>
    <t>8027010039853</t>
  </si>
  <si>
    <t>Кран шаровой угловой с полусгоном FM 1” LU B бабочка BUGATTI NEW JERSEY</t>
  </si>
  <si>
    <t>Кран шаровой угловой с полусгоном FM 1” LU B бабочка BUGATTI OREGON</t>
  </si>
  <si>
    <t>Кран шаровой угловой с полусгоном FM 3/4” LU B бабочка BUGATTI NEW JERSEY</t>
  </si>
  <si>
    <t>Кран шаровой угловой с полусгоном FM 3/4” LU B бабочка BUGATTI OREGON</t>
  </si>
  <si>
    <t>0594P001</t>
  </si>
  <si>
    <t>Кран шаровой угловой с полусгоном и стопорным кольцом FM 1/2” LU B P бабочка BUGATTI OREGON</t>
  </si>
  <si>
    <t>0594P009</t>
  </si>
  <si>
    <t>Кран шаровой угловой с полусгоном и стопорным кольцом FM 1” LU B P бабочка BUGATTI OREGON</t>
  </si>
  <si>
    <t>0594P005</t>
  </si>
  <si>
    <t>Кран шаровой угловой с полусгоном и стопорным кольцом FM 3/4” LU B P бабочка BUGATTI OREGON</t>
  </si>
  <si>
    <t>Кран шаровой угловой с удлин.резьбой и отраж., хром MM 1/2x1/2 штуцер-штуцер ручка-флажок: хром</t>
  </si>
  <si>
    <t>4630003321893</t>
  </si>
  <si>
    <t>03969-DIY</t>
  </si>
  <si>
    <t>Кран шаровой угловой с удлин.резьбой и отраж., хром  MM 1/2x1/2 DIY</t>
  </si>
  <si>
    <t>Кран шаровой угловой с удлин.резьбой и отраж., хром MM 1/2x1/2 штуцер-штуцер ручка-флажок: хром DIY</t>
  </si>
  <si>
    <t>Кран шаровой угловой с удлин.резьбой и отраж., хром MM 1/2x3/4 штуцер-штуцер ручка-флажок: хром</t>
  </si>
  <si>
    <t>4650098211206</t>
  </si>
  <si>
    <t>03970-DIY</t>
  </si>
  <si>
    <t>Кран шаровой угловой с удлин.резьбой и отраж., хром  MM 1/2x3/4 DIY</t>
  </si>
  <si>
    <t>Кран шаровой угловой с удлин.резьбой и отраж., хром MM 1/2x3/4 штуцер-штуцер ручка-флажок: хром DIY</t>
  </si>
  <si>
    <t>Кран шаровой угловой с цангой и отраж., хром  MM 1/2x10</t>
  </si>
  <si>
    <t>Кран шаровой угловой с цангой и отраж., хром MM 1/2x10 штуцер-штуцер ручка-флажок: хром</t>
  </si>
  <si>
    <t>4650098211213</t>
  </si>
  <si>
    <t>1811-В</t>
  </si>
  <si>
    <t>Кран-букса вентильная с маховиком Ду-15</t>
  </si>
  <si>
    <t>8515900000</t>
  </si>
  <si>
    <t>1812-В</t>
  </si>
  <si>
    <t>Кран-букса вентильная с маховиком Ду-20</t>
  </si>
  <si>
    <t>1394-В</t>
  </si>
  <si>
    <t>Кран-букса Д (червячная)  лат</t>
  </si>
  <si>
    <t>BMM-1020</t>
  </si>
  <si>
    <t>Крепление к стене 200 мм TM для вертикального монтажа</t>
  </si>
  <si>
    <t>BMM-1030</t>
  </si>
  <si>
    <t>Крепление к стене 300 мм для вертикального монтажа</t>
  </si>
  <si>
    <t>Крепление-клипса</t>
  </si>
  <si>
    <t>Крепления для ППР и МП труб</t>
  </si>
  <si>
    <t>Крепеж для МП и ППР труб</t>
  </si>
  <si>
    <t>4650098214351</t>
  </si>
  <si>
    <t>3925901000</t>
  </si>
  <si>
    <t>03828-DIY</t>
  </si>
  <si>
    <t>Крепление-клипса  16-18-DIY</t>
  </si>
  <si>
    <t>4650098214368</t>
  </si>
  <si>
    <t>03824-DIY</t>
  </si>
  <si>
    <t>Крепление-клипса  20-22-DIY</t>
  </si>
  <si>
    <t>4650098214375</t>
  </si>
  <si>
    <t>4650098214382</t>
  </si>
  <si>
    <t>4650098214399</t>
  </si>
  <si>
    <t>Крепление-клипса  двойное  20-22</t>
  </si>
  <si>
    <t>Крепление-клипса  двойное  25-27</t>
  </si>
  <si>
    <t>Крепление-клипса  двойное  32-34</t>
  </si>
  <si>
    <t>Крепление-клипса с защелкой</t>
  </si>
  <si>
    <t>Крепления для ППР и МП труб с защелкой</t>
  </si>
  <si>
    <t>4650098215303</t>
  </si>
  <si>
    <t>4650098214405</t>
  </si>
  <si>
    <t>4650098214412</t>
  </si>
  <si>
    <t>4650098214429</t>
  </si>
  <si>
    <t>03669-DIY</t>
  </si>
  <si>
    <t>Крепление-клипса  с  защелкой  32-34-DIY</t>
  </si>
  <si>
    <t>4650098214436</t>
  </si>
  <si>
    <t>4650098214443</t>
  </si>
  <si>
    <t>4650098214450</t>
  </si>
  <si>
    <t>Крестовина  1/2''F x 1/2"F x 1/2"F x 1/2''F</t>
  </si>
  <si>
    <t>Крестовины</t>
  </si>
  <si>
    <t>4630003322784</t>
  </si>
  <si>
    <t>02593-DIY</t>
  </si>
  <si>
    <t>Крестовина  FFFF  1/2'' DIY</t>
  </si>
  <si>
    <t>Крестовина  1/2''F x 1/2"F x 1/2"F x 1/2''F DIY</t>
  </si>
  <si>
    <t>Крестовины и эксцентрик</t>
  </si>
  <si>
    <t>4650098212890</t>
  </si>
  <si>
    <t>03538-DIY</t>
  </si>
  <si>
    <t>Крестовина  20 DIY</t>
  </si>
  <si>
    <t>4650098212906</t>
  </si>
  <si>
    <t>03539-DIY</t>
  </si>
  <si>
    <t>Крестовина  25 DIY</t>
  </si>
  <si>
    <t>Крестовина  3/4''F x 3/4"F x 3/4"F x 3/4''F</t>
  </si>
  <si>
    <t>4630003322555</t>
  </si>
  <si>
    <t>02594-DIY</t>
  </si>
  <si>
    <t>Крестовина  FFFF  3/4'' DIY</t>
  </si>
  <si>
    <t>Крестовина  3/4''F x 3/4"F x 3/4"F x 3/4''F DIY</t>
  </si>
  <si>
    <t>4650098212913</t>
  </si>
  <si>
    <t>03540-DIY</t>
  </si>
  <si>
    <t>Крестовина  32 DIY</t>
  </si>
  <si>
    <t>Крестовина  32-20-20-32</t>
  </si>
  <si>
    <t>Крестовина  32-25-25-32</t>
  </si>
  <si>
    <t>Крестовина  40</t>
  </si>
  <si>
    <t>Крестовина  40-20-20-40</t>
  </si>
  <si>
    <t>Крестовина  40-25-25-40</t>
  </si>
  <si>
    <t>V-03538</t>
  </si>
  <si>
    <t>Крестовина 20</t>
  </si>
  <si>
    <t>V-03539</t>
  </si>
  <si>
    <t>Крестовина 25</t>
  </si>
  <si>
    <t>V-03540</t>
  </si>
  <si>
    <t>Крестовина 32</t>
  </si>
  <si>
    <t>Крестовина 4 цанги С16х16х16х16</t>
  </si>
  <si>
    <t>4630003325099</t>
  </si>
  <si>
    <t>00466-DIY</t>
  </si>
  <si>
    <t>Крестовина  С16х16х16х16 DIY</t>
  </si>
  <si>
    <t>Крестовина 4 цанги С16х16х16х16 DIY</t>
  </si>
  <si>
    <t>Крестовина  С20х16х16х20</t>
  </si>
  <si>
    <t>Крестовина 4 цанги С20х16х16х20</t>
  </si>
  <si>
    <t>Крестовина  С20х20х20х20</t>
  </si>
  <si>
    <t>Крестовина 4 цанги С20х20х20х20</t>
  </si>
  <si>
    <t>Крестовина  С26х20х20х26</t>
  </si>
  <si>
    <t>Крестовина 4 цанги С26х20х20х26</t>
  </si>
  <si>
    <t>Крестовина  С32х16х16х32</t>
  </si>
  <si>
    <t>Крестовина 4 цанги С32х16х16х32</t>
  </si>
  <si>
    <t>Крестовина Ду 20</t>
  </si>
  <si>
    <t>Крестовина Ду 25</t>
  </si>
  <si>
    <t>Крестовина Ду 32</t>
  </si>
  <si>
    <t>4603-В</t>
  </si>
  <si>
    <t>Крестовина переходная 1/2 г/ш/г/ш  лат</t>
  </si>
  <si>
    <t>4604-В</t>
  </si>
  <si>
    <t>Крестовина переходная 3/4  г/ш/г/ш  лат</t>
  </si>
  <si>
    <t>4606-В</t>
  </si>
  <si>
    <t>Крестовина переходная 3/4-1/2-3/4-1/2  г/г/г/г  лат</t>
  </si>
  <si>
    <t>Крестовины, эксцентрики, присоединительные комплекты</t>
  </si>
  <si>
    <t>4607-В</t>
  </si>
  <si>
    <t>Крестовина прямая 1 г  лат</t>
  </si>
  <si>
    <t>4601-В</t>
  </si>
  <si>
    <t>Крестовина прямая 1/2 г  лат</t>
  </si>
  <si>
    <t>4605-В</t>
  </si>
  <si>
    <t>Крестовина прямая 3/4 г  лат</t>
  </si>
  <si>
    <t>01.03.2023</t>
  </si>
  <si>
    <t>4660129410263</t>
  </si>
  <si>
    <t>Кронштейн для коллектора 3/4 (2 шт.)</t>
  </si>
  <si>
    <t>8302500000</t>
  </si>
  <si>
    <t>Кронштейны</t>
  </si>
  <si>
    <t>4630003321787</t>
  </si>
  <si>
    <t>BSF-2901</t>
  </si>
  <si>
    <t>Кронштейн потолочный SSM с профилем</t>
  </si>
  <si>
    <t>Комплектующие для коллекторной группы AQUALINK</t>
  </si>
  <si>
    <t>01.05.2020</t>
  </si>
  <si>
    <t>4650098217550</t>
  </si>
  <si>
    <t>8302419000</t>
  </si>
  <si>
    <t>4650098214542</t>
  </si>
  <si>
    <t>03897-DIY</t>
  </si>
  <si>
    <t>Кронштейн универсальный угловой DIY</t>
  </si>
  <si>
    <t>4650098214559</t>
  </si>
  <si>
    <t>7318130000</t>
  </si>
  <si>
    <t>03898-DIY</t>
  </si>
  <si>
    <t>Кронштейн штыревой 7*180 круглый с дюбелем DIY</t>
  </si>
  <si>
    <t>4650098216461</t>
  </si>
  <si>
    <t>Кронштейн штыревой М8*170 плоский с дюбелем (2 шт)</t>
  </si>
  <si>
    <t>4630003321770</t>
  </si>
  <si>
    <t>Круги шлифовальные с отверстиями (липучка), алюминий-оксидные, 125 мм, 5 шт. Р 40</t>
  </si>
  <si>
    <t>Крышка для угла горизонтального изменяемого угла CPO 0-44 основание 100</t>
  </si>
  <si>
    <t>H-01150</t>
  </si>
  <si>
    <t>Крышка на лоток 100 мм с заземлением</t>
  </si>
  <si>
    <t>Крышка на лоток 100мм с заземлением</t>
  </si>
  <si>
    <t>Крышка на лоток 100мм с заземлением 3000мм</t>
  </si>
  <si>
    <t>Крышка на лоток 150мм с заземлением 3000мм</t>
  </si>
  <si>
    <t>Крышка на лоток 300мм с заземлением 3000мм</t>
  </si>
  <si>
    <t>Крышка на лоток 400мм с заземлением 2000мм</t>
  </si>
  <si>
    <t>H-01149</t>
  </si>
  <si>
    <t>Крышка на лоток 50 мм с заземлением</t>
  </si>
  <si>
    <t>Крышка на лоток 50мм с заземлением</t>
  </si>
  <si>
    <t>Крышка на лоток 50мм с заземлением 2000мм</t>
  </si>
  <si>
    <t>Крышка на лоток 50мм х 15мм 2000мм</t>
  </si>
  <si>
    <t>Крышка на ответвитель DL 100 мм</t>
  </si>
  <si>
    <t>Крышка на ответвитель DL 50 мм</t>
  </si>
  <si>
    <t>Крышка на ответвитель DPT Т-образный 50 мм горизонтальный</t>
  </si>
  <si>
    <t xml:space="preserve">Крышка на переходник RRC 100х50 симметричный </t>
  </si>
  <si>
    <t>Крышка на переходник RRC 100х50 симметричный</t>
  </si>
  <si>
    <t>Крышка на угол CD-90 100 мм вертикальный внешний 45 градусов</t>
  </si>
  <si>
    <t>Крышка на угол CD-90 100 мм вертикальный внешний 90 градусов</t>
  </si>
  <si>
    <t xml:space="preserve">Крышка на угол CDV-90 100 мм вертикальный внешний </t>
  </si>
  <si>
    <t>Крышка на угол CDV-90 100 мм вертикальный внешний</t>
  </si>
  <si>
    <t xml:space="preserve">Крышка на угол CPO 45 горизонтальный основание 100мм окрашенная </t>
  </si>
  <si>
    <t>Крышка на угол CPO 45 горизонтальный основание 100мм окрашенная</t>
  </si>
  <si>
    <t xml:space="preserve">Крышка на угол CPO-45 горизонтальный основание 50мм </t>
  </si>
  <si>
    <t>Крышка на угол CPO-45 горизонтальный основание 50мм</t>
  </si>
  <si>
    <t>Крышка на угол CPO-90 горизонтальный основание 100 мм</t>
  </si>
  <si>
    <t>Крышка на угол CPO-90 горизонтальный основание 50 мм</t>
  </si>
  <si>
    <t>Крышка на угол CS-45 вертикальный внутренний основание 100 мм</t>
  </si>
  <si>
    <t xml:space="preserve">Крышка на угол CS-90 вертикальный внутренний основание 100мм </t>
  </si>
  <si>
    <t>Крышка на угол CS-90 вертикальный внутренний основание 100мм</t>
  </si>
  <si>
    <t>Крышка-ответвитель Т-образная DDT 300/200</t>
  </si>
  <si>
    <t>Лейки для душа</t>
  </si>
  <si>
    <t>Подводка SDL</t>
  </si>
  <si>
    <t>09.02.2022</t>
  </si>
  <si>
    <t>4660129407799</t>
  </si>
  <si>
    <t>3924900009</t>
  </si>
  <si>
    <t>4660129407843</t>
  </si>
  <si>
    <t>4660129407867</t>
  </si>
  <si>
    <t>Лён сантехнический</t>
  </si>
  <si>
    <t>ТМЦ для фасовки</t>
  </si>
  <si>
    <t>0000000000000</t>
  </si>
  <si>
    <t>Лен</t>
  </si>
  <si>
    <t>Лён</t>
  </si>
  <si>
    <t>4630003323248</t>
  </si>
  <si>
    <t>5301290000</t>
  </si>
  <si>
    <t>02167-DIY</t>
  </si>
  <si>
    <t>Лён чёсаный пакет  20 г DIY</t>
  </si>
  <si>
    <t>02168-DIY</t>
  </si>
  <si>
    <t>Лён чёсаный пакет  50 г DIY</t>
  </si>
  <si>
    <t>4630003324375</t>
  </si>
  <si>
    <t>4630003323255</t>
  </si>
  <si>
    <t>4650098215280</t>
  </si>
  <si>
    <t>Лён чёсаный пакет 50 г</t>
  </si>
  <si>
    <t>4650098215310</t>
  </si>
  <si>
    <t>Лента ФУМ</t>
  </si>
  <si>
    <t>4650098215266</t>
  </si>
  <si>
    <t>3920995900</t>
  </si>
  <si>
    <t>4650098217451</t>
  </si>
  <si>
    <t>4650098215273</t>
  </si>
  <si>
    <t>03872-DIY</t>
  </si>
  <si>
    <t>Лента ФУМ  19мм DIY</t>
  </si>
  <si>
    <t>4650098217444</t>
  </si>
  <si>
    <t>Лоток 400мм с заземлением 2000мм</t>
  </si>
  <si>
    <t>Лоток неперфорирированный 50х50х3000</t>
  </si>
  <si>
    <t>H-01147</t>
  </si>
  <si>
    <t>Лоток неперфорированный  100х50</t>
  </si>
  <si>
    <t>Лоток неперфорированный 100х50х2000</t>
  </si>
  <si>
    <t>Лоток неперфорированный 100х50х3000</t>
  </si>
  <si>
    <t>Лоток неперфорированный 300х50х3000</t>
  </si>
  <si>
    <t>H-01148</t>
  </si>
  <si>
    <t>Лоток непрофилированный  50х50</t>
  </si>
  <si>
    <t>Лоток непрофилированный 100х50</t>
  </si>
  <si>
    <t>Лоток непрофилированный 50х50</t>
  </si>
  <si>
    <t>Лоток перфорированный 50х50х2000</t>
  </si>
  <si>
    <t>Манжеты</t>
  </si>
  <si>
    <t>Паста уплотнительная</t>
  </si>
  <si>
    <t>РТИ</t>
  </si>
  <si>
    <t>22.12.2022</t>
  </si>
  <si>
    <t>4680240102427</t>
  </si>
  <si>
    <t>4016930005</t>
  </si>
  <si>
    <t>ИС.131817-DIY</t>
  </si>
  <si>
    <t>Манжета для канализации 124х110 (черная) DIY</t>
  </si>
  <si>
    <t>Маржеты</t>
  </si>
  <si>
    <t>4680240102434</t>
  </si>
  <si>
    <t>4680240102458</t>
  </si>
  <si>
    <t>4680240102441</t>
  </si>
  <si>
    <t>H-01160</t>
  </si>
  <si>
    <t>МВ Коробка соединительная</t>
  </si>
  <si>
    <t>МП труба  16х2  100 м</t>
  </si>
  <si>
    <t>Металлопластиковая труба 16х2 мм</t>
  </si>
  <si>
    <t>МП трубы</t>
  </si>
  <si>
    <t>3917390008</t>
  </si>
  <si>
    <t>МП труба  16х2  200 м</t>
  </si>
  <si>
    <t>МП труба  20х2  100 м</t>
  </si>
  <si>
    <t>Металлопластиковая труба 20х2 мм</t>
  </si>
  <si>
    <t>4650098214535</t>
  </si>
  <si>
    <t>Металлопластиковая труба бесшовная 16х2 мм</t>
  </si>
  <si>
    <t>Трубы металлополимерные AQUALINK</t>
  </si>
  <si>
    <t>МП труба</t>
  </si>
  <si>
    <t>4650098213910</t>
  </si>
  <si>
    <t>3917219009</t>
  </si>
  <si>
    <t>МП труба AQualink  16х2  б/ш</t>
  </si>
  <si>
    <t>01308-O</t>
  </si>
  <si>
    <t>МП труба  16х2  б/ш  100 м Отрез</t>
  </si>
  <si>
    <t>Металлопластиковая труба бесшовная 16х2 мм Отрез</t>
  </si>
  <si>
    <t>01309-O</t>
  </si>
  <si>
    <t>МП труба  16х2  б/ш  200 м Отрез</t>
  </si>
  <si>
    <t>Металлопластиковая труба бесшовная 20х2 мм</t>
  </si>
  <si>
    <t>4650098212234</t>
  </si>
  <si>
    <t>МП труба AQualink  20х2  б/ш</t>
  </si>
  <si>
    <t>01302-O</t>
  </si>
  <si>
    <t>МП труба  20х2  б/ш Отрез</t>
  </si>
  <si>
    <t>Металлопластиковая труба бесшовная 20х2 мм Отрез</t>
  </si>
  <si>
    <t>Металлопластиковая труба бесшовная 26х3 мм</t>
  </si>
  <si>
    <t>4650098213927</t>
  </si>
  <si>
    <t>МП труба AQualink  26х3  б/ш</t>
  </si>
  <si>
    <t>01304-O</t>
  </si>
  <si>
    <t>МП труба  26х3  б/ш Отрез</t>
  </si>
  <si>
    <t>Металлопластиковая труба бесшовная 26х3 мм Отрез</t>
  </si>
  <si>
    <t>МП труба  32х3  б/ш</t>
  </si>
  <si>
    <t>Металлопластиковая труба бесшовная 32х3 мм</t>
  </si>
  <si>
    <t>МП труба AQualink  32х3  б/ш</t>
  </si>
  <si>
    <t xml:space="preserve">Многопользовательский адаптер Samsung CY-TF65BRC </t>
  </si>
  <si>
    <t>Многопользовательский адаптер Samsung CY-TF65BRC</t>
  </si>
  <si>
    <t>V-03486</t>
  </si>
  <si>
    <t>Муфта    20</t>
  </si>
  <si>
    <t>ППР фитинги Артелия</t>
  </si>
  <si>
    <t>V-03487</t>
  </si>
  <si>
    <t>Муфта   25</t>
  </si>
  <si>
    <t>Муфты</t>
  </si>
  <si>
    <t>4650098210056</t>
  </si>
  <si>
    <t>03486-DIY</t>
  </si>
  <si>
    <t>Муфта  20 DIY</t>
  </si>
  <si>
    <t>4650098210063</t>
  </si>
  <si>
    <t>03487-DIY</t>
  </si>
  <si>
    <t>Муфта  25 DIY</t>
  </si>
  <si>
    <t>4650098212500</t>
  </si>
  <si>
    <t>03488-DIY</t>
  </si>
  <si>
    <t>Муфта  32 DIY</t>
  </si>
  <si>
    <t>4650098212517</t>
  </si>
  <si>
    <t>4650098212524</t>
  </si>
  <si>
    <t>4650098212531</t>
  </si>
  <si>
    <t>4650098212548</t>
  </si>
  <si>
    <t>4650098212555</t>
  </si>
  <si>
    <t>0303-В</t>
  </si>
  <si>
    <t>Муфта 1  г/г лат</t>
  </si>
  <si>
    <t>0306-В</t>
  </si>
  <si>
    <t>Муфта 1 1/2  г/г лат</t>
  </si>
  <si>
    <t>Муфта 1 1/2''F x 1 1/2"F</t>
  </si>
  <si>
    <t>4630003325686</t>
  </si>
  <si>
    <t>0308-В</t>
  </si>
  <si>
    <t>Муфта 1 1/4  г/г лат</t>
  </si>
  <si>
    <t>Муфта 1 1/4''F x 1 1/4"F</t>
  </si>
  <si>
    <t>4630003322791</t>
  </si>
  <si>
    <t>02532-DIY</t>
  </si>
  <si>
    <t>Муфта 1 1/4'' DIY</t>
  </si>
  <si>
    <t>Муфта 1 1/4''F x 1 1/4"F DIY</t>
  </si>
  <si>
    <t>0305-В</t>
  </si>
  <si>
    <t>Муфта 1/2  г/г лат</t>
  </si>
  <si>
    <t>Муфта 1/2''F x 1/2"F</t>
  </si>
  <si>
    <t>4630003322197</t>
  </si>
  <si>
    <t>02529-DIY</t>
  </si>
  <si>
    <t>Муфта  1/2'' DIY</t>
  </si>
  <si>
    <t>Муфта 1/2''F x 1/2"F DIY</t>
  </si>
  <si>
    <t>4650098212562</t>
  </si>
  <si>
    <t>Муфта 1''F x 1"F</t>
  </si>
  <si>
    <t>4630003322210</t>
  </si>
  <si>
    <t>02531-DIY</t>
  </si>
  <si>
    <t>Муфта 1'' DIY</t>
  </si>
  <si>
    <t>Муфта 1''F x 1"F DIY</t>
  </si>
  <si>
    <t>Муфта 20</t>
  </si>
  <si>
    <t>Муфта 25</t>
  </si>
  <si>
    <t>Муфта 2''F x 2"F</t>
  </si>
  <si>
    <t>4650098210971</t>
  </si>
  <si>
    <t>0302-В</t>
  </si>
  <si>
    <t>Муфта 3/4  г/г лат</t>
  </si>
  <si>
    <t>Муфта 3/4''F x 3/4"F</t>
  </si>
  <si>
    <t>4630003322203</t>
  </si>
  <si>
    <t>02530-DIY</t>
  </si>
  <si>
    <t>Муфта  3/4'' DIY</t>
  </si>
  <si>
    <t>Муфта 3/4''F x 3/4"F DIY</t>
  </si>
  <si>
    <t>V-03488</t>
  </si>
  <si>
    <t>Муфта 32</t>
  </si>
  <si>
    <t>V-03489</t>
  </si>
  <si>
    <t>Муфта 40</t>
  </si>
  <si>
    <t>V-03490</t>
  </si>
  <si>
    <t>Муфта 50</t>
  </si>
  <si>
    <t>V-03491</t>
  </si>
  <si>
    <t>Муфта 63</t>
  </si>
  <si>
    <t>Муфта аксиальная 16 мм х ½" вн</t>
  </si>
  <si>
    <t>Муфты аксиальные</t>
  </si>
  <si>
    <t>4660129410591</t>
  </si>
  <si>
    <t>Муфта аксиальная 16 мм х ½" нар</t>
  </si>
  <si>
    <t>4660129410638</t>
  </si>
  <si>
    <t>Муфта аксиальная 16 мм х ¾" вн</t>
  </si>
  <si>
    <t>4660129410607</t>
  </si>
  <si>
    <t>Муфта аксиальная 16 мм х ¾" нар</t>
  </si>
  <si>
    <t>4660129410645</t>
  </si>
  <si>
    <t>Муфта аксиальная 16х16 мм</t>
  </si>
  <si>
    <t>4660129410676</t>
  </si>
  <si>
    <t>Муфта аксиальная 16х20 мм</t>
  </si>
  <si>
    <t>4660129410690</t>
  </si>
  <si>
    <t>Муфта аксиальная 20 мм х ½" вн</t>
  </si>
  <si>
    <t>4660129410614</t>
  </si>
  <si>
    <t>Муфта аксиальная 20 мм х ½" нар</t>
  </si>
  <si>
    <t>4660129410652</t>
  </si>
  <si>
    <t>Муфта аксиальная 20 мм х ¾" вн</t>
  </si>
  <si>
    <t>4660129410621</t>
  </si>
  <si>
    <t>Муфта аксиальная 20 мм х ¾" нар</t>
  </si>
  <si>
    <t>4660129410669</t>
  </si>
  <si>
    <t>Муфта аксиальная 20х20 мм</t>
  </si>
  <si>
    <t>4660129410683</t>
  </si>
  <si>
    <t>Муфта аксиальная с накидной гайкой 16 мм х ½" вн</t>
  </si>
  <si>
    <t>4660129410713</t>
  </si>
  <si>
    <t>Муфта аксиальная с накидной гайкой 16 мм х ¾" вн</t>
  </si>
  <si>
    <t>4660129410720</t>
  </si>
  <si>
    <t>Муфта аксиальная с накидной гайкой 20 мм х ½" вн</t>
  </si>
  <si>
    <t>4660129410737</t>
  </si>
  <si>
    <t>Муфта аксиальная с накидной гайкой 20 мм х ¾" вн</t>
  </si>
  <si>
    <t>4660129410706</t>
  </si>
  <si>
    <t>Муфта гибкая труба-коробка 16 мм IP65</t>
  </si>
  <si>
    <t>Муфта Ду 20</t>
  </si>
  <si>
    <t>1111111111008</t>
  </si>
  <si>
    <t>Муфта Ду 25</t>
  </si>
  <si>
    <t>1111111111009</t>
  </si>
  <si>
    <t>Муфта Ду 32</t>
  </si>
  <si>
    <t>Муфта Ду 40</t>
  </si>
  <si>
    <t>Муфта Ду 50</t>
  </si>
  <si>
    <t>Муфта Ду 63</t>
  </si>
  <si>
    <t>V-03889</t>
  </si>
  <si>
    <t>Муфта комбинированнaя   25 х1 F</t>
  </si>
  <si>
    <t>20.08.2021</t>
  </si>
  <si>
    <t>4650098213309</t>
  </si>
  <si>
    <t>V-03891</t>
  </si>
  <si>
    <t>Муфта комбинированнaя   25 х1 М</t>
  </si>
  <si>
    <t>4650098213422</t>
  </si>
  <si>
    <t>4650098213262</t>
  </si>
  <si>
    <t>03572-DIY</t>
  </si>
  <si>
    <t>Муфта комбинированнaя  20 х1/2 F DIY</t>
  </si>
  <si>
    <t>Муфты комбинированные</t>
  </si>
  <si>
    <t>4650098213385</t>
  </si>
  <si>
    <t>03585-DIY</t>
  </si>
  <si>
    <t>Муфта комбинированнaя  20 х1/2 М DIY</t>
  </si>
  <si>
    <t>4650098213279</t>
  </si>
  <si>
    <t>03573-DIY</t>
  </si>
  <si>
    <t>Муфта комбинированнaя  20 х3/4 F DIY</t>
  </si>
  <si>
    <t>4650098213392</t>
  </si>
  <si>
    <t>03586-DIY</t>
  </si>
  <si>
    <t>Муфта комбинированнaя  20 х3/4 М DIY</t>
  </si>
  <si>
    <t>4650098213286</t>
  </si>
  <si>
    <t>03574-DIY</t>
  </si>
  <si>
    <t>Муфта комбинированнaя  25 х1/2 F DIY</t>
  </si>
  <si>
    <t>4650098213408</t>
  </si>
  <si>
    <t>03587-DIY</t>
  </si>
  <si>
    <t>Муфта комбинированнaя  25 х1/2 М DIY</t>
  </si>
  <si>
    <t>Муфта комбинированнaя  25 х1/2F</t>
  </si>
  <si>
    <t>4650098213293</t>
  </si>
  <si>
    <t>03575-DIY</t>
  </si>
  <si>
    <t>Муфта комбинированнaя  25 х3/4 F DIY</t>
  </si>
  <si>
    <t>4650098213415</t>
  </si>
  <si>
    <t>03588-DIY</t>
  </si>
  <si>
    <t>Муфта комбинированнaя  25 х3/4 М DIY</t>
  </si>
  <si>
    <t>4650098213330</t>
  </si>
  <si>
    <t>03577-DIY</t>
  </si>
  <si>
    <t>Муфта комбинированнaя  32 х1 F DIY</t>
  </si>
  <si>
    <t>4650098213453</t>
  </si>
  <si>
    <t>03590-DIY</t>
  </si>
  <si>
    <t>Муфта комбинированнaя  32 х1 М DIY</t>
  </si>
  <si>
    <t>4650098213316</t>
  </si>
  <si>
    <t>03890-DIY</t>
  </si>
  <si>
    <t>Муфта комбинированнaя  32 х1/2 F DIY</t>
  </si>
  <si>
    <t>4650098213439</t>
  </si>
  <si>
    <t>03892-DIY</t>
  </si>
  <si>
    <t>Муфта комбинированнaя  32 х1/2 М DIY</t>
  </si>
  <si>
    <t>4650098213323</t>
  </si>
  <si>
    <t>03576-DIY</t>
  </si>
  <si>
    <t>Муфта комбинированнaя  32 х3/4 F DIY</t>
  </si>
  <si>
    <t>4650098213446</t>
  </si>
  <si>
    <t>03589-DIY</t>
  </si>
  <si>
    <t>Муфта комбинированнaя  32 х3/4 М DIY</t>
  </si>
  <si>
    <t>03579-1</t>
  </si>
  <si>
    <t>Муфта комбинированнaя  40 х1 1/4 F</t>
  </si>
  <si>
    <t>03594-1</t>
  </si>
  <si>
    <t>Муфта комбинированнaя  63 х2 М</t>
  </si>
  <si>
    <t>4660129408284</t>
  </si>
  <si>
    <t>4660129408277</t>
  </si>
  <si>
    <t>4650098213347</t>
  </si>
  <si>
    <t>4650098213460</t>
  </si>
  <si>
    <t>4660129408246</t>
  </si>
  <si>
    <t>4660129408253</t>
  </si>
  <si>
    <t>4650098213354</t>
  </si>
  <si>
    <t>4650098213477</t>
  </si>
  <si>
    <t>4650098213361</t>
  </si>
  <si>
    <t>4650098213484</t>
  </si>
  <si>
    <t>4650098213378</t>
  </si>
  <si>
    <t>4630003329110</t>
  </si>
  <si>
    <t>Муфта комбинированнaя  под ключ  75 х2 1/2 F</t>
  </si>
  <si>
    <t>Муфта комбинированнaя  под ключ  75 х2 1/2 М</t>
  </si>
  <si>
    <t>Муфта комбинированнaя  под ключ  90 х3 F</t>
  </si>
  <si>
    <t>Муфта комбинированнaя  под ключ  90 х3 М</t>
  </si>
  <si>
    <t>Муфта комбинированнaя  под ключ 110 х4 F</t>
  </si>
  <si>
    <t>Муфта комбинированнaя  под ключ 110 х4 М</t>
  </si>
  <si>
    <t>V-03578</t>
  </si>
  <si>
    <t>Муфта комбинированнaя  под ключ 32 х1 F</t>
  </si>
  <si>
    <t>V-03591</t>
  </si>
  <si>
    <t>Муфта комбинированнaя  под ключ 32 х1 М</t>
  </si>
  <si>
    <t>V-03579</t>
  </si>
  <si>
    <t>Муфта комбинированнaя  под ключ 40 х1 1/4 F</t>
  </si>
  <si>
    <t>V-03592</t>
  </si>
  <si>
    <t>Муфта комбинированнaя  под ключ 40 х1 1/4 М</t>
  </si>
  <si>
    <t>V-03580</t>
  </si>
  <si>
    <t>Муфта комбинированнaя  под ключ 50 х1 1/2 F</t>
  </si>
  <si>
    <t>V-03593</t>
  </si>
  <si>
    <t>Муфта комбинированнaя  под ключ 50 х1 1/2 М</t>
  </si>
  <si>
    <t>V-03581</t>
  </si>
  <si>
    <t>Муфта комбинированнaя  под ключ 63 х2 F</t>
  </si>
  <si>
    <t>V-03594</t>
  </si>
  <si>
    <t>Муфта комбинированнaя  под ключ 63 х2 М</t>
  </si>
  <si>
    <t>V-03572</t>
  </si>
  <si>
    <t>Муфта комбинированнaя 20 х1/2 F</t>
  </si>
  <si>
    <t>V-03585</t>
  </si>
  <si>
    <t>Муфта комбинированнaя 20 х1/2 М</t>
  </si>
  <si>
    <t>V-03573</t>
  </si>
  <si>
    <t>Муфта комбинированнaя 20 х3/4 F</t>
  </si>
  <si>
    <t>V-03586</t>
  </si>
  <si>
    <t>Муфта комбинированнaя 20 х3/4 М</t>
  </si>
  <si>
    <t>V-03574</t>
  </si>
  <si>
    <t>Муфта комбинированнaя 25 х1/2 F</t>
  </si>
  <si>
    <t>V-03587</t>
  </si>
  <si>
    <t>Муфта комбинированнaя 25 х1/2 М</t>
  </si>
  <si>
    <t>V-03575</t>
  </si>
  <si>
    <t>Муфта комбинированнaя 25 х3/4 F</t>
  </si>
  <si>
    <t>V-03588</t>
  </si>
  <si>
    <t>Муфта комбинированнaя 25 х3/4 М</t>
  </si>
  <si>
    <t>V-03577</t>
  </si>
  <si>
    <t>Муфта комбинированнaя 32 х1 F</t>
  </si>
  <si>
    <t>V-03590</t>
  </si>
  <si>
    <t>Муфта комбинированнaя 32 х1 М</t>
  </si>
  <si>
    <t>V-03890</t>
  </si>
  <si>
    <t>Муфта комбинированнaя 32 х1/2 F</t>
  </si>
  <si>
    <t>V-03892</t>
  </si>
  <si>
    <t>Муфта комбинированнaя 32 х1/2 М</t>
  </si>
  <si>
    <t>V-03576</t>
  </si>
  <si>
    <t>Муфта комбинированнaя 32 х3/4 F</t>
  </si>
  <si>
    <t>V-03589</t>
  </si>
  <si>
    <t>Муфта комбинированнaя 32 х3/4 М</t>
  </si>
  <si>
    <t>Муфта комбинированная F 20х1/2"</t>
  </si>
  <si>
    <t>Муфта комбинированная F 20х3/4"</t>
  </si>
  <si>
    <t xml:space="preserve">Муфта комбинированная F 25х1/2" </t>
  </si>
  <si>
    <t xml:space="preserve">Муфта комбинированная F 25х3/4" </t>
  </si>
  <si>
    <t>Муфта комбинированная F 32х1"</t>
  </si>
  <si>
    <t>Муфта комбинированная F 32х1"  под ключ</t>
  </si>
  <si>
    <t>Муфта комбинированная F 32х3/4"</t>
  </si>
  <si>
    <t>Муфта комбинированная F 40х1 1/4"  под ключ</t>
  </si>
  <si>
    <t>Муфта комбинированная F 50х1 1/2"  под ключ</t>
  </si>
  <si>
    <t>Муфта комбинированная F 63х2"  под ключ</t>
  </si>
  <si>
    <t xml:space="preserve">Муфта комбинированная M 20х1/2" </t>
  </si>
  <si>
    <t>Муфта комбинированная M 20х3/4"</t>
  </si>
  <si>
    <t xml:space="preserve">Муфта комбинированная M 25х1/2" </t>
  </si>
  <si>
    <t>Муфта комбинированная M 25х3/4"</t>
  </si>
  <si>
    <t xml:space="preserve">Муфта комбинированная M 32х1"  </t>
  </si>
  <si>
    <t>Муфта комбинированная M 32х1"  под ключ</t>
  </si>
  <si>
    <t>Муфта комбинированная M 32х3/4"</t>
  </si>
  <si>
    <t>Муфта комбинированная M 40х1 1/4"  под ключ</t>
  </si>
  <si>
    <t>Муфта комбинированная M 50х1 1/2"  под ключ</t>
  </si>
  <si>
    <t>Муфта комбинированная M 63х2"  под ключ</t>
  </si>
  <si>
    <t>V-03518</t>
  </si>
  <si>
    <t>Муфта переходная   32-20</t>
  </si>
  <si>
    <t>V-03524</t>
  </si>
  <si>
    <t>Муфта переходная   50-32</t>
  </si>
  <si>
    <t>V-03525</t>
  </si>
  <si>
    <t>Муфта переходная   50-40</t>
  </si>
  <si>
    <t>V-03526</t>
  </si>
  <si>
    <t>Муфта переходная   63-32</t>
  </si>
  <si>
    <t>V-03527</t>
  </si>
  <si>
    <t>Муфта переходная   63-40</t>
  </si>
  <si>
    <t>V-03528</t>
  </si>
  <si>
    <t>Муфта переходная   63-50</t>
  </si>
  <si>
    <t>0309-В</t>
  </si>
  <si>
    <t>Муфта переходная  1 - 1 1/2  г/г лат</t>
  </si>
  <si>
    <t>0393-В</t>
  </si>
  <si>
    <t>Муфта переходная  1 - 1 1/4  г/г лат</t>
  </si>
  <si>
    <t>4630003322173</t>
  </si>
  <si>
    <t>0321-В</t>
  </si>
  <si>
    <t>Муфта переходная  1 - 2  г/г лат</t>
  </si>
  <si>
    <t>4650098211701</t>
  </si>
  <si>
    <t>0307-В</t>
  </si>
  <si>
    <t>Муфта переходная  1 1/4 - 1 1/2  г/г лат</t>
  </si>
  <si>
    <t>0322-В</t>
  </si>
  <si>
    <t>Муфта переходная  1 1/4 - 2  г/г лат</t>
  </si>
  <si>
    <t>4630003324382</t>
  </si>
  <si>
    <t>02366-DIY</t>
  </si>
  <si>
    <t>Муфта переходная  1 1/4''F x 1 1/2"F DIY</t>
  </si>
  <si>
    <t>4650098211718</t>
  </si>
  <si>
    <t>04489-DIY</t>
  </si>
  <si>
    <t>Муфта переходная  1 1/4''F x 2"F DIY</t>
  </si>
  <si>
    <t>0315-В</t>
  </si>
  <si>
    <t>Муфта переходная  1/2 - 1  г/г лат</t>
  </si>
  <si>
    <t>0314-В</t>
  </si>
  <si>
    <t>Муфта переходная  1/2 - 1 1/4  г/г лат</t>
  </si>
  <si>
    <t>0311-В</t>
  </si>
  <si>
    <t>Муфта переходная  1/2 - 3/4  г/г лат</t>
  </si>
  <si>
    <t>Муфта переходная  1/2''F x 1"F</t>
  </si>
  <si>
    <t>4630003322166</t>
  </si>
  <si>
    <t>02541-DIY</t>
  </si>
  <si>
    <t>Муфта переходная   1/2''F x1"F DIY</t>
  </si>
  <si>
    <t>Муфта переходная  1/2''F x 1"F DIY</t>
  </si>
  <si>
    <t>Муфта переходная  1/2''F x 3/4"F</t>
  </si>
  <si>
    <t>4630003322159</t>
  </si>
  <si>
    <t>02540-DIY</t>
  </si>
  <si>
    <t>Муфта переходная   1/2''F x 3/4"F DIY</t>
  </si>
  <si>
    <t>Муфта переходная  1/2''F x 3/4"F DIY</t>
  </si>
  <si>
    <t>Муфта переходная  1''F x 1 1/2"F</t>
  </si>
  <si>
    <t>4630003325693</t>
  </si>
  <si>
    <t>02546-DIY</t>
  </si>
  <si>
    <t>Муфта переходная 1''F x 1 1/2"F DIY</t>
  </si>
  <si>
    <t>Муфта переходная  1''F x 1 1/2"F DIY</t>
  </si>
  <si>
    <t>Муфта переходная  1''F x 1 1/4"F</t>
  </si>
  <si>
    <t>4630003324399</t>
  </si>
  <si>
    <t>02543-DIY</t>
  </si>
  <si>
    <t>Муфта переходная 1''F x 1 1/4"F DIY</t>
  </si>
  <si>
    <t>Муфта переходная  1''F x 1 1/4"F DIY</t>
  </si>
  <si>
    <t>Муфта переходная  1''F x 2"F</t>
  </si>
  <si>
    <t>4650098211725</t>
  </si>
  <si>
    <t>4650098212760</t>
  </si>
  <si>
    <t>03517-DIY</t>
  </si>
  <si>
    <t>Муфта переходная  25-20 DIY</t>
  </si>
  <si>
    <t>0313-В</t>
  </si>
  <si>
    <t>Муфта переходная  3/4 - 1  г/г лат</t>
  </si>
  <si>
    <t>0310-В</t>
  </si>
  <si>
    <t>Муфта переходная  3/4 - 1 1/2  г/г лат</t>
  </si>
  <si>
    <t>0312-В</t>
  </si>
  <si>
    <t>Муфта переходная  3/4 - 1 1/4  г/г лат</t>
  </si>
  <si>
    <t>0320-В</t>
  </si>
  <si>
    <t>Муфта переходная  3/4 - 2  г/г лат</t>
  </si>
  <si>
    <t>Муфта переходная  3/4''F x 1 1/2"F</t>
  </si>
  <si>
    <t>4630003327802</t>
  </si>
  <si>
    <t>Муфта переходная  3/4''F x 1 1/4"F</t>
  </si>
  <si>
    <t>4630003322180</t>
  </si>
  <si>
    <t>02542-DIY</t>
  </si>
  <si>
    <t>Муфта переходная   3/4''F x 1 1/4"F DIY</t>
  </si>
  <si>
    <t>Муфта переходная  3/4''F x 1 1/4"F DIY</t>
  </si>
  <si>
    <t>Муфта переходная  3/4''F x 1"F</t>
  </si>
  <si>
    <t>02544-DIY</t>
  </si>
  <si>
    <t>Муфта переходная   3/4''F x 1"F DIY</t>
  </si>
  <si>
    <t>Муфта переходная  3/4''F x 1"F DIY</t>
  </si>
  <si>
    <t>0331-В</t>
  </si>
  <si>
    <t>Муфта переходная  3/8 - 1/2  г/г лат</t>
  </si>
  <si>
    <t>Муфта переходная  3/8''F x 1/2"F</t>
  </si>
  <si>
    <t>4630003325624</t>
  </si>
  <si>
    <t>02539-DIY</t>
  </si>
  <si>
    <t>Муфта переходная    3/8''F x 1/2"F DIY</t>
  </si>
  <si>
    <t>Муфта переходная  3/8''F x 1/2"F DIY</t>
  </si>
  <si>
    <t>4650098212777</t>
  </si>
  <si>
    <t>03518-DIY</t>
  </si>
  <si>
    <t>Муфта переходная  32-20 DIY</t>
  </si>
  <si>
    <t>4650098212784</t>
  </si>
  <si>
    <t>03519-DIY</t>
  </si>
  <si>
    <t>Муфта переходная  32-25 DIY</t>
  </si>
  <si>
    <t>4650098212791</t>
  </si>
  <si>
    <t>03520-DIY</t>
  </si>
  <si>
    <t>Муфта переходная  40-20-DIY</t>
  </si>
  <si>
    <t>4650098212807</t>
  </si>
  <si>
    <t>03521-DIY</t>
  </si>
  <si>
    <t>Муфта переходная  40-25-DIY</t>
  </si>
  <si>
    <t>4650098212814</t>
  </si>
  <si>
    <t>4650098212821</t>
  </si>
  <si>
    <t>4650098212838</t>
  </si>
  <si>
    <t>03524-DIY</t>
  </si>
  <si>
    <t>Муфта переходная  50-32-DIY</t>
  </si>
  <si>
    <t>4650098212845</t>
  </si>
  <si>
    <t>Муфта переходная  63-25</t>
  </si>
  <si>
    <t>4650098212852</t>
  </si>
  <si>
    <t>4650098212869</t>
  </si>
  <si>
    <t>4650098212876</t>
  </si>
  <si>
    <t>03528-DIY</t>
  </si>
  <si>
    <t>Муфта переходная  63-50-DIY</t>
  </si>
  <si>
    <t>Муфта переходная  75-40</t>
  </si>
  <si>
    <t>Муфта переходная  75-50</t>
  </si>
  <si>
    <t>Муфта переходная  75-63</t>
  </si>
  <si>
    <t>Муфта переходная  90-50</t>
  </si>
  <si>
    <t>Муфта переходная  90-63</t>
  </si>
  <si>
    <t>Муфта переходная  90-75</t>
  </si>
  <si>
    <t>Муфта переходная 110-63</t>
  </si>
  <si>
    <t>Муфта переходная 110-75</t>
  </si>
  <si>
    <t>Муфта переходная 110-90</t>
  </si>
  <si>
    <t>V-03517</t>
  </si>
  <si>
    <t>Муфта переходная 25-20</t>
  </si>
  <si>
    <t>Муфта переходная 32-20</t>
  </si>
  <si>
    <t>V-03519</t>
  </si>
  <si>
    <t>Муфта переходная 32-25</t>
  </si>
  <si>
    <t>V-03520</t>
  </si>
  <si>
    <t>Муфта переходная 40-20</t>
  </si>
  <si>
    <t>V-03521</t>
  </si>
  <si>
    <t>Муфта переходная 40-25</t>
  </si>
  <si>
    <t>V-03522</t>
  </si>
  <si>
    <t>Муфта переходная 40-32</t>
  </si>
  <si>
    <t>V-03523</t>
  </si>
  <si>
    <t>Муфта переходная 50-25</t>
  </si>
  <si>
    <t>Муфта переходная Ду 25-20</t>
  </si>
  <si>
    <t>Муфта переходная Ду 32-20</t>
  </si>
  <si>
    <t>Муфта переходная Ду 32-25</t>
  </si>
  <si>
    <t>Муфта переходная Ду 40-20</t>
  </si>
  <si>
    <t>Муфта переходная Ду 40-25</t>
  </si>
  <si>
    <t>Муфта переходная Ду 40-32</t>
  </si>
  <si>
    <t>Муфта переходная Ду 50-25</t>
  </si>
  <si>
    <t>Муфта переходная Ду 50-32</t>
  </si>
  <si>
    <t>Муфта переходная Ду 50-40</t>
  </si>
  <si>
    <t>Муфта переходная Ду 63-32</t>
  </si>
  <si>
    <t>Муфта переходная Ду 63-40</t>
  </si>
  <si>
    <t>Муфта переходная Ду 63-50</t>
  </si>
  <si>
    <t>4650098213538</t>
  </si>
  <si>
    <t>03603-DIY</t>
  </si>
  <si>
    <t>Муфта с накидной гайкой  20х1/2 DIY</t>
  </si>
  <si>
    <t>4650098213545</t>
  </si>
  <si>
    <t>Муфта с накидной гайкой  25х1</t>
  </si>
  <si>
    <t>4650098213552</t>
  </si>
  <si>
    <t>Муфта с накидной гайкой  32х1 1/4</t>
  </si>
  <si>
    <t>V-03603</t>
  </si>
  <si>
    <t>Муфта с накидной гайкой 20х1/2</t>
  </si>
  <si>
    <t>V-03604</t>
  </si>
  <si>
    <t>Муфта с накидной гайкой 20х3/4</t>
  </si>
  <si>
    <t>V-03605</t>
  </si>
  <si>
    <t>Муфта с накидной гайкой 25х3/4</t>
  </si>
  <si>
    <t>Муфта труба-коробка 20 мм М20х1.5 IP67</t>
  </si>
  <si>
    <t>Муфта труба-коробка 32 мм М32х1.5 IP67</t>
  </si>
  <si>
    <t>Муфта труба-коробка 40 мм М40х1.5 IP67</t>
  </si>
  <si>
    <t>Муфта труба-труба с ограничителем 20 мм IP40</t>
  </si>
  <si>
    <t>Муфта труба-труба с ограничителем 40 мм IP40</t>
  </si>
  <si>
    <t xml:space="preserve">Набор для сварки ППР труб  20-32 мм (800 Вт)  NEW </t>
  </si>
  <si>
    <t>Сварочное оборудование AQUALINK</t>
  </si>
  <si>
    <t>24.03.2023</t>
  </si>
  <si>
    <t>4660129409380</t>
  </si>
  <si>
    <t>8515809000</t>
  </si>
  <si>
    <t>Набор для сварки полипропиленовых труб диаметром 20-32 мм А-03</t>
  </si>
  <si>
    <t>4630003327734</t>
  </si>
  <si>
    <t>04593-DIY</t>
  </si>
  <si>
    <t>Набор для сварки ППР труб  20-32 мм  А-03 DIY</t>
  </si>
  <si>
    <t>Набор для сварки полипропиленовых труб диаметром 20-32 мм А-03 DIY</t>
  </si>
  <si>
    <t>Сварочное оборудование</t>
  </si>
  <si>
    <t>Набор для сварки полипропиленовых труб диаметром 20-32 мм А-04</t>
  </si>
  <si>
    <t>4630003327758</t>
  </si>
  <si>
    <t>Набор для сварки полипропиленовых труб диаметром 20-40 мм (1500 Вт) A-05</t>
  </si>
  <si>
    <t>4630003327772</t>
  </si>
  <si>
    <t>07.VDL.2040</t>
  </si>
  <si>
    <t>Набор для сварки ППР труб  20-40 мм (1500 Вт)  PW-2040</t>
  </si>
  <si>
    <t>04595-DIY</t>
  </si>
  <si>
    <t>Набор для сварки ППР труб  20-40 мм (1500 Вт)  A-05 DIY</t>
  </si>
  <si>
    <t>Набор для сварки полипропиленовых труб диаметром 20-40 мм (1500 Вт) A-05 DIY</t>
  </si>
  <si>
    <t>Сворочники</t>
  </si>
  <si>
    <t xml:space="preserve">Набор для сварки ППР труб  20-63 мм (1500 Вт)  NEW </t>
  </si>
  <si>
    <t>Набор для сварки полипропиленовых труб диаметром 20-63 мм (1500 Вт)</t>
  </si>
  <si>
    <t>01.02.2022</t>
  </si>
  <si>
    <t>4660129407928</t>
  </si>
  <si>
    <t>Набор для сварки ППР труб  20-63 мм (1500 Вт)  A-01</t>
  </si>
  <si>
    <t>Набор для сварки полипропиленовых труб диаметром 20-63 мм (1500 Вт) A-01</t>
  </si>
  <si>
    <t>07.VDL.2063</t>
  </si>
  <si>
    <t>Набор для сварки ППР труб  20-63 мм (1500 Вт)  PW-2063</t>
  </si>
  <si>
    <t>Набор для сварки полипропиленовых труб диаметром 20-63 мм (1500 Вт) A-05</t>
  </si>
  <si>
    <t>Набор для сварки полипропиленовых труб диаметром 75-110 мм (1800 Вт) A-02</t>
  </si>
  <si>
    <t>4630003327710</t>
  </si>
  <si>
    <t>Набор для сварки ППР труб  20-32 мм (600 Вт)  A-03  БЕЗ перчаток</t>
  </si>
  <si>
    <t>Набор для сварки ППР труб  20-32 мм (600 Вт)  A-03</t>
  </si>
  <si>
    <t>Набор для сварки ППР труб  20-63 мм (1500 Вт)  A-01 БЕЗ перчаток</t>
  </si>
  <si>
    <t>Набор для сварки ППР труб  75-110 мм (1800 Вт)  A-02  БЕЗ перчаток</t>
  </si>
  <si>
    <t xml:space="preserve">Накладка соединительная 100 мм CGC для крышки лотка </t>
  </si>
  <si>
    <t>Накладка соединительная 100 мм CGC для крышки лотка</t>
  </si>
  <si>
    <t xml:space="preserve">Накладка соединительная 50 мм CGC для крышки лотка </t>
  </si>
  <si>
    <t>Накладка соединительная 50 мм CGC для крышки лотка</t>
  </si>
  <si>
    <t>Шланги для стиральной машины</t>
  </si>
  <si>
    <t>Слив залив</t>
  </si>
  <si>
    <t>Сливные и заливные шланги</t>
  </si>
  <si>
    <t>25.07.2022</t>
  </si>
  <si>
    <t>4660129409113</t>
  </si>
  <si>
    <t>3917320001</t>
  </si>
  <si>
    <t>Наконечник для модульного сливного шланга (фасовка)</t>
  </si>
  <si>
    <t>01.08.2022</t>
  </si>
  <si>
    <t>1111111111033</t>
  </si>
  <si>
    <t>Напольная поставка Samsung SNT-WM55R</t>
  </si>
  <si>
    <t>Насадка к аппарату для сварки ППР труб 20 диаметра</t>
  </si>
  <si>
    <t>4650098214689</t>
  </si>
  <si>
    <t>03702-DIY</t>
  </si>
  <si>
    <t>Насадка  20 DIY</t>
  </si>
  <si>
    <t>Насадка к аппарату для сварки ППР труб 20 диаметра DIY</t>
  </si>
  <si>
    <t>Насадка к аппарату для сварки ППР труб 25 диаметра</t>
  </si>
  <si>
    <t>4650098214696</t>
  </si>
  <si>
    <t>03703-DIY</t>
  </si>
  <si>
    <t>Насадка  25 DIY</t>
  </si>
  <si>
    <t>Насадка к аппарату для сварки ППР труб 25 диаметра DIY</t>
  </si>
  <si>
    <t>Насадка к аппарату для сварки ППР труб 32 диаметра</t>
  </si>
  <si>
    <t>4650098214702</t>
  </si>
  <si>
    <t>01939-DIY</t>
  </si>
  <si>
    <t>Насадка  32 DIY</t>
  </si>
  <si>
    <t>Насадка к аппарату для сварки ППР труб 32 диаметра DIY</t>
  </si>
  <si>
    <t>Насадка к аппарату для сварки ППР труб 40 диаметра</t>
  </si>
  <si>
    <t>4650098214719</t>
  </si>
  <si>
    <t>01940-DIY</t>
  </si>
  <si>
    <t>Насадка  40 DIY</t>
  </si>
  <si>
    <t>Насадка к аппарату для сварки ППР труб 40 диаметра DIY</t>
  </si>
  <si>
    <t>Насадка к аппарату для сварки ППР труб 50 диаметра</t>
  </si>
  <si>
    <t>4650098214726</t>
  </si>
  <si>
    <t>Насадка к аппарату для сварки ППР труб 63 диаметра</t>
  </si>
  <si>
    <t>4650098214733</t>
  </si>
  <si>
    <t>Вибрационные насосы</t>
  </si>
  <si>
    <t>Насосы LIY</t>
  </si>
  <si>
    <t>4660129405610</t>
  </si>
  <si>
    <t>8413506900</t>
  </si>
  <si>
    <t>4660129405627</t>
  </si>
  <si>
    <t>4660129405634</t>
  </si>
  <si>
    <t>4660129405573</t>
  </si>
  <si>
    <t>4660129405597</t>
  </si>
  <si>
    <t>4660129405603</t>
  </si>
  <si>
    <t>0BY01</t>
  </si>
  <si>
    <t>BY01 Насос для повышения давления  15-9  160  с гайками</t>
  </si>
  <si>
    <t>Насосы</t>
  </si>
  <si>
    <t>Циркуляционные насосы</t>
  </si>
  <si>
    <t>4630003323</t>
  </si>
  <si>
    <t>04706/B</t>
  </si>
  <si>
    <t>Насос для повышения давления  15-9  160  с гайками образец</t>
  </si>
  <si>
    <t>Повысительные насосы AQUALINK</t>
  </si>
  <si>
    <t>4630003323323</t>
  </si>
  <si>
    <t>8413703000</t>
  </si>
  <si>
    <t>Дренажные насосы</t>
  </si>
  <si>
    <t>Насосы FLU</t>
  </si>
  <si>
    <t>01.06.2021</t>
  </si>
  <si>
    <t>4660129405849</t>
  </si>
  <si>
    <t>8413702100</t>
  </si>
  <si>
    <t>Насос дренажный AQUALINK DP C-7/150 550 Вт</t>
  </si>
  <si>
    <t>4660129405887</t>
  </si>
  <si>
    <t>4660129405863</t>
  </si>
  <si>
    <t>4660129405900</t>
  </si>
  <si>
    <t>4660129405924</t>
  </si>
  <si>
    <t>01.12.2022</t>
  </si>
  <si>
    <t>4660129409137</t>
  </si>
  <si>
    <t>4660129409151</t>
  </si>
  <si>
    <t>Циркуляционные насосы AQUALINK</t>
  </si>
  <si>
    <t>4650098215327</t>
  </si>
  <si>
    <t>0BY02</t>
  </si>
  <si>
    <t>BY02 Насос циркуляционный  25-4  180  с гайками</t>
  </si>
  <si>
    <t>04700/B</t>
  </si>
  <si>
    <t>Насос циркуляционный  25-4  180  с гайками образец</t>
  </si>
  <si>
    <t>4630003323286</t>
  </si>
  <si>
    <t>4650098215334</t>
  </si>
  <si>
    <t>4630003323293</t>
  </si>
  <si>
    <t>4630003325631</t>
  </si>
  <si>
    <t>4630003323309</t>
  </si>
  <si>
    <t>4630003323316</t>
  </si>
  <si>
    <t>4630003325648</t>
  </si>
  <si>
    <t>Насосно-смесительные узлы AQUALINK</t>
  </si>
  <si>
    <t>4650098215396</t>
  </si>
  <si>
    <t>Насосно-смесительный узел 1</t>
  </si>
  <si>
    <t>4660129410270</t>
  </si>
  <si>
    <t>H-02002</t>
  </si>
  <si>
    <t>Настенное крепление Monclac</t>
  </si>
  <si>
    <t>Сардоникс</t>
  </si>
  <si>
    <t>H-01178</t>
  </si>
  <si>
    <t>Настенное крепление для колонн VSA RCF SWM-BR VSA-II</t>
  </si>
  <si>
    <t>V-03546</t>
  </si>
  <si>
    <t>Настенный комплект для смесителя   20х1/2 F</t>
  </si>
  <si>
    <t>V-03547</t>
  </si>
  <si>
    <t>Настенный комплект для смесителя   25х1/2 F</t>
  </si>
  <si>
    <t>4650098212968</t>
  </si>
  <si>
    <t>03546-DIY</t>
  </si>
  <si>
    <t>Настенный комплект для смесителя  20х1/2 F DIY</t>
  </si>
  <si>
    <t>Комплекты для смесителей</t>
  </si>
  <si>
    <t>4650098212975</t>
  </si>
  <si>
    <t>Настенный комплект для смесителя 20х1/2 F</t>
  </si>
  <si>
    <t>0506-В</t>
  </si>
  <si>
    <t>Ниппель  1  ш/ш  лат</t>
  </si>
  <si>
    <t>Ниппель  1/2"M х 1/2"M</t>
  </si>
  <si>
    <t>Ниппели</t>
  </si>
  <si>
    <t>4630003322050</t>
  </si>
  <si>
    <t>0502-В</t>
  </si>
  <si>
    <t>Ниппель  3/4  ш/ш  лат</t>
  </si>
  <si>
    <t>Ниппель  3/4''M x 3/4''M</t>
  </si>
  <si>
    <t>4630003322098</t>
  </si>
  <si>
    <t>02525-DIY</t>
  </si>
  <si>
    <t>Ниппель  3/4'' DIY</t>
  </si>
  <si>
    <t>Ниппель  3/4''M x 3/4''M DIY</t>
  </si>
  <si>
    <t>0526-В</t>
  </si>
  <si>
    <t>Ниппель 1 1/2  ш/ш  лат</t>
  </si>
  <si>
    <t>Ниппель 1 1/2''M x 1 1/2''M</t>
  </si>
  <si>
    <t>4630003327703</t>
  </si>
  <si>
    <t>02528-DIY</t>
  </si>
  <si>
    <t>Ниппель 1 1/2'' DIY</t>
  </si>
  <si>
    <t>Ниппель 1 1/2''M x 1 1/2''M DIY</t>
  </si>
  <si>
    <t>0516-В</t>
  </si>
  <si>
    <t>Ниппель 1 1/4  ш/ш  лат</t>
  </si>
  <si>
    <t>Ниппель 1 1/4''M x 1 1/4''M</t>
  </si>
  <si>
    <t>4630003322135</t>
  </si>
  <si>
    <t>02527-DIY</t>
  </si>
  <si>
    <t>Ниппель 1 1/4'' DIY</t>
  </si>
  <si>
    <t>Ниппель 1 1/4''M x 1 1/4''M DIY</t>
  </si>
  <si>
    <t>0501-ВЛ</t>
  </si>
  <si>
    <t>Ниппель 1/2  ш/ш  лат</t>
  </si>
  <si>
    <t>02524-DIY</t>
  </si>
  <si>
    <t>Ниппель 1/2" DIY</t>
  </si>
  <si>
    <t>Ниппель 1/2"M х 1/2"M DIY</t>
  </si>
  <si>
    <t>Ниппель 1''M x 1''M</t>
  </si>
  <si>
    <t>4630003322128</t>
  </si>
  <si>
    <t>02526-DIY</t>
  </si>
  <si>
    <t>Ниппель 1'' DIY</t>
  </si>
  <si>
    <t>Ниппель 1''M x 1''M DIY</t>
  </si>
  <si>
    <t>0536-В</t>
  </si>
  <si>
    <t>Ниппель 2  ш/ш  лат</t>
  </si>
  <si>
    <t>Ниппель 2''M x 2''M</t>
  </si>
  <si>
    <t>4650098210964</t>
  </si>
  <si>
    <t>04480-DIY</t>
  </si>
  <si>
    <t>Ниппель 2''-DIY</t>
  </si>
  <si>
    <t>Ниппель 2''M x 2''M-DIY</t>
  </si>
  <si>
    <t>Резьбовые фитинги никелированнные</t>
  </si>
  <si>
    <t>04591-DIY</t>
  </si>
  <si>
    <t>Ниппель межсекционный для радиатора  1'' DIY</t>
  </si>
  <si>
    <t>4650098214658</t>
  </si>
  <si>
    <t>Ниппель межсекционный для радиатора 1''</t>
  </si>
  <si>
    <t>02535-DIY</t>
  </si>
  <si>
    <t>Ниппель переходной   1/2''M x 3/4''M DIY</t>
  </si>
  <si>
    <t>4630003322067</t>
  </si>
  <si>
    <t>0509-В</t>
  </si>
  <si>
    <t>Ниппель переходной  1 - 1 1/2  ш/ш  лат</t>
  </si>
  <si>
    <t>0594-В</t>
  </si>
  <si>
    <t>Ниппель переходной  1 - 1 1/4  ш/ш  лат</t>
  </si>
  <si>
    <t>0523-В</t>
  </si>
  <si>
    <t>Ниппель переходной  1 - 2  ш/ш  лат</t>
  </si>
  <si>
    <t>0520-В</t>
  </si>
  <si>
    <t>Ниппель переходной  1 1/2 - 2  ш/ш  лат</t>
  </si>
  <si>
    <t>4630003323125</t>
  </si>
  <si>
    <t>0522-В</t>
  </si>
  <si>
    <t>Ниппель переходной  1 1/4 - 1 1/2  ш/ш  лат</t>
  </si>
  <si>
    <t>4650098211015</t>
  </si>
  <si>
    <t>0519-В</t>
  </si>
  <si>
    <t>Ниппель переходной  1 1/4 - 2  ш/ш  лат</t>
  </si>
  <si>
    <t>4630003325655</t>
  </si>
  <si>
    <t>02365-DIY</t>
  </si>
  <si>
    <t>Ниппель переходной  1 1/4''M x 1 1/2''M DIY</t>
  </si>
  <si>
    <t>4650098211008</t>
  </si>
  <si>
    <t>0513-В</t>
  </si>
  <si>
    <t>Ниппель переходной  1/2 - 1  ш/ш  лат</t>
  </si>
  <si>
    <t>0514-В</t>
  </si>
  <si>
    <t>Ниппель переходной  1/2 - 1 1/4  ш/ш  лат</t>
  </si>
  <si>
    <t>Ниппель переходной  1/2''M x 1 1/4''M</t>
  </si>
  <si>
    <t>4630003322081</t>
  </si>
  <si>
    <t>02361-DIY</t>
  </si>
  <si>
    <t>Ниппель переходной   1/2''M x 1 1/4''M DIY</t>
  </si>
  <si>
    <t>Ниппель переходной  1/2''M x 1 1/4''M DIY</t>
  </si>
  <si>
    <t>Ниппель переходной  1/2''M x 1''M</t>
  </si>
  <si>
    <t>4630003322074</t>
  </si>
  <si>
    <t>02533-DIY</t>
  </si>
  <si>
    <t>Ниппель переходной   1/2''M x 1''M DIY</t>
  </si>
  <si>
    <t>Ниппель переходной  1/2''M x 1''M DIY</t>
  </si>
  <si>
    <t>Ниппель переходной  1/2''M x 3/4''M</t>
  </si>
  <si>
    <t>4630003327857</t>
  </si>
  <si>
    <t>02363-DIY</t>
  </si>
  <si>
    <t>Ниппель переходной  1''M x 1 1/2''M DIY</t>
  </si>
  <si>
    <t>4650098210995</t>
  </si>
  <si>
    <t>0512-В</t>
  </si>
  <si>
    <t>Ниппель переходной  3/4 - 1  ш/ш  лат</t>
  </si>
  <si>
    <t>0521-В</t>
  </si>
  <si>
    <t>Ниппель переходной  3/4 - 1 1/2  ш/ш  лат</t>
  </si>
  <si>
    <t>0525-В</t>
  </si>
  <si>
    <t>Ниппель переходной  3/4 - 2  ш/ш  лат</t>
  </si>
  <si>
    <t>Ниппель переходной  3/4''M x 1 1/4''M</t>
  </si>
  <si>
    <t>4630003322111</t>
  </si>
  <si>
    <t>02537-DIY</t>
  </si>
  <si>
    <t>Ниппель переходной   3/4''M x 1 1/4''M DIY</t>
  </si>
  <si>
    <t>Ниппель переходной  3/4''M x 1 1/4''M DIY</t>
  </si>
  <si>
    <t>Ниппель переходной  3/4''M x 1''M</t>
  </si>
  <si>
    <t>4630003322104</t>
  </si>
  <si>
    <t>02534-DIY</t>
  </si>
  <si>
    <t>Ниппель переходной   3/4''M x 1''M DIY</t>
  </si>
  <si>
    <t>Ниппель переходной  3/4''M x 1''M DIY</t>
  </si>
  <si>
    <t>Ниппель переходной  3/4''M x 2''M</t>
  </si>
  <si>
    <t>4650098210988</t>
  </si>
  <si>
    <t>Ниппель переходной 1 1/2''M x 2''M</t>
  </si>
  <si>
    <t>04485-DIY</t>
  </si>
  <si>
    <t>Ниппель переходной  1 1/2''M x 2''M-DIY</t>
  </si>
  <si>
    <t>Ниппель переходной 1 1/2''M x 2''M-DIY</t>
  </si>
  <si>
    <t>Ниппель переходной 1''M x 1 1/4''M</t>
  </si>
  <si>
    <t>4630003322142</t>
  </si>
  <si>
    <t>02538-DIY</t>
  </si>
  <si>
    <t>Ниппель переходной  1''M x 1 1/4''M DIY</t>
  </si>
  <si>
    <t>Ниппель переходной 1''M x 1 1/4''M DIY</t>
  </si>
  <si>
    <t>Ниппель переходной 3/4''M x 1 1/2''M</t>
  </si>
  <si>
    <t>4630003325662</t>
  </si>
  <si>
    <t>02362-DIY</t>
  </si>
  <si>
    <t>Ниппель переходной   3/4''M x 1 1/2''M DIY</t>
  </si>
  <si>
    <t>Ниппель переходной 3/4''M x 1 1/2''M DIY</t>
  </si>
  <si>
    <t>Ниппель переходной 3/8''M x 1/2''M</t>
  </si>
  <si>
    <t>02536-DIY</t>
  </si>
  <si>
    <t>Ниппель переходной   3/8''M x 1/2''M DIY</t>
  </si>
  <si>
    <t>Ниппель переходной 3/8''M x 1/2''M DIY</t>
  </si>
  <si>
    <t>Ниппель прямой удлиненный  1/2  ш/ш  лат</t>
  </si>
  <si>
    <t>4650098211732</t>
  </si>
  <si>
    <t>04486-DIY</t>
  </si>
  <si>
    <t>Ниппель с полной резьбой 1/2''M x 1/2''M DIY</t>
  </si>
  <si>
    <t>4650098211749</t>
  </si>
  <si>
    <t>04487-DIY</t>
  </si>
  <si>
    <t>Ниппель с полной резьбой 3/4''M x 3/4''M DIY</t>
  </si>
  <si>
    <t>Нить Sprint 25 м бокс</t>
  </si>
  <si>
    <t>4630009040651</t>
  </si>
  <si>
    <t>5604901000</t>
  </si>
  <si>
    <t>Нить Sprint 50 м бокс</t>
  </si>
  <si>
    <t>4630009040620</t>
  </si>
  <si>
    <t>M-00023</t>
  </si>
  <si>
    <t>Новогодние коробки 2022-2023</t>
  </si>
  <si>
    <t>1111111111038</t>
  </si>
  <si>
    <t>M-00003</t>
  </si>
  <si>
    <t>Новогодние шкатулки 2021</t>
  </si>
  <si>
    <t>1111111111016</t>
  </si>
  <si>
    <t>00894-DIY</t>
  </si>
  <si>
    <t>Ножницы DIY</t>
  </si>
  <si>
    <t>Ножницы для металлопластиковых труб DIY</t>
  </si>
  <si>
    <t>4650098213965</t>
  </si>
  <si>
    <t>8203400000</t>
  </si>
  <si>
    <t>Ножницы для резки полимерных труб 16-42 мм</t>
  </si>
  <si>
    <t>Ножницы для резки полимерных труб 16-63 мм</t>
  </si>
  <si>
    <t>4660129407836</t>
  </si>
  <si>
    <t>Ножницы для резки полимерных труб усиленные 16-42 мм</t>
  </si>
  <si>
    <t>4660129407768</t>
  </si>
  <si>
    <t>V-03694</t>
  </si>
  <si>
    <t>Обвод  (С Тип)   20</t>
  </si>
  <si>
    <t>V-03695</t>
  </si>
  <si>
    <t>Обвод  (С Тип)   25</t>
  </si>
  <si>
    <t>V-03696</t>
  </si>
  <si>
    <t>Обвод  (С Тип)   32</t>
  </si>
  <si>
    <t>Обводы</t>
  </si>
  <si>
    <t>4650098213880</t>
  </si>
  <si>
    <t>03694-DIY</t>
  </si>
  <si>
    <t>Обвод  (С Тип)  20 DIY</t>
  </si>
  <si>
    <t>Обвод  (С Тип)  20  DIY</t>
  </si>
  <si>
    <t>4650098213897</t>
  </si>
  <si>
    <t>03695-DIY</t>
  </si>
  <si>
    <t>Обвод  (С Тип)  25 DIY</t>
  </si>
  <si>
    <t>4650098213903</t>
  </si>
  <si>
    <t>4650098213842</t>
  </si>
  <si>
    <t>03687-DIY</t>
  </si>
  <si>
    <t>Обвод  20-DIY</t>
  </si>
  <si>
    <t>Обвод</t>
  </si>
  <si>
    <t>4650098213859</t>
  </si>
  <si>
    <t>03688-DIY</t>
  </si>
  <si>
    <t>Обвод  25-DIY</t>
  </si>
  <si>
    <t>4650098213866</t>
  </si>
  <si>
    <t>03689-DIY</t>
  </si>
  <si>
    <t>Обвод  32 DIY</t>
  </si>
  <si>
    <t>Обвод  40</t>
  </si>
  <si>
    <t>4650098213873</t>
  </si>
  <si>
    <t>Обвод  с муфтами  25</t>
  </si>
  <si>
    <t>Обвод  с муфтами  32</t>
  </si>
  <si>
    <t>V-03687</t>
  </si>
  <si>
    <t>Обвод 20</t>
  </si>
  <si>
    <t>V-03688</t>
  </si>
  <si>
    <t>Обвод 25</t>
  </si>
  <si>
    <t>V-03689</t>
  </si>
  <si>
    <t>Обвод 32</t>
  </si>
  <si>
    <t>Обвод тип С 20</t>
  </si>
  <si>
    <t>Обвод тип С 25</t>
  </si>
  <si>
    <t>Обвод тип С 32</t>
  </si>
  <si>
    <t>Обратный клапан приемный с затвором из латуни 1” BUGATTI NEBRASKA</t>
  </si>
  <si>
    <t>Обратный клапан приемный с затвором из латуни 3/4” BUGATTI NEBRASKA</t>
  </si>
  <si>
    <t>Обратные клапаны AQUALINK</t>
  </si>
  <si>
    <t>4630003324344</t>
  </si>
  <si>
    <t>8481309908</t>
  </si>
  <si>
    <t>L01013201</t>
  </si>
  <si>
    <t>Обратный клапан с латунным сердечником  FF  1/2  ProEXPERT</t>
  </si>
  <si>
    <t>7930110050936</t>
  </si>
  <si>
    <t>02339-DIY</t>
  </si>
  <si>
    <t>Обратный клапан с латунным сердечником  FF  1/2 DIY</t>
  </si>
  <si>
    <t>Обратные клапаны</t>
  </si>
  <si>
    <t>Обратный клапан с латунным сердечником  FF  1/2 ProEXPERT</t>
  </si>
  <si>
    <t>Обратный клапан с латунным сердечником  FF  1/2 Обратный клапан с латунным сердечником  FF  1/2 ProEXPERT</t>
  </si>
  <si>
    <t>4630003325167</t>
  </si>
  <si>
    <t>02340-DIY</t>
  </si>
  <si>
    <t>Обратный клапан с латунным сердечником  FF  3/4 DIY</t>
  </si>
  <si>
    <t>Обратный клапан с латунным сердечником  FF  3/4" ProEXPERT</t>
  </si>
  <si>
    <t>4630003327680</t>
  </si>
  <si>
    <t>4650098216478</t>
  </si>
  <si>
    <t>4650098211480</t>
  </si>
  <si>
    <t>03957-DIY</t>
  </si>
  <si>
    <t>Обратный клапан с латунным сердечником  FF 1 1/4-DIY</t>
  </si>
  <si>
    <t>4660129405542</t>
  </si>
  <si>
    <t>Обратный клапан с латунным сердечником 1/2” BUGATTI NEBRASKA</t>
  </si>
  <si>
    <t>Обратный клапан с латунным сердечником 1” BUGATTI NEBRASKA</t>
  </si>
  <si>
    <t>Обратный клапан с латунным сердечником 3/4” BUGATTI NEBRASKA</t>
  </si>
  <si>
    <t>Обратный клапан с латунным сердечником, поворотный 1/2” BUGATTI NEBRASKA</t>
  </si>
  <si>
    <t>Обратный клапан с латунным сердечником, поворотный 1” BUGATTI NEBRASKA</t>
  </si>
  <si>
    <t>Обратный клапан с латунным сердечником, поворотный 3/4” BUGATTI NEBRASKA</t>
  </si>
  <si>
    <t>Обратный клапан с нейлоновым сердечником 1/2” BUGATTI NEBRASKA</t>
  </si>
  <si>
    <t>Обратный клапан с нейлоновым сердечником 1” BUGATTI NEBRASKA</t>
  </si>
  <si>
    <t>Обратный клапан с нейлоновым сердечником 3/4” BUGATTI NEBRASKA</t>
  </si>
  <si>
    <t>Обратный клапан с пластик сердечником и приемным фильтром 1/2” BUGATTI NEBRASKA</t>
  </si>
  <si>
    <t>Обратный клапан с пластик сердечником и приемным фильтром 1” BUGATTI NEBRASKA</t>
  </si>
  <si>
    <t>Обратный клапан с пластик сердечником и приемным фильтром 3/4” BUGATTI NEBRASKA</t>
  </si>
  <si>
    <t>4630003322685</t>
  </si>
  <si>
    <t>02342-DIY</t>
  </si>
  <si>
    <t>Обратный клапан с пластиковым сердечником  FF  1/2 DIY</t>
  </si>
  <si>
    <t>03960-DIY</t>
  </si>
  <si>
    <t>Обратный клапан с пластиковым сердечником  FF 1 1/4-DIY</t>
  </si>
  <si>
    <t>4650098211497</t>
  </si>
  <si>
    <t>Обратный клапан с пластиковым сердечником FF 1</t>
  </si>
  <si>
    <t>4630003323118</t>
  </si>
  <si>
    <t>Обратный клапан с пластиковым сердечником  FF 1 1/2</t>
  </si>
  <si>
    <t>Обратный клапан с пластиковым сердечником FF 1 1/2</t>
  </si>
  <si>
    <t>Обратный клапан с пластиковым сердечником FF 1 1/4</t>
  </si>
  <si>
    <t>01166-DIY</t>
  </si>
  <si>
    <t>Обратный клапан с пластиковым сердечником  FF 1 DIY</t>
  </si>
  <si>
    <t>Обратный клапан с пластиковым сердечником FF 1 DIY</t>
  </si>
  <si>
    <t>Обратный клапан с пластиковым сердечником  FF 2</t>
  </si>
  <si>
    <t>Обратный клапан с пластиковым сердечником FF 2</t>
  </si>
  <si>
    <t>Обратный клапан с пластиковым сердечником FF 3/4</t>
  </si>
  <si>
    <t>4630003323156</t>
  </si>
  <si>
    <t>02343-DIY</t>
  </si>
  <si>
    <t>Обратный клапан с пластиковым сердечником  FF  3/4 DIY</t>
  </si>
  <si>
    <t>Обратный клапан с пластиковым сердечником FF 3/4 DIY</t>
  </si>
  <si>
    <t>Обратный клапан с пластиковым сердечником с сеткой FF 1</t>
  </si>
  <si>
    <t>4650098211527</t>
  </si>
  <si>
    <t>Обратный клапан с сеткой  FF 1 1/2</t>
  </si>
  <si>
    <t>Обратный клапан с пластиковым сердечником с сеткой FF 1 1/2</t>
  </si>
  <si>
    <t>Обратный клапан с пластиковым сердечником с сеткой FF 1 1/4</t>
  </si>
  <si>
    <t>4650098211534</t>
  </si>
  <si>
    <t>Обратный клапан с пластиковым сердечником с сеткой FF 1/2</t>
  </si>
  <si>
    <t>4650098211503</t>
  </si>
  <si>
    <t>02058-DIY</t>
  </si>
  <si>
    <t>Обратный клапан с сеткой  FF  1/2-DIY</t>
  </si>
  <si>
    <t>Обратный клапан с пластиковым сердечником с сеткой FF 1/2-DIY</t>
  </si>
  <si>
    <t>Обратный клапан с пластиковым сердечником с сеткой FF 3/4</t>
  </si>
  <si>
    <t>4650098211510</t>
  </si>
  <si>
    <t>02059-DIY</t>
  </si>
  <si>
    <t>Обратный клапан с сеткой  FF  3/4-DIY</t>
  </si>
  <si>
    <t>Обратный клапан с пластиковым сердечником с сеткой FF 3/4-DIY</t>
  </si>
  <si>
    <t>29.01.2021</t>
  </si>
  <si>
    <t>4660129407607</t>
  </si>
  <si>
    <t>4660129407614</t>
  </si>
  <si>
    <t>4660129407621</t>
  </si>
  <si>
    <t>R9801414</t>
  </si>
  <si>
    <t>Объектив Barco + TLD+Ultra (08-1,16:1)</t>
  </si>
  <si>
    <t>V12H004X01</t>
  </si>
  <si>
    <t>Объектив EPSON ELPLX01 для серии EB-L7000 и EB-L1000</t>
  </si>
  <si>
    <t>V12H004U03</t>
  </si>
  <si>
    <t>Объектив EPSON ELPLX03 для серии EB-L7000 и EB-L1000</t>
  </si>
  <si>
    <t>M-00018</t>
  </si>
  <si>
    <t>Одноразовый стаканчик СантехСтандарт</t>
  </si>
  <si>
    <t>1111111111030</t>
  </si>
  <si>
    <t>G49250</t>
  </si>
  <si>
    <t>Однорычажный смеситель для кухни (гаечный крепеж), хром, карт. 35 мм, G49250</t>
  </si>
  <si>
    <t>G49252</t>
  </si>
  <si>
    <t>Однорычажный смеситель для кухни (гаечный крепеж), хром, карт. 35 мм, G49252</t>
  </si>
  <si>
    <t>G49253</t>
  </si>
  <si>
    <t>Однорычажный смеситель для кухни (гаечный крепеж), хром, карт. 35 мм, G49253</t>
  </si>
  <si>
    <t>G45252</t>
  </si>
  <si>
    <t>Однорычажный смеситель для кухни и раковины (ср. излив), хром (гаечный креп.), карт. 35 мм, G45252</t>
  </si>
  <si>
    <t>G45253</t>
  </si>
  <si>
    <t>Однорычажный смеситель для кухни и раковины (ср. излив), хром (гаечный креп.), карт. 35 мм, G45253</t>
  </si>
  <si>
    <t>G45250</t>
  </si>
  <si>
    <t>Однорычажный смеситель для кухни и раковины (средний излив), хром (гаечный крепеж), карт. 35 мм, G45</t>
  </si>
  <si>
    <t>Однорычажный смеситель для кухни и раковины (средний излив), хром (гаечный крепеж), карт. 35 мм, G45250</t>
  </si>
  <si>
    <t>H44207</t>
  </si>
  <si>
    <t>Однорычажный смеситель для кухни с гибким изливом, белый, хром (гаечный крепеж), карт. 35 мм, H44207</t>
  </si>
  <si>
    <t>H44206</t>
  </si>
  <si>
    <t>Однорычажный смеситель для кухни с гибким изливом, черный, хром (гаечный креп.), карт. 35 мм, H44206</t>
  </si>
  <si>
    <t>H49205</t>
  </si>
  <si>
    <t>Однорычажный смеситель для кухни, хром (гаечный крепеж), карт. 35 мм, H49205</t>
  </si>
  <si>
    <t>G49110</t>
  </si>
  <si>
    <t>Однорычажный смеситель для кухни, хром, карт. 40 мм G49110</t>
  </si>
  <si>
    <t>H45206</t>
  </si>
  <si>
    <t>Однорычажный смеситель для кухни, черный, хром (гаечный крепеж), карт. 35 мм, H45206</t>
  </si>
  <si>
    <t>G12120</t>
  </si>
  <si>
    <t>Однорычажный смеситель для раковины с гигиеническим душем, хром, гаечный крепеж, карт. 40 мм, G12120</t>
  </si>
  <si>
    <t>H10207</t>
  </si>
  <si>
    <t>Однорычажный смеситель для раковины, белый, хром (гаечный крепеж), карт. 35 мм, H10207</t>
  </si>
  <si>
    <t>H49207</t>
  </si>
  <si>
    <t>Однорычажный смеситель для раковины, белый, хром (гаечный крепеж), карт. 35 мм, H49207</t>
  </si>
  <si>
    <t>Ответвитель DL 100х50</t>
  </si>
  <si>
    <t>Ответвитель DL 40х40</t>
  </si>
  <si>
    <t>Ответвитель DL 50х50</t>
  </si>
  <si>
    <t>Ответвитель DPT Т-образный 100х50 горизонтальный</t>
  </si>
  <si>
    <t>Отсекающий клапан 1/2” BUGATTI ILLINOIS</t>
  </si>
  <si>
    <t>4650098218762</t>
  </si>
  <si>
    <t>02653-DIY</t>
  </si>
  <si>
    <t>Отсекающий клапан 1/2″-DIY</t>
  </si>
  <si>
    <t>Отсекающий клапан 3/8” BUGATTI ILLINOIS</t>
  </si>
  <si>
    <t>M-01119</t>
  </si>
  <si>
    <t>Пакет еврослот AQUALINE 300х400мм</t>
  </si>
  <si>
    <t>1111111111034</t>
  </si>
  <si>
    <t>M-00027</t>
  </si>
  <si>
    <t>Пакет с замком 10х15 Россия 45мкм</t>
  </si>
  <si>
    <t>1111111111042</t>
  </si>
  <si>
    <t>M-00028</t>
  </si>
  <si>
    <t>Пакет с замком 12х17 Россия 45мкм</t>
  </si>
  <si>
    <t>1111111111043</t>
  </si>
  <si>
    <t>M-00029</t>
  </si>
  <si>
    <t>Пакет с замком 15х20 Россия 45мкм</t>
  </si>
  <si>
    <t>1111111111044</t>
  </si>
  <si>
    <t>M-00032</t>
  </si>
  <si>
    <t>Пакет с замком 18х25 Россия 45мкм</t>
  </si>
  <si>
    <t>1111111111047</t>
  </si>
  <si>
    <t>M-00030</t>
  </si>
  <si>
    <t>Пакет с замком 20х25 Россия 45мкм</t>
  </si>
  <si>
    <t>1111111111045</t>
  </si>
  <si>
    <t>M-00031</t>
  </si>
  <si>
    <t>Пакет с замком 25х35 Россия 45мкм</t>
  </si>
  <si>
    <t>1111111111046</t>
  </si>
  <si>
    <t>M-00021</t>
  </si>
  <si>
    <t>Пакет СТС, белый, 38х50, 2+2</t>
  </si>
  <si>
    <t>1111111111036</t>
  </si>
  <si>
    <t>Пакет-майка, 30х40, 2+2, ПНД 20 мкм</t>
  </si>
  <si>
    <t>1111111111004</t>
  </si>
  <si>
    <t>Паллет кросс-докинг</t>
  </si>
  <si>
    <t>S-01111</t>
  </si>
  <si>
    <t>Паллет ФинтехФабрик</t>
  </si>
  <si>
    <t>ФинтехФабрик</t>
  </si>
  <si>
    <t>Товары на хранении</t>
  </si>
  <si>
    <t>1111111111048</t>
  </si>
  <si>
    <t>S-01112</t>
  </si>
  <si>
    <t>Паллет Шоллер Аллиберт</t>
  </si>
  <si>
    <t>ШОЛЛЕР АЛЛИБЕРТ</t>
  </si>
  <si>
    <t>1111111111051</t>
  </si>
  <si>
    <t>4620010804922</t>
  </si>
  <si>
    <t>4680240064572</t>
  </si>
  <si>
    <t>4620755640717</t>
  </si>
  <si>
    <t>Переходники</t>
  </si>
  <si>
    <t>4650098211763</t>
  </si>
  <si>
    <t>4630003327819</t>
  </si>
  <si>
    <t>02372-DIY</t>
  </si>
  <si>
    <t>Переходник  1 1/4''M x 1 1/2"F DIY</t>
  </si>
  <si>
    <t>4650098211770</t>
  </si>
  <si>
    <t>Переходник  1/2''M x 1 1/4"F</t>
  </si>
  <si>
    <t>4630003327833</t>
  </si>
  <si>
    <t>02367-DIY</t>
  </si>
  <si>
    <t>Переходник   1/2''M x 1 1/4"F DIY</t>
  </si>
  <si>
    <t>Переходник  1/2''M x 1 1/4"F DIY</t>
  </si>
  <si>
    <t>Переходник  1/2''M x 1"F</t>
  </si>
  <si>
    <t>4630003322258</t>
  </si>
  <si>
    <t>02549-DIY</t>
  </si>
  <si>
    <t>Переходник   1/2''M x 1"F DIY</t>
  </si>
  <si>
    <t>Переходник  1/2''M x 1"F DIY</t>
  </si>
  <si>
    <t>Переходник  1/2''M x 1/2"F</t>
  </si>
  <si>
    <t>4630003323187</t>
  </si>
  <si>
    <t>02684-DIY</t>
  </si>
  <si>
    <t>Переходник   1/2''M x 1/2"F DIY</t>
  </si>
  <si>
    <t>Переходник  1/2''M x 1/2"F DIY</t>
  </si>
  <si>
    <t>Переходник  1/2''M x 3/4"F</t>
  </si>
  <si>
    <t>4630003322265</t>
  </si>
  <si>
    <t>02550-DIY</t>
  </si>
  <si>
    <t>Переходник   1/2''M x 3/4"F DIY</t>
  </si>
  <si>
    <t>Переходник  1/2''M x 3/4"F DIY</t>
  </si>
  <si>
    <t>4630003327826</t>
  </si>
  <si>
    <t>02370-DIY</t>
  </si>
  <si>
    <t>Переходник  1''M x 1 1/2"F DIY</t>
  </si>
  <si>
    <t>4630003322296</t>
  </si>
  <si>
    <t>02369-DIY</t>
  </si>
  <si>
    <t>Переходник  1''M x 1 1/4"F DIY</t>
  </si>
  <si>
    <t>4650098211787</t>
  </si>
  <si>
    <t>Переходник  3/4''M x 1 1/2"F</t>
  </si>
  <si>
    <t>4650098210025</t>
  </si>
  <si>
    <t>02371-DIY</t>
  </si>
  <si>
    <t>Переходник   3/4''M x 1 1/2"F DIY</t>
  </si>
  <si>
    <t>Переходник  3/4''M x 1 1/2"F DIY</t>
  </si>
  <si>
    <t>Переходник  3/4''M x 1 1/4"F</t>
  </si>
  <si>
    <t>4630003322289</t>
  </si>
  <si>
    <t>02368-DIY</t>
  </si>
  <si>
    <t>Переходник   3/4''M x 1 1/4"F DIY</t>
  </si>
  <si>
    <t>Переходник  3/4''M x 1 1/4"F DIY</t>
  </si>
  <si>
    <t>Переходник  3/4''M x 1"F</t>
  </si>
  <si>
    <t>4630003322272</t>
  </si>
  <si>
    <t>02548-DIY</t>
  </si>
  <si>
    <t>Переходник   3/4''M x 1"F DIY</t>
  </si>
  <si>
    <t>Переходник  3/4''M x 1"F DIY</t>
  </si>
  <si>
    <t>Переходник  3/4''M x 3/4"F</t>
  </si>
  <si>
    <t>4650098211756</t>
  </si>
  <si>
    <t>02683-DIY</t>
  </si>
  <si>
    <t>Переходник   3/4''M x 3/4"F DIY</t>
  </si>
  <si>
    <t>Переходник  3/4''M x 3/4"F DIY</t>
  </si>
  <si>
    <t>Переходник  3/8''M x 1/2"F</t>
  </si>
  <si>
    <t>4630003322241</t>
  </si>
  <si>
    <t>02547-DIY</t>
  </si>
  <si>
    <t>Переходник    3/8''M x 1/2"F DIY</t>
  </si>
  <si>
    <t>Переходник  3/8''M x 1/2"F DIY</t>
  </si>
  <si>
    <t>00161-DIY</t>
  </si>
  <si>
    <t>Переходник  S16х1/2 M DIY</t>
  </si>
  <si>
    <t>4630003324887</t>
  </si>
  <si>
    <t>0606-В</t>
  </si>
  <si>
    <t>Переходник 1 - 1 1/2   ш/г</t>
  </si>
  <si>
    <t>0605-В</t>
  </si>
  <si>
    <t>Переходник 1 - 1 1/4   ш/г</t>
  </si>
  <si>
    <t>0620-В</t>
  </si>
  <si>
    <t>Переходник 1 - 2   ш/г</t>
  </si>
  <si>
    <t>0601-В20</t>
  </si>
  <si>
    <t>Переходник 1/2   ш/г</t>
  </si>
  <si>
    <t>4630003324962</t>
  </si>
  <si>
    <t>0602-В</t>
  </si>
  <si>
    <t>Переходник 1/2 - 1  ш/г</t>
  </si>
  <si>
    <t>0610-В</t>
  </si>
  <si>
    <t>Переходник 1/2 - 1 1/4   ш/г</t>
  </si>
  <si>
    <t>0603-В</t>
  </si>
  <si>
    <t>Переходник 1/2 - 3/4   ш/г</t>
  </si>
  <si>
    <t>0601-В</t>
  </si>
  <si>
    <t>Переходник 1/2  ш/г</t>
  </si>
  <si>
    <t>Переходник 16 мм IP65 армированная труба-коробка</t>
  </si>
  <si>
    <t>Переходник 2 цанги S16х16</t>
  </si>
  <si>
    <t>4630003325068</t>
  </si>
  <si>
    <t>00163-DIY</t>
  </si>
  <si>
    <t>Переходник  S16х16 DIY</t>
  </si>
  <si>
    <t>Переходник 2 цанги S16х16 DIY</t>
  </si>
  <si>
    <t>Переходник 2 цанги S16х20</t>
  </si>
  <si>
    <t>4630003324870</t>
  </si>
  <si>
    <t>00490-DIY</t>
  </si>
  <si>
    <t>Переходник  S16х20 DIY</t>
  </si>
  <si>
    <t>Переходник 2 цанги S16х20 DIY</t>
  </si>
  <si>
    <t>Переходник 2 цанги S20х20</t>
  </si>
  <si>
    <t>4630003324948</t>
  </si>
  <si>
    <t>00165-DIY</t>
  </si>
  <si>
    <t>Переходник  S20х20 DIY</t>
  </si>
  <si>
    <t>Переходник 2 цанги S20х20 DIY</t>
  </si>
  <si>
    <t>Обжимные фитинги 20</t>
  </si>
  <si>
    <t>Переходник  S20х26</t>
  </si>
  <si>
    <t>Переходник 2 цанги S20х26</t>
  </si>
  <si>
    <t>Переходник  S26х26</t>
  </si>
  <si>
    <t>Переходник 2 цанги S26х26</t>
  </si>
  <si>
    <t>Переходник  S26х32</t>
  </si>
  <si>
    <t>Переходник 2 цанги S26х32</t>
  </si>
  <si>
    <t>Переходник  S32х32</t>
  </si>
  <si>
    <t>Переходник 2 цанги S32х32</t>
  </si>
  <si>
    <t>Переходник 20 мм IP65 армированная труба-коробка</t>
  </si>
  <si>
    <t>0613-В</t>
  </si>
  <si>
    <t>Переходник 3/4 - 1  ш/г</t>
  </si>
  <si>
    <t>0604-В</t>
  </si>
  <si>
    <t>Переходник 3/4 - 1 1/2   ш/г</t>
  </si>
  <si>
    <t>0607-В</t>
  </si>
  <si>
    <t>Переходник 3/4 - 1 1/4   ш/г</t>
  </si>
  <si>
    <t>0623-В</t>
  </si>
  <si>
    <t>Переходник 3/4 - 2   ш/г</t>
  </si>
  <si>
    <t>0640-В</t>
  </si>
  <si>
    <t>Переходник 3/8 - 1/2   ш/г</t>
  </si>
  <si>
    <t>Переходник 40 мм IP65 армированная труба-коробка</t>
  </si>
  <si>
    <t>Переходник RRC 100/50 h50</t>
  </si>
  <si>
    <t>Переходник армированная труба-жесткая труба IP67 20мм</t>
  </si>
  <si>
    <t>Переходник армированная труба-коробка IP65 1и1/4дюйма 35мм</t>
  </si>
  <si>
    <t>Переходник для МП труб зажимной 1/2”х16 (2 мм) BUGATTI W4000</t>
  </si>
  <si>
    <t>4650098214610</t>
  </si>
  <si>
    <t>04587-DIY</t>
  </si>
  <si>
    <t>Переходник для радиатора лев. 1''х1/2''  с силик. прокл. DIY</t>
  </si>
  <si>
    <t>4650098214627</t>
  </si>
  <si>
    <t>04589-DIY</t>
  </si>
  <si>
    <t>Переходник для радиатора лев. 1''х3/4''  с силик. прокл. DIY</t>
  </si>
  <si>
    <t>4650098214597</t>
  </si>
  <si>
    <t>04588-DIY</t>
  </si>
  <si>
    <t>Переходник для радиатора прав. 1''х1/2''  с силик. прокл. DIY</t>
  </si>
  <si>
    <t>4650098214603</t>
  </si>
  <si>
    <t>04590-DIY</t>
  </si>
  <si>
    <t>Переходник для радиатора прав. 1''х3/4''  с силик. прокл. DIY</t>
  </si>
  <si>
    <t>Переходник круглый  1/2''M x 1"F</t>
  </si>
  <si>
    <t>Переходник круглый  1/2''M x 3/4"F</t>
  </si>
  <si>
    <t>Переходник круглый  3/4''M x 1"F</t>
  </si>
  <si>
    <t>Переходник круглый   3/8''M x 1/2"F</t>
  </si>
  <si>
    <t>Переходник круглый  3/8''M x 1/2"F</t>
  </si>
  <si>
    <t>0002-3</t>
  </si>
  <si>
    <t>Переходник на р/шланг  1/2 г - 10</t>
  </si>
  <si>
    <t>0002-4</t>
  </si>
  <si>
    <t>Переходник на р/шланг  1/2 г - 12</t>
  </si>
  <si>
    <t>0002-5</t>
  </si>
  <si>
    <t>Переходник на р/шланг  1/2 г - 14</t>
  </si>
  <si>
    <t>0002-6</t>
  </si>
  <si>
    <t>Переходник на р/шланг  1/2 г - 16</t>
  </si>
  <si>
    <t>0002-7</t>
  </si>
  <si>
    <t>Переходник на р/шланг  1/2 г - 18</t>
  </si>
  <si>
    <t>0002-8</t>
  </si>
  <si>
    <t>Переходник на р/шланг  1/2 г - 20</t>
  </si>
  <si>
    <t>0002-1</t>
  </si>
  <si>
    <t>Переходник на р/шланг  1/2 г - 8</t>
  </si>
  <si>
    <t>0008-2</t>
  </si>
  <si>
    <t>Переходник на р/шланг  1/2 ш - 10</t>
  </si>
  <si>
    <t>0008-3</t>
  </si>
  <si>
    <t>Переходник на р/шланг  1/2 ш - 12</t>
  </si>
  <si>
    <t>0008-4</t>
  </si>
  <si>
    <t>Переходник на р/шланг  1/2 ш - 14</t>
  </si>
  <si>
    <t>0008-5</t>
  </si>
  <si>
    <t>Переходник на р/шланг  1/2 ш - 16</t>
  </si>
  <si>
    <t>0008-6</t>
  </si>
  <si>
    <t>Переходник на р/шланг  1/2 ш - 18</t>
  </si>
  <si>
    <t>0008-7</t>
  </si>
  <si>
    <t>Переходник на р/шланг  1/2 ш - 20</t>
  </si>
  <si>
    <t>0008-1</t>
  </si>
  <si>
    <t>Переходник на р/шланг  1/2 ш - 8</t>
  </si>
  <si>
    <t>0003-5</t>
  </si>
  <si>
    <t>Переходник на р/шланг  3/4 г - 20</t>
  </si>
  <si>
    <t>0009-5</t>
  </si>
  <si>
    <t>Переходник на р/шланг  3/4 ш - 20</t>
  </si>
  <si>
    <t>Переходник цанга/гайка S16х1/2 F</t>
  </si>
  <si>
    <t>4630003324856</t>
  </si>
  <si>
    <t>00162-DIY</t>
  </si>
  <si>
    <t>Переходник  S16х1/2 F  DIY</t>
  </si>
  <si>
    <t>Переходник цанга/гайка S16х1/2 F DIY</t>
  </si>
  <si>
    <t>Переходник цанга/гайка S16х3/4 F</t>
  </si>
  <si>
    <t>4630003324863</t>
  </si>
  <si>
    <t>00289-DIY</t>
  </si>
  <si>
    <t>Переходник  S16х3/4 F DIY</t>
  </si>
  <si>
    <t>Переходник цанга/гайка S16х3/4 F DIY</t>
  </si>
  <si>
    <t>Переходник цанга/гайка S20х1/2 F</t>
  </si>
  <si>
    <t>4630003324832</t>
  </si>
  <si>
    <t>00290-DIY</t>
  </si>
  <si>
    <t>Переходник  S20х1/2 F DIY</t>
  </si>
  <si>
    <t>Переходник цанга/гайка S20х1/2 F DIY</t>
  </si>
  <si>
    <t>Переходник цанга/гайка S20х3/4 F</t>
  </si>
  <si>
    <t>4630003324931</t>
  </si>
  <si>
    <t>00173-DIY</t>
  </si>
  <si>
    <t>Переходник  S20х3/4 F DIY</t>
  </si>
  <si>
    <t>Переходник цанга/гайка S20х3/4 F DIY</t>
  </si>
  <si>
    <t>Переходник  S26х1 F</t>
  </si>
  <si>
    <t>Переходник цанга/гайка S26х1 F</t>
  </si>
  <si>
    <t>Переходник  S26х1/2 F</t>
  </si>
  <si>
    <t>Переходник цанга/гайка S26х1/2 F</t>
  </si>
  <si>
    <t>Переходник  S26х3/4 F</t>
  </si>
  <si>
    <t>Переходник цанга/гайка S26х3/4 F</t>
  </si>
  <si>
    <t>Переходник  S32х1 F</t>
  </si>
  <si>
    <t>Переходник цанга/гайка S32х1 F</t>
  </si>
  <si>
    <t>Переходник  S32х1/2 F</t>
  </si>
  <si>
    <t>Переходник цанга/гайка S32х1/2 F</t>
  </si>
  <si>
    <t>Переходник  S32х3/4 F</t>
  </si>
  <si>
    <t>Переходник цанга/гайка S32х3/4 F</t>
  </si>
  <si>
    <t>Переходник цанга/штуцер S16х1/2 М</t>
  </si>
  <si>
    <t>Переходник цанга/штуцер S16х3/4 М</t>
  </si>
  <si>
    <t>4630003325594</t>
  </si>
  <si>
    <t>00464-DIY</t>
  </si>
  <si>
    <t>Переходник  S16х3/4 M DIY</t>
  </si>
  <si>
    <t>Переходник цанга/штуцер S16х3/4 М DIY</t>
  </si>
  <si>
    <t>Переходник цанга/штуцер S20х1/2 М</t>
  </si>
  <si>
    <t>4630003324955</t>
  </si>
  <si>
    <t>00167-DIY</t>
  </si>
  <si>
    <t>Переходник  S20х1/2 M DIY</t>
  </si>
  <si>
    <t>Переходник цанга/штуцер S20х1/2 М DIY</t>
  </si>
  <si>
    <t>Переходник цанга/штуцер S20х3/4 М</t>
  </si>
  <si>
    <t>00172-DIY</t>
  </si>
  <si>
    <t>Переходник  S20х3/4 M DIY</t>
  </si>
  <si>
    <t>Переходник цанга/штуцер S20х3/4 М DIY</t>
  </si>
  <si>
    <t>Переходник  S26х1 M</t>
  </si>
  <si>
    <t>Переходник цанга/штуцер S26х1 М</t>
  </si>
  <si>
    <t>Переходник  S26х1/2 M</t>
  </si>
  <si>
    <t>Переходник цанга/штуцер S26х1/2 М</t>
  </si>
  <si>
    <t>Переходник  S26х3/4 M</t>
  </si>
  <si>
    <t>Переходник цанга/штуцер S26х3/4 М</t>
  </si>
  <si>
    <t>Переходник  S32х1 M</t>
  </si>
  <si>
    <t>Переходник цанга/штуцер S32х1 М</t>
  </si>
  <si>
    <t>Переходник  S32х1/2 M</t>
  </si>
  <si>
    <t>Переходник цанга/штуцер S32х1/2 М</t>
  </si>
  <si>
    <t>Переходник  S32х3/4 M</t>
  </si>
  <si>
    <t>Переходник цанга/штуцер S32х3/4 М</t>
  </si>
  <si>
    <t>Переходник  S32х5/4 M</t>
  </si>
  <si>
    <t>Переходник цанга/штуцер S32х5/4 М</t>
  </si>
  <si>
    <t>Перчатки для работы со сварочным аппаратом</t>
  </si>
  <si>
    <t>4203291000</t>
  </si>
  <si>
    <t>Планка для трубы PERT</t>
  </si>
  <si>
    <t>4650098214467</t>
  </si>
  <si>
    <t>04747-DIY</t>
  </si>
  <si>
    <t>Планка д/труб PERT 16/20 универ-DIY</t>
  </si>
  <si>
    <t>Планка для PERT трубы</t>
  </si>
  <si>
    <t xml:space="preserve">Пластина соединительная GTO H50 </t>
  </si>
  <si>
    <t>Пластина соединительная GTO H50</t>
  </si>
  <si>
    <t>Пластина торцевая TC 400х50</t>
  </si>
  <si>
    <t>H-01179</t>
  </si>
  <si>
    <t>Подвесная скоба Т-серии d&amp;b audiotechnik Z5371.000</t>
  </si>
  <si>
    <t>Подводка гибкая для воды "Гигант" с латунной гайкой 1" вн-вн  40 см</t>
  </si>
  <si>
    <t>Подводка "Гигант"</t>
  </si>
  <si>
    <t>Гибкая подводка "Гигант"</t>
  </si>
  <si>
    <t>02.10.2020</t>
  </si>
  <si>
    <t>4670064710410</t>
  </si>
  <si>
    <t>4009220009</t>
  </si>
  <si>
    <t>Подводка гибкая для воды "Гигант" с латунной гайкой 1" вн-вн  50 см</t>
  </si>
  <si>
    <t>4670064710434</t>
  </si>
  <si>
    <t>4670064710496</t>
  </si>
  <si>
    <t>4670064710755</t>
  </si>
  <si>
    <t>4670064710519</t>
  </si>
  <si>
    <t>4670064710533</t>
  </si>
  <si>
    <t>4670064710694</t>
  </si>
  <si>
    <t>4670064710458</t>
  </si>
  <si>
    <t>4670064710717</t>
  </si>
  <si>
    <t>4670064710472</t>
  </si>
  <si>
    <t>4670064710731</t>
  </si>
  <si>
    <t>4670064710632</t>
  </si>
  <si>
    <t>4670064710830</t>
  </si>
  <si>
    <t>4670064710656</t>
  </si>
  <si>
    <t>4670064710670</t>
  </si>
  <si>
    <t>4670064710557</t>
  </si>
  <si>
    <t>4670064710571</t>
  </si>
  <si>
    <t>4670064710779</t>
  </si>
  <si>
    <t>4670064710595</t>
  </si>
  <si>
    <t>4670064710793</t>
  </si>
  <si>
    <t>4670064710618</t>
  </si>
  <si>
    <t>4670064710816</t>
  </si>
  <si>
    <t>4670064710892</t>
  </si>
  <si>
    <t>4670064710908</t>
  </si>
  <si>
    <t>4670064710915</t>
  </si>
  <si>
    <t>4670064710847</t>
  </si>
  <si>
    <t>4670064710854</t>
  </si>
  <si>
    <t>4670064710861</t>
  </si>
  <si>
    <t>4670064710878</t>
  </si>
  <si>
    <t>4670064710885</t>
  </si>
  <si>
    <t>4670064710977</t>
  </si>
  <si>
    <t>4670064710984</t>
  </si>
  <si>
    <t>4670064710991</t>
  </si>
  <si>
    <t>4670064710922</t>
  </si>
  <si>
    <t>4670064710939</t>
  </si>
  <si>
    <t>4670064710946</t>
  </si>
  <si>
    <t>4670064710953</t>
  </si>
  <si>
    <t>4670064710960</t>
  </si>
  <si>
    <t>4670064711059</t>
  </si>
  <si>
    <t>4670064711066</t>
  </si>
  <si>
    <t>4670064711073</t>
  </si>
  <si>
    <t>4670064711004</t>
  </si>
  <si>
    <t>4670064711011</t>
  </si>
  <si>
    <t>4670064711028</t>
  </si>
  <si>
    <t>4670064711035</t>
  </si>
  <si>
    <t>4670064711042</t>
  </si>
  <si>
    <t>4670064711134</t>
  </si>
  <si>
    <t>4670064711141</t>
  </si>
  <si>
    <t>4670064711158</t>
  </si>
  <si>
    <t>4670064711080</t>
  </si>
  <si>
    <t>4670064711097</t>
  </si>
  <si>
    <t>4670064711103</t>
  </si>
  <si>
    <t>4670064711110</t>
  </si>
  <si>
    <t>4670064711127</t>
  </si>
  <si>
    <t>Подводка гибкая для воды FF 100, латунная гайка</t>
  </si>
  <si>
    <t>Гибкая подводка для воды с латунной гайкой</t>
  </si>
  <si>
    <t>Подводка</t>
  </si>
  <si>
    <t>Гибкая подводка с латунной гайкой</t>
  </si>
  <si>
    <t>4630003320131</t>
  </si>
  <si>
    <t>01418-DIY</t>
  </si>
  <si>
    <t>Подводка  FF  100 DIY</t>
  </si>
  <si>
    <t>Подводка гибкая для воды FF 100, латунная гайка DIY</t>
  </si>
  <si>
    <t>Подводка гибкая для воды FF 100, стальная гайка</t>
  </si>
  <si>
    <t>Гибкая подводка для воды со стальной гайкой</t>
  </si>
  <si>
    <t>Гибкая подводка со стальной гайкой</t>
  </si>
  <si>
    <t>4630003321244</t>
  </si>
  <si>
    <t>04806-DIY</t>
  </si>
  <si>
    <t>Подводка  FF  100  стальная гайка-DIY</t>
  </si>
  <si>
    <t>Подводка гибкая для воды FF 100, стальная гайка-DIY</t>
  </si>
  <si>
    <t>Гибкая подводка для воды с стальной гайкой</t>
  </si>
  <si>
    <t>Подводка гибкая для воды FF 120, латунная гайка</t>
  </si>
  <si>
    <t>4630003320155</t>
  </si>
  <si>
    <t>01419-DIY</t>
  </si>
  <si>
    <t>Подводка  FF  120 DIY</t>
  </si>
  <si>
    <t>Подводка гибкая для воды FF 120, латунная гайка DIY</t>
  </si>
  <si>
    <t>Подводка гибкая для воды FF 120, стальная гайка</t>
  </si>
  <si>
    <t>4630003321251</t>
  </si>
  <si>
    <t>04807-DIY</t>
  </si>
  <si>
    <t>Подводка  FF  120  стальная гайка-DIY</t>
  </si>
  <si>
    <t>Подводка гибкая для воды FF 120, стальная гайка-DIY</t>
  </si>
  <si>
    <t>Подводка гибкая для воды FF 150, латунная гайка</t>
  </si>
  <si>
    <t>4630003320179</t>
  </si>
  <si>
    <t>01420-DIY</t>
  </si>
  <si>
    <t>Подводка  FF  150 DIY</t>
  </si>
  <si>
    <t>Подводка гибкая для воды FF 150, латунная гайка DIY</t>
  </si>
  <si>
    <t>Подводка гибкая для воды FF 150, стальная гайка</t>
  </si>
  <si>
    <t>4630003321268</t>
  </si>
  <si>
    <t>04808-DIY</t>
  </si>
  <si>
    <t>Подводка  FF  150  стальная гайка-DIY</t>
  </si>
  <si>
    <t>Подводка гибкая для воды FF 150, стальная гайка-DIY</t>
  </si>
  <si>
    <t>Подводка гибкая для воды FF 180, латунная гайка</t>
  </si>
  <si>
    <t>4630003320193</t>
  </si>
  <si>
    <t>01421-DIY</t>
  </si>
  <si>
    <t>Подводка  FF  180 DIY</t>
  </si>
  <si>
    <t>Подводка гибкая для воды FF 180, латунная гайка DIY</t>
  </si>
  <si>
    <t>Подводка гибкая для воды FF 180, стальная гайка</t>
  </si>
  <si>
    <t>4630003321275</t>
  </si>
  <si>
    <t>Подводка гибкая для воды FF 20, латунная гайка</t>
  </si>
  <si>
    <t>4630003320971</t>
  </si>
  <si>
    <t>02355-DIY</t>
  </si>
  <si>
    <t>Подводка  FF   20 DIY</t>
  </si>
  <si>
    <t>Подводка гибкая для воды FF 20, латунная гайка DIY</t>
  </si>
  <si>
    <t>Подводка гибкая для воды FF 20, стальная гайка</t>
  </si>
  <si>
    <t>4630003321183</t>
  </si>
  <si>
    <t>Подводка гибкая для воды FF 200, латунная гайка</t>
  </si>
  <si>
    <t>4630003320216</t>
  </si>
  <si>
    <t>01422-DIY</t>
  </si>
  <si>
    <t>Подводка  FF  200 DIY</t>
  </si>
  <si>
    <t>Подводка гибкая для воды FF 200, латунная гайка DIY</t>
  </si>
  <si>
    <t>Подводка гибкая для воды FF 200, стальная гайка</t>
  </si>
  <si>
    <t>4630003321282</t>
  </si>
  <si>
    <t>04810-DIY</t>
  </si>
  <si>
    <t>Подводка  FF  200  стальная гайка-DIY</t>
  </si>
  <si>
    <t>Подводка гибкая для воды FF 200, стальная гайка-DIY</t>
  </si>
  <si>
    <t>Подводка гибкая для воды FF 250, латунная гайка</t>
  </si>
  <si>
    <t>4630003320230</t>
  </si>
  <si>
    <t>01423-DIY</t>
  </si>
  <si>
    <t>Подводка  FF  250 DIY</t>
  </si>
  <si>
    <t>Подводка гибкая для воды FF 250, латунная гайка DIY</t>
  </si>
  <si>
    <t>Подводка гибкая для воды FF 250, стальная гайка</t>
  </si>
  <si>
    <t>4630003321299</t>
  </si>
  <si>
    <t>01412/SDL</t>
  </si>
  <si>
    <t>Подводка  FF   30 SDL образец</t>
  </si>
  <si>
    <t>Подводка гибкая для воды FF 30, латунная гайка</t>
  </si>
  <si>
    <t>01412/CAF</t>
  </si>
  <si>
    <t>Подводка  FF   30 CAF образец</t>
  </si>
  <si>
    <t>я_test уп 44 30</t>
  </si>
  <si>
    <t>4630003320018</t>
  </si>
  <si>
    <t>01412-DIY</t>
  </si>
  <si>
    <t>Подводка  FF   30 DIY</t>
  </si>
  <si>
    <t>Подводка гибкая для воды FF 30, латунная гайка DIY</t>
  </si>
  <si>
    <t>Подводка гибкая для воды FF 30, стальная гайка</t>
  </si>
  <si>
    <t>4630003321190</t>
  </si>
  <si>
    <t>04801-DIY</t>
  </si>
  <si>
    <t>Подводка  FF   30  стальная гайка-DIY</t>
  </si>
  <si>
    <t>Подводка гибкая для воды FF 30, стальная гайка-DIY</t>
  </si>
  <si>
    <t>Подводка гибкая для воды FF 300, латунная гайка</t>
  </si>
  <si>
    <t>4630003320254</t>
  </si>
  <si>
    <t>01424-DIY</t>
  </si>
  <si>
    <t>Подводка  FF  300 DIY</t>
  </si>
  <si>
    <t>Подводка гибкая для воды FF 300, латунная гайка DIY</t>
  </si>
  <si>
    <t>Подводка гибкая для воды FF 300, стальная гайка</t>
  </si>
  <si>
    <t>4630003321305</t>
  </si>
  <si>
    <t>04812-DIY</t>
  </si>
  <si>
    <t>Подводка  FF  300  стальная гайка-DIY</t>
  </si>
  <si>
    <t>Подводка гибкая для воды FF 300, стальная гайка-DIY</t>
  </si>
  <si>
    <t>Подводка гибкая для воды FF 350, латунная гайка</t>
  </si>
  <si>
    <t>4630003320278</t>
  </si>
  <si>
    <t>01425-DIY</t>
  </si>
  <si>
    <t>Подводка  FF  350 DIY</t>
  </si>
  <si>
    <t>Подводка гибкая для воды FF 350, латунная гайка DIY</t>
  </si>
  <si>
    <t>Подводка гибкая для воды FF 350, стальная гайка</t>
  </si>
  <si>
    <t>4630003321312</t>
  </si>
  <si>
    <t>Подводка гибкая для воды FF 40, латунная гайка</t>
  </si>
  <si>
    <t>4630003320032</t>
  </si>
  <si>
    <t>01413-DIY</t>
  </si>
  <si>
    <t>Подводка  FF   40 DIY</t>
  </si>
  <si>
    <t>Подводка гибкая для воды FF 40, латунная гайка DIY</t>
  </si>
  <si>
    <t>Подводка гибкая для воды FF 40, стальная гайка</t>
  </si>
  <si>
    <t>4630003321206</t>
  </si>
  <si>
    <t>04802-DIY</t>
  </si>
  <si>
    <t>Подводка  FF   40  стальная гайка-DIY</t>
  </si>
  <si>
    <t>Подводка гибкая для воды FF 40, стальная гайка-DIY</t>
  </si>
  <si>
    <t>Подводка гибкая для воды FF 400, латунная гайка</t>
  </si>
  <si>
    <t>4630003321015</t>
  </si>
  <si>
    <t>02356-DIY</t>
  </si>
  <si>
    <t>Подводка  FF  400 DIY</t>
  </si>
  <si>
    <t>Подводка гибкая для воды FF 400, латунная гайка DIY</t>
  </si>
  <si>
    <t>Подводка гибкая для воды FF 400, стальная гайка</t>
  </si>
  <si>
    <t>4630003321329</t>
  </si>
  <si>
    <t>04814-DIY</t>
  </si>
  <si>
    <t>Подводка  FF  400  стальная гайка-DIY</t>
  </si>
  <si>
    <t>Подводка гибкая для воды FF 400, стальная гайка-DIY</t>
  </si>
  <si>
    <t>Подводка гибкая для воды FF 50, латунная гайка</t>
  </si>
  <si>
    <t>4630003320056</t>
  </si>
  <si>
    <t>01414-DIY</t>
  </si>
  <si>
    <t>Подводка  FF   50 DIY</t>
  </si>
  <si>
    <t>Подводка гибкая для воды FF 50, латунная гайка DIY</t>
  </si>
  <si>
    <t>Подводка гибкая для воды FF 50, стальная гайка</t>
  </si>
  <si>
    <t>4630003321213</t>
  </si>
  <si>
    <t>04803-DIY</t>
  </si>
  <si>
    <t>Подводка  FF   50  стальная гайка-DIY</t>
  </si>
  <si>
    <t>Подводка гибкая для воды FF 50, стальная гайка-DIY</t>
  </si>
  <si>
    <t>Подводка гибкая для воды FF 60, латунная гайка</t>
  </si>
  <si>
    <t>4630003320070</t>
  </si>
  <si>
    <t>01415-DIY</t>
  </si>
  <si>
    <t>Подводка  FF   60 DIY</t>
  </si>
  <si>
    <t>Подводка гибкая для воды FF 60, латунная гайка DIY</t>
  </si>
  <si>
    <t>Подводка гибкая для воды FF 60, стальная гайка</t>
  </si>
  <si>
    <t>4630003321220</t>
  </si>
  <si>
    <t>04804-DIY</t>
  </si>
  <si>
    <t>Подводка  FF   60  стальная гайка-DIY</t>
  </si>
  <si>
    <t>Подводка гибкая для воды FF 60, стальная гайка-DIY</t>
  </si>
  <si>
    <t>Подводка гибкая для воды FF 80, латунная гайка</t>
  </si>
  <si>
    <t>4630003320094</t>
  </si>
  <si>
    <t>01416-DIY</t>
  </si>
  <si>
    <t>Подводка  FF   80 DIY</t>
  </si>
  <si>
    <t>Подводка гибкая для воды FF 80, латунная гайка DIY</t>
  </si>
  <si>
    <t>Подводка гибкая для воды FF 80, стальная гайка</t>
  </si>
  <si>
    <t>4630003321237</t>
  </si>
  <si>
    <t>04805-DIY</t>
  </si>
  <si>
    <t>Подводка  FF   80  стальная гайка-DIY</t>
  </si>
  <si>
    <t>Подводка гибкая для воды FF 80, стальная гайка-DIY</t>
  </si>
  <si>
    <t>Подводка гибкая для воды FM 100, латунная гайка</t>
  </si>
  <si>
    <t>4630003320414</t>
  </si>
  <si>
    <t>01432-DIY</t>
  </si>
  <si>
    <t>Подводка  FM  100 DIY</t>
  </si>
  <si>
    <t>Подводка гибкая для воды FM 100, латунная гайка DIY</t>
  </si>
  <si>
    <t>Подводка гибкая для воды FM 100, стальная гайка</t>
  </si>
  <si>
    <t>4630003321398</t>
  </si>
  <si>
    <t>04821-DIY</t>
  </si>
  <si>
    <t>Подводка  FM   100  стальная гайка-DIY</t>
  </si>
  <si>
    <t>Подводка гибкая для воды FM 100, стальная гайка-DIY</t>
  </si>
  <si>
    <t>Подводка гибкая для воды FM 120, латунная гайка</t>
  </si>
  <si>
    <t>4630003320438</t>
  </si>
  <si>
    <t>01433-DIY</t>
  </si>
  <si>
    <t>Подводка  FM  120 DIY</t>
  </si>
  <si>
    <t>Подводка гибкая для воды FM 120, латунная гайка DIY</t>
  </si>
  <si>
    <t>Подводка гибкая для воды FM 120, стальная гайка</t>
  </si>
  <si>
    <t>4630003321404</t>
  </si>
  <si>
    <t>04822-DIY</t>
  </si>
  <si>
    <t>Подводка  FM   120  стальная гайка-DIY</t>
  </si>
  <si>
    <t>Подводка гибкая для воды FM 120, стальная гайка-DIY</t>
  </si>
  <si>
    <t>Подводка гибкая для воды FM 150, латунная гайка</t>
  </si>
  <si>
    <t>4630003320452</t>
  </si>
  <si>
    <t>01434-DIY</t>
  </si>
  <si>
    <t>Подводка  FM  150 DIY</t>
  </si>
  <si>
    <t>Подводка гибкая для воды FM 150, латунная гайка DIY</t>
  </si>
  <si>
    <t>Подводка гибкая для воды FM 150, стальная гайка</t>
  </si>
  <si>
    <t>4630003321411</t>
  </si>
  <si>
    <t>04823-DIY</t>
  </si>
  <si>
    <t>Подводка  FM   150  стальная гайка-DIY</t>
  </si>
  <si>
    <t>Подводка гибкая для воды FM 150, стальная гайка-DIY</t>
  </si>
  <si>
    <t>Подводка гибкая для воды FM 180, латунная гайка</t>
  </si>
  <si>
    <t>4630003320476</t>
  </si>
  <si>
    <t>01435-DIY</t>
  </si>
  <si>
    <t>Подводка  FM  180 DIY</t>
  </si>
  <si>
    <t>Подводка гибкая для воды FM 180, латунная гайка DIY</t>
  </si>
  <si>
    <t>Подводка гибкая для воды FM 180, стальная гайка</t>
  </si>
  <si>
    <t>4630003321428</t>
  </si>
  <si>
    <t>Подводка гибкая для воды FM 20, латунная гайка</t>
  </si>
  <si>
    <t>4630003320995</t>
  </si>
  <si>
    <t>02357-DIY</t>
  </si>
  <si>
    <t>Подводка  FM   20 DIY</t>
  </si>
  <si>
    <t>Подводка гибкая для воды FM 20, латунная гайка DIY</t>
  </si>
  <si>
    <t>Подводка гибкая для воды FM 20, стальная гайка</t>
  </si>
  <si>
    <t>4630003321336</t>
  </si>
  <si>
    <t>Подводка гибкая для воды FM 200, латунная гайка</t>
  </si>
  <si>
    <t>4630003320490</t>
  </si>
  <si>
    <t>01436-DIY</t>
  </si>
  <si>
    <t>Подводка  FM  200 DIY</t>
  </si>
  <si>
    <t>Подводка гибкая для воды FM 200, латунная гайка DIY</t>
  </si>
  <si>
    <t>Подводка гибкая для воды FM 200, стальная гайка</t>
  </si>
  <si>
    <t>4630003321435</t>
  </si>
  <si>
    <t>04825-DIY</t>
  </si>
  <si>
    <t>Подводка  FM   200  стальная гайка-DIY</t>
  </si>
  <si>
    <t>Подводка гибкая для воды FM 200, стальная гайка-DIY</t>
  </si>
  <si>
    <t>Подводка гибкая для воды FM 250, латунная гайка</t>
  </si>
  <si>
    <t>4630003320513</t>
  </si>
  <si>
    <t>01437-DIY</t>
  </si>
  <si>
    <t>Подводка  FM  250 DIY</t>
  </si>
  <si>
    <t>Подводка гибкая для воды FM 250, латунная гайка DIY</t>
  </si>
  <si>
    <t>Подводка гибкая для воды FM 250, стальная гайка</t>
  </si>
  <si>
    <t>4630003321442</t>
  </si>
  <si>
    <t>Подводка гибкая для воды FM 30, латунная гайка</t>
  </si>
  <si>
    <t>4630003320292</t>
  </si>
  <si>
    <t>01426-DIY</t>
  </si>
  <si>
    <t>Подводка  FM   30 DIY</t>
  </si>
  <si>
    <t>Подводка гибкая для воды FM 30, латунная гайка DIY</t>
  </si>
  <si>
    <t>Подводка гибкая для воды FM 30, стальная гайка</t>
  </si>
  <si>
    <t>4630003321343</t>
  </si>
  <si>
    <t>04816-DIY</t>
  </si>
  <si>
    <t>Подводка  FM   30  стальная гайка-DIY</t>
  </si>
  <si>
    <t>Подводка гибкая для воды FM 30, стальная гайка-DIY</t>
  </si>
  <si>
    <t>Подводка гибкая для воды FM 300, латунная гайка</t>
  </si>
  <si>
    <t>4630003320537</t>
  </si>
  <si>
    <t>01438-DIY</t>
  </si>
  <si>
    <t>Подводка  FM  300 DIY</t>
  </si>
  <si>
    <t>Подводка гибкая для воды FM 300, латунная гайка DIY</t>
  </si>
  <si>
    <t>Подводка гибкая для воды FM 300, стальная гайка</t>
  </si>
  <si>
    <t>4630003321459</t>
  </si>
  <si>
    <t>Подводка гибкая для воды FM 350, латунная гайка</t>
  </si>
  <si>
    <t>4630003320551</t>
  </si>
  <si>
    <t>01439-DIY</t>
  </si>
  <si>
    <t>Подводка  FM  350 DIY</t>
  </si>
  <si>
    <t>Подводка гибкая для воды FM 350, латунная гайка DIY</t>
  </si>
  <si>
    <t>Подводка гибкая для воды FM 350, стальная гайка</t>
  </si>
  <si>
    <t>4630003321466</t>
  </si>
  <si>
    <t>Подводка гибкая для воды FM 40, латунная гайка</t>
  </si>
  <si>
    <t>4630003320315</t>
  </si>
  <si>
    <t>01427-DIY</t>
  </si>
  <si>
    <t>Подводка  FM   40 DIY</t>
  </si>
  <si>
    <t>Подводка гибкая для воды FM 40, латунная гайка DIY</t>
  </si>
  <si>
    <t>Подводка гибкая для воды FM 40, стальная гайка</t>
  </si>
  <si>
    <t>4630003321350</t>
  </si>
  <si>
    <t>04817-DIY</t>
  </si>
  <si>
    <t>Подводка  FM   40  стальная гайка-DIY</t>
  </si>
  <si>
    <t>Подводка гибкая для воды FM 40, стальная гайка-DIY</t>
  </si>
  <si>
    <t>Подводка гибкая для воды FM 400, латунная гайка</t>
  </si>
  <si>
    <t>4630003321039</t>
  </si>
  <si>
    <t>02358-DIY</t>
  </si>
  <si>
    <t>Подводка  FM  400 DIY</t>
  </si>
  <si>
    <t>Подводка гибкая для воды FM 400, латунная гайка DIY</t>
  </si>
  <si>
    <t>Подводка гибкая для воды FM 400, стальная гайка</t>
  </si>
  <si>
    <t>4630003321473</t>
  </si>
  <si>
    <t>Подводка гибкая для воды FM 50, латунная гайка</t>
  </si>
  <si>
    <t>4630003320339</t>
  </si>
  <si>
    <t>01428-DIY</t>
  </si>
  <si>
    <t>Подводка  FM   50 DIY</t>
  </si>
  <si>
    <t>Подводка гибкая для воды FM 50, латунная гайка DIY</t>
  </si>
  <si>
    <t>Подводка гибкая для воды FM 50, стальная гайка</t>
  </si>
  <si>
    <t>4630003321367</t>
  </si>
  <si>
    <t>04818-DIY</t>
  </si>
  <si>
    <t>Подводка  FM   50  стальная гайка-DIY</t>
  </si>
  <si>
    <t>Подводка гибкая для воды FM 50, стальная гайка-DIY</t>
  </si>
  <si>
    <t>Подводка гибкая для воды FM 60, латунная гайка</t>
  </si>
  <si>
    <t>4630003320353</t>
  </si>
  <si>
    <t>01429-DIY</t>
  </si>
  <si>
    <t>Подводка  FM   60 DIY</t>
  </si>
  <si>
    <t>Подводка гибкая для воды FM 60, латунная гайка DIY</t>
  </si>
  <si>
    <t>Подводка гибкая для воды FM 60, стальная гайка</t>
  </si>
  <si>
    <t>4630003321374</t>
  </si>
  <si>
    <t>04819-DIY</t>
  </si>
  <si>
    <t>Подводка  FM   60  стальная гайка-DIY</t>
  </si>
  <si>
    <t>Подводка гибкая для воды FM 60, стальная гайка-DIY</t>
  </si>
  <si>
    <t>Подводка гибкая для воды FM 80, латунная гайка</t>
  </si>
  <si>
    <t>4630003320377</t>
  </si>
  <si>
    <t>01430-DIY</t>
  </si>
  <si>
    <t>Подводка  FM   80 DIY</t>
  </si>
  <si>
    <t>Подводка гибкая для воды FM 80, латунная гайка DIY</t>
  </si>
  <si>
    <t>Подводка гибкая для воды FM 80, стальная гайка</t>
  </si>
  <si>
    <t>4630003321381</t>
  </si>
  <si>
    <t>04820-DIY</t>
  </si>
  <si>
    <t>Подводка  FM   80  стальная гайка-DIY</t>
  </si>
  <si>
    <t>Подводка гибкая для воды FM 80, стальная гайка-DIY</t>
  </si>
  <si>
    <t>Подводка гибкая для смесителя 100 см (2 шт.) стальная гайка</t>
  </si>
  <si>
    <t>4630003321534</t>
  </si>
  <si>
    <t>04835-DIY</t>
  </si>
  <si>
    <t>Подводка для смесителя  100 см  стальная гайка  (2 шт.) DIY</t>
  </si>
  <si>
    <t>Подводка гибкая для смесителя 100 см (2 шт.) стальная гайка DIY</t>
  </si>
  <si>
    <t>Подводка гибкая для смесителя 100 см (2 шт.), латунная гайка</t>
  </si>
  <si>
    <t>4630003320810</t>
  </si>
  <si>
    <t>01446-DIY</t>
  </si>
  <si>
    <t>Подводка для смесителя  100 см  (2 шт.) DIY</t>
  </si>
  <si>
    <t>Подводка гибкая для смесителя 100 см (2 шт.), латунная гайка DIY</t>
  </si>
  <si>
    <t>Подводка гибкая для смесителя 120 см (2 шт.) стальная гайка</t>
  </si>
  <si>
    <t>4630003321541</t>
  </si>
  <si>
    <t>04836-DIY</t>
  </si>
  <si>
    <t>Подводка для смесителя  120 см  стальная гайка  (2 шт.)-DIY</t>
  </si>
  <si>
    <t>Подводка гибкая для смесителя 120 см (2 шт.) стальная гайка-DIY</t>
  </si>
  <si>
    <t>Подводка гибкая для смесителя 120 см (2 шт.), латунная гайка</t>
  </si>
  <si>
    <t>4630003320827</t>
  </si>
  <si>
    <t>01447-DIY</t>
  </si>
  <si>
    <t>Подводка для смесителя  120 см  (2 шт.) DIY</t>
  </si>
  <si>
    <t>Подводка гибкая для смесителя 120 см (2 шт.), латунная гайка DIY</t>
  </si>
  <si>
    <t>Подводка гибкая для смесителя 150 см (2 шт.) стальная гайка</t>
  </si>
  <si>
    <t>4630003321558</t>
  </si>
  <si>
    <t>04837-DIY</t>
  </si>
  <si>
    <t>Подводка для смесителя  150 см  стальная гайка  (2 шт.)-DIY</t>
  </si>
  <si>
    <t>Подводка гибкая для смесителя 150 см (2 шт.) стальная гайка-DIY</t>
  </si>
  <si>
    <t>Подводка гибкая для смесителя 150 см (2 шт.), латунная гайка</t>
  </si>
  <si>
    <t>4630003320834</t>
  </si>
  <si>
    <t>01448-DIY</t>
  </si>
  <si>
    <t>Подводка для смесителя  150 см  (2 шт.) DIY</t>
  </si>
  <si>
    <t>Подводка гибкая для смесителя 150 см (2 шт.), латунная гайка DIY</t>
  </si>
  <si>
    <t>Подводка гибкая для смесителя 200 см (2 шт.) стальная гайка</t>
  </si>
  <si>
    <t>4630003321565</t>
  </si>
  <si>
    <t>Подводка гибкая для смесителя 200 см (2 шт.), латунная гайка</t>
  </si>
  <si>
    <t>4630003321053</t>
  </si>
  <si>
    <t>02359-DIY</t>
  </si>
  <si>
    <t>Подводка для смесителя  200 см  (2 шт.) DIY</t>
  </si>
  <si>
    <t>Подводка гибкая для смесителя 200 см (2 шт.), латунная гайка DIY</t>
  </si>
  <si>
    <t>Подводка гибкая для смесителя 30 см (2 шт.) стальная гайка</t>
  </si>
  <si>
    <t>4630003321480</t>
  </si>
  <si>
    <t>04830-DIY</t>
  </si>
  <si>
    <t>Подводка для смесителя  30 см  стальная гайка  (2 шт.)-DIY</t>
  </si>
  <si>
    <t>Подводка гибкая для смесителя 30 см (2 шт.) стальная гайка-DIY</t>
  </si>
  <si>
    <t>Подводка гибкая для смесителя 30 см (2 шт.), латунная гайка</t>
  </si>
  <si>
    <t>4630003320759</t>
  </si>
  <si>
    <t>01440-DIY</t>
  </si>
  <si>
    <t>Подводка для смесителя   30 см  (2 шт.) DIY</t>
  </si>
  <si>
    <t>Подводка гибкая для смесителя 30 см (2 шт.), латунная гайка DIY</t>
  </si>
  <si>
    <t>Подводка гибкая для смесителя 40 см (2 шт.) стальная гайка</t>
  </si>
  <si>
    <t>4630003321503</t>
  </si>
  <si>
    <t>04831-DIY</t>
  </si>
  <si>
    <t>Подводка для смесителя  40 см  стальная гайка  (2 шт.)-DIY</t>
  </si>
  <si>
    <t>Подводка гибкая для смесителя 40 см (2 шт.) стальная гайка)-DIY</t>
  </si>
  <si>
    <t>Подводка гибкая для смесителя 40 см (2 шт.), латунная гайка</t>
  </si>
  <si>
    <t>4630003320766</t>
  </si>
  <si>
    <t>01441-DIY</t>
  </si>
  <si>
    <t>Подводка для смесителя   40 см  (2 шт.) DIY</t>
  </si>
  <si>
    <t>Подводка гибкая для смесителя 40 см (2 шт.), латунная гайка DIY</t>
  </si>
  <si>
    <t>Подводка гибкая для смесителя 50 см (2 шт.) стальная гайка</t>
  </si>
  <si>
    <t>4630003321497</t>
  </si>
  <si>
    <t>04832-DIY</t>
  </si>
  <si>
    <t>Подводка для смесителя  50 см  стальная гайка  (2 шт.)-DIY</t>
  </si>
  <si>
    <t>Подводка гибкая для смесителя 50 см (2 шт.) стальная гайка-DIY</t>
  </si>
  <si>
    <t>Подводка гибкая для смесителя 50 см (2 шт.), латунная гайка</t>
  </si>
  <si>
    <t>4630003320773</t>
  </si>
  <si>
    <t>01442-DIY</t>
  </si>
  <si>
    <t>Подводка для смесителя   50 см  (2 шт.) DIY</t>
  </si>
  <si>
    <t>Подводка гибкая для смесителя 50 см (2 шт.), латунная гайка DIY</t>
  </si>
  <si>
    <t>Подводка гибкая для смесителя 60 см (2 шт.) стальная гайка</t>
  </si>
  <si>
    <t>4630003321510</t>
  </si>
  <si>
    <t>04833-DIY</t>
  </si>
  <si>
    <t>Подводка для смесителя  60 см  стальная гайка  (2 шт.)-DIY</t>
  </si>
  <si>
    <t>Подводка гибкая для смесителя 60 см (2 шт.) стальная гайка-DIY</t>
  </si>
  <si>
    <t>Подводка гибкая для смесителя 60 см (2 шт.), латунная гайка</t>
  </si>
  <si>
    <t>4630003320780</t>
  </si>
  <si>
    <t>01443-DIY</t>
  </si>
  <si>
    <t>Подводка для смесителя   60 см  (2 шт.) DIY</t>
  </si>
  <si>
    <t>Подводка гибкая для смесителя 60 см (2 шт.), латунная гайка DIY</t>
  </si>
  <si>
    <t>Подводка гибкая для смесителя 80 см (2 шт.) стальная гайка</t>
  </si>
  <si>
    <t>4630003321527</t>
  </si>
  <si>
    <t>04834-DIY</t>
  </si>
  <si>
    <t>Подводка для смесителя  80 см  стальная гайка  (2 шт.)-DIY</t>
  </si>
  <si>
    <t>Подводка гибкая для смесителя 80 см (2 шт.) стальная гайка-DIY</t>
  </si>
  <si>
    <t>Подводка гибкая для смесителя 80 см (2 шт.), латунная гайка</t>
  </si>
  <si>
    <t>4630003320797</t>
  </si>
  <si>
    <t>01444-DIY</t>
  </si>
  <si>
    <t>Подводка для смесителя   80 см  (2 шт.) DIY</t>
  </si>
  <si>
    <t>Подводка гибкая для смесителя 80 см (2 шт.), латунная гайка DIY</t>
  </si>
  <si>
    <t>Подводка для смесителя  100 см короткий штуцер (18 мм)</t>
  </si>
  <si>
    <t>Подводка гибкая для смесителя F1/2хM10х18 100 см, стальная гайка</t>
  </si>
  <si>
    <t>4630003321718</t>
  </si>
  <si>
    <t>Подводка для смесителя  120 см короткий штуцер (18 мм)</t>
  </si>
  <si>
    <t>Подводка гибкая для смесителя F1/2хM10х18 120 см, стальная гайка</t>
  </si>
  <si>
    <t>4630003321725</t>
  </si>
  <si>
    <t>Подводка для смесителя  150 см короткий штуцер (18 мм)</t>
  </si>
  <si>
    <t>Подводка гибкая для смесителя F1/2хM10х18 150 см, стальная гайка</t>
  </si>
  <si>
    <t>4630003321732</t>
  </si>
  <si>
    <t>Подводка для смесителя  200 см короткий штуцер (18 мм)</t>
  </si>
  <si>
    <t>Подводка гибкая для смесителя F1/2хM10х18 200 см, стальная гайка</t>
  </si>
  <si>
    <t>4630003321749</t>
  </si>
  <si>
    <t>Подводка для смесителя  30 см короткий штуцер (18 мм)</t>
  </si>
  <si>
    <t>Подводка гибкая для смесителя F1/2хM10х18 30 см, стальная гайка</t>
  </si>
  <si>
    <t>4630003321664</t>
  </si>
  <si>
    <t>Подводка для смесителя  40 см короткий штуцер (18 мм)</t>
  </si>
  <si>
    <t>Подводка гибкая для смесителя F1/2хM10х18 40 см, стальная гайка</t>
  </si>
  <si>
    <t>4630003321671</t>
  </si>
  <si>
    <t>Подводка для смесителя  50 см короткий штуцер (18 мм)</t>
  </si>
  <si>
    <t>Подводка гибкая для смесителя F1/2хM10х18 50 см, стальная гайка</t>
  </si>
  <si>
    <t>4630003321688</t>
  </si>
  <si>
    <t>Подводка для смесителя  60 см короткий штуцер (18 мм)</t>
  </si>
  <si>
    <t>Подводка гибкая для смесителя F1/2хM10х18 60 см, стальная гайка</t>
  </si>
  <si>
    <t>4630003321695</t>
  </si>
  <si>
    <t>Подводка для смесителя  80 см короткий штуцер (18 мм)</t>
  </si>
  <si>
    <t>Подводка гибкая для смесителя F1/2хM10х18 80 см, стальная гайка</t>
  </si>
  <si>
    <t>4630003321701</t>
  </si>
  <si>
    <t>Подводка для смесителя  100 см длинный штуцер (35мм)</t>
  </si>
  <si>
    <t>Подводка гибкая для смесителя F1/2хM10х35 100 см, стальная гайка</t>
  </si>
  <si>
    <t>4630003321626</t>
  </si>
  <si>
    <t>Подводка для смесителя  120 см длинный штуцер (35мм)</t>
  </si>
  <si>
    <t>Подводка гибкая для смесителя F1/2хM10х35 120 см, стальная гайка</t>
  </si>
  <si>
    <t>4630003321633</t>
  </si>
  <si>
    <t>Подводка для смесителя  150 см длинный штуцер (35мм)</t>
  </si>
  <si>
    <t>Подводка гибкая для смесителя F1/2хM10х35 150 см, стальная гайка</t>
  </si>
  <si>
    <t>4630003321640</t>
  </si>
  <si>
    <t>Подводка для смесителя  200 см длинный штуцер (35мм)</t>
  </si>
  <si>
    <t>Подводка гибкая для смесителя F1/2хM10х35 200 см, стальная гайка</t>
  </si>
  <si>
    <t>4630003321657</t>
  </si>
  <si>
    <t>Подводка для смесителя  40 см длинный штуцер (35мм)</t>
  </si>
  <si>
    <t>Подводка гибкая для смесителя F1/2хM10х35 40 см, стальная гайка</t>
  </si>
  <si>
    <t>4630003321589</t>
  </si>
  <si>
    <t>Подводка для смесителя  50 см длинный штуцер (35мм)</t>
  </si>
  <si>
    <t>Подводка гибкая для смесителя F1/2хM10х35 50 см, стальная гайка</t>
  </si>
  <si>
    <t>4630003321596</t>
  </si>
  <si>
    <t>Подводка для смесителя  60 см длинный штуцер (35мм)</t>
  </si>
  <si>
    <t>Подводка гибкая для смесителя F1/2хM10х35 60 см, стальная гайка</t>
  </si>
  <si>
    <t>4630003321602</t>
  </si>
  <si>
    <t>Подводка для смесителя  80 см длинный штуцер (35мм)</t>
  </si>
  <si>
    <t>Подводка гибкая для смесителя F1/2хM10х35 80 см, стальная гайка</t>
  </si>
  <si>
    <t>4630003321619</t>
  </si>
  <si>
    <t>Подводка для смесителя  30 см длинный штуцер (35мм)</t>
  </si>
  <si>
    <t>4630003321572</t>
  </si>
  <si>
    <t>Подводка ПВХ для газа 1/2" вн-вн  30 см</t>
  </si>
  <si>
    <t>Подводка ПВХ для газа</t>
  </si>
  <si>
    <t>Гибкая подводка ПВХ для газа</t>
  </si>
  <si>
    <t>4650098217642</t>
  </si>
  <si>
    <t>Подводка ПВХ для газа 1/2" вн-вн  40 см</t>
  </si>
  <si>
    <t>4650098217666</t>
  </si>
  <si>
    <t>Подводка ПВХ для газа 1/2" вн-вн  50 см</t>
  </si>
  <si>
    <t>4650098217703</t>
  </si>
  <si>
    <t>Подводка ПВХ для газа 1/2" вн-вн  60 см</t>
  </si>
  <si>
    <t>4650098217727</t>
  </si>
  <si>
    <t>Подводка ПВХ для газа 1/2" вн-вн  80 см</t>
  </si>
  <si>
    <t>4650098217741</t>
  </si>
  <si>
    <t>4650098217765</t>
  </si>
  <si>
    <t>4650098217789</t>
  </si>
  <si>
    <t>4650098217802</t>
  </si>
  <si>
    <t>4650098217826</t>
  </si>
  <si>
    <t>4650098217840</t>
  </si>
  <si>
    <t>4650098217864</t>
  </si>
  <si>
    <t>4650098217888</t>
  </si>
  <si>
    <t>4650098217901</t>
  </si>
  <si>
    <t>4650098217925</t>
  </si>
  <si>
    <t>Подводка ПВХ для газа 1/2" вн-нар  30 см</t>
  </si>
  <si>
    <t>4650098217949</t>
  </si>
  <si>
    <t>Подводка ПВХ для газа 1/2" вн-нар  40 см</t>
  </si>
  <si>
    <t>4650098217963</t>
  </si>
  <si>
    <t>Подводка ПВХ для газа 1/2" вн-нар  50 см</t>
  </si>
  <si>
    <t>4650098217987</t>
  </si>
  <si>
    <t>Подводка ПВХ для газа 1/2" вн-нар  60 см</t>
  </si>
  <si>
    <t>4650098218007</t>
  </si>
  <si>
    <t>Подводка ПВХ для газа 1/2" вн-нар  80 см</t>
  </si>
  <si>
    <t>4650098218021</t>
  </si>
  <si>
    <t>4650098218045</t>
  </si>
  <si>
    <t>4650098218069</t>
  </si>
  <si>
    <t>4650098218083</t>
  </si>
  <si>
    <t>4650098218106</t>
  </si>
  <si>
    <t>4650098218120</t>
  </si>
  <si>
    <t>4650098218144</t>
  </si>
  <si>
    <t>4650098218168</t>
  </si>
  <si>
    <t>4650098218182</t>
  </si>
  <si>
    <t>4650098218311</t>
  </si>
  <si>
    <t>Подводка ПВХ для газа 3/4" вн-вн  100 см</t>
  </si>
  <si>
    <t>14.04.2023</t>
  </si>
  <si>
    <t>4660129409717</t>
  </si>
  <si>
    <t>Подводка ПВХ для газа 3/4" вн-вн  120 см</t>
  </si>
  <si>
    <t>4660129409724</t>
  </si>
  <si>
    <t>Подводка ПВХ для газа 3/4" вн-вн  150 см</t>
  </si>
  <si>
    <t>4660129409731</t>
  </si>
  <si>
    <t>4660129409670</t>
  </si>
  <si>
    <t>4660129409687</t>
  </si>
  <si>
    <t>4660129409694</t>
  </si>
  <si>
    <t>Подводка ПВХ для газа 3/4" вн-вн  80 см</t>
  </si>
  <si>
    <t>4660129409700</t>
  </si>
  <si>
    <t>4660129409748</t>
  </si>
  <si>
    <t>4660129409755</t>
  </si>
  <si>
    <t>4660129409762</t>
  </si>
  <si>
    <t>4660129409779</t>
  </si>
  <si>
    <t>4660129409786</t>
  </si>
  <si>
    <t>4660129409793</t>
  </si>
  <si>
    <t>4660129409809</t>
  </si>
  <si>
    <t>4660129409816</t>
  </si>
  <si>
    <t>4660129409823</t>
  </si>
  <si>
    <t>4660129409830</t>
  </si>
  <si>
    <t>4660129409847</t>
  </si>
  <si>
    <t>4660129409854</t>
  </si>
  <si>
    <t>4660129409861</t>
  </si>
  <si>
    <t>Подводка с ПВХ покрытием для воды 1/2" вн-вн  30 см</t>
  </si>
  <si>
    <t>Подводка с ПВХ покрытием для воды</t>
  </si>
  <si>
    <t>Гибкая подводка нейлон/ПВХ</t>
  </si>
  <si>
    <t>4670064711486</t>
  </si>
  <si>
    <t>4009420000</t>
  </si>
  <si>
    <t>Подводка с ПВХ покрытием для воды 1/2" вн-вн  40 см</t>
  </si>
  <si>
    <t>4670064711493</t>
  </si>
  <si>
    <t>Подводка с ПВХ покрытием для воды 1/2" вн-вн  50 см</t>
  </si>
  <si>
    <t>4670064711509</t>
  </si>
  <si>
    <t>Подводка с ПВХ покрытием для воды 1/2" вн-вн  60 см</t>
  </si>
  <si>
    <t>4670064711516</t>
  </si>
  <si>
    <t>Подводка с ПВХ покрытием для воды 1/2" вн-вн  80 см</t>
  </si>
  <si>
    <t>4670064711523</t>
  </si>
  <si>
    <t>4670064711530</t>
  </si>
  <si>
    <t>4670064711547</t>
  </si>
  <si>
    <t>4670064711554</t>
  </si>
  <si>
    <t>4670064711561</t>
  </si>
  <si>
    <t>4670064711578</t>
  </si>
  <si>
    <t>4670064711585</t>
  </si>
  <si>
    <t>4670064711592</t>
  </si>
  <si>
    <t>4670064711608</t>
  </si>
  <si>
    <t>Подводка с ПВХ покрытием для воды 1/2" вн-нар  30 см</t>
  </si>
  <si>
    <t>4670064711615</t>
  </si>
  <si>
    <t>Подводка с ПВХ покрытием для воды 1/2" вн-нар  40 см</t>
  </si>
  <si>
    <t>4670064711622</t>
  </si>
  <si>
    <t>Подводка с ПВХ покрытием для воды 1/2" вн-нар  50 см</t>
  </si>
  <si>
    <t>4670064711639</t>
  </si>
  <si>
    <t>Подводка с ПВХ покрытием для воды 1/2" вн-нар  60 см</t>
  </si>
  <si>
    <t>4670064711646</t>
  </si>
  <si>
    <t>Подводка с ПВХ покрытием для воды 1/2" вн-нар  80 см</t>
  </si>
  <si>
    <t>4670064711653</t>
  </si>
  <si>
    <t>4670064711660</t>
  </si>
  <si>
    <t>4670064711677</t>
  </si>
  <si>
    <t>4670064711684</t>
  </si>
  <si>
    <t>4670064711691</t>
  </si>
  <si>
    <t>4670064711707</t>
  </si>
  <si>
    <t>4670064711714</t>
  </si>
  <si>
    <t>4670064711721</t>
  </si>
  <si>
    <t>4670064711738</t>
  </si>
  <si>
    <t>Подводка с ПВХ покрытием для смесителя  30 см вн-нар (2 шт.)</t>
  </si>
  <si>
    <t>4650098219400</t>
  </si>
  <si>
    <t>Подводка с ПВХ покрытием для смесителя  40 см вн-нар (2 шт.)</t>
  </si>
  <si>
    <t>4650098219424</t>
  </si>
  <si>
    <t>Подводка с ПВХ покрытием для смесителя  50 см вн-нар (2 шт.)</t>
  </si>
  <si>
    <t>4650098219448</t>
  </si>
  <si>
    <t>Подводка с ПВХ покрытием для смесителя  60 см вн-нар (2 шт.)</t>
  </si>
  <si>
    <t>4650098219462</t>
  </si>
  <si>
    <t>Подводка с ПВХ покрытием для смесителя  80 см вн-нар (2 шт.)</t>
  </si>
  <si>
    <t>4650098219486</t>
  </si>
  <si>
    <t>4650098219509</t>
  </si>
  <si>
    <t>4650098219523</t>
  </si>
  <si>
    <t>4650098219547</t>
  </si>
  <si>
    <t>4650098219561</t>
  </si>
  <si>
    <t>Поддон б/у "Типовой"</t>
  </si>
  <si>
    <t>Поддон деревянный</t>
  </si>
  <si>
    <t>Поддон деревянный б/у</t>
  </si>
  <si>
    <t>1111111111002</t>
  </si>
  <si>
    <t>Подмотка</t>
  </si>
  <si>
    <t>4630009040026</t>
  </si>
  <si>
    <t>H-01154</t>
  </si>
  <si>
    <t>Полка 80х30мм</t>
  </si>
  <si>
    <t>H-01138</t>
  </si>
  <si>
    <t>ППГнг(А)-HF 2х1,5ок (N) Конкорд</t>
  </si>
  <si>
    <t>H-01139</t>
  </si>
  <si>
    <t>ППГнг(А)-HF 3х1,5ок (N) Конкорд</t>
  </si>
  <si>
    <t>H-01117</t>
  </si>
  <si>
    <t>ППГнг(А)-HF 3х1,5ок(N,PE)-0,66 кВ ТУ 16.К73.102-2011</t>
  </si>
  <si>
    <t>H-01140</t>
  </si>
  <si>
    <t>ППГнг(А)-HF 3х2,5ок (N) Конкорд</t>
  </si>
  <si>
    <t>H-01118</t>
  </si>
  <si>
    <t>ППГнг(А)-HF 3х2,5ок(N,PE)-0,66 кВ ТУ 16.К73.102-2011</t>
  </si>
  <si>
    <t>Предохранительный клапан для водонагревателей 1/2” BUGATTI ILLINOIS</t>
  </si>
  <si>
    <t>Пресс форма на тройник DN25</t>
  </si>
  <si>
    <t>Private Label</t>
  </si>
  <si>
    <t>Пресс форма на тройник DN25-20-25</t>
  </si>
  <si>
    <t>1316-В</t>
  </si>
  <si>
    <t>Присоединительный комплект Ду-15 (2 штуцера + 2 Гайки)  лат</t>
  </si>
  <si>
    <t>R90086051-FC</t>
  </si>
  <si>
    <t>Проектор Barco BME UDX 4K22</t>
  </si>
  <si>
    <t>V11H940940</t>
  </si>
  <si>
    <t>Проектор EPSON EB-L1070U</t>
  </si>
  <si>
    <t>Прокладка 3/4" (для  наливного шланга)</t>
  </si>
  <si>
    <t>4016930007</t>
  </si>
  <si>
    <t>Прокладка для шланга заливного d 12</t>
  </si>
  <si>
    <t>1111111111000</t>
  </si>
  <si>
    <t>Прокладка для шланга заливного d 14</t>
  </si>
  <si>
    <t>1111111111001</t>
  </si>
  <si>
    <t>4650098214474</t>
  </si>
  <si>
    <t>04745-DIY</t>
  </si>
  <si>
    <t>Прокладка межсекционная для ниппеля  1'' DIY</t>
  </si>
  <si>
    <t>Прокладки</t>
  </si>
  <si>
    <t>4680240081456</t>
  </si>
  <si>
    <t>Прокладка резиновая 1/2" - 18,8х11,4 (100 шт.)</t>
  </si>
  <si>
    <t>4680240082156</t>
  </si>
  <si>
    <t>Прокладка резиновая 3/4" - 24,2х15 (100 шт.)</t>
  </si>
  <si>
    <t>4680240082163</t>
  </si>
  <si>
    <t>BPL-4111</t>
  </si>
  <si>
    <t>Профиль С-образный 41х41 L1100 толщина 1.5 мм горячеоцинкованный</t>
  </si>
  <si>
    <t>Пружина  16</t>
  </si>
  <si>
    <t>Пружина для гибки м/п труб 16 диаметра внутренная 50см</t>
  </si>
  <si>
    <t>7320208908</t>
  </si>
  <si>
    <t>Пружина  20</t>
  </si>
  <si>
    <t>Пружина для гибки м/п труб 20 диаметра внутренная 50см</t>
  </si>
  <si>
    <t>Пружина  26</t>
  </si>
  <si>
    <t>Пружина для гибки м/п труб 26 диаметра внутренная 50см</t>
  </si>
  <si>
    <t>Пружина  32</t>
  </si>
  <si>
    <t>Пружина для гибки м/п труб 32 диаметра внутренная 50см</t>
  </si>
  <si>
    <t>M-00007</t>
  </si>
  <si>
    <t>Пряник имбирный 14*14 см. печать на глазури, инд. упаковка</t>
  </si>
  <si>
    <t>Пряник имбирный 20*20 см. печать на глазури, индивидуальная упаковка</t>
  </si>
  <si>
    <t>H-02000</t>
  </si>
  <si>
    <t>Радиатор Purmo RAMO Ventil Compact (RCV) 11 тип</t>
  </si>
  <si>
    <t>H-02003</t>
  </si>
  <si>
    <t>Радиатор Purmo RAMO Ventil Compact (RCV) 21s тип</t>
  </si>
  <si>
    <t>H-02005</t>
  </si>
  <si>
    <t>Радиатор Purmo RAMO Ventil Compact (RCV) 22 тип</t>
  </si>
  <si>
    <t>Радиатор алюминиевый   УЦЕНКА</t>
  </si>
  <si>
    <t>Радиатор алюминиевый 500/80</t>
  </si>
  <si>
    <t>Радиаторы Китай</t>
  </si>
  <si>
    <t>Радиаторы</t>
  </si>
  <si>
    <t>4630003323477</t>
  </si>
  <si>
    <t>7616991003</t>
  </si>
  <si>
    <t>Радиатор алюминиевый  10 секций</t>
  </si>
  <si>
    <t>4630003323484</t>
  </si>
  <si>
    <t>Радиаторы Россия</t>
  </si>
  <si>
    <t>01.05.2023</t>
  </si>
  <si>
    <t>4660129410096</t>
  </si>
  <si>
    <t>Радиатор алюминиевый  12 секций</t>
  </si>
  <si>
    <t>4630003323491</t>
  </si>
  <si>
    <t>4660129410102</t>
  </si>
  <si>
    <t>Радиатор алюминиевый   4 секции</t>
  </si>
  <si>
    <t>Радиатор алюминиевый 500/80 4 секции</t>
  </si>
  <si>
    <t>4630003323453</t>
  </si>
  <si>
    <t>4660129410065</t>
  </si>
  <si>
    <t>Радиатор алюминиевый   6 секций</t>
  </si>
  <si>
    <t>Радиатор алюминиевый 500/80 6 секций</t>
  </si>
  <si>
    <t>4630003323460</t>
  </si>
  <si>
    <t>4660129410072</t>
  </si>
  <si>
    <t>Радиатор алюминиевый   8 секций</t>
  </si>
  <si>
    <t>Радиатор алюминиевый 500/80 8 секций</t>
  </si>
  <si>
    <t>4660129410089</t>
  </si>
  <si>
    <t>Радиатор биметаллический   УЦЕНКА</t>
  </si>
  <si>
    <t>Радиатор биметаллический 500/80</t>
  </si>
  <si>
    <t>4630003323521</t>
  </si>
  <si>
    <t>7322190000</t>
  </si>
  <si>
    <t>Радиатор биметаллический  10 секций</t>
  </si>
  <si>
    <t>Радиатор биметаллический 500/80 10 секций</t>
  </si>
  <si>
    <t>4630003323538</t>
  </si>
  <si>
    <t>4660129410140</t>
  </si>
  <si>
    <t>7616991002</t>
  </si>
  <si>
    <t>Радиатор биметаллический  12 секций</t>
  </si>
  <si>
    <t>Радиатор биметаллический 500/80 12 секций</t>
  </si>
  <si>
    <t>4630003323545</t>
  </si>
  <si>
    <t>4660129410157</t>
  </si>
  <si>
    <t>Радиатор биметаллический   4 секции</t>
  </si>
  <si>
    <t>Радиатор биметаллический 500/80 4 секции</t>
  </si>
  <si>
    <t>4630003323507</t>
  </si>
  <si>
    <t>4660129410119</t>
  </si>
  <si>
    <t>Радиатор биметаллический   6 секций</t>
  </si>
  <si>
    <t>Радиатор биметаллический 500/80 6 секций</t>
  </si>
  <si>
    <t>4630003323514</t>
  </si>
  <si>
    <t>Радиатор биметаллический 500/80  6 секций</t>
  </si>
  <si>
    <t>4660129410126</t>
  </si>
  <si>
    <t>Радиатор биметаллический   8 секций</t>
  </si>
  <si>
    <t>Радиатор биметаллический 500/80 8 секций</t>
  </si>
  <si>
    <t>Радиатор биметаллический 500/80  8 секций</t>
  </si>
  <si>
    <t>4660129410133</t>
  </si>
  <si>
    <t>H-01159</t>
  </si>
  <si>
    <t>Радиатор конвектор Коробка соединительная</t>
  </si>
  <si>
    <t>H-02001</t>
  </si>
  <si>
    <t>Радиатор панельный Purmo C, тип 21s</t>
  </si>
  <si>
    <t>H-02004</t>
  </si>
  <si>
    <t>Радиатор панельный Purmo C, тип 22</t>
  </si>
  <si>
    <t>H-02006</t>
  </si>
  <si>
    <t>Радиатор стальной Purmo Compact C 11</t>
  </si>
  <si>
    <t>H-02007</t>
  </si>
  <si>
    <t>Радиатор стальной Purmo Compact C 22</t>
  </si>
  <si>
    <t>H-02008</t>
  </si>
  <si>
    <t>Радиатор стальной Purmo Compact C 33</t>
  </si>
  <si>
    <t>Радиаторный вентиль ручной регулировки  1/2”х1/2" BUGATTI DALLAS</t>
  </si>
  <si>
    <t>Радиаторный вентиль ручной регулировки  1/2”х16х1/2" BUGATTI W4000</t>
  </si>
  <si>
    <t>Радиаторный вентиль ручной регулировки  3/4”х3/4" BUGATTI DALLAS</t>
  </si>
  <si>
    <t>Радиаторный вентиль ручной регулировки 1/2”х1/2" BUGATTI DALLAS</t>
  </si>
  <si>
    <t>Радиаторный вентиль ручной регулировки 1/2”х16х1/2" BUGATTI W4000</t>
  </si>
  <si>
    <t>Радиаторный вентиль ручной регулировки 3/4”х3/4" BUGATTI DALLAS</t>
  </si>
  <si>
    <t>8801P004</t>
  </si>
  <si>
    <t>Радиаторный вентиль ручной регулировки со стопор кольцом   1/2”х1/2" BUGATTI DALLAS</t>
  </si>
  <si>
    <t>8801P005</t>
  </si>
  <si>
    <t>Радиаторный вентиль ручной регулировки со стопор кольцом   3/4”х3/4" BUGATTI DALLAS</t>
  </si>
  <si>
    <t>8807P004</t>
  </si>
  <si>
    <t>Радиаторный вентиль ручной регулировки со стопор кольцом  1/2”х1/2"  BUGATTI DALLAS</t>
  </si>
  <si>
    <t>8805P004</t>
  </si>
  <si>
    <t>Радиаторный вентиль ручной регулировки со стопор кольцом  1/2”х1/2" BUGATTI DALLAS</t>
  </si>
  <si>
    <t>8807P005</t>
  </si>
  <si>
    <t>Радиаторный вентиль ручной регулировки со стопор кольцом  3/4”х3/4"  BUGATTI DALLAS</t>
  </si>
  <si>
    <t>8805P005</t>
  </si>
  <si>
    <t>Радиаторный вентиль ручной регулировки со стопор кольцом  3/4”х3/4" BUGATTI DALLAS</t>
  </si>
  <si>
    <t>8803P004</t>
  </si>
  <si>
    <t>Радиаторный вентиль ручной регулировки со стопор кольцом 1/2”х1/2" BUGATTI DALLAS</t>
  </si>
  <si>
    <t>8803P005</t>
  </si>
  <si>
    <t>Радиаторный вентиль ручной регулировки со стопор кольцом 3/4”х3/4" BUGATTI DALLAS</t>
  </si>
  <si>
    <t>Разборный хомут для труб d 2, без изоляции Арт. BHT1520</t>
  </si>
  <si>
    <t>Рамка крепления TL(C) 03/04/414/424/418 595x595 для потолка из гипсокартона</t>
  </si>
  <si>
    <t>4650098217529</t>
  </si>
  <si>
    <t>9026108100</t>
  </si>
  <si>
    <t>02740-DIY</t>
  </si>
  <si>
    <t>Расходомер для коллекторной группы 1/2"-DIY</t>
  </si>
  <si>
    <t>Комплектующие для коллекторной группы</t>
  </si>
  <si>
    <t>LP-0050</t>
  </si>
  <si>
    <t>Регулируемый горизонтальный соединитель внутренний, H50</t>
  </si>
  <si>
    <t>4630003321794</t>
  </si>
  <si>
    <t>02595-DIY</t>
  </si>
  <si>
    <t>Регулирующий клапан для радиатора прямой  FM 1/2" DIY</t>
  </si>
  <si>
    <t>4630003321800</t>
  </si>
  <si>
    <t>02596-DIY</t>
  </si>
  <si>
    <t>Регулирующий клапан для радиатора прямой  FM 3/4" DIY</t>
  </si>
  <si>
    <t>4650098212241</t>
  </si>
  <si>
    <t>02597-DIY</t>
  </si>
  <si>
    <t>Регулирующий клапан для радиатора угловой  FM 1/2" DIY</t>
  </si>
  <si>
    <t>4650098212258</t>
  </si>
  <si>
    <t>02598-DIY</t>
  </si>
  <si>
    <t>Регулирующий клапан для радиатора угловой  FM 3/4" DIY</t>
  </si>
  <si>
    <t>22.06.2020</t>
  </si>
  <si>
    <t>4650098218786</t>
  </si>
  <si>
    <t>8481805910</t>
  </si>
  <si>
    <t>Регулятор давления поршневой (редуктор) 1/2″ ProEXPERT</t>
  </si>
  <si>
    <t>7930110050929</t>
  </si>
  <si>
    <t>4650098218809</t>
  </si>
  <si>
    <t>Регулятор температуры для теплого пола</t>
  </si>
  <si>
    <t>Редуктор давления  1/2” BUGATTI NEBRASKA</t>
  </si>
  <si>
    <t>Редуктор давления  3/4” BUGATTI NEBRASKA</t>
  </si>
  <si>
    <t>Редуктор давления 1/2” BUGATTI NEBRASKA</t>
  </si>
  <si>
    <t>Редуктор давления 1” BUGATTI NEBRASKA</t>
  </si>
  <si>
    <t>Редуктор давления 3/4” BUGATTI NEBRASKA</t>
  </si>
  <si>
    <t>Ручка шариковая Pln Soft Touch.</t>
  </si>
  <si>
    <t>1111111111006</t>
  </si>
  <si>
    <t>H-01173</t>
  </si>
  <si>
    <t>Сабвуфер кардиоидный B4-SUB Z0610.002</t>
  </si>
  <si>
    <t>Сальник 40мм IP55</t>
  </si>
  <si>
    <t>Сантехмастер Гель Зелёный (соед. до 1,5*)  15 гр тюбик</t>
  </si>
  <si>
    <t>4630009040132</t>
  </si>
  <si>
    <t>Сантехмастер Гель Зелёный (соед. до 1,5*)  60 гр тюбик</t>
  </si>
  <si>
    <t>4630009040156</t>
  </si>
  <si>
    <t>Сантехмастер Гель Синий (соед. до 2*)  15 гр тюбик</t>
  </si>
  <si>
    <t>Сантехмастер Гель Синий (соед. до 2*)  60 гр тюбик</t>
  </si>
  <si>
    <t>Удлинители</t>
  </si>
  <si>
    <t>4650098211022</t>
  </si>
  <si>
    <t>04564-DIY</t>
  </si>
  <si>
    <t>Сгон MM  1/2" - 100 DIY</t>
  </si>
  <si>
    <t>4650098211893</t>
  </si>
  <si>
    <t>04565-DIY</t>
  </si>
  <si>
    <t>Сгон MM  1/2" - 125 DIY</t>
  </si>
  <si>
    <t>4650098211039</t>
  </si>
  <si>
    <t>04566-DIY</t>
  </si>
  <si>
    <t>Сгон MM  1/2" - 150-DIY</t>
  </si>
  <si>
    <t>7411211000</t>
  </si>
  <si>
    <t>4650098211909</t>
  </si>
  <si>
    <t>04567-DIY</t>
  </si>
  <si>
    <t>Сгон MM  1/2" - 200-DIY</t>
  </si>
  <si>
    <t>Сгон MM  1/2" - 50</t>
  </si>
  <si>
    <t>4650098211886</t>
  </si>
  <si>
    <t>04562-DIY</t>
  </si>
  <si>
    <t>Сгон MM  1/2" -  50 DIY</t>
  </si>
  <si>
    <t>Сгон MM  1/2" - 50 DIY</t>
  </si>
  <si>
    <t>Сгон MM  1/2" - 75</t>
  </si>
  <si>
    <t>4630003322036</t>
  </si>
  <si>
    <t>04563-DIY</t>
  </si>
  <si>
    <t>Сгон MM  1/2" -  75 DIY</t>
  </si>
  <si>
    <t>Сгон MM  1/2" - 75 DIY</t>
  </si>
  <si>
    <t>Сервопривод</t>
  </si>
  <si>
    <t>Сильфонная подводка для газа 1/2" в/в  30 см</t>
  </si>
  <si>
    <t>4650098214740</t>
  </si>
  <si>
    <t>8307100009</t>
  </si>
  <si>
    <t>Сильфонная подводка для газа 1/2" в/в  40 см</t>
  </si>
  <si>
    <t>4650098214757</t>
  </si>
  <si>
    <t>Сильфонная подводка для газа 1/2" в/в  50 см</t>
  </si>
  <si>
    <t>4650098214764</t>
  </si>
  <si>
    <t>Сильфонная подводка для газа 1/2" в/в  60 см</t>
  </si>
  <si>
    <t>4650098214771</t>
  </si>
  <si>
    <t>Сильфонная подводка для газа 1/2" в/в  80 см</t>
  </si>
  <si>
    <t>4650098214788</t>
  </si>
  <si>
    <t>4650098214795</t>
  </si>
  <si>
    <t>4650098214801</t>
  </si>
  <si>
    <t>4650098214818</t>
  </si>
  <si>
    <t>4650098214825</t>
  </si>
  <si>
    <t>4650098214832</t>
  </si>
  <si>
    <t>4650098214849</t>
  </si>
  <si>
    <t>4650098214856</t>
  </si>
  <si>
    <t>4650098214863</t>
  </si>
  <si>
    <t>4650098214870</t>
  </si>
  <si>
    <t>Сильфонная подводка для газа 1/2" в/н  30 см</t>
  </si>
  <si>
    <t>4650098214887</t>
  </si>
  <si>
    <t>Сильфонная подводка для газа 1/2" в/н  40 см</t>
  </si>
  <si>
    <t>4650098214894</t>
  </si>
  <si>
    <t>Сильфонная подводка для газа 1/2" в/н  50 см</t>
  </si>
  <si>
    <t>4650098214900</t>
  </si>
  <si>
    <t>Сильфонная подводка для газа 1/2" в/н  60 см</t>
  </si>
  <si>
    <t>4650098214917</t>
  </si>
  <si>
    <t>Сильфонная подводка для газа 1/2" в/н  80 см</t>
  </si>
  <si>
    <t>4650098214924</t>
  </si>
  <si>
    <t>4650098214931</t>
  </si>
  <si>
    <t>4650098214948</t>
  </si>
  <si>
    <t>4650098214955</t>
  </si>
  <si>
    <t>4650098214962</t>
  </si>
  <si>
    <t>4650098214979</t>
  </si>
  <si>
    <t>4650098214986</t>
  </si>
  <si>
    <t>4650098214993</t>
  </si>
  <si>
    <t>4650098215006</t>
  </si>
  <si>
    <t>4650098215013</t>
  </si>
  <si>
    <t>Сильфонная подводка для газа 3/4" в/в  40 см</t>
  </si>
  <si>
    <t>4650098218342</t>
  </si>
  <si>
    <t>Сильфонная подводка для газа 3/4" в/в  50 см</t>
  </si>
  <si>
    <t>4650098218366</t>
  </si>
  <si>
    <t>Сильфонная подводка для газа 3/4" в/в  60 см</t>
  </si>
  <si>
    <t>4650098218380</t>
  </si>
  <si>
    <t>Сильфонная подводка для газа 3/4" в/в  80 см</t>
  </si>
  <si>
    <t>4650098218403</t>
  </si>
  <si>
    <t>4650098218427</t>
  </si>
  <si>
    <t>4650098218441</t>
  </si>
  <si>
    <t>4650098218465</t>
  </si>
  <si>
    <t>4650098218489</t>
  </si>
  <si>
    <t>4650098218502</t>
  </si>
  <si>
    <t>4650098218526</t>
  </si>
  <si>
    <t>Сильфонная подводка для газа 3/4" в/н  40 см</t>
  </si>
  <si>
    <t>4650098218540</t>
  </si>
  <si>
    <t>Сильфонная подводка для газа 3/4" в/н  50 см</t>
  </si>
  <si>
    <t>4650098218564</t>
  </si>
  <si>
    <t>Сильфонная подводка для газа 3/4" в/н  60 см</t>
  </si>
  <si>
    <t>4650098218588</t>
  </si>
  <si>
    <t>Сильфонная подводка для газа 3/4" в/н  80 см</t>
  </si>
  <si>
    <t>4650098218601</t>
  </si>
  <si>
    <t>4650098218625</t>
  </si>
  <si>
    <t>4650098218649</t>
  </si>
  <si>
    <t>4650098218663</t>
  </si>
  <si>
    <t>4650098218687</t>
  </si>
  <si>
    <t>4650098218700</t>
  </si>
  <si>
    <t>4650098218724</t>
  </si>
  <si>
    <t>CS-CODEC-PRO-K7</t>
  </si>
  <si>
    <t>Система видеоконференцсвязи Cisco Webex Codec Pro - Stand Alone Codec</t>
  </si>
  <si>
    <t>H-01157</t>
  </si>
  <si>
    <t>Скоба 38-40</t>
  </si>
  <si>
    <t>H-01155</t>
  </si>
  <si>
    <t>Скоба 48-50</t>
  </si>
  <si>
    <t>Скоба металлическая 38мм однолапковая оцинкованная</t>
  </si>
  <si>
    <t>Скоба металлическая 50мм однолапковая оцинкованная</t>
  </si>
  <si>
    <t>05010-1</t>
  </si>
  <si>
    <t>Смеситель д/ванны L излив 30см, карт 40 мм, комплект, ручка 1</t>
  </si>
  <si>
    <t>Смесители AQUALINE</t>
  </si>
  <si>
    <t>05010-2</t>
  </si>
  <si>
    <t>Смеситель д/ванны L излив 30см, карт 40 мм, комплект, ручка 2</t>
  </si>
  <si>
    <t>05010-3</t>
  </si>
  <si>
    <t>Смеситель д/ванны L излив 30см, карт 40 мм, комплект, ручка 3</t>
  </si>
  <si>
    <t>Смеситель д/ванны L излив 30см, карт 40 мм, руч.0, комплект</t>
  </si>
  <si>
    <t xml:space="preserve">Смеситель д/ванны L излив  30см, карт 40мм, комплект </t>
  </si>
  <si>
    <t>Смесители</t>
  </si>
  <si>
    <t>Смеситель д/ванны L излив 30см, карт 40 мм, руч.1, комплект</t>
  </si>
  <si>
    <t>Смеситель д/ванны L излив 30см, карт 40 мм, руч.2, комплект</t>
  </si>
  <si>
    <t>Смеситель д/ванны L излив 30см, карт 40 мм, руч.3, комплект</t>
  </si>
  <si>
    <t>Смеситель д/ванны L излив 30см, карт 40 мм, руч.4, комплект</t>
  </si>
  <si>
    <t>Смеситель д/ванны L излив 30см, карт 40мм, дивертор, комплект</t>
  </si>
  <si>
    <t>05011-1</t>
  </si>
  <si>
    <t>Смеситель д/ванны L излив 30см, карт 40мм, пов. дивертор, комплект, ручка 1</t>
  </si>
  <si>
    <t>Смеситель д/ванны Onix L излив 30см, карт 35 мм, комплект</t>
  </si>
  <si>
    <t>Смеситель д/ванны Onix S излив 30см, 1/2 кер., комплект</t>
  </si>
  <si>
    <t>Смеситель д/ванны S излив 30см, 1/2  кер, комплект</t>
  </si>
  <si>
    <t>Смеситель д/ванны Onix кор. излив 11см, карт 35мм, комплект</t>
  </si>
  <si>
    <t>Смеситель д/ванны Onix настенный S излив 30см, карт 35мм,</t>
  </si>
  <si>
    <t>05013-1</t>
  </si>
  <si>
    <t>Смеситель д/ванны S излив 30см, 1/2 кер., комплект, ручка 1</t>
  </si>
  <si>
    <t>Смеситель д/ванны S излив 30см, 1/2 кер., мах. Глобо, комплект</t>
  </si>
  <si>
    <t>Смеситель д/ванны S излив 30см, 1/2 кер., мах. Ральф, комплект</t>
  </si>
  <si>
    <t>05012-1</t>
  </si>
  <si>
    <t>Смеситель д/ванны S излив 30см, карт 40мм, комплект, ручка 1</t>
  </si>
  <si>
    <t>05012-2</t>
  </si>
  <si>
    <t>Смеситель д/ванны S излив 30см, карт 40мм, комплект, ручка 2</t>
  </si>
  <si>
    <t>05012-3</t>
  </si>
  <si>
    <t>Смеситель д/ванны S излив 30см, карт 40мм, комплект, ручка 3</t>
  </si>
  <si>
    <t>Смеситель д/ванны S излив 30см, карт 40мм, руч.0, комплект</t>
  </si>
  <si>
    <t>Смеситель д/ванны S излив 30см, карт 40мм, руч.0, комплект, дивертор в корпусе</t>
  </si>
  <si>
    <t>Смеситель д/ванны S излив 30см, карт 40мм, комплект, дивертор в корпусе</t>
  </si>
  <si>
    <t>Смеситель д/ванны S излив 30см, карт 40мм, руч.1, комплект</t>
  </si>
  <si>
    <t>Смеситель д/ванны S излив 30см, карт 40мм, руч.1, комплект, дивертор в корпусе</t>
  </si>
  <si>
    <t>Смеситель д/ванны S излив 30см, карт 40мм, руч.2, комплект</t>
  </si>
  <si>
    <t>Смеситель д/ванны S излив 30см, карт 40мм, руч.2, комплект, дивертор в корпусе</t>
  </si>
  <si>
    <t>Смеситель д/ванны S излив 30см, карт 40мм, руч.3, комплект</t>
  </si>
  <si>
    <t>Смеситель д/ванны S излив 30см, карт 40мм, комплект</t>
  </si>
  <si>
    <t>Смеситель д/ванны S излив 30см, карт 40мм, руч.3, комплект, дивертор в корпусе</t>
  </si>
  <si>
    <t>Смеситель д/ванны S излив 30см, карт 40мм, руч.4, комплект</t>
  </si>
  <si>
    <t>Смеситель д/душа стационарный  1/2 кер, мах. Крест</t>
  </si>
  <si>
    <t>Смеситель д/кухни Onix длин излив (24 см) карт 35 мм. (крепление под шпильку)</t>
  </si>
  <si>
    <t>Смеситель д/кухни длинный излив (24 см) карт 40 мм, Гайка</t>
  </si>
  <si>
    <t>Смеситель д/кухни Onix средний излив (15 см) карт 35 мм, (крепление под шпильку)</t>
  </si>
  <si>
    <t>05021-1</t>
  </si>
  <si>
    <t>Смеситель д/кухни длин излив (24 см)  карт 40 мм, ручка 1</t>
  </si>
  <si>
    <t>05021-2</t>
  </si>
  <si>
    <t>Смеситель д/кухни длин излив (24 см)  карт 40 мм, ручка 2</t>
  </si>
  <si>
    <t>05021-3</t>
  </si>
  <si>
    <t>Смеситель д/кухни длин излив (24 см)  карт 40 мм, ручка 3</t>
  </si>
  <si>
    <t>Смеситель д/кухни длин излив (24 см) карт 40 мм</t>
  </si>
  <si>
    <t>05022-1</t>
  </si>
  <si>
    <t>Смеситель д/кухни длинный излив (24 см), карт 40 мм, Гайка, ручка 1</t>
  </si>
  <si>
    <t>05022-2</t>
  </si>
  <si>
    <t>Смеситель д/кухни длинный излив (24 см), карт 40 мм, Гайка, ручка 2</t>
  </si>
  <si>
    <t>05022-3</t>
  </si>
  <si>
    <t>Смеситель д/кухни длинный излив (24 см), карт 40 мм, Гайка, ручка 3</t>
  </si>
  <si>
    <t>Смеситель д/кухни длинный излив (24 см), карт 40 мм, руч. 0, Гайка</t>
  </si>
  <si>
    <t>Смеситель д/кухни длинный излив (24 см), карт 40 мм, руч. 1, Гайка</t>
  </si>
  <si>
    <t>Смеситель д/кухни длинный излив (24 см), карт 40 мм, руч. 2, Гайка</t>
  </si>
  <si>
    <t>Смеситель д/кухни длинный излив (24 см), карт 40 мм, руч. 3, Гайка</t>
  </si>
  <si>
    <t>Смеситель д/кухни длинный излив (24 см), карт 40 мм, руч. 4, Гайка</t>
  </si>
  <si>
    <t>05026-1</t>
  </si>
  <si>
    <t>Смеситель д/кухни карт 40 мм, длинная ручка 1 (локтевой)</t>
  </si>
  <si>
    <t>Смеситель д/кухни карт 40 мм, длинная ручка, Гайка</t>
  </si>
  <si>
    <t>Смеситель д/кухни настенный, ниж излив 1/2 кер, мах Крест</t>
  </si>
  <si>
    <t>Смесители Омега</t>
  </si>
  <si>
    <t>05025-1</t>
  </si>
  <si>
    <t>Смеситель д/кухни настенный, ниж излив 1/2 кер,, ручка 1</t>
  </si>
  <si>
    <t>05027-1</t>
  </si>
  <si>
    <t>Смеситель д/кухни настенный, ниж излив карт 40 мм,  длинная ручка 1 (локтевой)</t>
  </si>
  <si>
    <t>4630003324696</t>
  </si>
  <si>
    <t>Смеситель д/кухни настенный, ниж излив карт 40 мм, длинная ручка</t>
  </si>
  <si>
    <t>Смеситель д/кухни с выдвижной лейкой, карт 40 мм</t>
  </si>
  <si>
    <t>05024-1</t>
  </si>
  <si>
    <t>Смеситель д/кухни средний излив (15 см) карт 40 мм, Гайка, ручка 1</t>
  </si>
  <si>
    <t>05024-2</t>
  </si>
  <si>
    <t>Смеситель д/кухни средний излив (15 см) карт 40 мм, Гайка, ручка 2</t>
  </si>
  <si>
    <t>4630003324658</t>
  </si>
  <si>
    <t>05024-3</t>
  </si>
  <si>
    <t>Смеситель д/кухни средний излив (15 см) карт 40 мм, Гайка, ручка 3</t>
  </si>
  <si>
    <t>Смеситель д/кухни средний излив (15 см) карт 40 мм, руч 0</t>
  </si>
  <si>
    <t>Смеситель д/кухни средний излив (15 см) карт 40 мм, руч 0, Гайка</t>
  </si>
  <si>
    <t>Смеситель д/кухни средний излив (15 см) карт 40 мм, Гайка</t>
  </si>
  <si>
    <t>Смеситель д/кухни средний излив (15 см) карт 40 мм, руч 1</t>
  </si>
  <si>
    <t>Смеситель д/кухни средний излив (15 см) карт 40 мм, руч 1, Гайка</t>
  </si>
  <si>
    <t>Смеситель д/кухни средний излив (15 см) карт 40 мм, руч 2</t>
  </si>
  <si>
    <t xml:space="preserve">Смеситель д/кухни средний излив (15 см) карт 40 мм </t>
  </si>
  <si>
    <t>Смеситель д/кухни средний излив (15 см) карт 40 мм, руч 2, Гайка</t>
  </si>
  <si>
    <t>Смеситель д/кухни средний излив (15 см) карт 40 мм, руч 3</t>
  </si>
  <si>
    <t>Смеситель д/кухни средний излив (15 см) карт 40 мм, руч 3, Гайка</t>
  </si>
  <si>
    <t>Смеситель д/кухни средний излив (15 см) карт 40 мм, руч 4</t>
  </si>
  <si>
    <t>Смеситель д/кухни средний излив (15 см) карт 40 мм, руч 4, Гайка</t>
  </si>
  <si>
    <t>05023-1</t>
  </si>
  <si>
    <t>Смеситель д/кухни средний излив (15 см) карт 40 мм, ручка 1</t>
  </si>
  <si>
    <t>05023-2</t>
  </si>
  <si>
    <t>Смеситель д/кухни средний излив (15 см) карт 40 мм, ручка 2</t>
  </si>
  <si>
    <t>05023-3</t>
  </si>
  <si>
    <t>Смеситель д/кухни средний излив (15 см) карт 40 мм, ручка 3</t>
  </si>
  <si>
    <t>Смеситель д/раковины Onix  короткий излив, карт 35 мм,</t>
  </si>
  <si>
    <t>Смеситель д/раковины короткий излив (10 см), карт 40 мм</t>
  </si>
  <si>
    <t>1111111111018</t>
  </si>
  <si>
    <t>Смеситель д/раковины Onix Елочка с длинным высоким изливом 1/2 кер, (крепление под шпильку)</t>
  </si>
  <si>
    <t>Смеситель д/раковины Onix с высоким S изливом, карт 35мм,</t>
  </si>
  <si>
    <t>Смеситель д/раковины Елочка длинный излив, 1/2 кер мах Крест</t>
  </si>
  <si>
    <t>Смеситель д/раковины Елочка короткий излив, 1/2 кер мах Крест</t>
  </si>
  <si>
    <t>Смеситель д/раковины Елочка с длинным высоким изливом 1/2 кер, мах Крест</t>
  </si>
  <si>
    <t>Смеситель д/раковины Елочка с длинным высоким изливом 1/2 кер, мах Люсия</t>
  </si>
  <si>
    <t>Смеситель д/раковины Елочка с длинным высоким изливом 1/2 кер</t>
  </si>
  <si>
    <t>Смеситель д/раковины Елочка с длинным высоким изливом 1/2 кер, мах Родео</t>
  </si>
  <si>
    <t>Смеситель д/раковины Елочка с длинным высоким изливом 1/2 кер, мах Тыква</t>
  </si>
  <si>
    <t>05031-1</t>
  </si>
  <si>
    <t>Смеситель д/раковины Елочка с длинным высоким изливом 1/2 кер,, ручка 1</t>
  </si>
  <si>
    <t>05031-2</t>
  </si>
  <si>
    <t>Смеситель д/раковины Елочка с длинным высоким изливом 1/2 кер,, ручка 2</t>
  </si>
  <si>
    <t>4630003324719</t>
  </si>
  <si>
    <t>05031-3</t>
  </si>
  <si>
    <t>Смеситель д/раковины Елочка с длинным высоким изливом 1/2 кер,, ручка 3</t>
  </si>
  <si>
    <t>Смеситель д/раковины Елочка с длинным изливом 1/2 кер, Гайка мах Квадро</t>
  </si>
  <si>
    <t>Смеситель д/раковины Елочка с длинным изливом 1/2 кер, Гайка мах Крест</t>
  </si>
  <si>
    <t>Смеситель д/раковины Елочка с длинным изливом 1/2 кер, Гайка мах Родео</t>
  </si>
  <si>
    <t>Смеситель д/раковины Елочка с длинным изливом 1/2 кер, Гайка мах Титан</t>
  </si>
  <si>
    <t>Смеситель д/раковины Елочка с длинным изливом 1/2 кер, Гайка мах Тыква</t>
  </si>
  <si>
    <t>Смеситель д/раковины Елочка с длинным изливом 1/2 кер, Гайка</t>
  </si>
  <si>
    <t>05032-1</t>
  </si>
  <si>
    <t>Смеситель д/раковины Елочка с длинным изливом 1/2 кер, Гайка, ручка 1</t>
  </si>
  <si>
    <t>05032-2</t>
  </si>
  <si>
    <t>Смеситель д/раковины Елочка с длинным изливом 1/2 кер, Гайка, ручка 2</t>
  </si>
  <si>
    <t>05032-3</t>
  </si>
  <si>
    <t>Смеситель д/раковины Елочка с длинным изливом 1/2 кер, Гайка, ручка 3</t>
  </si>
  <si>
    <t>Смеситель д/раковины короткий излив (10 см), карт 40 мм, руч. 0</t>
  </si>
  <si>
    <t>Смеситель д/раковины короткий излив (10 см), карт 40 мм, руч. 1</t>
  </si>
  <si>
    <t>Смеситель д/раковины короткий излив (10 см), карт 40 мм, руч. 2</t>
  </si>
  <si>
    <t>Смеситель д/раковины короткий излив (10 см), карт 40 мм, руч. 3</t>
  </si>
  <si>
    <t>05034-1</t>
  </si>
  <si>
    <t>Смеситель д/раковины короткий излив (10 см), карт 40 мм, ручка 1</t>
  </si>
  <si>
    <t>05034-2</t>
  </si>
  <si>
    <t>Смеситель д/раковины короткий излив (10 см), карт 40 мм, ручка 2</t>
  </si>
  <si>
    <t>4630003324801</t>
  </si>
  <si>
    <t>05034-3</t>
  </si>
  <si>
    <t>Смеситель д/раковины короткий излив (10 см), карт 40 мм, ручка 3</t>
  </si>
  <si>
    <t>Смеситель д/раковины МОНО Гайка, мах Крест</t>
  </si>
  <si>
    <t>05035-1</t>
  </si>
  <si>
    <t>Смеситель д/раковины МОНО Гайка, ручка 1</t>
  </si>
  <si>
    <t>05033-1</t>
  </si>
  <si>
    <t>Смеситель д/раковины с высоким S изливом, карт 40мм, Гайка, ручка 1</t>
  </si>
  <si>
    <t>05033-2</t>
  </si>
  <si>
    <t>Смеситель д/раковины с высоким S изливом, карт 40мм, Гайка, ручка 2</t>
  </si>
  <si>
    <t>05033-3</t>
  </si>
  <si>
    <t>Смеситель д/раковины с высоким S изливом, карт 40мм, Гайка, ручка 3</t>
  </si>
  <si>
    <t>Смеситель д/раковины с высоким S изливом, карт 40мм, руч. 0, Гайка</t>
  </si>
  <si>
    <t>Смеситель д/раковины с высоким S изливом, карт 40 мм, Гайка</t>
  </si>
  <si>
    <t>Смеситель д/раковины с высоким S изливом, карт 40мм, руч. 1, Гайка</t>
  </si>
  <si>
    <t>Смеситель д/раковины с высоким S изливом, карт 40мм, руч. 2, Гайка</t>
  </si>
  <si>
    <t>G50125</t>
  </si>
  <si>
    <t>Смеситель для биде (гаечный крепеж), хром, карт. 40 мм, G50125</t>
  </si>
  <si>
    <t>G50110</t>
  </si>
  <si>
    <t>Смеситель для биде с шарнирным изливом, карт. 40 мм G50110</t>
  </si>
  <si>
    <t>H22128</t>
  </si>
  <si>
    <t>Смеситель для ванны (длин излив), переключатель в корпусе, хром (гаечный креп.), карт. 40 мм, H22128</t>
  </si>
  <si>
    <t>G22112</t>
  </si>
  <si>
    <t>Смеситель для ванны (длинный излив) переключатель в корпуcе, хром, карт. 40 мм G22112</t>
  </si>
  <si>
    <t>G22114</t>
  </si>
  <si>
    <t>Смеситель для ванны (длинный излив) переключатель в корпуcе, хром, карт. 40 мм, G22114</t>
  </si>
  <si>
    <t>G22120</t>
  </si>
  <si>
    <t>Смеситель для ванны (длинный излив) переключатель в корпуcе, хром, карт. 40 мм, G22120</t>
  </si>
  <si>
    <t>G22125</t>
  </si>
  <si>
    <t>Смеситель для ванны (длинный излив) переключатель в корпуcе, хром, карт. 40 мм, G22125</t>
  </si>
  <si>
    <t>G22125-12</t>
  </si>
  <si>
    <t>Смеситель для ванны (длинный излив) переключатель в корпусе, белый, карт. 40 мм, G22125-12</t>
  </si>
  <si>
    <t>G22250</t>
  </si>
  <si>
    <t>Смеситель для ванны (длинный излив) переключатель в корпусе, хром, карт. 35 мм, G22250</t>
  </si>
  <si>
    <t>G22252</t>
  </si>
  <si>
    <t>Смеситель для ванны (длинный излив) переключатель в корпусе, хром, карт. 35 мм, G22252</t>
  </si>
  <si>
    <t>G22253</t>
  </si>
  <si>
    <t>Смеситель для ванны (длинный излив) переключатель в корпусе, хром, карт. 35 мм, G22253</t>
  </si>
  <si>
    <t>G22255</t>
  </si>
  <si>
    <t>Смеситель для ванны (длинный излив) переключатель в корпусе, хром, карт. 35 мм, G22255</t>
  </si>
  <si>
    <t>G22256</t>
  </si>
  <si>
    <t>Смеситель для ванны (длинный излив) переключатель в корпусе, хром, карт. 35 мм, G22256</t>
  </si>
  <si>
    <t>G22110</t>
  </si>
  <si>
    <t>Смеситель для ванны (длинный излив) переключатель в корпусе, хром, карт. 40 мм G22110</t>
  </si>
  <si>
    <t>G22124</t>
  </si>
  <si>
    <t>Смеситель для ванны (длинный излив) переключатель в корпусе, хром, карт. 40 мм, G22124</t>
  </si>
  <si>
    <t>G22125-11</t>
  </si>
  <si>
    <t>Смеситель для ванны (длинный излив) переключатель в корпусе, черный, карт. 40 мм, G22125-11</t>
  </si>
  <si>
    <t>H22207</t>
  </si>
  <si>
    <t>Смеситель для ванны (длинный излив), переключатель в корпусе, белый, карт. 35 мм, H22207</t>
  </si>
  <si>
    <t>H22205</t>
  </si>
  <si>
    <t>Смеситель для ванны (длинный излив), переключатель в корпусе, хром, карт. 35 мм, H22205</t>
  </si>
  <si>
    <t>H22206</t>
  </si>
  <si>
    <t>Смеситель для ванны (длинный излив), переключатель в корпусе, черный, карт. 35 мм, H22206</t>
  </si>
  <si>
    <t>G32125-12</t>
  </si>
  <si>
    <t>Смеситель для ванны (короткий излив) переключатель в корпуе, белый, карт. 40 мм, G32125-12</t>
  </si>
  <si>
    <t>G32110</t>
  </si>
  <si>
    <t>Смеситель для ванны (короткий излив) хром, карт. 40 мм G32110</t>
  </si>
  <si>
    <t>G32112</t>
  </si>
  <si>
    <t>Смеситель для ванны (короткий излив) хром, карт. 40 мм, G32112</t>
  </si>
  <si>
    <t>G32114</t>
  </si>
  <si>
    <t>Смеситель для ванны (короткий излив) хром, карт. 40 мм, G32114</t>
  </si>
  <si>
    <t>G32120</t>
  </si>
  <si>
    <t>Смеситель для ванны (короткий излив) хром, карт. 40 мм, G32120</t>
  </si>
  <si>
    <t>G32124</t>
  </si>
  <si>
    <t>Смеситель для ванны (короткий излив) хром, карт. 40 мм, G32124</t>
  </si>
  <si>
    <t>G32125</t>
  </si>
  <si>
    <t>Смеситель для ванны (короткий излив) хром, карт. 40 мм, G32125</t>
  </si>
  <si>
    <t>H32128</t>
  </si>
  <si>
    <t>Смеситель для ванны (короткий излив) хром, карт. 40 мм, H32128</t>
  </si>
  <si>
    <t>H32207</t>
  </si>
  <si>
    <t>Смеситель для ванны (короткий излив), белый, карт. 35 мм, H32207</t>
  </si>
  <si>
    <t>H32205</t>
  </si>
  <si>
    <t>Смеситель для ванны (короткий излив), хром, карт. 35 мм, H32205</t>
  </si>
  <si>
    <t>H32206</t>
  </si>
  <si>
    <t>Смеситель для ванны (короткий излив), черный, карт. 35 мм, H32206</t>
  </si>
  <si>
    <t>G32250</t>
  </si>
  <si>
    <t>Смеситель для ванны ,короткий излив, хром, карт. 35 мм, G32250</t>
  </si>
  <si>
    <t>G30080</t>
  </si>
  <si>
    <t>Смеситель для ванны короткий излив, хром G30080</t>
  </si>
  <si>
    <t>H21019</t>
  </si>
  <si>
    <t>Смеситель для ванны с 2-я маховиками, хром, H21019</t>
  </si>
  <si>
    <t>G32080</t>
  </si>
  <si>
    <t>Смеситель для ванны с гарнитурой G32080</t>
  </si>
  <si>
    <t>G32255</t>
  </si>
  <si>
    <t>Смеситель для ванны, короткий излив, хром, гаечный крепеж, карт. 35 мм, G32255</t>
  </si>
  <si>
    <t>G32256</t>
  </si>
  <si>
    <t>Смеситель для ванны, короткий излив, хром, карт. 35 мм, G32256</t>
  </si>
  <si>
    <t>H26009</t>
  </si>
  <si>
    <t>Смеситель для ванны, хром, H26009</t>
  </si>
  <si>
    <t>H26032</t>
  </si>
  <si>
    <t>Смеситель для ванны, хром, H26032</t>
  </si>
  <si>
    <t>G20080</t>
  </si>
  <si>
    <t>Смеситель для душа с гарнитурой G20080</t>
  </si>
  <si>
    <t>G20110</t>
  </si>
  <si>
    <t>Смеситель для душа с гарнитурой, карт. 40 мм G20110</t>
  </si>
  <si>
    <t>G20120</t>
  </si>
  <si>
    <t>Смеситель для душа, хром, карт. 40 мм, G20120</t>
  </si>
  <si>
    <t>G49120</t>
  </si>
  <si>
    <t>Смеситель для кухни (гаечный крепеж), хром, карт. 40 мм, G49120</t>
  </si>
  <si>
    <t>G49124</t>
  </si>
  <si>
    <t>Смеситель для кухни (гаечный крепеж), хром, карт. 40 мм, G49124</t>
  </si>
  <si>
    <t>G49125</t>
  </si>
  <si>
    <t>Смеситель для кухни (гаечный крепеж), хром, карт. 40 мм, G49125</t>
  </si>
  <si>
    <t>H41207</t>
  </si>
  <si>
    <t>Смеситель для кухни (с высоким изливом), белый (гаечный крепеж), карт. 35 мм, H41207</t>
  </si>
  <si>
    <t>H41205</t>
  </si>
  <si>
    <t>Смеситель для кухни (с высоким изливом), хром (гаечный крепеж), карт. 35 мм, H41205</t>
  </si>
  <si>
    <t>H41128</t>
  </si>
  <si>
    <t>Смеситель для кухни (с высоким изливом), хром (гаечный крепеж), карт. 40 мм, H41128</t>
  </si>
  <si>
    <t>H41206</t>
  </si>
  <si>
    <t>Смеситель для кухни (с высоким изливом), черный (гаечный крепеж), карт. 35 мм, H41206</t>
  </si>
  <si>
    <t>G41112</t>
  </si>
  <si>
    <t>Смеситель для кухни высокий излив (гаечный крепеж), хром, карт. 40 мм, G41112</t>
  </si>
  <si>
    <t>G41110</t>
  </si>
  <si>
    <t>Смеситель для кухни высокий излив, хром, карт. 40 мм G41110</t>
  </si>
  <si>
    <t>G45120</t>
  </si>
  <si>
    <t>Смеситель для кухни и раковины (средний излив), хром (гаечный крепеж), карт. 40 мм, G45120</t>
  </si>
  <si>
    <t>G45110</t>
  </si>
  <si>
    <t>Смеситель для кухни и раковины (средний излив), хром, карт. 40 мм G45110</t>
  </si>
  <si>
    <t>H45205</t>
  </si>
  <si>
    <t>Смеситель для кухни и раковины, ср., поворотный излив, хром (гаечный крепеж), карт. 35 мм, H45205</t>
  </si>
  <si>
    <t>H45207</t>
  </si>
  <si>
    <t>Смеситель для кухни и раковины, средний, поворотный излив, белый (гаечный крепеж), карт. 35 мм, H452</t>
  </si>
  <si>
    <t>Смеситель для кухни и раковины, средний, поворотный излив, белый (гаечный крепеж), карт. 35 мм, H45207</t>
  </si>
  <si>
    <t>H45128</t>
  </si>
  <si>
    <t>Смеситель для кухни и раковины, средний, поворотный излив, хром (гаечный креп.), карт. 40 мм, H45128</t>
  </si>
  <si>
    <t>H46032</t>
  </si>
  <si>
    <t>Смеситель для кухни настенный, хром, H46032</t>
  </si>
  <si>
    <t>H47032</t>
  </si>
  <si>
    <t>Смеситель для кухни настенный, хром, H47032</t>
  </si>
  <si>
    <t>H13019</t>
  </si>
  <si>
    <t>Смеситель для кухни с 2-я маховиками, хром (гаечный крепеж), H13019</t>
  </si>
  <si>
    <t>H41009</t>
  </si>
  <si>
    <t>Смеситель для кухни с 2-я маховиками, хром (гаечный крепеж), H41009</t>
  </si>
  <si>
    <t>H41032</t>
  </si>
  <si>
    <t>Смеситель для кухни с 2-я маховиками, хром (гаечный крепеж), H41032</t>
  </si>
  <si>
    <t>H42009</t>
  </si>
  <si>
    <t>Смеситель для кухни с 2-я маховиками, хром (гаечный крепеж), H42009</t>
  </si>
  <si>
    <t>H42019</t>
  </si>
  <si>
    <t>Смеситель для кухни с 2-я маховиками, хром (гаечный крепеж), H42019</t>
  </si>
  <si>
    <t>H42032</t>
  </si>
  <si>
    <t>Смеситель для кухни с 2-я маховиками, хром (гаечный крепеж), H42032</t>
  </si>
  <si>
    <t>G41125-12</t>
  </si>
  <si>
    <t>Смеситель для кухни с высоким изливом (гаечный крепеж), белый, карт. 40 мм, G41125-12</t>
  </si>
  <si>
    <t>G41125-15</t>
  </si>
  <si>
    <t>Смеситель для кухни с высоким изливом (гаечный крепеж), салатовый, карт. 40 мм, G41125-15</t>
  </si>
  <si>
    <t>G41124</t>
  </si>
  <si>
    <t>Смеситель для кухни с высоким изливом (гаечный крепеж), хром, карт. 40 мм, G41124</t>
  </si>
  <si>
    <t>G41125-11</t>
  </si>
  <si>
    <t>Смеситель для кухни с высоким изливом (гаечный крепеж), черный, карт. 40 мм, G41125-11</t>
  </si>
  <si>
    <t>G44125-12</t>
  </si>
  <si>
    <t>Смеситель для кухни с высоким изливом (гибкий), белый (гаечный крепеж), карт. 40 мм, G44125-12</t>
  </si>
  <si>
    <t>G44125-15</t>
  </si>
  <si>
    <t>Смеситель для кухни с высоким изливом (гибкий), салатовый, карт. 40 мм, G44125-15</t>
  </si>
  <si>
    <t>G44125-11</t>
  </si>
  <si>
    <t>Смеситель для кухни с высоким изливом (гибкий), черный, карт. 40 мм, G44125-11</t>
  </si>
  <si>
    <t>G40125-12</t>
  </si>
  <si>
    <t>Смеситель для кухни с высоким изливом 90", белый (гаечный крепеж), карт. 40 мм, G40125-12</t>
  </si>
  <si>
    <t>G40125-11</t>
  </si>
  <si>
    <t>Смеситель для кухни с высоким изливом 90", черный (гаечный крепеж), карт. 40 мм, G40125-11</t>
  </si>
  <si>
    <t>G41252</t>
  </si>
  <si>
    <t>Смеситель для кухни с высоким изливом, хром, гаечный крепеж, карт. 35 мм, G41252</t>
  </si>
  <si>
    <t>G41253</t>
  </si>
  <si>
    <t>Смеситель для кухни с высоким изливом, хром, гаечный крепеж, карт. 35 мм, G41253</t>
  </si>
  <si>
    <t>G41250</t>
  </si>
  <si>
    <t>Смеситель для кухни с высоким изливом, хром, карт. 35 мм, G41250</t>
  </si>
  <si>
    <t>G41255</t>
  </si>
  <si>
    <t>Смеситель для кухни с высоким изливом, хром, карт. 35 мм, G41255</t>
  </si>
  <si>
    <t>G41256</t>
  </si>
  <si>
    <t>Смеситель для кухни с высоким изливом, хром, карт. 35 мм, G41256</t>
  </si>
  <si>
    <t>G40125</t>
  </si>
  <si>
    <t>Смеситель для кухни с высоким изливом, хром, карт. 40 мм, G40125</t>
  </si>
  <si>
    <t>G41114</t>
  </si>
  <si>
    <t>Смеситель для кухни с высоким изливом, хром, карт. 40 мм, G41114</t>
  </si>
  <si>
    <t>G41120</t>
  </si>
  <si>
    <t>Смеситель для кухни с высоким изливом, хром, карт. 40 мм, G41120</t>
  </si>
  <si>
    <t>G41125</t>
  </si>
  <si>
    <t>Смеситель для кухни с высоким изливом, хром, карт. 40 мм, G41125</t>
  </si>
  <si>
    <t>G42080</t>
  </si>
  <si>
    <t>Смеситель для кухни, высокий излив G42080</t>
  </si>
  <si>
    <t>G40080</t>
  </si>
  <si>
    <t>Смеситель для кухни, округ. высокий излив G40080</t>
  </si>
  <si>
    <t>G49111</t>
  </si>
  <si>
    <t>Смеситель для кухни, хирургическая ручка, настенный, хром (Гаечный крепеж) G49111</t>
  </si>
  <si>
    <t>G46111</t>
  </si>
  <si>
    <t>Смеситель для кухни, хирургическая ручка, хром (Гаечный крепеж) G46111</t>
  </si>
  <si>
    <t xml:space="preserve">Смеситель для кухни, хирургическая ручка, хром (Гаечный крепеж) </t>
  </si>
  <si>
    <t>H49128</t>
  </si>
  <si>
    <t>Смеситель для кухни, хром (гаечный крепеж), карт. 40 мм, H49128</t>
  </si>
  <si>
    <t>G22125-15</t>
  </si>
  <si>
    <t>Смеситель для кухни, хром, карт. 40 мм, G22125-15</t>
  </si>
  <si>
    <t>G49112</t>
  </si>
  <si>
    <t>Смеситель для кухни, хром, карт. 40 мм, G49112</t>
  </si>
  <si>
    <t>H49206</t>
  </si>
  <si>
    <t>Смеситель для кухни, черный (гаечный крепеж), карт. 35 мм, H49206</t>
  </si>
  <si>
    <t>G11250</t>
  </si>
  <si>
    <t>Смеситель для раковины (высокий излив) хром, гаечный крепеж, карт. 35 мм, G11250</t>
  </si>
  <si>
    <t>G11255</t>
  </si>
  <si>
    <t>Смеситель для раковины (высокий излив) хром, гаечный крепеж, карт. 35 мм, G11255</t>
  </si>
  <si>
    <t>G11256</t>
  </si>
  <si>
    <t>Смеситель для раковины (высокий излив) хром, гаечный крепеж, карт. 35 мм, G11256</t>
  </si>
  <si>
    <t>G11125</t>
  </si>
  <si>
    <t>Смеситель для раковины (высокий излив) хром, гаечный крепеж, карт. 40 мм, G11125</t>
  </si>
  <si>
    <t>G10252</t>
  </si>
  <si>
    <t>Смеситель для раковины (гаечный крепеж), хром, карт. 35 мм, G10252</t>
  </si>
  <si>
    <t>G10253</t>
  </si>
  <si>
    <t>Смеситель для раковины (гаечный крепеж), хром, карт. 35 мм, G10253</t>
  </si>
  <si>
    <t>G10255</t>
  </si>
  <si>
    <t>Смеситель для раковины (гаечный крепеж), хром, карт. 35 мм, G10255</t>
  </si>
  <si>
    <t>G10256</t>
  </si>
  <si>
    <t>Смеситель для раковины (гаечный крепеж), хром, карт. 35 мм, G10256</t>
  </si>
  <si>
    <t>H10024</t>
  </si>
  <si>
    <t>Смеситель для раковины с 2-я маховиками, литой излив, хром, H10024</t>
  </si>
  <si>
    <t>H10032</t>
  </si>
  <si>
    <t>Смеситель для раковины с 2-я маховиками, литой излив, хром, H10032</t>
  </si>
  <si>
    <t>G12114</t>
  </si>
  <si>
    <t>Смеситель для раковины с гигиеническим душем, хром, G12114</t>
  </si>
  <si>
    <t>G10125-12</t>
  </si>
  <si>
    <t>Смеситель для раковины, белый (гаечный крепеж), карт. 40 мм, G10125-12</t>
  </si>
  <si>
    <t>G10080</t>
  </si>
  <si>
    <t>Смеситель для раковины, литой излив G10080</t>
  </si>
  <si>
    <t>G10110</t>
  </si>
  <si>
    <t>Смеситель для раковины, литой излив, карт. 40 мм G10110</t>
  </si>
  <si>
    <t>G10125-15</t>
  </si>
  <si>
    <t>Смеситель для раковины, салатовый (гаечный крепеж), карт. 40 мм, G10125-15</t>
  </si>
  <si>
    <t>H10205</t>
  </si>
  <si>
    <t>Смеситель для раковины, хром (гаечный крепеж), карт. 35 мм, H10205</t>
  </si>
  <si>
    <t>G10124</t>
  </si>
  <si>
    <t>Смеситель для раковины, хром (гаечный крепеж), карт. 40 мм, G10124</t>
  </si>
  <si>
    <t>G10250</t>
  </si>
  <si>
    <t>Смеситель для раковины, хром (гаечный крепеж), карт. 40 мм, G10250</t>
  </si>
  <si>
    <t>G10112</t>
  </si>
  <si>
    <t>Смеситель для раковины, хром, карт. 40 мм G10112</t>
  </si>
  <si>
    <t>G10114</t>
  </si>
  <si>
    <t>Смеситель для раковины, хром, карт. 40 мм, G10114</t>
  </si>
  <si>
    <t>G10120</t>
  </si>
  <si>
    <t>Смеситель для раковины, хром, карт. 40 мм, G10120</t>
  </si>
  <si>
    <t>G10125</t>
  </si>
  <si>
    <t>Смеситель для раковины, хром, карт. 40 мм, G10125</t>
  </si>
  <si>
    <t>H10128</t>
  </si>
  <si>
    <t>Смеситель для раковины, хром, карт. 40 мм, H10128</t>
  </si>
  <si>
    <t>H10206</t>
  </si>
  <si>
    <t>Смеситель для раковины, черный (гаечный крепеж), карт. 35 мм, H10206</t>
  </si>
  <si>
    <t>G10125-11</t>
  </si>
  <si>
    <t>Смеситель для раковины, черный (гаечный крепеж), карт. 40 мм, G10125-11</t>
  </si>
  <si>
    <t>G75120</t>
  </si>
  <si>
    <t>Смеситель настенный с гигиеничеким душем, хром, карт. 40 мм, G75120</t>
  </si>
  <si>
    <t>G75110</t>
  </si>
  <si>
    <t>Смеситель с гигиеничеким душем, спец. шлангом, карт. 40 мм G75110</t>
  </si>
  <si>
    <t>G21080</t>
  </si>
  <si>
    <t>Смесить для ванны, хром G21080</t>
  </si>
  <si>
    <t>LG-1000</t>
  </si>
  <si>
    <t>Соединитель усиленный горизонтальный GTO 100 L</t>
  </si>
  <si>
    <t>H-01172</t>
  </si>
  <si>
    <t>Стойка громкоговорителей BS/52-TB</t>
  </si>
  <si>
    <t>M-00024</t>
  </si>
  <si>
    <t>Стяжка кабельная PLCT-100х3 100мм</t>
  </si>
  <si>
    <t>1111111111039</t>
  </si>
  <si>
    <t>M-00025</t>
  </si>
  <si>
    <t>Стяжка кабельная PLCT-150х3 150мм</t>
  </si>
  <si>
    <t>1111111111040</t>
  </si>
  <si>
    <t>M-00026</t>
  </si>
  <si>
    <t>Стяжка кабельная PLCT-200х4 200мм</t>
  </si>
  <si>
    <t>1111111111041</t>
  </si>
  <si>
    <t>H-01175</t>
  </si>
  <si>
    <t>Сценический монитор ТДЕ4А/Ь d&amp;b audiotechnik MAX2 Z1120.002</t>
  </si>
  <si>
    <t>4650098215471</t>
  </si>
  <si>
    <t>9032108900</t>
  </si>
  <si>
    <t>4650098215433</t>
  </si>
  <si>
    <t>02607-DIY</t>
  </si>
  <si>
    <t>Термостатический клапан для радиатора прямой 1/2" DIY</t>
  </si>
  <si>
    <t>Термостатический клапан для радиатора прямой 1/2"  DIY</t>
  </si>
  <si>
    <t>4650098215440</t>
  </si>
  <si>
    <t>02608-DIY</t>
  </si>
  <si>
    <t>Термостатический клапан для радиатора прямой 3/4" DIY</t>
  </si>
  <si>
    <t>4650098215457</t>
  </si>
  <si>
    <t>02609-DIY</t>
  </si>
  <si>
    <t>Термостатический клапан для радиатора угловой 1/2" DIY</t>
  </si>
  <si>
    <t>4650098215464</t>
  </si>
  <si>
    <t>02610-DIY</t>
  </si>
  <si>
    <t>Термостатический клапан для радиатора угловой 3/4" DIY</t>
  </si>
  <si>
    <t>V-03477</t>
  </si>
  <si>
    <t>Тройник   20</t>
  </si>
  <si>
    <t>V-03478</t>
  </si>
  <si>
    <t>Тройник   25</t>
  </si>
  <si>
    <t>V-03479</t>
  </si>
  <si>
    <t>Тройник   32</t>
  </si>
  <si>
    <t>V-03480</t>
  </si>
  <si>
    <t>Тройник   40</t>
  </si>
  <si>
    <t>V-03481</t>
  </si>
  <si>
    <t>Тройник   50</t>
  </si>
  <si>
    <t>V-03482</t>
  </si>
  <si>
    <t>Тройник   63</t>
  </si>
  <si>
    <t>Тройник  1 1/2''F x 1 1/2"F x 1 1/2"F</t>
  </si>
  <si>
    <t>Тройники</t>
  </si>
  <si>
    <t>4650098214085</t>
  </si>
  <si>
    <t>Тройник  1 1/4''F x 1 1/4"F x 1 1/4"F</t>
  </si>
  <si>
    <t>4650098214078</t>
  </si>
  <si>
    <t>Тройник  1 1/4''F x 1"F x 1 1/4"F</t>
  </si>
  <si>
    <t>4670064716818</t>
  </si>
  <si>
    <t>Тройник  1 1/4''F x 3/4"F x 1 1/4"F</t>
  </si>
  <si>
    <t>4650098214108</t>
  </si>
  <si>
    <t>Тройник  1/2''F x 1/2"F x 1/2"F</t>
  </si>
  <si>
    <t>4630003322401</t>
  </si>
  <si>
    <t>02568-DIY</t>
  </si>
  <si>
    <t>Тройник  FFF   1/2'' DIY</t>
  </si>
  <si>
    <t>Тройник  1/2''F x 1/2"F x 1/2"F DIY</t>
  </si>
  <si>
    <t>Тройник  1/2''F x 1/2"F x 1/2"M</t>
  </si>
  <si>
    <t>4630003322814</t>
  </si>
  <si>
    <t>02381-DIY</t>
  </si>
  <si>
    <t>Тройник  FFM   1/2'' DIY</t>
  </si>
  <si>
    <t>Тройник  1/2''F x 1/2"F x 1/2"M DIY</t>
  </si>
  <si>
    <t>Тройник  1/2''F x 1/2"M x 1/2"F</t>
  </si>
  <si>
    <t>4630003322418</t>
  </si>
  <si>
    <t>02574-DIY</t>
  </si>
  <si>
    <t>Тройник  FMF  1/2'' DIY</t>
  </si>
  <si>
    <t>Тройник  1/2''F x 1/2"M x 1/2"F DIY</t>
  </si>
  <si>
    <t>Тройник  1/2''F x 1/2"M x 1/2"M</t>
  </si>
  <si>
    <t>4630003322821</t>
  </si>
  <si>
    <t>02380-DIY</t>
  </si>
  <si>
    <t>Тройник  FMM   1/2'' DIY</t>
  </si>
  <si>
    <t>Тройник  1/2''F x 1/2"M x 1/2"M DIY</t>
  </si>
  <si>
    <t>Тройник  1/2''M x 1/2"F x 1/2"M</t>
  </si>
  <si>
    <t>4630003322425</t>
  </si>
  <si>
    <t>02379-DIY</t>
  </si>
  <si>
    <t>Тройник  MFM   1/2'' DIY</t>
  </si>
  <si>
    <t>Тройник  1/2''M x 1/2"F x 1/2"M DIY</t>
  </si>
  <si>
    <t>Тройник  1/2''M x 1/2"M x 1/2"M</t>
  </si>
  <si>
    <t>4630003322432</t>
  </si>
  <si>
    <t>02575-DIY</t>
  </si>
  <si>
    <t>Тройник  MMM   1/2'' DIY</t>
  </si>
  <si>
    <t>Тройник  1/2''M x 1/2"M x 1/2"M DIY</t>
  </si>
  <si>
    <t>4630003329363</t>
  </si>
  <si>
    <t>Тройник  1''F x 1"F x 1"F</t>
  </si>
  <si>
    <t>4630003322852</t>
  </si>
  <si>
    <t>02570-DIY</t>
  </si>
  <si>
    <t>Тройник  FFF 1''-DIY</t>
  </si>
  <si>
    <t>Тройник  1''F x 1"F x 1"F-DIY</t>
  </si>
  <si>
    <t>Тройник  1''F x 1"F x 1"M</t>
  </si>
  <si>
    <t>4650098214092</t>
  </si>
  <si>
    <t>Тройник  1''F x 1"M x 1"M</t>
  </si>
  <si>
    <t>4650098211817</t>
  </si>
  <si>
    <t>Тройник  1''F x 1/2"F x 1"F</t>
  </si>
  <si>
    <t>4630003322807</t>
  </si>
  <si>
    <t>02382-DIY</t>
  </si>
  <si>
    <t>Тройник  FFF 1'' x 1/2" x 1" DIY</t>
  </si>
  <si>
    <t>Тройник  1''F x 1/2"F x 1"F DIY</t>
  </si>
  <si>
    <t>Тройник  1''F x 3/4"F x 1"F</t>
  </si>
  <si>
    <t>4630003323217</t>
  </si>
  <si>
    <t>02573-DIY</t>
  </si>
  <si>
    <t>Тройник  FFF 1'' x 3/4" x 1" DIY</t>
  </si>
  <si>
    <t>Тройник  1''F x 3/4"F x 1"F DIY</t>
  </si>
  <si>
    <t>Тройник  1''M x 1"F x 1"M</t>
  </si>
  <si>
    <t>4650098211831</t>
  </si>
  <si>
    <t>Тройник  1''M x 1"M x 1"M</t>
  </si>
  <si>
    <t>4630003323194</t>
  </si>
  <si>
    <t>02577-DIY</t>
  </si>
  <si>
    <t>Тройник  MMM  1''-DIY</t>
  </si>
  <si>
    <t>Тройник  1''M x 1"M x 1"M-DIY</t>
  </si>
  <si>
    <t>4650098210049</t>
  </si>
  <si>
    <t>03477-DIY</t>
  </si>
  <si>
    <t>Тройник  20 DIY</t>
  </si>
  <si>
    <t>4650098212449</t>
  </si>
  <si>
    <t>03478-DIY</t>
  </si>
  <si>
    <t>Тройник  25 DIY</t>
  </si>
  <si>
    <t>Тройник  2''F x 2"F x 2"F</t>
  </si>
  <si>
    <t>4670064716801</t>
  </si>
  <si>
    <t>Тройник  3/4''F x 1/2"F x 3/4"F</t>
  </si>
  <si>
    <t>4630003323200</t>
  </si>
  <si>
    <t>02572-DIY</t>
  </si>
  <si>
    <t>Тройник  FFF   3/4'' x 1/2" x 3/4" DIY</t>
  </si>
  <si>
    <t>Тройник  3/4''F x 1/2"F x 3/4"F DIY</t>
  </si>
  <si>
    <t>Тройник  3/4''F x 1/2"M x 3/4"F</t>
  </si>
  <si>
    <t>4630003323392</t>
  </si>
  <si>
    <t>04516-DIY</t>
  </si>
  <si>
    <t>Тройник  FMF  3/4'' x 1/2" x 3/4" DIY</t>
  </si>
  <si>
    <t>Тройник  3/4''F x 1/2"M x 3/4"F DIY</t>
  </si>
  <si>
    <t>Тройник  3/4''F x 3/4"F x 3/4"F</t>
  </si>
  <si>
    <t>4630003322449</t>
  </si>
  <si>
    <t>02569-DIY</t>
  </si>
  <si>
    <t>Тройник  FFF   3/4'' DIY</t>
  </si>
  <si>
    <t>Тройник  3/4''F x 3/4"F x 3/4"F DIY</t>
  </si>
  <si>
    <t>Тройник  3/4''F x 3/4"F x 3/4"M</t>
  </si>
  <si>
    <t>4650098211794</t>
  </si>
  <si>
    <t>04521-DIY</t>
  </si>
  <si>
    <t>Тройник  FFM   3/4'' DIY</t>
  </si>
  <si>
    <t>Тройник  3/4''F x 3/4"F x 3/4"M DIY</t>
  </si>
  <si>
    <t>Тройник  3/4''F x 3/4"M x 3/4"F</t>
  </si>
  <si>
    <t>4630003322838</t>
  </si>
  <si>
    <t>04515-DIY</t>
  </si>
  <si>
    <t>Тройник  FMF  3/4'' DIY</t>
  </si>
  <si>
    <t>Тройник  3/4''F x 3/4"M x 3/4"F DIY</t>
  </si>
  <si>
    <t>Тройник  3/4''F x 3/4"M x 3/4"M</t>
  </si>
  <si>
    <t>4650098211800</t>
  </si>
  <si>
    <t>04519-DIY</t>
  </si>
  <si>
    <t>Тройник  FMM   3/4'' DIY</t>
  </si>
  <si>
    <t>Тройник  3/4''F x 3/4"M x 3/4"M DIY</t>
  </si>
  <si>
    <t>Тройник  3/4''M x 1/2"M x 3/4"M</t>
  </si>
  <si>
    <t>4630003323651</t>
  </si>
  <si>
    <t>04517-DIY</t>
  </si>
  <si>
    <t>Тройник  MMM   3/4'' x 1/2" x 3/4" DIY</t>
  </si>
  <si>
    <t>Тройник  3/4''M x 1/2"M x 3/4"M DIY</t>
  </si>
  <si>
    <t>Тройник  3/4''M x 3/4"F x 3/4"M</t>
  </si>
  <si>
    <t>4650098211824</t>
  </si>
  <si>
    <t>02578-DIY</t>
  </si>
  <si>
    <t>Тройник  MFM   3/4'' DIY</t>
  </si>
  <si>
    <t>Тройник  3/4''M x 3/4"F x 3/4"M DIY</t>
  </si>
  <si>
    <t>Тройник  3/4''M x 3/4"M x 3/4"M</t>
  </si>
  <si>
    <t>4630003322845</t>
  </si>
  <si>
    <t>02576-DIY</t>
  </si>
  <si>
    <t>Тройник  MMM   3/4'' DIY</t>
  </si>
  <si>
    <t>Тройник  3/4''M x 3/4"M x 3/4"M DIY</t>
  </si>
  <si>
    <t>4650098212456</t>
  </si>
  <si>
    <t>03479-DIY</t>
  </si>
  <si>
    <t>Тройник  32 DIY</t>
  </si>
  <si>
    <t>4650098212463</t>
  </si>
  <si>
    <t>4650098212470</t>
  </si>
  <si>
    <t>4650098212487</t>
  </si>
  <si>
    <t>4650098212494</t>
  </si>
  <si>
    <t>4630003329349</t>
  </si>
  <si>
    <t>V-03496</t>
  </si>
  <si>
    <t>Тройник  переходной   25-20-20</t>
  </si>
  <si>
    <t>V-03497</t>
  </si>
  <si>
    <t>Тройник  переходной   25-20-25</t>
  </si>
  <si>
    <t>V-03499</t>
  </si>
  <si>
    <t>Тройник  переходной   32-20-20</t>
  </si>
  <si>
    <t>V-03500</t>
  </si>
  <si>
    <t>Тройник  переходной   32-20-25</t>
  </si>
  <si>
    <t>V-03501</t>
  </si>
  <si>
    <t>Тройник  переходной   32-20-32</t>
  </si>
  <si>
    <t>V-03502</t>
  </si>
  <si>
    <t>Тройник  переходной   32-25-20</t>
  </si>
  <si>
    <t>V-03504</t>
  </si>
  <si>
    <t>Тройник  переходной   32-25-32</t>
  </si>
  <si>
    <t>V-03505</t>
  </si>
  <si>
    <t>Тройник  переходной   40-20-40</t>
  </si>
  <si>
    <t>V-03506</t>
  </si>
  <si>
    <t>Тройник  переходной   40-25-40</t>
  </si>
  <si>
    <t>V-03507</t>
  </si>
  <si>
    <t>Тройник  переходной   40-32-40</t>
  </si>
  <si>
    <t>V-03508</t>
  </si>
  <si>
    <t>Тройник  переходной   50-20-50</t>
  </si>
  <si>
    <t>V-03509</t>
  </si>
  <si>
    <t>Тройник  переходной   50-25-50</t>
  </si>
  <si>
    <t>V-03510</t>
  </si>
  <si>
    <t>Тройник  переходной   50-32-50</t>
  </si>
  <si>
    <t>V-03511</t>
  </si>
  <si>
    <t>Тройник  переходной   50-40-50</t>
  </si>
  <si>
    <t>V-03512</t>
  </si>
  <si>
    <t>Тройник  переходной   63-20-63</t>
  </si>
  <si>
    <t>V-03513</t>
  </si>
  <si>
    <t>Тройник  переходной   63-25-63</t>
  </si>
  <si>
    <t>V-03514</t>
  </si>
  <si>
    <t>Тройник  переходной   63-32-63</t>
  </si>
  <si>
    <t>V-03515</t>
  </si>
  <si>
    <t>Тройник  переходной   63-40-63</t>
  </si>
  <si>
    <t>Тройник  переходной  20-25-20</t>
  </si>
  <si>
    <t>4650098215341</t>
  </si>
  <si>
    <t>4650098212579</t>
  </si>
  <si>
    <t>03497-DIY</t>
  </si>
  <si>
    <t>Тройник  переходной  25-20-25 DIY</t>
  </si>
  <si>
    <t>Тройник  переходной  25-25-20</t>
  </si>
  <si>
    <t>4650098212586</t>
  </si>
  <si>
    <t>03499-DIY</t>
  </si>
  <si>
    <t>Тройник  переходной  32-20-20 DIY</t>
  </si>
  <si>
    <t>4650098212593</t>
  </si>
  <si>
    <t>03500-DIY</t>
  </si>
  <si>
    <t>Тройник  переходной  32-20-25 DIY</t>
  </si>
  <si>
    <t>4650098212609</t>
  </si>
  <si>
    <t>03501-DIY</t>
  </si>
  <si>
    <t>Тройник  переходной  32-20-32 DIY</t>
  </si>
  <si>
    <t>4650098212623</t>
  </si>
  <si>
    <t>03502-DIY</t>
  </si>
  <si>
    <t>Тройник  переходной  32-25-20 DIY</t>
  </si>
  <si>
    <t>4650098212616</t>
  </si>
  <si>
    <t>03503-DIY</t>
  </si>
  <si>
    <t>Тройник  переходной  32-25-25 DIY</t>
  </si>
  <si>
    <t>4650098212630</t>
  </si>
  <si>
    <t>03504-DIY</t>
  </si>
  <si>
    <t>Тройник  переходной  32-25-32 DIY</t>
  </si>
  <si>
    <t>4650098212647</t>
  </si>
  <si>
    <t>4650098212654</t>
  </si>
  <si>
    <t>4650098212661</t>
  </si>
  <si>
    <t>4650098212678</t>
  </si>
  <si>
    <t>4650098212685</t>
  </si>
  <si>
    <t>4650098212692</t>
  </si>
  <si>
    <t>4650098212708</t>
  </si>
  <si>
    <t>4650098212715</t>
  </si>
  <si>
    <t>4650098212722</t>
  </si>
  <si>
    <t>4650098212739</t>
  </si>
  <si>
    <t>4650098212746</t>
  </si>
  <si>
    <t>4650098212753</t>
  </si>
  <si>
    <t>V-03516</t>
  </si>
  <si>
    <t>Тройник  переходной 63-50-63</t>
  </si>
  <si>
    <t>00465-DIY</t>
  </si>
  <si>
    <t>Тройник  Т16х20x16 DIY</t>
  </si>
  <si>
    <t>4650098210018</t>
  </si>
  <si>
    <t>00164-DIY</t>
  </si>
  <si>
    <t>Тройник  Т16х3/4Fx16 DIY</t>
  </si>
  <si>
    <t>4650098212203</t>
  </si>
  <si>
    <t>00291-DIY</t>
  </si>
  <si>
    <t>Тройник  Т20х1/2Fx20 DIY</t>
  </si>
  <si>
    <t>4630003325082</t>
  </si>
  <si>
    <t>00292-DIY</t>
  </si>
  <si>
    <t>Тройник  Т20х1/2Mx20 DIY</t>
  </si>
  <si>
    <t>4650098210919</t>
  </si>
  <si>
    <t>00473-DIY</t>
  </si>
  <si>
    <t>Тройник  Т20х3/4Fx20 DIY</t>
  </si>
  <si>
    <t>4630003324979</t>
  </si>
  <si>
    <t>00472-DIY</t>
  </si>
  <si>
    <t>Тройник  Т20х3/4Mx20 DIY</t>
  </si>
  <si>
    <t>4630003325105</t>
  </si>
  <si>
    <t>0206-В</t>
  </si>
  <si>
    <t>Тройник 1 - 1/2 - 1  г/г/г  лат</t>
  </si>
  <si>
    <t>0218-В</t>
  </si>
  <si>
    <t>Тройник 1  г/г/г  лат</t>
  </si>
  <si>
    <t>0230-В</t>
  </si>
  <si>
    <t>Тройник 1  г/г/ш  лат</t>
  </si>
  <si>
    <t>0232-В</t>
  </si>
  <si>
    <t>Тройник 1  г/ш/г  лат</t>
  </si>
  <si>
    <t>0231-В</t>
  </si>
  <si>
    <t>Тройник 1  г/ш/ш  лат</t>
  </si>
  <si>
    <t>0233-В</t>
  </si>
  <si>
    <t>Тройник 1  ш/г/ш  лат</t>
  </si>
  <si>
    <t>0217-В</t>
  </si>
  <si>
    <t>Тройник 1  ш/ш/ш  лат</t>
  </si>
  <si>
    <t>0201-В</t>
  </si>
  <si>
    <t>Тройник 1/2  г/г/г  лат</t>
  </si>
  <si>
    <t>0203-В</t>
  </si>
  <si>
    <t>Тройник 1/2  г/г/ш  лат</t>
  </si>
  <si>
    <t>0211-В</t>
  </si>
  <si>
    <t>Тройник 1/2  г/ш/г  лат</t>
  </si>
  <si>
    <t>0204-В</t>
  </si>
  <si>
    <t>Тройник 1/2  г/ш/ш  лат</t>
  </si>
  <si>
    <t>0291-В</t>
  </si>
  <si>
    <t>Тройник 1/2  ш/г/ш  лат</t>
  </si>
  <si>
    <t>0241-В</t>
  </si>
  <si>
    <t>Тройник 1/2  ш/ш/ш  лат</t>
  </si>
  <si>
    <t>Тройник 2 цанги/гайка T16х1/2Fх16</t>
  </si>
  <si>
    <t>4630003325075</t>
  </si>
  <si>
    <t>00288-DIY</t>
  </si>
  <si>
    <t>Тройник  Т16х1/2Fx16 DIY</t>
  </si>
  <si>
    <t>Тройник 2 цанги/гайка T16х1/2Fх16 DIY</t>
  </si>
  <si>
    <t>Тройник 2 цанги/гайка T16х3/4Fх16</t>
  </si>
  <si>
    <t>Тройник 2 цанги/гайка T20х1/2Fх20</t>
  </si>
  <si>
    <t>Тройник 2 цанги/гайка T20х3/4Fх20</t>
  </si>
  <si>
    <t>Тройник  Т26х1/2Fx26</t>
  </si>
  <si>
    <t>Тройник 2 цанги/гайка T26х1/2Fх26</t>
  </si>
  <si>
    <t>Тройник  Т26х1Fx26</t>
  </si>
  <si>
    <t>Тройник 2 цанги/гайка T26х1Fх26</t>
  </si>
  <si>
    <t>Тройник  Т26х3/4Fx26</t>
  </si>
  <si>
    <t>Тройник 2 цанги/гайка T26х3/4Fх26</t>
  </si>
  <si>
    <t>Тройник  Т32х1/2Fx32</t>
  </si>
  <si>
    <t>Тройник 2 цанги/гайка T32х1/2Fх32</t>
  </si>
  <si>
    <t>Тройник  Т32х1Fx32</t>
  </si>
  <si>
    <t>Тройник 2 цанги/гайка T32х1Fх32</t>
  </si>
  <si>
    <t>Тройник  Т32х3/4Fx32</t>
  </si>
  <si>
    <t>Тройник 2 цанги/гайка T32х3/4Fх32</t>
  </si>
  <si>
    <t>Тройник 2 цанги/штуцер T16х1/2Mх16</t>
  </si>
  <si>
    <t>4630003324894</t>
  </si>
  <si>
    <t>00287-DIY</t>
  </si>
  <si>
    <t>Тройник  Т16х1/2Mx16 DIY</t>
  </si>
  <si>
    <t>Тройник 2 цанги/штуцер T16х1/2Mх16 DIY</t>
  </si>
  <si>
    <t>Тройник 2 цанги/штуцер T16х3/4Mх16</t>
  </si>
  <si>
    <t>4650098212210</t>
  </si>
  <si>
    <t>00306-DIY</t>
  </si>
  <si>
    <t>Тройник  Т16х3/4Mx16 DIY</t>
  </si>
  <si>
    <t>Тройник 2 цанги/штуцер T16х3/4Mх16 DIY</t>
  </si>
  <si>
    <t>Тройник 2 цанги/штуцер T20х1/2Mх20</t>
  </si>
  <si>
    <t>Тройник 2 цанги/штуцер T20х3/4Mх20</t>
  </si>
  <si>
    <t>Тройник  Т26х1/2Mx26</t>
  </si>
  <si>
    <t>Тройник 2 цанги/штуцер T26х1/2Mх26</t>
  </si>
  <si>
    <t>Тройник  Т26х1Mx26</t>
  </si>
  <si>
    <t>Тройник 2 цанги/штуцер T26х1Mх26</t>
  </si>
  <si>
    <t>Тройник  Т26х3/4Mx26</t>
  </si>
  <si>
    <t>Тройник 2 цанги/штуцер T26х3/4Mх26</t>
  </si>
  <si>
    <t>Тройник  Т32х1/2Mx32</t>
  </si>
  <si>
    <t>Тройник 2 цанги/штуцер T32х1/2Mх32</t>
  </si>
  <si>
    <t>Тройник  Т32х1Mx32</t>
  </si>
  <si>
    <t>Тройник 2 цанги/штуцер T32х1Mх32</t>
  </si>
  <si>
    <t>Тройник  Т32х3/4Mx32</t>
  </si>
  <si>
    <t>Тройник 2 цанги/штуцер T32х3/4Mх32</t>
  </si>
  <si>
    <t>Тройник 20</t>
  </si>
  <si>
    <t>Тройник 3 цанги T16х16х16</t>
  </si>
  <si>
    <t>4630003324900</t>
  </si>
  <si>
    <t>00160-DIY</t>
  </si>
  <si>
    <t>Тройник  Т16х16x16 DIY</t>
  </si>
  <si>
    <t>Тройник 3 цанги T16х16х16 DIY</t>
  </si>
  <si>
    <t>Тройник 3 цанги T16х20х16</t>
  </si>
  <si>
    <t>Тройник 3 цанги T20х16х20</t>
  </si>
  <si>
    <t>4630003324986</t>
  </si>
  <si>
    <t>00307-DIY</t>
  </si>
  <si>
    <t>Тройник  Т20х16x20-DIY</t>
  </si>
  <si>
    <t>Тройник 3 цанги T20х16х20-DIY</t>
  </si>
  <si>
    <t>Тройник 3 цанги T20х20х20</t>
  </si>
  <si>
    <t>4630003325587</t>
  </si>
  <si>
    <t>00171-DIY</t>
  </si>
  <si>
    <t>Тройник  Т20х20x20 DIY</t>
  </si>
  <si>
    <t>Тройник 3 цанги T20х20х20 DIY</t>
  </si>
  <si>
    <t>Тройник  Т26х16x26</t>
  </si>
  <si>
    <t>Тройник 3 цанги T26х16x26</t>
  </si>
  <si>
    <t>Тройник  Т26х20x26</t>
  </si>
  <si>
    <t>Тройник 3 цанги T26х20x26</t>
  </si>
  <si>
    <t>Тройник  Т26х26x26</t>
  </si>
  <si>
    <t>Тройник 3 цанги T26х26x26</t>
  </si>
  <si>
    <t>Тройник  Т32х16x32</t>
  </si>
  <si>
    <t>Тройник 3 цанги T32х16х32</t>
  </si>
  <si>
    <t>Тройник  Т32х20x32</t>
  </si>
  <si>
    <t>Тройник 3 цанги T32х20х32</t>
  </si>
  <si>
    <t>Тройник  Т32х26x32</t>
  </si>
  <si>
    <t>Тройник 3 цанги T32х26х32</t>
  </si>
  <si>
    <t>Тройник  Т32х32x32</t>
  </si>
  <si>
    <t>Тройник 3 цанги T32х32х32</t>
  </si>
  <si>
    <t>0212-В</t>
  </si>
  <si>
    <t>Тройник 3/4 - 1/2 - 3/4  г/г/г  лат</t>
  </si>
  <si>
    <t>0202-В</t>
  </si>
  <si>
    <t>Тройник 3/4  г/г/г  лат</t>
  </si>
  <si>
    <t>0210-В</t>
  </si>
  <si>
    <t>Тройник 3/4  г/г/ш  лат</t>
  </si>
  <si>
    <t>0663-В</t>
  </si>
  <si>
    <t>Тройник 3/4  г/ш/г  лат</t>
  </si>
  <si>
    <t>0209-В</t>
  </si>
  <si>
    <t>Тройник 3/4  г/ш/ш  лат</t>
  </si>
  <si>
    <t>0660-В</t>
  </si>
  <si>
    <t>Тройник 3/4  ш/ш/ш  лат</t>
  </si>
  <si>
    <t>Тройник аксиальный 16 мм х ½" вн х 16 мм</t>
  </si>
  <si>
    <t>Тройники аксиальные</t>
  </si>
  <si>
    <t>4660129410744</t>
  </si>
  <si>
    <t>Тройник аксиальный 16 мм х ½" нар х 16 мм</t>
  </si>
  <si>
    <t>4660129410805</t>
  </si>
  <si>
    <t>Тройник аксиальный 16х16х16 мм</t>
  </si>
  <si>
    <t>4660129410782</t>
  </si>
  <si>
    <t>Тройник аксиальный 16х20х16 мм</t>
  </si>
  <si>
    <t>4660129410836</t>
  </si>
  <si>
    <t>Тройник аксиальный 20 мм х ½" вн х 20 мм</t>
  </si>
  <si>
    <t>4660129410768</t>
  </si>
  <si>
    <t>Тройник аксиальный 20 мм х ½" нар х 20 мм</t>
  </si>
  <si>
    <t>4660129410812</t>
  </si>
  <si>
    <t>Тройник аксиальный 20 мм х ¾" вн х 20 мм</t>
  </si>
  <si>
    <t>4660129410775</t>
  </si>
  <si>
    <t>Тройник аксиальный 20 мм х ¾" нар х 20 мм</t>
  </si>
  <si>
    <t>4660129410829</t>
  </si>
  <si>
    <t>Тройник аксиальный 20х16х20 мм</t>
  </si>
  <si>
    <t>4660129410843</t>
  </si>
  <si>
    <t>Тройник аксиальный 20х20х20 мм</t>
  </si>
  <si>
    <t>4660129410799</t>
  </si>
  <si>
    <t>Тройник Ду 20</t>
  </si>
  <si>
    <t>1111111111010</t>
  </si>
  <si>
    <t>Тройник Ду 25</t>
  </si>
  <si>
    <t>Тройник Ду 32</t>
  </si>
  <si>
    <t>Тройник Ду 40</t>
  </si>
  <si>
    <t>Тройник Ду 50</t>
  </si>
  <si>
    <t>Тройник Ду 63</t>
  </si>
  <si>
    <t>V-03563</t>
  </si>
  <si>
    <t>Тройник комбинированный    25 х 3/4 х 25 F</t>
  </si>
  <si>
    <t>V-03569</t>
  </si>
  <si>
    <t>Тройник комбинированный    25 х 3/4 х 25 М</t>
  </si>
  <si>
    <t>V-03560</t>
  </si>
  <si>
    <t>Тройник комбинированный   20 х 1/2 х 20 F</t>
  </si>
  <si>
    <t>V-03566</t>
  </si>
  <si>
    <t>Тройник комбинированный   20 х 1/2 х 20 М</t>
  </si>
  <si>
    <t>V-03561</t>
  </si>
  <si>
    <t>Тройник комбинированный   20 х 3/4 х 20 F</t>
  </si>
  <si>
    <t>V-03567</t>
  </si>
  <si>
    <t>Тройник комбинированный   20 х 3/4 х 20 М</t>
  </si>
  <si>
    <t>V-03562</t>
  </si>
  <si>
    <t>Тройник комбинированный   25 х 1/2 х 25 F</t>
  </si>
  <si>
    <t>V-03565</t>
  </si>
  <si>
    <t>Тройник комбинированный   32 х 1 х 32 F</t>
  </si>
  <si>
    <t>V-03571</t>
  </si>
  <si>
    <t>Тройник комбинированный   32 х 1 х 32 М</t>
  </si>
  <si>
    <t>V-03564</t>
  </si>
  <si>
    <t>Тройник комбинированный   32 х 3/4 х 32 F</t>
  </si>
  <si>
    <t>V-03570</t>
  </si>
  <si>
    <t>Тройник комбинированный   32 х 3/4 х 32 М</t>
  </si>
  <si>
    <t>4650098213125</t>
  </si>
  <si>
    <t>03560-DIY</t>
  </si>
  <si>
    <t>Тройник комбинированный  20 х 1/2 х 20 F DIY</t>
  </si>
  <si>
    <t>Тройники комбинированные</t>
  </si>
  <si>
    <t>4650098213194</t>
  </si>
  <si>
    <t>03566-DIY</t>
  </si>
  <si>
    <t>Тройник комбинированный  20 х 1/2 х 20 М DIY</t>
  </si>
  <si>
    <t>4650098213132</t>
  </si>
  <si>
    <t>03561-DIY</t>
  </si>
  <si>
    <t>Тройник комбинированный  20 х 3/4 х 20 F DIY</t>
  </si>
  <si>
    <t>4650098213200</t>
  </si>
  <si>
    <t>4650098213149</t>
  </si>
  <si>
    <t>4650098213217</t>
  </si>
  <si>
    <t>03568-DIY</t>
  </si>
  <si>
    <t>Тройник комбинированный  25 х 1/2 х 25 М DIY</t>
  </si>
  <si>
    <t>4650098213156</t>
  </si>
  <si>
    <t>4650098213224</t>
  </si>
  <si>
    <t>4650098213187</t>
  </si>
  <si>
    <t>03565-DIY</t>
  </si>
  <si>
    <t>Тройник комбинированный  32 х 1 х 32 F DIY</t>
  </si>
  <si>
    <t>4650098213255</t>
  </si>
  <si>
    <t>03571-DIY</t>
  </si>
  <si>
    <t>Тройник комбинированный  32 х 1 х 32 М DIY</t>
  </si>
  <si>
    <t>4650098213163</t>
  </si>
  <si>
    <t>03922-DIY</t>
  </si>
  <si>
    <t>Тройник комбинированный  32 х 1/2 х 32 F DIY</t>
  </si>
  <si>
    <t>4650098213231</t>
  </si>
  <si>
    <t>03888-DIY</t>
  </si>
  <si>
    <t>Тройник комбинированный  32 х 1/2 х 32 М DIY</t>
  </si>
  <si>
    <t>4650098213170</t>
  </si>
  <si>
    <t>03564-DIY</t>
  </si>
  <si>
    <t>Тройник комбинированный  32 х 3/4 х 32 F DIY</t>
  </si>
  <si>
    <t>4650098213248</t>
  </si>
  <si>
    <t>03570-DIY</t>
  </si>
  <si>
    <t>Тройник комбинированный  32 х 3/4 х 32 М DIY</t>
  </si>
  <si>
    <t>V-03568</t>
  </si>
  <si>
    <t>Тройник комбинированный 25 х 1/2 х 25 М</t>
  </si>
  <si>
    <t>V-03922</t>
  </si>
  <si>
    <t>Тройник комбинированный 32 х 1/2 х 32 F</t>
  </si>
  <si>
    <t>V-03888</t>
  </si>
  <si>
    <t>Тройник комбинированный 32 х 1/2 х 32 М</t>
  </si>
  <si>
    <t>Тройник комбинированный F 20х 1/2х20</t>
  </si>
  <si>
    <t>Тройник комбинированный F 20х 3/4х20</t>
  </si>
  <si>
    <t>Тройник комбинированный F 25х 1/2х25</t>
  </si>
  <si>
    <t>Тройник комбинированный F 25х3/4х25</t>
  </si>
  <si>
    <t>Тройник комбинированный F 32х1х32</t>
  </si>
  <si>
    <t>Тройник комбинированный F 32х3/4х32</t>
  </si>
  <si>
    <t>Тройник комбинированный M 20х 3/4х20</t>
  </si>
  <si>
    <t>Тройник комбинированный M 20х1/2х20</t>
  </si>
  <si>
    <t>Тройник комбинированный M 25х1/2х25</t>
  </si>
  <si>
    <t>Тройник комбинированный M 25х3/4х25</t>
  </si>
  <si>
    <t>Тройник комбинированный M 32х1х32</t>
  </si>
  <si>
    <t>Тройник комбинированный M 32х3/4х32</t>
  </si>
  <si>
    <t>Тройник переходной Ду 25х20х20</t>
  </si>
  <si>
    <t>Тройник переходной Ду 25х20х25</t>
  </si>
  <si>
    <t>Тройник переходной Ду 32-20-20</t>
  </si>
  <si>
    <t>Тройник переходной Ду 32-20-25</t>
  </si>
  <si>
    <t>Тройник переходной Ду 32-20-32</t>
  </si>
  <si>
    <t>Тройник переходной Ду 32-25-20</t>
  </si>
  <si>
    <t>Тройник переходной Ду 32-25-25</t>
  </si>
  <si>
    <t>Тройник переходной Ду 32-25-32</t>
  </si>
  <si>
    <t>Тройник переходной Ду 32х20х32</t>
  </si>
  <si>
    <t>Тройник переходной Ду 40-20-40</t>
  </si>
  <si>
    <t>Тройник переходной Ду 40-25-40</t>
  </si>
  <si>
    <t>Тройник переходной Ду 40-32-40</t>
  </si>
  <si>
    <t>Тройник переходной Ду 50-20-50</t>
  </si>
  <si>
    <t>Тройник переходной Ду 50-25-50</t>
  </si>
  <si>
    <t>Тройник переходной Ду 50-32-50</t>
  </si>
  <si>
    <t>Тройник переходной Ду 50-40-50</t>
  </si>
  <si>
    <t>Тройник переходной Ду 63-20-63</t>
  </si>
  <si>
    <t>Тройник переходной Ду 63-25-63</t>
  </si>
  <si>
    <t>Тройник переходной Ду 63-32-63</t>
  </si>
  <si>
    <t>Тройник переходной Ду 63-40-63</t>
  </si>
  <si>
    <t>Тройник переходной Ду 63-50-63</t>
  </si>
  <si>
    <t>Тройник с накидной гайкой  20 х 1/2 х 20</t>
  </si>
  <si>
    <t>Тройник с накидной гайкой  20 х 3/4 х 20</t>
  </si>
  <si>
    <t>Тройник с накидной гайкой  25 х 1 х 25</t>
  </si>
  <si>
    <t>Тройник с накидной гайкой  25 х 3/4 х 25</t>
  </si>
  <si>
    <t>Тройник с накидной гайкой  32 х 1  х 32</t>
  </si>
  <si>
    <t>Тройник с накидной гайкой  32 х 1 1/4 х 32</t>
  </si>
  <si>
    <t>Тройник соединительный  10*10*10 для  р/шл  лат</t>
  </si>
  <si>
    <t>Тройник соединительный  6*6*6 для р/шл  лат</t>
  </si>
  <si>
    <t>Труба PE-RT AQUALINK</t>
  </si>
  <si>
    <t>PERT</t>
  </si>
  <si>
    <t>4670064716863</t>
  </si>
  <si>
    <t>03938-O</t>
  </si>
  <si>
    <t>Труба PERT  16*2 - 100 м Отрез</t>
  </si>
  <si>
    <t>4650098214337</t>
  </si>
  <si>
    <t>4670064716870</t>
  </si>
  <si>
    <t>4650098214344</t>
  </si>
  <si>
    <t>Труба PE-Xa AQUALINK</t>
  </si>
  <si>
    <t>17.02.2023</t>
  </si>
  <si>
    <t>4660129409991</t>
  </si>
  <si>
    <t>4660129410003</t>
  </si>
  <si>
    <t>4660129410027</t>
  </si>
  <si>
    <t>4660129410041</t>
  </si>
  <si>
    <t>Труба PE-Xb EVOH  16х2 - 500 м</t>
  </si>
  <si>
    <t>Труба PE-Xb AQUALINK</t>
  </si>
  <si>
    <t>4660129408383</t>
  </si>
  <si>
    <t>Труба PE-Xb EVOH  20х2 - 300 м</t>
  </si>
  <si>
    <t>4660129408406</t>
  </si>
  <si>
    <t>Труба PE-Xb EVOH 16х2.0 - 200 м</t>
  </si>
  <si>
    <t>4660129409953</t>
  </si>
  <si>
    <t>01211-O</t>
  </si>
  <si>
    <t>Труба PE-Xb EVOH 16х2.0 - 200 м Отрез</t>
  </si>
  <si>
    <t>Труба PE-Xb EVOH 20х2.0 - 200 м</t>
  </si>
  <si>
    <t>4660129409977</t>
  </si>
  <si>
    <t>ППР трубы AQUALINK</t>
  </si>
  <si>
    <t>4630003325433</t>
  </si>
  <si>
    <t>3917229009</t>
  </si>
  <si>
    <t>4630003325440</t>
  </si>
  <si>
    <t>4630003325457</t>
  </si>
  <si>
    <t>4630003325464</t>
  </si>
  <si>
    <t>4630003325471</t>
  </si>
  <si>
    <t>4630003325488</t>
  </si>
  <si>
    <t>Труба PN20  110 х 18,3  для холодной и горячей воды</t>
  </si>
  <si>
    <t>4630003325426</t>
  </si>
  <si>
    <t>3917221000</t>
  </si>
  <si>
    <t>4630003325242</t>
  </si>
  <si>
    <t>4630003325259</t>
  </si>
  <si>
    <t>4630003325266</t>
  </si>
  <si>
    <t>4630003325273</t>
  </si>
  <si>
    <t>4630003325389</t>
  </si>
  <si>
    <t>4630003325396</t>
  </si>
  <si>
    <t>4630003325402</t>
  </si>
  <si>
    <t>4630003325419</t>
  </si>
  <si>
    <t>Труба PN25  110 х 18,3  арм. стекловолокном  для отопления</t>
  </si>
  <si>
    <t>4630003325570</t>
  </si>
  <si>
    <t>4630003325495</t>
  </si>
  <si>
    <t>4630003325501</t>
  </si>
  <si>
    <t>4630003325518</t>
  </si>
  <si>
    <t>4630003325525</t>
  </si>
  <si>
    <t>4630003325532</t>
  </si>
  <si>
    <t>4630003325549</t>
  </si>
  <si>
    <t>4630003325556</t>
  </si>
  <si>
    <t>4630003325563</t>
  </si>
  <si>
    <t>Труба армированная гибкая 20 мм (30м)</t>
  </si>
  <si>
    <t>Труба армированная гибкая 35мм (30м)</t>
  </si>
  <si>
    <t>Труба армированная гибкая 40 мм (30м)</t>
  </si>
  <si>
    <t>Труба с внутр.арм. алюминием PN25  20</t>
  </si>
  <si>
    <t>4630003325181</t>
  </si>
  <si>
    <t>Труба с внутр.арм. алюминием PN25  25</t>
  </si>
  <si>
    <t>4630003325198</t>
  </si>
  <si>
    <t>Труба с внутр.арм. алюминием PN25  32</t>
  </si>
  <si>
    <t>Труба с внутр.арм. алюминием PN25  40</t>
  </si>
  <si>
    <t>4630003325211</t>
  </si>
  <si>
    <t>Труба с внутр.арм. алюминием PN25  50</t>
  </si>
  <si>
    <t>Труба с внутр.арм. алюминием PN25  63</t>
  </si>
  <si>
    <t>4630003325235</t>
  </si>
  <si>
    <t>Угол CD 45 вертикальный внешний 45 градусов 100х50 в комплекте с крепежными элементами и соединитель</t>
  </si>
  <si>
    <t>Угол CD 90 вертикальный внешний 100х50мм</t>
  </si>
  <si>
    <t>Угол CD 90 вертикальный внешний 300х80мм</t>
  </si>
  <si>
    <t>Угол CDV 90 вертикальный внешний основание 100 H50</t>
  </si>
  <si>
    <t>Угол CPO 45 горизонтальный 100х50мм</t>
  </si>
  <si>
    <t xml:space="preserve">Угол CPO 45 горизонтальный 150х50мм </t>
  </si>
  <si>
    <t>Угол CPO 45 горизонтальный 150х50мм</t>
  </si>
  <si>
    <t>Угол CPO 45 горизонтальный 50х50мм</t>
  </si>
  <si>
    <t>Угол CPO 90 горизонтальный 100х50мм</t>
  </si>
  <si>
    <t>Угол CPO 90 горизонтальный 50х50мм</t>
  </si>
  <si>
    <t>Угол CS 45 вертикальный внутренний 100х50мм</t>
  </si>
  <si>
    <t>Угол CS 90 вертикальный внутренний 100х50мм</t>
  </si>
  <si>
    <t>Угол CS 90 вертикальный внутренний 90° 150/80</t>
  </si>
  <si>
    <t>Угол горизонтальный 100х50 CPO изменяемый 0-44град</t>
  </si>
  <si>
    <t>Угол плоский Т-образный 20 мм IP40 ЭКСПРЕСС4/6</t>
  </si>
  <si>
    <t>Угол С-образный 20мм IP40  на 90 градусов труба-труба ЭКСПРЕСС 4/6</t>
  </si>
  <si>
    <t>Угол С-образный 25мм IP40 на 90 градусов труба-труба ЭКСПРЕСС 4/6</t>
  </si>
  <si>
    <t>Угол С-образный 40мм IP40 90 градусов труба-труба ЭКСПРЕСС 4/6</t>
  </si>
  <si>
    <t>V-03459</t>
  </si>
  <si>
    <t>Уголок   45* 20</t>
  </si>
  <si>
    <t>V-03460</t>
  </si>
  <si>
    <t>Уголок   45* 25</t>
  </si>
  <si>
    <t>V-03461</t>
  </si>
  <si>
    <t>Уголок   45* 32</t>
  </si>
  <si>
    <t>V-03462</t>
  </si>
  <si>
    <t>Уголок   45* 40</t>
  </si>
  <si>
    <t>V-03463</t>
  </si>
  <si>
    <t>Уголок   45* 50</t>
  </si>
  <si>
    <t>V-03464</t>
  </si>
  <si>
    <t>Уголок   45* 63</t>
  </si>
  <si>
    <t>V-03468</t>
  </si>
  <si>
    <t>Уголок   90* 20</t>
  </si>
  <si>
    <t>V-03469</t>
  </si>
  <si>
    <t>Уголок   90* 25</t>
  </si>
  <si>
    <t>V-03470</t>
  </si>
  <si>
    <t>Уголок   90* 32</t>
  </si>
  <si>
    <t>V-03471</t>
  </si>
  <si>
    <t>Уголок   90* 40</t>
  </si>
  <si>
    <t>V-03472</t>
  </si>
  <si>
    <t>Уголок   90* 50</t>
  </si>
  <si>
    <t>V-03473</t>
  </si>
  <si>
    <t>Уголок   90* 63</t>
  </si>
  <si>
    <t>0128-В</t>
  </si>
  <si>
    <t>Уголок  1  г/г  лат</t>
  </si>
  <si>
    <t>0118-В</t>
  </si>
  <si>
    <t>Уголок  1  г/ш  лат</t>
  </si>
  <si>
    <t>0127-В</t>
  </si>
  <si>
    <t>Уголок  1  ш/ш  лат</t>
  </si>
  <si>
    <t>Уголок  1 1/2''F x 1 1/2"F</t>
  </si>
  <si>
    <t>4650098214016</t>
  </si>
  <si>
    <t>Уголок  1 1/2''F x 1 1/2"M</t>
  </si>
  <si>
    <t>4650098214030</t>
  </si>
  <si>
    <t>Уголок  1 1/4''F x 1 1/4"F</t>
  </si>
  <si>
    <t>4630003322869</t>
  </si>
  <si>
    <t>04504-DIY</t>
  </si>
  <si>
    <t>Уголок  FF  1 1/4'' DIY</t>
  </si>
  <si>
    <t>Уголок  1 1/4''F x 1 1/4"F DIY</t>
  </si>
  <si>
    <t>Уголок  1 1/4''F x 1 1/4"M</t>
  </si>
  <si>
    <t>4650098214047</t>
  </si>
  <si>
    <t>04507-DIY</t>
  </si>
  <si>
    <t>Уголок  FM  1 1/4'' DIY</t>
  </si>
  <si>
    <t>Уголок  1 1/4''F x 1 1/4"M DIY</t>
  </si>
  <si>
    <t>Уголок  1"M x 1"M</t>
  </si>
  <si>
    <t>4630003324450</t>
  </si>
  <si>
    <t>0101-В</t>
  </si>
  <si>
    <t>Уголок  1/2  г/г  лат</t>
  </si>
  <si>
    <t>2301-В</t>
  </si>
  <si>
    <t>Уголок  1/2  г/г с фланцем лат</t>
  </si>
  <si>
    <t>0122-В</t>
  </si>
  <si>
    <t>Уголок  1/2  г/ш  лат</t>
  </si>
  <si>
    <t>0113-В</t>
  </si>
  <si>
    <t>Уголок  1/2  ш/ш  лат</t>
  </si>
  <si>
    <t>Уголок  1/2"M x 1/2"M</t>
  </si>
  <si>
    <t>4630003322364</t>
  </si>
  <si>
    <t>02564-DIY</t>
  </si>
  <si>
    <t>Уголок  MM   1/2" DIY</t>
  </si>
  <si>
    <t>Уголок  1/2"M x 1/2"M DIY</t>
  </si>
  <si>
    <t>Уголок  1/2"M x 3/4"F</t>
  </si>
  <si>
    <t>4650098211862</t>
  </si>
  <si>
    <t>02383-DIY</t>
  </si>
  <si>
    <t>Уголок  MF  1/2" x 3/4" DIY</t>
  </si>
  <si>
    <t>Уголок  1/2"M x 3/4"F DIY</t>
  </si>
  <si>
    <t>Уголок  1/2''F x 1"F</t>
  </si>
  <si>
    <t>4650098211848</t>
  </si>
  <si>
    <t>Уголок  1/2''F x 1/2"F</t>
  </si>
  <si>
    <t>4630003322333</t>
  </si>
  <si>
    <t>02557-DIY</t>
  </si>
  <si>
    <t>Уголок  FF   1/2'' DIY</t>
  </si>
  <si>
    <t>Уголок  1/2''F x 1/2"F DIY</t>
  </si>
  <si>
    <t>Уголок  1/2''F x 1/2"M</t>
  </si>
  <si>
    <t>4630003322340</t>
  </si>
  <si>
    <t>02561-DIY</t>
  </si>
  <si>
    <t>Уголок  FM   1/2'' DIY</t>
  </si>
  <si>
    <t>Уголок  1/2''F x 1/2"M DIY</t>
  </si>
  <si>
    <t>Уголок  1/2''F x 3/4"F</t>
  </si>
  <si>
    <t>4630003325716</t>
  </si>
  <si>
    <t>02560-DIY</t>
  </si>
  <si>
    <t>Уголок  FF   1/2'' x 3/4" DIY</t>
  </si>
  <si>
    <t>Уголок  1/2''F x 3/4"F DIY</t>
  </si>
  <si>
    <t>Уголок  1''F x 1"F</t>
  </si>
  <si>
    <t>4630003322395</t>
  </si>
  <si>
    <t>02559-DIY</t>
  </si>
  <si>
    <t>Уголок  FF  1'' DIY</t>
  </si>
  <si>
    <t>Уголок  1''F x 1"F DIY</t>
  </si>
  <si>
    <t>Уголок  1''F x 1"M</t>
  </si>
  <si>
    <t>4630003323415</t>
  </si>
  <si>
    <t>02563-DIY</t>
  </si>
  <si>
    <t>Уголок  FM  1'' DIY</t>
  </si>
  <si>
    <t>Уголок  1''F x 1"M DIY</t>
  </si>
  <si>
    <t>Уголок  2''F x 2"F</t>
  </si>
  <si>
    <t>4650098214023</t>
  </si>
  <si>
    <t>Уголок  2''F x 2"M</t>
  </si>
  <si>
    <t>4650098214054</t>
  </si>
  <si>
    <t>04509-DIY</t>
  </si>
  <si>
    <t>Уголок  FM  2'' DIY</t>
  </si>
  <si>
    <t>Уголок  2''F x 2"M DIY</t>
  </si>
  <si>
    <t>0102-В</t>
  </si>
  <si>
    <t>Уголок  3/4  г/г  лат</t>
  </si>
  <si>
    <t>0120-В</t>
  </si>
  <si>
    <t>Уголок  3/4  г/ш  лат</t>
  </si>
  <si>
    <t>0132-В</t>
  </si>
  <si>
    <t>Уголок  3/4  ш/ш  лат</t>
  </si>
  <si>
    <t>Уголок  3/4"M x 1"F</t>
  </si>
  <si>
    <t>4650098211879</t>
  </si>
  <si>
    <t>Уголок  3/4"M x 3/4"M</t>
  </si>
  <si>
    <t>4630003322388</t>
  </si>
  <si>
    <t>02565-DIY</t>
  </si>
  <si>
    <t>Уголок  MM   3/4" DIY</t>
  </si>
  <si>
    <t>Уголок  3/4"M x 3/4"M DIY</t>
  </si>
  <si>
    <t>Уголок  3/4''F x 1"F</t>
  </si>
  <si>
    <t>4650098211855</t>
  </si>
  <si>
    <t>Уголок  3/4''F x 3/4"F</t>
  </si>
  <si>
    <t>4630003322371</t>
  </si>
  <si>
    <t>02558-DIY</t>
  </si>
  <si>
    <t>Уголок  FF   3/4''  DIY</t>
  </si>
  <si>
    <t>Уголок  3/4''F x 3/4"F DIY</t>
  </si>
  <si>
    <t>Уголок  3/4''F x 3/4"M</t>
  </si>
  <si>
    <t>4630003323231</t>
  </si>
  <si>
    <t>02562-DIY</t>
  </si>
  <si>
    <t>Уголок  FM   3/4'' DIY</t>
  </si>
  <si>
    <t>Уголок  3/4''F x 3/4"M DIY</t>
  </si>
  <si>
    <t>Уголок  45* 110</t>
  </si>
  <si>
    <t>4650098216133</t>
  </si>
  <si>
    <t>4650098212302</t>
  </si>
  <si>
    <t>03459-DIY</t>
  </si>
  <si>
    <t>Уголок  45* 20 DIY</t>
  </si>
  <si>
    <t>4650098212319</t>
  </si>
  <si>
    <t>03460-DIY</t>
  </si>
  <si>
    <t>Уголок  45* 25 DIY</t>
  </si>
  <si>
    <t>4650098212326</t>
  </si>
  <si>
    <t>03461-DIY</t>
  </si>
  <si>
    <t>Уголок  45* 32 DIY</t>
  </si>
  <si>
    <t>4650098212333</t>
  </si>
  <si>
    <t>4650098212340</t>
  </si>
  <si>
    <t>4650098212357</t>
  </si>
  <si>
    <t>Уголок  45* 75</t>
  </si>
  <si>
    <t>Уголок  45* 90</t>
  </si>
  <si>
    <t>Уголок  45° 20</t>
  </si>
  <si>
    <t>Уголок  45° 25</t>
  </si>
  <si>
    <t>4630003329547</t>
  </si>
  <si>
    <t>4650098210070</t>
  </si>
  <si>
    <t>03468-DIY</t>
  </si>
  <si>
    <t>Уголок  90* 20 DIY</t>
  </si>
  <si>
    <t>4650098210087</t>
  </si>
  <si>
    <t>03469-DIY</t>
  </si>
  <si>
    <t>Уголок  90* 25 DIY</t>
  </si>
  <si>
    <t>4650098210094</t>
  </si>
  <si>
    <t>03470-DIY</t>
  </si>
  <si>
    <t>Уголок  90* 32 DIY</t>
  </si>
  <si>
    <t>4650098212364</t>
  </si>
  <si>
    <t>4650098212371</t>
  </si>
  <si>
    <t>4650098212388</t>
  </si>
  <si>
    <t>4650098212395</t>
  </si>
  <si>
    <t>4630003329523</t>
  </si>
  <si>
    <t>Уголок  90° 20</t>
  </si>
  <si>
    <t>Уголок  90° 25</t>
  </si>
  <si>
    <t>4650098212401</t>
  </si>
  <si>
    <t>4650098212418</t>
  </si>
  <si>
    <t>4650098212425</t>
  </si>
  <si>
    <t>4650098212432</t>
  </si>
  <si>
    <t>00543-DIY</t>
  </si>
  <si>
    <t>Уголок  L16х20 DIY</t>
  </si>
  <si>
    <t>4650098212227</t>
  </si>
  <si>
    <t>0112-В</t>
  </si>
  <si>
    <t>Уголок  переходной  1/2 - 3/4  г/г  лат</t>
  </si>
  <si>
    <t>4650098212883</t>
  </si>
  <si>
    <t>Уголок 2 цанги L16х16</t>
  </si>
  <si>
    <t>4630003324924</t>
  </si>
  <si>
    <t>00159-DIY</t>
  </si>
  <si>
    <t>Уголок  L16х16 DIY</t>
  </si>
  <si>
    <t>Уголок 2 цанги L16х16 DIY</t>
  </si>
  <si>
    <t>Уголок 2 цанги L16х20</t>
  </si>
  <si>
    <t>Уголок 2 цанги L20х20</t>
  </si>
  <si>
    <t>4630003325006</t>
  </si>
  <si>
    <t>00169-DIY</t>
  </si>
  <si>
    <t>Уголок  L20х20 DIY</t>
  </si>
  <si>
    <t>Уголок 2 цанги L20х20 DIY</t>
  </si>
  <si>
    <t>Уголок  L20х26</t>
  </si>
  <si>
    <t>Уголок 2 цанги L20х26</t>
  </si>
  <si>
    <t>Уголок  L26х26</t>
  </si>
  <si>
    <t>Уголок 2 цанги L26х26</t>
  </si>
  <si>
    <t>Уголок  L32х32</t>
  </si>
  <si>
    <t>Уголок 2 цанги L32х32</t>
  </si>
  <si>
    <t>Уголок 45" Ду 20</t>
  </si>
  <si>
    <t>Уголок 45" Ду 25</t>
  </si>
  <si>
    <t>Уголок 45" Ду 32</t>
  </si>
  <si>
    <t>Уголок 45" Ду 40</t>
  </si>
  <si>
    <t>Уголок 45" Ду 50</t>
  </si>
  <si>
    <t>Уголок 45" Ду 63</t>
  </si>
  <si>
    <t>Уголок 90° Ду 20</t>
  </si>
  <si>
    <t>1111111111011</t>
  </si>
  <si>
    <t>Уголок 90° Ду 25</t>
  </si>
  <si>
    <t>1111111111012</t>
  </si>
  <si>
    <t>Уголок 90° Ду 32</t>
  </si>
  <si>
    <t>1111111111013</t>
  </si>
  <si>
    <t>Уголок 90° Ду 40</t>
  </si>
  <si>
    <t>Уголок 90° Ду 50</t>
  </si>
  <si>
    <t>Уголок 90° Ду 63</t>
  </si>
  <si>
    <t>V-03697</t>
  </si>
  <si>
    <t>Уголок FM  90* 20</t>
  </si>
  <si>
    <t>V-03434</t>
  </si>
  <si>
    <t>Уголок FM 90* 25</t>
  </si>
  <si>
    <t>Уголок аксиальный 16 мм х ½" вн</t>
  </si>
  <si>
    <t>Уголки аксиальные</t>
  </si>
  <si>
    <t>4660129410874</t>
  </si>
  <si>
    <t>Уголок аксиальный 16 мм х ½" нар</t>
  </si>
  <si>
    <t>4660129410911</t>
  </si>
  <si>
    <t>Уголок аксиальный 16 мм х ¾" вн</t>
  </si>
  <si>
    <t>4660129410881</t>
  </si>
  <si>
    <t>Уголок аксиальный 16 мм х ¾" нар</t>
  </si>
  <si>
    <t>4660129410928</t>
  </si>
  <si>
    <t>Уголок аксиальный 16х16 мм</t>
  </si>
  <si>
    <t>4660129410850</t>
  </si>
  <si>
    <t>Уголок аксиальный 20 мм х ½" вн</t>
  </si>
  <si>
    <t>4660129410898</t>
  </si>
  <si>
    <t>Уголок аксиальный 20 мм х ½" нар</t>
  </si>
  <si>
    <t>4660129410935</t>
  </si>
  <si>
    <t>Уголок аксиальный 20 мм х ¾" вн</t>
  </si>
  <si>
    <t>4660129410904</t>
  </si>
  <si>
    <t>Уголок аксиальный 20 мм х ¾" нар</t>
  </si>
  <si>
    <t>4660129410942</t>
  </si>
  <si>
    <t>Уголок аксиальный 20x20 мм</t>
  </si>
  <si>
    <t>4660129410867</t>
  </si>
  <si>
    <t>Уголок аксиальный с настенным креплением (водорозетка) 16 мм х ½" вн</t>
  </si>
  <si>
    <t>4660129410539</t>
  </si>
  <si>
    <t>Уголок аксиальный с настенным креплением (водорозетка) 20 мм х ½" вн</t>
  </si>
  <si>
    <t>4660129410546</t>
  </si>
  <si>
    <t>V-03548</t>
  </si>
  <si>
    <t>Уголок комбинированный   20 х 1/2 F</t>
  </si>
  <si>
    <t>V-03554</t>
  </si>
  <si>
    <t>Уголок комбинированный   20 х 1/2 М</t>
  </si>
  <si>
    <t>V-03549</t>
  </si>
  <si>
    <t>Уголок комбинированный   20 х 3/4 F</t>
  </si>
  <si>
    <t>V-03555</t>
  </si>
  <si>
    <t>Уголок комбинированный   20 х 3/4 М</t>
  </si>
  <si>
    <t>V-03550</t>
  </si>
  <si>
    <t>Уголок комбинированный   25 х 1/2 F</t>
  </si>
  <si>
    <t>V-03556</t>
  </si>
  <si>
    <t>Уголок комбинированный   25 х 1/2 М</t>
  </si>
  <si>
    <t>V-03551</t>
  </si>
  <si>
    <t>Уголок комбинированный   25 х 3/4 F</t>
  </si>
  <si>
    <t>V-03557</t>
  </si>
  <si>
    <t>Уголок комбинированный   25 х 3/4 М</t>
  </si>
  <si>
    <t>V-03553</t>
  </si>
  <si>
    <t>Уголок комбинированный   32 х 1 F</t>
  </si>
  <si>
    <t>V-03559</t>
  </si>
  <si>
    <t>Уголок комбинированный   32 х 1 М</t>
  </si>
  <si>
    <t>V-03552</t>
  </si>
  <si>
    <t>Уголок комбинированный   32 х 3/4 F</t>
  </si>
  <si>
    <t>V-03558</t>
  </si>
  <si>
    <t>Уголок комбинированный   32 х 3/4 М</t>
  </si>
  <si>
    <t>4650098212982</t>
  </si>
  <si>
    <t>03548-DIY</t>
  </si>
  <si>
    <t>Уголок комбинированный  20 х 1/2 F DIY</t>
  </si>
  <si>
    <t>Уголки комбинированные</t>
  </si>
  <si>
    <t>4650098213057</t>
  </si>
  <si>
    <t>03554-DIY</t>
  </si>
  <si>
    <t>Уголок комбинированный  20 х 1/2 М DIY</t>
  </si>
  <si>
    <t>4650098212999</t>
  </si>
  <si>
    <t>4650098213064</t>
  </si>
  <si>
    <t>03555-DIY</t>
  </si>
  <si>
    <t>Уголок комбинированный  20 х 3/4 М DIY</t>
  </si>
  <si>
    <t>4650098213002</t>
  </si>
  <si>
    <t>4650098213071</t>
  </si>
  <si>
    <t>03556-DIY</t>
  </si>
  <si>
    <t>Уголок комбинированный  25 х 1/2 М DIY</t>
  </si>
  <si>
    <t>4650098213019</t>
  </si>
  <si>
    <t>4650098213088</t>
  </si>
  <si>
    <t>03557-DIY</t>
  </si>
  <si>
    <t>Уголок комбинированный  25 х 3/4 М DIY</t>
  </si>
  <si>
    <t>4650098213040</t>
  </si>
  <si>
    <t>03553-DIY</t>
  </si>
  <si>
    <t>Уголок комбинированный  32 х 1 F DIY</t>
  </si>
  <si>
    <t>4650098213118</t>
  </si>
  <si>
    <t>4650098213026</t>
  </si>
  <si>
    <t>03886-DIY</t>
  </si>
  <si>
    <t>Уголок комбинированный  32 х 1/2 F DIY</t>
  </si>
  <si>
    <t>4650098213095</t>
  </si>
  <si>
    <t>03887-DIY</t>
  </si>
  <si>
    <t>Уголок комбинированный  32 х 1/2 М DIY</t>
  </si>
  <si>
    <t>4650098213033</t>
  </si>
  <si>
    <t>03552-DIY</t>
  </si>
  <si>
    <t>Уголок комбинированный  32 х 3/4 F DIY</t>
  </si>
  <si>
    <t>4650098213101</t>
  </si>
  <si>
    <t>03558-DIY</t>
  </si>
  <si>
    <t>Уголок комбинированный  32 х 3/4 М DIY</t>
  </si>
  <si>
    <t>Уголок комбинированный  40 х 1 1/4 M  п/к</t>
  </si>
  <si>
    <t>Уголок комбинированный  50 х 1 1/2 F  п/к</t>
  </si>
  <si>
    <t>Уголок комбинированный  50 х 1 1/2 M  п/к</t>
  </si>
  <si>
    <t>V-03886</t>
  </si>
  <si>
    <t>Уголок комбинированный 32 х 1/2 F</t>
  </si>
  <si>
    <t>V-03887</t>
  </si>
  <si>
    <t>Уголок комбинированный 32 х 1/2 М</t>
  </si>
  <si>
    <t>Уголок комбинированный F  20х1/2</t>
  </si>
  <si>
    <t>Уголок комбинированный F  25х1/2</t>
  </si>
  <si>
    <t>Уголок комбинированный F  25х3/4</t>
  </si>
  <si>
    <t>Уголок комбинированный F  32х1</t>
  </si>
  <si>
    <t>Уголок комбинированный F  32х3/4</t>
  </si>
  <si>
    <t>Уголок комбинированный F с креплением 20х1/2</t>
  </si>
  <si>
    <t>Уголок комбинированный F с креплением 25х1/2</t>
  </si>
  <si>
    <t>Уголок комбинированный M  20х1/2</t>
  </si>
  <si>
    <t>Уголок комбинированный M  20х3/4</t>
  </si>
  <si>
    <t>Уголок комбинированный M  25х1/2</t>
  </si>
  <si>
    <t>Уголок комбинированный M  25х3/4</t>
  </si>
  <si>
    <t>Уголок комбинированный M  32х1</t>
  </si>
  <si>
    <t>Уголок комбинированный M  32х3/4</t>
  </si>
  <si>
    <t>Уголок комбинированный M с креплением 20х1/2</t>
  </si>
  <si>
    <t>Уголок комбинированный M с креплением 25х1/2</t>
  </si>
  <si>
    <t>4650098213507</t>
  </si>
  <si>
    <t>4650098213514</t>
  </si>
  <si>
    <t>Уголок с накидной гайкой  25 х 1</t>
  </si>
  <si>
    <t>4650098213521</t>
  </si>
  <si>
    <t>Уголок с накидной гайкой  32 х 1</t>
  </si>
  <si>
    <t>Уголок с накидной гайкой  32 х 1 1/4</t>
  </si>
  <si>
    <t>V-03598</t>
  </si>
  <si>
    <t>Уголок с накидной гайкой 20 х 1/2</t>
  </si>
  <si>
    <t>V-03599</t>
  </si>
  <si>
    <t>Уголок с накидной гайкой 20 х 3/4</t>
  </si>
  <si>
    <t>V-03600</t>
  </si>
  <si>
    <t>Уголок с накидной гайкой 25 х 3/4</t>
  </si>
  <si>
    <t>V-03541</t>
  </si>
  <si>
    <t>Уголок с настенным креплением   20 х 1/2 F</t>
  </si>
  <si>
    <t>V-03543</t>
  </si>
  <si>
    <t>Уголок с настенным креплением   20 х 1/2 М</t>
  </si>
  <si>
    <t>V-03542</t>
  </si>
  <si>
    <t>Уголок с настенным креплением   25 х 1/2 F</t>
  </si>
  <si>
    <t>V-03885</t>
  </si>
  <si>
    <t>Уголок с настенным креплением   25 х 1/2 М</t>
  </si>
  <si>
    <t>Уголок с настенным креплением  1/2''F x 1/2"F</t>
  </si>
  <si>
    <t>4630003323224</t>
  </si>
  <si>
    <t>02388-DIY</t>
  </si>
  <si>
    <t>Уголок с настенным креплением  FF  1/2'' DIY</t>
  </si>
  <si>
    <t>Уголок с настенным креплением  1/2''F x 1/2"F DIY</t>
  </si>
  <si>
    <t>Уголок с настенным креплением  1/2''F x 1/2"M</t>
  </si>
  <si>
    <t>4630003322357</t>
  </si>
  <si>
    <t>01491-DIY</t>
  </si>
  <si>
    <t>Уголок с настенным креплением  FM  1/2'' DIY</t>
  </si>
  <si>
    <t>Уголок с настенным креплением  1/2''F x 1/2"M DIY</t>
  </si>
  <si>
    <t>4650098212920</t>
  </si>
  <si>
    <t>03541-DIY</t>
  </si>
  <si>
    <t>Уголок с настенным креплением  20 х 1/2 F DIY</t>
  </si>
  <si>
    <t>4650098212944</t>
  </si>
  <si>
    <t>03543-DIY</t>
  </si>
  <si>
    <t>Уголок с настенным креплением  20 х 1/2 М DIY</t>
  </si>
  <si>
    <t>4650098212937</t>
  </si>
  <si>
    <t>4650098212951</t>
  </si>
  <si>
    <t>Уголок с настенным креплением  25 х 3/4 F</t>
  </si>
  <si>
    <t>Уголок цанга/гайка L16х1/2 F</t>
  </si>
  <si>
    <t>4630003324917</t>
  </si>
  <si>
    <t>00275-DIY</t>
  </si>
  <si>
    <t>Уголок  L16х1/2 F DIY</t>
  </si>
  <si>
    <t>Уголок цанга/гайка L16х1/2 F DIY</t>
  </si>
  <si>
    <t>Уголок цанга/гайка L16х3/4 F</t>
  </si>
  <si>
    <t>4650098210933</t>
  </si>
  <si>
    <t>00469-DIY</t>
  </si>
  <si>
    <t>Уголок  L16х3/4 F DIY</t>
  </si>
  <si>
    <t>Уголок цанга/гайка L16х3/4 F DIY</t>
  </si>
  <si>
    <t>Уголок цанга/гайка L20х1/2 F</t>
  </si>
  <si>
    <t>4630003324993</t>
  </si>
  <si>
    <t>00174-DIY</t>
  </si>
  <si>
    <t>Уголок  L20х1/2 F-DIY</t>
  </si>
  <si>
    <t>Уголок цанга/гайка L20х1/2 F-DIY</t>
  </si>
  <si>
    <t>Уголок цанга/гайка L20х3/4 F</t>
  </si>
  <si>
    <t>4650098210902</t>
  </si>
  <si>
    <t>00182-DIY</t>
  </si>
  <si>
    <t>Уголок  L20х3/4 F-DIY</t>
  </si>
  <si>
    <t>Уголок цанга/гайка L20х3/4 F-DIY</t>
  </si>
  <si>
    <t>Уголок  L26х1 F</t>
  </si>
  <si>
    <t>Уголок цанга/гайка L26х1 F</t>
  </si>
  <si>
    <t>Уголок  L26х1/2 F</t>
  </si>
  <si>
    <t>Уголок цанга/гайка L26х1/2 F</t>
  </si>
  <si>
    <t>4650098210940</t>
  </si>
  <si>
    <t>Уголок  L26х3/4 F</t>
  </si>
  <si>
    <t>Уголок цанга/гайка L26х3/4 F</t>
  </si>
  <si>
    <t>Уголок  L32х1 F</t>
  </si>
  <si>
    <t>Уголок цанга/гайка L32х1 F</t>
  </si>
  <si>
    <t>Уголок  L32х1/2 F</t>
  </si>
  <si>
    <t>Уголок цанга/гайка L32х1/2 F</t>
  </si>
  <si>
    <t>Уголок  L32х3/4 F</t>
  </si>
  <si>
    <t>Уголок цанга/гайка L32х3/4 F</t>
  </si>
  <si>
    <t>Уголок цанга/штуцер L16х1/2 M</t>
  </si>
  <si>
    <t>4630003327796</t>
  </si>
  <si>
    <t>00285-DIY</t>
  </si>
  <si>
    <t>Уголок  L16х1/2 M DIY</t>
  </si>
  <si>
    <t>Уголок цанга/штуцер L16х1/2 M DIY</t>
  </si>
  <si>
    <t>Уголок цанга/штуцер L16х3/4 M</t>
  </si>
  <si>
    <t>4650098210926</t>
  </si>
  <si>
    <t>00467-DIY</t>
  </si>
  <si>
    <t>Уголок  L16х3/4 M DIY</t>
  </si>
  <si>
    <t>Уголок цанга/штуцер L16х3/4 M DIY</t>
  </si>
  <si>
    <t>Уголок цанга/штуцер L20х1/2 M</t>
  </si>
  <si>
    <t>4630003325013</t>
  </si>
  <si>
    <t>00470-DIY</t>
  </si>
  <si>
    <t>Уголок  L20х1/2 M DIY</t>
  </si>
  <si>
    <t>Уголок цанга/штуцер L20х1/2 M DIY</t>
  </si>
  <si>
    <t>Уголок цанга/штуцер L20х3/4 M</t>
  </si>
  <si>
    <t>00471-DIY</t>
  </si>
  <si>
    <t>Уголок  L20х3/4 M-DIY</t>
  </si>
  <si>
    <t>Уголок цанга/штуцер L20х3/4 M-DIY</t>
  </si>
  <si>
    <t>Уголок  L26х1 M</t>
  </si>
  <si>
    <t>Уголок цанга/штуцер L26х1 M</t>
  </si>
  <si>
    <t>Уголок  L26х1/2 M</t>
  </si>
  <si>
    <t>Уголок цанга/штуцер L26х1/2 M</t>
  </si>
  <si>
    <t>Уголок  L26х3/4 M</t>
  </si>
  <si>
    <t>Уголок цанга/штуцер L26х3/4 M</t>
  </si>
  <si>
    <t>Уголок  L32х1 M</t>
  </si>
  <si>
    <t>Уголок цанга/штуцер L32х1 M</t>
  </si>
  <si>
    <t>Уголок  L32х1/2 M</t>
  </si>
  <si>
    <t>Уголок цанга/штуцер L32х1/2 M</t>
  </si>
  <si>
    <t>Уголок  L32х3/4 M</t>
  </si>
  <si>
    <t>Уголок цанга/штуцер L32х3/4 M</t>
  </si>
  <si>
    <t>Уголоки для смесителя на планке  1/2''F x 1/2"F</t>
  </si>
  <si>
    <t>4650098214061</t>
  </si>
  <si>
    <t>02412-DIY</t>
  </si>
  <si>
    <t>Удлинитель FM   1/2" - 10 - DIY</t>
  </si>
  <si>
    <t>4630003323644</t>
  </si>
  <si>
    <t>02395-DIY</t>
  </si>
  <si>
    <t>Удлинитель FM   1/2" 70 DIY</t>
  </si>
  <si>
    <t>4650098211916</t>
  </si>
  <si>
    <t>04541-DIY</t>
  </si>
  <si>
    <t>Удлинитель FM   3/4" 20 DIY</t>
  </si>
  <si>
    <t>4650098211954</t>
  </si>
  <si>
    <t>4650098211992</t>
  </si>
  <si>
    <t>4650098212005</t>
  </si>
  <si>
    <t>4650098212012</t>
  </si>
  <si>
    <t>4650098212029</t>
  </si>
  <si>
    <t>4650098212036</t>
  </si>
  <si>
    <t>4650098212043</t>
  </si>
  <si>
    <t>4650098212050</t>
  </si>
  <si>
    <t>Удлинитель FM  1/2" - 10</t>
  </si>
  <si>
    <t>Удлинитель FM  1/2" - 100</t>
  </si>
  <si>
    <t>4630003323439</t>
  </si>
  <si>
    <t>02485-DIY</t>
  </si>
  <si>
    <t>Удлинитель FM   1/2" -100 DIY</t>
  </si>
  <si>
    <t>Удлинитель FM  1/2" - 100 DIY</t>
  </si>
  <si>
    <t>Удлинитель FM  1/2" - 15</t>
  </si>
  <si>
    <t>4630003323422</t>
  </si>
  <si>
    <t>02403-DIY</t>
  </si>
  <si>
    <t>Удлинитель FM   1/2" - 15 DIY</t>
  </si>
  <si>
    <t>Удлинитель FM  1/2" - 15 DIY</t>
  </si>
  <si>
    <t>Удлинитель FM  1/2" - 20</t>
  </si>
  <si>
    <t>4630003322883</t>
  </si>
  <si>
    <t>02404-DIY</t>
  </si>
  <si>
    <t>Удлинитель FM   1/2" - 20 DIY</t>
  </si>
  <si>
    <t>Удлинитель FM  1/2" - 20 DIY</t>
  </si>
  <si>
    <t>Удлинитель FM  1/2" - 25</t>
  </si>
  <si>
    <t>4630003324405</t>
  </si>
  <si>
    <t>02405-DIY</t>
  </si>
  <si>
    <t>Удлинитель FM   1/2" - 25 DIY</t>
  </si>
  <si>
    <t>Удлинитель FM  1/2" - 25 DIY</t>
  </si>
  <si>
    <t>Удлинитель FM  1/2" - 30</t>
  </si>
  <si>
    <t>4630003322890</t>
  </si>
  <si>
    <t>02406-DIY</t>
  </si>
  <si>
    <t>Удлинитель FM   1/2" - 30 DIY</t>
  </si>
  <si>
    <t>Удлинитель FM  1/2" - 30 DIY</t>
  </si>
  <si>
    <t>Удлинитель FM  1/2" - 40</t>
  </si>
  <si>
    <t>4630003322906</t>
  </si>
  <si>
    <t>02407-DIY</t>
  </si>
  <si>
    <t>Удлинитель FM   1/2" - 40 DIY</t>
  </si>
  <si>
    <t>Удлинитель FM  1/2" - 40 DIY</t>
  </si>
  <si>
    <t>Удлинитель FM  1/2" - 50</t>
  </si>
  <si>
    <t>4630003323385</t>
  </si>
  <si>
    <t>02408-DIY</t>
  </si>
  <si>
    <t>Удлинитель FM   1/2" - 50 DIY</t>
  </si>
  <si>
    <t>Удлинитель FM  1/2" - 50 DIY</t>
  </si>
  <si>
    <t>Удлинитель FM  1/2" - 60</t>
  </si>
  <si>
    <t>4630003324412</t>
  </si>
  <si>
    <t>02409-DIY</t>
  </si>
  <si>
    <t>Удлинитель FM   1/2" - 60 DIY</t>
  </si>
  <si>
    <t>Удлинитель FM  1/2" - 60 DIY</t>
  </si>
  <si>
    <t>Удлинитель FM  1/2" - 70</t>
  </si>
  <si>
    <t>Удлинитель FM  1/2" - 80</t>
  </si>
  <si>
    <t>4630003324429</t>
  </si>
  <si>
    <t>02410-DIY</t>
  </si>
  <si>
    <t>Удлинитель FM   1/2" - 80 DIY</t>
  </si>
  <si>
    <t>Удлинитель FM  1/2" - 80 DIY</t>
  </si>
  <si>
    <t>Удлинитель FM  1/2" - 90</t>
  </si>
  <si>
    <t>4650098211923</t>
  </si>
  <si>
    <t>Удлинитель FM  3/4" - 10</t>
  </si>
  <si>
    <t>4650098211930</t>
  </si>
  <si>
    <t>Удлинитель FM  3/4" - 100</t>
  </si>
  <si>
    <t>4630003327581</t>
  </si>
  <si>
    <t>04543-DIY</t>
  </si>
  <si>
    <t>Удлинитель FM   3/4" -100 DIY</t>
  </si>
  <si>
    <t>Удлинитель FM  3/4" - 100 DIY</t>
  </si>
  <si>
    <t>04539-DIY</t>
  </si>
  <si>
    <t>Удлинитель FM   3/4" - 10-DIY</t>
  </si>
  <si>
    <t>Удлинитель FM  3/4" - 10-DIY</t>
  </si>
  <si>
    <t>Удлинитель FM  3/4" - 15</t>
  </si>
  <si>
    <t>4650098211947</t>
  </si>
  <si>
    <t>04540-DIY</t>
  </si>
  <si>
    <t>Удлинитель FM   3/4" - 15-DIY</t>
  </si>
  <si>
    <t>Удлинитель FM  3/4" - 15-DIY</t>
  </si>
  <si>
    <t>Удлинитель FM  3/4" - 20</t>
  </si>
  <si>
    <t>Удлинитель FM  3/4" - 25</t>
  </si>
  <si>
    <t>4650098211961</t>
  </si>
  <si>
    <t>04542-DIY</t>
  </si>
  <si>
    <t>Удлинитель FM   3/4" - 25-DIY</t>
  </si>
  <si>
    <t>Удлинитель FM  3/4" - 25-DIY</t>
  </si>
  <si>
    <t>Удлинитель FM  3/4" - 30</t>
  </si>
  <si>
    <t>4630003327604</t>
  </si>
  <si>
    <t>02397-DIY</t>
  </si>
  <si>
    <t>Удлинитель FM   3/4" - 30 DIY</t>
  </si>
  <si>
    <t>Удлинитель FM  3/4" - 30 DIY</t>
  </si>
  <si>
    <t>Удлинитель FM  3/4" - 40</t>
  </si>
  <si>
    <t>4650098211978</t>
  </si>
  <si>
    <t>02398-DIY</t>
  </si>
  <si>
    <t>Удлинитель FM   3/4" - 40-DIY</t>
  </si>
  <si>
    <t>Удлинитель FM  3/4" - 40-DIY</t>
  </si>
  <si>
    <t>Удлинитель FM  3/4" - 50</t>
  </si>
  <si>
    <t>4630003327611</t>
  </si>
  <si>
    <t>02399-DIY</t>
  </si>
  <si>
    <t>Удлинитель FM   3/4" - 50 DIY</t>
  </si>
  <si>
    <t>Удлинитель FM  3/4" - 50 DIY</t>
  </si>
  <si>
    <t>Удлинитель FM  3/4" - 60</t>
  </si>
  <si>
    <t>4630003327628</t>
  </si>
  <si>
    <t>02400-DIY</t>
  </si>
  <si>
    <t>Удлинитель FM   3/4" - 60 DIY</t>
  </si>
  <si>
    <t>Удлинитель FM  3/4" - 60 DIY</t>
  </si>
  <si>
    <t>Удлинитель FM  3/4" - 70</t>
  </si>
  <si>
    <t>4650098211985</t>
  </si>
  <si>
    <t>02401-DIY</t>
  </si>
  <si>
    <t>Удлинитель FM   3/4" - 70-DIY</t>
  </si>
  <si>
    <t>Удлинитель FM  3/4" - 70-DIY</t>
  </si>
  <si>
    <t>Удлинитель FM  3/4" - 80</t>
  </si>
  <si>
    <t>4630003327635</t>
  </si>
  <si>
    <t>02402-DIY</t>
  </si>
  <si>
    <t>Удлинитель FM   3/4" - 80 DIY</t>
  </si>
  <si>
    <t>Удлинитель FM  3/4" - 80 DIY</t>
  </si>
  <si>
    <t>Удлинитель MM  1/2" - 100</t>
  </si>
  <si>
    <t>4630003322913</t>
  </si>
  <si>
    <t>02476-DIY</t>
  </si>
  <si>
    <t>Удлинитель MM  1/2" -100 DIY</t>
  </si>
  <si>
    <t>Удлинитель MM  1/2" - 100 DIY</t>
  </si>
  <si>
    <t>Удлинитель MM  1/2" - 120</t>
  </si>
  <si>
    <t>4650098212074</t>
  </si>
  <si>
    <t>Удлинитель MM  1/2" - 150</t>
  </si>
  <si>
    <t>4630003324436</t>
  </si>
  <si>
    <t>4630003322227</t>
  </si>
  <si>
    <t>02566-DIY</t>
  </si>
  <si>
    <t>Удлинитель MM  1/2" - 20 DIY</t>
  </si>
  <si>
    <t>Удлинитель MM  1/2" - 200</t>
  </si>
  <si>
    <t>4650098212081</t>
  </si>
  <si>
    <t>4630003323330</t>
  </si>
  <si>
    <t>02469-DIY</t>
  </si>
  <si>
    <t>Удлинитель MM  1/2" - 30 DIY</t>
  </si>
  <si>
    <t>4630003322234</t>
  </si>
  <si>
    <t>02470-DIY</t>
  </si>
  <si>
    <t>Удлинитель MM  1/2" - 40 DIY</t>
  </si>
  <si>
    <t>4630003323620</t>
  </si>
  <si>
    <t>02471-DIY</t>
  </si>
  <si>
    <t>Удлинитель MM  1/2" - 50 DIY</t>
  </si>
  <si>
    <t>4630003324467</t>
  </si>
  <si>
    <t>02472-DIY</t>
  </si>
  <si>
    <t>Удлинитель MM  1/2" - 60-DIY</t>
  </si>
  <si>
    <t>4650098212067</t>
  </si>
  <si>
    <t>02473-DIY</t>
  </si>
  <si>
    <t>Удлинитель MM  1/2" - 70-DIY</t>
  </si>
  <si>
    <t>4630003324443</t>
  </si>
  <si>
    <t>02474-DIY</t>
  </si>
  <si>
    <t>Удлинитель MM  1/2" - 80-DIY</t>
  </si>
  <si>
    <t>4650098214009</t>
  </si>
  <si>
    <t>04552-DIY</t>
  </si>
  <si>
    <t>Удлинитель MM  1/2" -150 DIY</t>
  </si>
  <si>
    <t>01.03.2021</t>
  </si>
  <si>
    <t>4660129405665</t>
  </si>
  <si>
    <t>4660129405740</t>
  </si>
  <si>
    <t>Универсальный настенный комплект  20х1/2</t>
  </si>
  <si>
    <t>Универсальный настенный комплект  25 х1/2</t>
  </si>
  <si>
    <t>Упаковка кросс-докинг</t>
  </si>
  <si>
    <t>H-01180</t>
  </si>
  <si>
    <t>Усилитель мощности d&amp;b audiotechnik D20</t>
  </si>
  <si>
    <t>У-01141</t>
  </si>
  <si>
    <t>Услуги по хранению и обработке грузов</t>
  </si>
  <si>
    <t xml:space="preserve">Услуги </t>
  </si>
  <si>
    <t>У-01113</t>
  </si>
  <si>
    <t>Услуги по хранению и обработке грузов за август 2018 года</t>
  </si>
  <si>
    <t>У-01127</t>
  </si>
  <si>
    <t>Услуги по хранению и обработке грузов за сентябрь 2019 года</t>
  </si>
  <si>
    <t>Услуги по хранению и обработке грузов за август 2019 года</t>
  </si>
  <si>
    <t>У-01126</t>
  </si>
  <si>
    <t>У-01136</t>
  </si>
  <si>
    <t>Услуги по хранению и обработке грузов за август 2020 года</t>
  </si>
  <si>
    <t>У-01122</t>
  </si>
  <si>
    <t>Услуги по хранению и обработке грузов за апрель 2019 года</t>
  </si>
  <si>
    <t>У-01134</t>
  </si>
  <si>
    <t>Услуги по хранению и обработке грузов за апрель 2020 года</t>
  </si>
  <si>
    <t>У-01139</t>
  </si>
  <si>
    <t>Услуги по хранению и обработке грузов за апрель-июнь 2021 года</t>
  </si>
  <si>
    <t>У-01118</t>
  </si>
  <si>
    <t>Услуги по хранению и обработке грузов за декабрь  2018 года</t>
  </si>
  <si>
    <t>У-01130</t>
  </si>
  <si>
    <t>Услуги по хранению и обработке грузов за декабрь 2019 года</t>
  </si>
  <si>
    <t>У-01112</t>
  </si>
  <si>
    <t>Услуги по хранению и обработке грузов за июль 2018 года</t>
  </si>
  <si>
    <t>У-01125</t>
  </si>
  <si>
    <t>Услуги по хранению и обработке грузов за июль 2019 года</t>
  </si>
  <si>
    <t>У-01135</t>
  </si>
  <si>
    <t>Услуги по хранению и обработке грузов за июль 2020 года</t>
  </si>
  <si>
    <t>У-01124</t>
  </si>
  <si>
    <t>Услуги по хранению и обработке грузов за июнь 2019 года</t>
  </si>
  <si>
    <t>У-01123</t>
  </si>
  <si>
    <t>Услуги по хранению и обработке грузов за май 2019 года</t>
  </si>
  <si>
    <t>У-01121</t>
  </si>
  <si>
    <t>Услуги по хранению и обработке грузов за март 2019 года</t>
  </si>
  <si>
    <t>У-01133</t>
  </si>
  <si>
    <t>Услуги по хранению и обработке грузов за март 2020 года</t>
  </si>
  <si>
    <t>У-01117</t>
  </si>
  <si>
    <t>Услуги по хранению и обработке грузов за ноябрь  2018 года</t>
  </si>
  <si>
    <t>У-01129</t>
  </si>
  <si>
    <t>Услуги по хранению и обработке грузов за ноябрь 2019 года</t>
  </si>
  <si>
    <t>У-01115</t>
  </si>
  <si>
    <t>Услуги по хранению и обработке грузов за октябрь 2018 года</t>
  </si>
  <si>
    <t>У-01128</t>
  </si>
  <si>
    <t>Услуги по хранению и обработке грузов за октябрь 2019 года</t>
  </si>
  <si>
    <t>У-01138</t>
  </si>
  <si>
    <t>Услуги по хранению и обработке грузов за октябрь-ноябрь 2020 года</t>
  </si>
  <si>
    <t>У-01114</t>
  </si>
  <si>
    <t>Услуги по хранению и обработке грузов за сентябрь 2018 года</t>
  </si>
  <si>
    <t>У-01137</t>
  </si>
  <si>
    <t>Услуги по хранению и обработке грузов за сентябрь 2020 года</t>
  </si>
  <si>
    <t>У-01120</t>
  </si>
  <si>
    <t>Услуги по хранению и обработке грузов за февраль 2019 года</t>
  </si>
  <si>
    <t>У-01132</t>
  </si>
  <si>
    <t>Услуги по хранению и обработке грузов за февраль 2020 года</t>
  </si>
  <si>
    <t>У-01119</t>
  </si>
  <si>
    <t>Услуги по хранению и обработке грузов за январь 2019 года</t>
  </si>
  <si>
    <t>У-01131</t>
  </si>
  <si>
    <t>Услуги по хранению и обработке грузов за январь 2020 года</t>
  </si>
  <si>
    <t>У-01140</t>
  </si>
  <si>
    <t>Услуги по хранению и обработке грузов за январь 2023 года</t>
  </si>
  <si>
    <t>Фиксатор для МП трубы Д16</t>
  </si>
  <si>
    <t>Фиксатор для МП трубы Д20</t>
  </si>
  <si>
    <t>Фиксатор для МП трубы Д26</t>
  </si>
  <si>
    <t>Фиксатор для МП трубы Д32</t>
  </si>
  <si>
    <t>Фильтр механической очистки  FF  1" ProEXPERT</t>
  </si>
  <si>
    <t>Фильтр механической очистки  FF  1/2 ProEXPERT</t>
  </si>
  <si>
    <t>Фильтр механической очистки воды 1/2” BUGATTI NEBRASKA</t>
  </si>
  <si>
    <t>Фильтр механической очистки воды 1” BUGATTI NEBRASKA</t>
  </si>
  <si>
    <t>Фильтр механической очистки воды 3/4” BUGATTI NEBRASKA</t>
  </si>
  <si>
    <t>4650098218823</t>
  </si>
  <si>
    <t>4650098218854</t>
  </si>
  <si>
    <t>4650098218847</t>
  </si>
  <si>
    <t>V-03613</t>
  </si>
  <si>
    <t>Фильтр муфта-муфта   20</t>
  </si>
  <si>
    <t>V-03614</t>
  </si>
  <si>
    <t>Фильтр муфта-муфта   25</t>
  </si>
  <si>
    <t>V-03615</t>
  </si>
  <si>
    <t>Фильтр муфта-муфта   32</t>
  </si>
  <si>
    <t>Фильтры</t>
  </si>
  <si>
    <t>4650098214115</t>
  </si>
  <si>
    <t>03613-DIY</t>
  </si>
  <si>
    <t>Фильтр муфта-муфта  20 DIY</t>
  </si>
  <si>
    <t>Фильтр муфта-муфта  20  DIY</t>
  </si>
  <si>
    <t>4650098214122</t>
  </si>
  <si>
    <t>4650098214139</t>
  </si>
  <si>
    <t>4650098214146</t>
  </si>
  <si>
    <t>03616-DIY</t>
  </si>
  <si>
    <t>Фильтр муфта-штуцер  20-DIY</t>
  </si>
  <si>
    <t>4650098214153</t>
  </si>
  <si>
    <t>4650098214160</t>
  </si>
  <si>
    <t>03618-DIY</t>
  </si>
  <si>
    <t>Фильтр муфта-штуцер  32 DIY</t>
  </si>
  <si>
    <t>4650098215600</t>
  </si>
  <si>
    <t>02720-DIY</t>
  </si>
  <si>
    <t>Фитинг коллекторный обжимной (евроконус) для полимерных труб 3/4"х16 DIY</t>
  </si>
  <si>
    <t>4650098215617</t>
  </si>
  <si>
    <t>02721-DIY</t>
  </si>
  <si>
    <t>Фитинг коллекторный обжимной (евроконус) для полимерных труб 3/4"х20 DIY</t>
  </si>
  <si>
    <t>M-00002</t>
  </si>
  <si>
    <t>Футболки с логотипом для Алматерм</t>
  </si>
  <si>
    <t>1111111111015</t>
  </si>
  <si>
    <t>Футорки</t>
  </si>
  <si>
    <t>4650098212111</t>
  </si>
  <si>
    <t>4630003327840</t>
  </si>
  <si>
    <t>02387-DIY</t>
  </si>
  <si>
    <t>Футорка  1 1/4''F x 1 1/2"M DIY</t>
  </si>
  <si>
    <t>4650098212128</t>
  </si>
  <si>
    <t>Футорка  1/2''F x 1 1/4"M</t>
  </si>
  <si>
    <t>4630003323637</t>
  </si>
  <si>
    <t>04498-DIY</t>
  </si>
  <si>
    <t>Футорка   1/2''F x 1 1/4"M DIY</t>
  </si>
  <si>
    <t>Футорка  1/2''F x 1 1/4"M DIY</t>
  </si>
  <si>
    <t>Футорка  1/2''F x 1"M</t>
  </si>
  <si>
    <t>4630003322319</t>
  </si>
  <si>
    <t>02553-DIY</t>
  </si>
  <si>
    <t>Футорка   1/2''F x 1"M DIY</t>
  </si>
  <si>
    <t>Футорка  1/2''F x 1"M DIY</t>
  </si>
  <si>
    <t>Футорка  1/2''F x 3/4"M</t>
  </si>
  <si>
    <t>4630003322302</t>
  </si>
  <si>
    <t>02552-DIY</t>
  </si>
  <si>
    <t>Футорка   1/2''F x 3/4"M DIY</t>
  </si>
  <si>
    <t>Футорка  1/2''F x 3/4"M DIY</t>
  </si>
  <si>
    <t>4630003325709</t>
  </si>
  <si>
    <t>02386-DIY</t>
  </si>
  <si>
    <t>Футорка  1''F x 1 1/2"M DIY</t>
  </si>
  <si>
    <t>4630003322944</t>
  </si>
  <si>
    <t>02556-DIY</t>
  </si>
  <si>
    <t>Футорка  1''F x 1 1/4"M DIY</t>
  </si>
  <si>
    <t>4650098212135</t>
  </si>
  <si>
    <t>Футорка  3/4''F x 1 1/2"M</t>
  </si>
  <si>
    <t>4650098212098</t>
  </si>
  <si>
    <t>Футорка  3/4''F x 1 1/4"M</t>
  </si>
  <si>
    <t>4630003322937</t>
  </si>
  <si>
    <t>02555-DIY</t>
  </si>
  <si>
    <t>Футорка   3/4''F x 1 1/4"M DIY</t>
  </si>
  <si>
    <t>Футорка  3/4''F x 1 1/4"M DIY</t>
  </si>
  <si>
    <t>Футорка  3/4''F x 1"M</t>
  </si>
  <si>
    <t>4630003322326</t>
  </si>
  <si>
    <t>02554-DIY</t>
  </si>
  <si>
    <t>Футорка   3/4''F x 1"M DIY</t>
  </si>
  <si>
    <t>Футорка  3/4''F x 1"M DIY</t>
  </si>
  <si>
    <t>Футорка  3/4''F x 2"M</t>
  </si>
  <si>
    <t>4650098212104</t>
  </si>
  <si>
    <t>Футорка  3/8''F x 1/2"M</t>
  </si>
  <si>
    <t>4630003324351</t>
  </si>
  <si>
    <t>02551-DIY</t>
  </si>
  <si>
    <t>Футорка    3/8''F x 1/2"M DIY</t>
  </si>
  <si>
    <t>Футорка  3/8''F x 1/2"M DIY</t>
  </si>
  <si>
    <t>0722-В</t>
  </si>
  <si>
    <t>Футорка 1 - 1 1/2  г/ш  лат</t>
  </si>
  <si>
    <t>0712-В</t>
  </si>
  <si>
    <t>Футорка 1 - 1 1/4  г/ш  лат</t>
  </si>
  <si>
    <t>0723-В</t>
  </si>
  <si>
    <t>Футорка 1 1/4 - 1 1/2  г/ш  лат</t>
  </si>
  <si>
    <t>0704-В</t>
  </si>
  <si>
    <t>Футорка 1/2 - 1  г/ш  лат</t>
  </si>
  <si>
    <t>0702-В</t>
  </si>
  <si>
    <t>Футорка 1/2 - 3/4  г/ш  лат</t>
  </si>
  <si>
    <t>0726-В</t>
  </si>
  <si>
    <t>Футорка 2 - 1  г/ш  лат</t>
  </si>
  <si>
    <t>0727-В</t>
  </si>
  <si>
    <t>Футорка 2 - 1 1/4  г/ш  лат</t>
  </si>
  <si>
    <t>0725-В</t>
  </si>
  <si>
    <t>Футорка 2 - 3/4  г/ш  лат</t>
  </si>
  <si>
    <t>0705-В</t>
  </si>
  <si>
    <t>Футорка 3/4 - 1  г/ш  лат</t>
  </si>
  <si>
    <t>0724-В</t>
  </si>
  <si>
    <t>Футорка 3/4 - 1 1/2  г/ш  лат</t>
  </si>
  <si>
    <t>0711-В</t>
  </si>
  <si>
    <t>Футорка 3/4 - 1 1/4  г/ш  лат</t>
  </si>
  <si>
    <t>0701-В</t>
  </si>
  <si>
    <t>Футорка 3/8 - 1/2  г/ш  лат</t>
  </si>
  <si>
    <t>Хомут 290х3.6мм черный (100шт)</t>
  </si>
  <si>
    <t>Хомут 98х2.5мм белый  (100шт)</t>
  </si>
  <si>
    <t>Хомут с резинкой и гайкой  1/2   (20-24)</t>
  </si>
  <si>
    <t>Хомут с резинкой и гайкой  2  (59-66)</t>
  </si>
  <si>
    <t>Хомут с резинкой и гайкой  2 1/2 (74-80)</t>
  </si>
  <si>
    <t xml:space="preserve">Хомуты с резинкой и гайкой </t>
  </si>
  <si>
    <t>Хомут с резинкой и гайкой  3  (87-94)</t>
  </si>
  <si>
    <t>Хомут с резинкой и гайкой  3/4  (25-28)</t>
  </si>
  <si>
    <t>Хомут с резинкой и гайкой  4  (110-116)</t>
  </si>
  <si>
    <t>Хомут с резинкой и гайкой 1  (32-35)</t>
  </si>
  <si>
    <t>Хомут с резинкой и гайкой 1 1/2  (48-53)</t>
  </si>
  <si>
    <t>Хомут с резинкой и гайкой 1 1/4  (39-46)</t>
  </si>
  <si>
    <t>Хомут с резинкой и шурупом  1 1/2  (48-53)</t>
  </si>
  <si>
    <t>H-01168</t>
  </si>
  <si>
    <t>Цифровая интерфейс  DMI DiGiCo MOD-DMI-DANTE</t>
  </si>
  <si>
    <t>H-01167</t>
  </si>
  <si>
    <t>Цифровая консоль DiGiCo S21 WS</t>
  </si>
  <si>
    <t>Шаблон для смесителя  20 мм</t>
  </si>
  <si>
    <t>H-01156</t>
  </si>
  <si>
    <t>Шайба DIN125 М20</t>
  </si>
  <si>
    <t>H-01158</t>
  </si>
  <si>
    <t>Шайба кузовная М8</t>
  </si>
  <si>
    <t>4650098214177</t>
  </si>
  <si>
    <t>03619-DIY</t>
  </si>
  <si>
    <t>Шаровой кран  20 DIY</t>
  </si>
  <si>
    <t>4650098214184</t>
  </si>
  <si>
    <t>03620-DIY</t>
  </si>
  <si>
    <t>Шаровой кран  25 DIY</t>
  </si>
  <si>
    <t>4650098214191</t>
  </si>
  <si>
    <t>03621-DIY</t>
  </si>
  <si>
    <t>Шаровой кран  32 DIY</t>
  </si>
  <si>
    <t>4650098214207</t>
  </si>
  <si>
    <t>4630003329806</t>
  </si>
  <si>
    <t>4630003329820</t>
  </si>
  <si>
    <t>4650098214214</t>
  </si>
  <si>
    <t>4650098214221</t>
  </si>
  <si>
    <t>4650098214238</t>
  </si>
  <si>
    <t>V-03903</t>
  </si>
  <si>
    <t>Шаровой кран  ЭКО 20</t>
  </si>
  <si>
    <t>4650098214</t>
  </si>
  <si>
    <t>V-03904</t>
  </si>
  <si>
    <t>Шаровой кран  ЭКО 25</t>
  </si>
  <si>
    <t>V-03905</t>
  </si>
  <si>
    <t>Шаровой кран  ЭКО 32</t>
  </si>
  <si>
    <t>V-03906</t>
  </si>
  <si>
    <t>Шаровой кран  ЭКО 40</t>
  </si>
  <si>
    <t>V-03907</t>
  </si>
  <si>
    <t>Шаровой кран  ЭКО 50</t>
  </si>
  <si>
    <t>V-03619</t>
  </si>
  <si>
    <t>Шаровой кран 20</t>
  </si>
  <si>
    <t>V-03620</t>
  </si>
  <si>
    <t>Шаровой кран 25</t>
  </si>
  <si>
    <t>V-03621</t>
  </si>
  <si>
    <t>Шаровой кран 32</t>
  </si>
  <si>
    <t>V-03622</t>
  </si>
  <si>
    <t>Шаровой кран 40</t>
  </si>
  <si>
    <t>V-03623</t>
  </si>
  <si>
    <t>Шаровой кран 50</t>
  </si>
  <si>
    <t>V-03624</t>
  </si>
  <si>
    <t>Шаровой кран 63</t>
  </si>
  <si>
    <t>4650098214245</t>
  </si>
  <si>
    <t>03638-DIY</t>
  </si>
  <si>
    <t>Шаровой кран для радиатора  20 х 1/2 DIY</t>
  </si>
  <si>
    <t>4650098214252</t>
  </si>
  <si>
    <t>4650098214269</t>
  </si>
  <si>
    <t>V-03638</t>
  </si>
  <si>
    <t>Шаровой кран для радиатора 20 х 1/2</t>
  </si>
  <si>
    <t>V-03909</t>
  </si>
  <si>
    <t>Шаровой кран для радиатора 20 х 1/2 ЭКО</t>
  </si>
  <si>
    <t>V-03834</t>
  </si>
  <si>
    <t>Шаровой кран для радиатора 25 х 3/4</t>
  </si>
  <si>
    <t>V-03910</t>
  </si>
  <si>
    <t>Шаровой кран для радиатора 25 х 3/4 ЭКО</t>
  </si>
  <si>
    <t>4650098214276</t>
  </si>
  <si>
    <t>4650098214283</t>
  </si>
  <si>
    <t>4650098214290</t>
  </si>
  <si>
    <t>03641-DIY</t>
  </si>
  <si>
    <t>Шаровой кран для радиатора угловой  25 х 3/4 DIY</t>
  </si>
  <si>
    <t>V-03640</t>
  </si>
  <si>
    <t>Шаровой кран для радиатора угловой 20 х 1/2</t>
  </si>
  <si>
    <t>V-03911</t>
  </si>
  <si>
    <t>Шаровой кран для радиатора угловой 20 х 1/2 ЭКО</t>
  </si>
  <si>
    <t>V-03641</t>
  </si>
  <si>
    <t>Шаровой кран для радиатора угловой 25 х 3/4</t>
  </si>
  <si>
    <t>V-03912</t>
  </si>
  <si>
    <t>Шаровой кран для радиатора угловой 25 х 3/4 ЭКО</t>
  </si>
  <si>
    <t>Шаровой кран с ППР  20</t>
  </si>
  <si>
    <t>Шаровой кран с ППР  20 х 1/2 F</t>
  </si>
  <si>
    <t>Шаровой кран с ППР  20 х 1/2 М</t>
  </si>
  <si>
    <t>Шаровой кран с ППР  25</t>
  </si>
  <si>
    <t>Шаровой кран с ППР  25 х 3/4 F</t>
  </si>
  <si>
    <t>Шаровой кран с ППР  25 х 3/4 М</t>
  </si>
  <si>
    <t>Шаровой кран с ППР  32</t>
  </si>
  <si>
    <t>Шаровой кран с ППР  32 х 1 F</t>
  </si>
  <si>
    <t>Шаровой кран с ППР  32 х 1 М</t>
  </si>
  <si>
    <t>V-03908</t>
  </si>
  <si>
    <t>Шаровой кран ЭКО 63</t>
  </si>
  <si>
    <t>01709-DIY</t>
  </si>
  <si>
    <t>Шланг д/душа  конус имп (1/2") + рус (М22)  длина 1,5 м DIY</t>
  </si>
  <si>
    <t>Шланги для душа</t>
  </si>
  <si>
    <t>4650098213989</t>
  </si>
  <si>
    <t>01710-DIY</t>
  </si>
  <si>
    <t>Шланг д/душа  конус рус (М22) + рус (М22)  длина 1,5 м DIY</t>
  </si>
  <si>
    <t>4650098213996</t>
  </si>
  <si>
    <t>Шланг для душа конус  рус (М22) +  рус (М22) длина 1,5 м в блистере</t>
  </si>
  <si>
    <t>Шланги для душа AQUALINE</t>
  </si>
  <si>
    <t>4630003320841</t>
  </si>
  <si>
    <t>Шланг для душа конус имп (1/2") +  рус (М22) длина 1,5 м в блистере</t>
  </si>
  <si>
    <t>4630003320858</t>
  </si>
  <si>
    <t>Шланг для душа конус имп (1/2") + имп (1/2") длина 1,5 м</t>
  </si>
  <si>
    <t>4650098213972</t>
  </si>
  <si>
    <t>01708-DIY</t>
  </si>
  <si>
    <t>Шланг д/душа  конус имп (1/2") + имп (1/2")  длина 1,5 м DIY</t>
  </si>
  <si>
    <t>Шланг для душа конус имп (1/2") + имп (1/2") длина 1,5 м DIY</t>
  </si>
  <si>
    <t>Шланг для душа конус имп (1/2") + имп (1/2") длина 1,5 м в блистере</t>
  </si>
  <si>
    <t>4630003320865</t>
  </si>
  <si>
    <t>Шланг для душа конус имп (1/2") + имп (1/2") длина 1,75 м в блистере</t>
  </si>
  <si>
    <t>4660129407690</t>
  </si>
  <si>
    <t>Шланг для душа конус имп (1/2") + имп (1/2") длина 2 м в блистере</t>
  </si>
  <si>
    <t>4660129407713</t>
  </si>
  <si>
    <t>Шланг для душа конус имп (1/2") + рус (М22) длина 1,5 м</t>
  </si>
  <si>
    <t>Шланг для душа конус рус (М22) + рус (М22) длина 1,5 м</t>
  </si>
  <si>
    <t>Шланг для душа ПВХ конус имп (1/2") + имп (1/2") длина 1,5 м в блистере</t>
  </si>
  <si>
    <t>4660129407720</t>
  </si>
  <si>
    <t>Шланг для душа ПВХ конус имп (1/2") + имп (1/2") длина 1,75 м в блистере</t>
  </si>
  <si>
    <t>4660129407744</t>
  </si>
  <si>
    <t>Шланг для душа ПВХ конус имп (1/2") + имп (1/2") длина 2 м в блистере</t>
  </si>
  <si>
    <t>4660129407775</t>
  </si>
  <si>
    <t>Шланг заливной  1,0 м</t>
  </si>
  <si>
    <t>4670064717976</t>
  </si>
  <si>
    <t>Шланг заливной  1,5 м</t>
  </si>
  <si>
    <t>4670064717983</t>
  </si>
  <si>
    <t>Шланг заливной  2,0 м</t>
  </si>
  <si>
    <t>4670064717990</t>
  </si>
  <si>
    <t>Шланг заливной  2,5 м</t>
  </si>
  <si>
    <t>4670064718003</t>
  </si>
  <si>
    <t>Шланг заливной  3,0 м</t>
  </si>
  <si>
    <t>4670064718010</t>
  </si>
  <si>
    <t>Шланг заливной  3,5 м</t>
  </si>
  <si>
    <t>4670064718027</t>
  </si>
  <si>
    <t>Шланг заливной  4,0 м</t>
  </si>
  <si>
    <t>4670064718034</t>
  </si>
  <si>
    <t>Шланг заливной  4,5 м</t>
  </si>
  <si>
    <t>4670064718041</t>
  </si>
  <si>
    <t>Шланг заливной  5,0 м</t>
  </si>
  <si>
    <t>4670064718058</t>
  </si>
  <si>
    <t>20.10.2020</t>
  </si>
  <si>
    <t>3917390001</t>
  </si>
  <si>
    <t>Шланг наливной  1,5 м</t>
  </si>
  <si>
    <t>Шланг наливной  4 м</t>
  </si>
  <si>
    <t>Шланг наливной  4,5 м</t>
  </si>
  <si>
    <t>Шланг наливной 4,5 м</t>
  </si>
  <si>
    <t>Шланг наливной  5,0 м</t>
  </si>
  <si>
    <t>Шланг наливной 5,0 м</t>
  </si>
  <si>
    <t>Шланг напорно-всасывающий к насосной станции, 5 м</t>
  </si>
  <si>
    <t>Шланги напорно-всасывающие</t>
  </si>
  <si>
    <t>30.05.2023</t>
  </si>
  <si>
    <t>4660129410423</t>
  </si>
  <si>
    <t>Шланг напорно-всасывающий к насосной станции, 7 м</t>
  </si>
  <si>
    <t>4660129410461</t>
  </si>
  <si>
    <t>Шланг напорно-всасывающий к насосной станции, 9 м</t>
  </si>
  <si>
    <t>4660129410478</t>
  </si>
  <si>
    <t>Шланги поливочные</t>
  </si>
  <si>
    <t>31.03.2023</t>
  </si>
  <si>
    <t>4620759669561</t>
  </si>
  <si>
    <t>Шланг сливной   4,5 м</t>
  </si>
  <si>
    <t>Шланг сливной  1,0 м</t>
  </si>
  <si>
    <t>4670064717839</t>
  </si>
  <si>
    <t>Шланг сливной  1,5 м</t>
  </si>
  <si>
    <t>4670064717891</t>
  </si>
  <si>
    <t>Шланг сливной  2,0 м</t>
  </si>
  <si>
    <t>4670064717907</t>
  </si>
  <si>
    <t>Шланг сливной  2,5 м</t>
  </si>
  <si>
    <t>4670064717914</t>
  </si>
  <si>
    <t>Шланг сливной  3,0 м</t>
  </si>
  <si>
    <t>4670064717921</t>
  </si>
  <si>
    <t>Шланг сливной  3,5 м</t>
  </si>
  <si>
    <t>4670064717938</t>
  </si>
  <si>
    <t>Шланг сливной  4,0 м</t>
  </si>
  <si>
    <t>4670064717945</t>
  </si>
  <si>
    <t>Шланг сливной  4,5 м</t>
  </si>
  <si>
    <t>4670064717952</t>
  </si>
  <si>
    <t>Шланг сливной  5,0 м</t>
  </si>
  <si>
    <t>4670064717969</t>
  </si>
  <si>
    <t>4660129409106</t>
  </si>
  <si>
    <t>Шланг сливной модульный в бухте 50 м (фасовка)</t>
  </si>
  <si>
    <t>1111111111032</t>
  </si>
  <si>
    <t>Штуцер под шланг 1/2''F x 10 мм</t>
  </si>
  <si>
    <t>Штуцеры под шланг</t>
  </si>
  <si>
    <t>4630003322951</t>
  </si>
  <si>
    <t>02686-DIY</t>
  </si>
  <si>
    <t>Штуцер под шланг  F  1/2'' x 10 мм DIY</t>
  </si>
  <si>
    <t>Штуцер под шланг 1/2''F x 10 мм DIY</t>
  </si>
  <si>
    <t>Штуцер под шланг 1/2''F x 12 мм</t>
  </si>
  <si>
    <t>4630003322968</t>
  </si>
  <si>
    <t>02687-DIY</t>
  </si>
  <si>
    <t>Штуцер под шланг  F  1/2'' x 12 мм DIY</t>
  </si>
  <si>
    <t>Штуцер под шланг 1/2''F x 12 мм DIY</t>
  </si>
  <si>
    <t>Штуцер под шланг 1/2''F x 14 мм</t>
  </si>
  <si>
    <t>4630003322975</t>
  </si>
  <si>
    <t>02688-DIY</t>
  </si>
  <si>
    <t>Штуцер под шланг  F  1/2'' x 14 мм DIY</t>
  </si>
  <si>
    <t>Штуцер под шланг 1/2''F x 14 мм DIY</t>
  </si>
  <si>
    <t>02689-DIY</t>
  </si>
  <si>
    <t>Штуцер под шланг  F  1/2'' x 16 мм DIY</t>
  </si>
  <si>
    <t>Штуцер под шланг 1/2''F x 16  мм DIY</t>
  </si>
  <si>
    <t>4630003322982</t>
  </si>
  <si>
    <t>Штуцер под шланг 1/2''F x 16 мм</t>
  </si>
  <si>
    <t>Штуцер под шланг 1/2''F x 18 мм</t>
  </si>
  <si>
    <t>4630003322999</t>
  </si>
  <si>
    <t>02690-DIY</t>
  </si>
  <si>
    <t>Штуцер под шланг  F  1/2'' x 18 мм DIY</t>
  </si>
  <si>
    <t>Штуцер под шланг 1/2''F x 18 мм DIY</t>
  </si>
  <si>
    <t>Штуцер под шланг 1/2''F x 20 мм</t>
  </si>
  <si>
    <t>4630003323002</t>
  </si>
  <si>
    <t>02691-DIY</t>
  </si>
  <si>
    <t>Штуцер под шланг  F  1/2'' x 20 мм DIY</t>
  </si>
  <si>
    <t>Штуцер под шланг 1/2''F x 20 мм DIY</t>
  </si>
  <si>
    <t>Штуцер под шланг 1/2''М x 10 мм</t>
  </si>
  <si>
    <t>4630003323033</t>
  </si>
  <si>
    <t>02693-DIY</t>
  </si>
  <si>
    <t>Штуцер под шланг  M  1/2'' x 10 мм DIY</t>
  </si>
  <si>
    <t>Штуцер под шланг 1/2''М x 10 мм DIY</t>
  </si>
  <si>
    <t>Штуцер под шланг 1/2''М x 12 мм</t>
  </si>
  <si>
    <t>4630003323040</t>
  </si>
  <si>
    <t>02694-DIY</t>
  </si>
  <si>
    <t>Штуцер под шланг  M  1/2'' x 12 мм DIY</t>
  </si>
  <si>
    <t>Штуцер под шланг 1/2''М x 12 мм DIY</t>
  </si>
  <si>
    <t>Штуцер под шланг 1/2''М x 14 мм</t>
  </si>
  <si>
    <t>4630003323057</t>
  </si>
  <si>
    <t>02695-DIY</t>
  </si>
  <si>
    <t>Штуцер под шланг  M  1/2'' x 14 мм DIY</t>
  </si>
  <si>
    <t>Штуцер под шланг 1/2''М x 14 мм DIY</t>
  </si>
  <si>
    <t>Штуцер под шланг 1/2''М x 16 мм</t>
  </si>
  <si>
    <t>4630003323064</t>
  </si>
  <si>
    <t>02696-DIY</t>
  </si>
  <si>
    <t>Штуцер под шланг  M  1/2'' x 16 мм DIY</t>
  </si>
  <si>
    <t>Штуцер под шланг 1/2''М x 16 мм DIY</t>
  </si>
  <si>
    <t>Штуцер под шланг 1/2''М x 18 мм</t>
  </si>
  <si>
    <t>4630003323071</t>
  </si>
  <si>
    <t>02697-DIY</t>
  </si>
  <si>
    <t>Штуцер под шланг  M  1/2'' x 18 мм DIY</t>
  </si>
  <si>
    <t>Штуцер под шланг 1/2''М x 18 мм DIY</t>
  </si>
  <si>
    <t>Штуцер под шланг 1/2''М x 20 мм</t>
  </si>
  <si>
    <t>4630003323088</t>
  </si>
  <si>
    <t>02698-DIY</t>
  </si>
  <si>
    <t>Штуцер под шланг  M  1/2'' x 20 мм DIY</t>
  </si>
  <si>
    <t>Штуцер под шланг 1/2''М x 20 мм DIY</t>
  </si>
  <si>
    <t>Штуцер под шланг 1''F x 20 мм</t>
  </si>
  <si>
    <t>4650098212159</t>
  </si>
  <si>
    <t>Штуцер под шланг 1''F x 25 мм</t>
  </si>
  <si>
    <t>4630003323026</t>
  </si>
  <si>
    <t>04556-DIY</t>
  </si>
  <si>
    <t>Штуцер под шланг  F 1'' x 25 мм DIY</t>
  </si>
  <si>
    <t>Штуцер под шланг 1''F x 25 мм DIY</t>
  </si>
  <si>
    <t>Штуцер под шланг 1''F x 30 мм</t>
  </si>
  <si>
    <t>4650098212166</t>
  </si>
  <si>
    <t>Штуцер под шланг 1''М x 20 мм</t>
  </si>
  <si>
    <t>4650098212180</t>
  </si>
  <si>
    <t>04559-DIY</t>
  </si>
  <si>
    <t>Штуцер под шланг  M 1'' x 20 мм DIY</t>
  </si>
  <si>
    <t>Штуцер под шланг 1''М x 20 мм DIY</t>
  </si>
  <si>
    <t>Штуцер под шланг 1''М x 25 мм</t>
  </si>
  <si>
    <t>4630003323668</t>
  </si>
  <si>
    <t>04560-DIY</t>
  </si>
  <si>
    <t>Штуцер под шланг  M 1'' x 25 мм DIY</t>
  </si>
  <si>
    <t>Штуцер под шланг 1''М x 25 мм DIY</t>
  </si>
  <si>
    <t>Штуцер под шланг 1''М x 30 мм</t>
  </si>
  <si>
    <t>4650098212197</t>
  </si>
  <si>
    <t>Штуцер под шланг 3/4''F x 20 мм</t>
  </si>
  <si>
    <t>4630003323019</t>
  </si>
  <si>
    <t>02692-DIY</t>
  </si>
  <si>
    <t>Штуцер под шланг  F  3/4'' x 20 мм DIY</t>
  </si>
  <si>
    <t>Штуцер под шланг 3/4''F x 20 мм DIY</t>
  </si>
  <si>
    <t>Штуцер под шланг 3/4''F x 25 мм</t>
  </si>
  <si>
    <t>4650098212142</t>
  </si>
  <si>
    <t>04554-DIY</t>
  </si>
  <si>
    <t>Штуцер под шланг  F  3/4'' x 25 мм DIY</t>
  </si>
  <si>
    <t>Штуцер под шланг 3/4''F x 25 мм DIY</t>
  </si>
  <si>
    <t>Штуцер под шланг 3/4''М x 20 мм</t>
  </si>
  <si>
    <t>4630003323095</t>
  </si>
  <si>
    <t>02699-DIY</t>
  </si>
  <si>
    <t>Штуцер под шланг  M  3/4'' x 20 мм DIY</t>
  </si>
  <si>
    <t>Штуцер под шланг 3/4''М x 20 мм DIY</t>
  </si>
  <si>
    <t>Штуцер под шланг 3/4''М x 25 мм</t>
  </si>
  <si>
    <t>4650098212173</t>
  </si>
  <si>
    <t>04558-DIY</t>
  </si>
  <si>
    <t>Штуцер под шланг  M  3/4'' x 25 мм DIY</t>
  </si>
  <si>
    <t>Штуцер под шланг 3/4''М x 25 мм DIY</t>
  </si>
  <si>
    <t>Эксцентрик</t>
  </si>
  <si>
    <t>4630003323101</t>
  </si>
  <si>
    <t>02389-DIY</t>
  </si>
  <si>
    <t>Эксцентрик  1/2''M x 3/4"M DIY</t>
  </si>
  <si>
    <t>0041-В</t>
  </si>
  <si>
    <t>Эксцентрик  3/4 - 1/2  ш/ш  лат</t>
  </si>
  <si>
    <t>Наценка на нашу цену</t>
  </si>
  <si>
    <t>Наценка на цену конкурента</t>
  </si>
  <si>
    <r>
      <t xml:space="preserve">Себ-ть из КА на </t>
    </r>
    <r>
      <rPr>
        <sz val="11"/>
        <color rgb="FFFF0000"/>
        <rFont val="Calibri"/>
        <family val="2"/>
        <charset val="204"/>
        <scheme val="minor"/>
      </rPr>
      <t>01.09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charset val="204"/>
        <scheme val="minor"/>
      </rPr>
      <t>с НДС</t>
    </r>
  </si>
  <si>
    <r>
      <t xml:space="preserve">Прайс БАЗА с </t>
    </r>
    <r>
      <rPr>
        <b/>
        <sz val="11"/>
        <color rgb="FFFF0000"/>
        <rFont val="Calibri"/>
        <family val="2"/>
        <charset val="204"/>
        <scheme val="minor"/>
      </rPr>
      <t>02.10.23</t>
    </r>
    <r>
      <rPr>
        <sz val="11"/>
        <color theme="1"/>
        <rFont val="Calibri"/>
        <family val="2"/>
        <scheme val="minor"/>
      </rPr>
      <t xml:space="preserve"> в юанях</t>
    </r>
  </si>
  <si>
    <r>
      <t xml:space="preserve">Цена вход, руб. без НДС </t>
    </r>
    <r>
      <rPr>
        <sz val="11"/>
        <color rgb="FFFF0000"/>
        <rFont val="Calibri"/>
        <family val="2"/>
        <charset val="204"/>
        <scheme val="minor"/>
      </rPr>
      <t>октябрь 2023</t>
    </r>
  </si>
  <si>
    <t>Курс ЦБ</t>
  </si>
  <si>
    <t>Укажите дату 
(курс тянется на дату)</t>
  </si>
  <si>
    <t>Отметка</t>
  </si>
  <si>
    <t>Отметка о выполнениии</t>
  </si>
  <si>
    <t>Согласовано</t>
  </si>
  <si>
    <t>В работе</t>
  </si>
  <si>
    <t>Ссылка на документ.                                                 Выставить отметку ---&gt;</t>
  </si>
  <si>
    <t>№ п/п</t>
  </si>
  <si>
    <t>Заявки\ТГ ПАРТНЕР, ООО, Екатеринбург № 32274 от 20.10.2023.xlsm</t>
  </si>
  <si>
    <t>Заявки\ИП Златин Станислав Юрьевич № 32545 от 23.10.2023.xlsm</t>
  </si>
  <si>
    <t>Заявки\ООО СТРОЙБЕР № 32631 от 24.10.2023.xlsm</t>
  </si>
  <si>
    <t>doc_name</t>
  </si>
  <si>
    <t>wb_name</t>
  </si>
  <si>
    <t>Заявки\ООО ЮжУралКомплекс № 32598 от 23.10.2023.xlsm</t>
  </si>
  <si>
    <t>user_name</t>
  </si>
  <si>
    <t>tugumov</t>
  </si>
  <si>
    <t>melnik</t>
  </si>
  <si>
    <t>buzina</t>
  </si>
  <si>
    <t>vorotintsev</t>
  </si>
  <si>
    <t>Заявки\ООО ЮжКомплекс15 № 32598 от 23.10.2023.xlsm</t>
  </si>
  <si>
    <t>I:\20_Соглавание_цен\Аналитика\Для подгрузки.xlsm</t>
  </si>
  <si>
    <t>Наименование конкурента</t>
  </si>
  <si>
    <t>нет данных</t>
  </si>
  <si>
    <t>Дата документа</t>
  </si>
  <si>
    <t>Наценка на счет СантехСтандарт</t>
  </si>
  <si>
    <t>Наценка на счет от конкурента</t>
  </si>
  <si>
    <t>Наименование клиента</t>
  </si>
  <si>
    <t>ООО ЮжКомплекс15</t>
  </si>
  <si>
    <t>Номер документа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</si>
  <si>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</si>
  <si>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</si>
  <si>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</si>
  <si>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</si>
  <si>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</si>
  <si>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</si>
  <si>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Максимальная себестоимость</t>
  </si>
  <si>
    <t>Наценка на цену СантехСтандарт</t>
  </si>
  <si>
    <t>Наценка на цену Конкурента</t>
  </si>
  <si>
    <t>Американка прямая  2''FM (AQUALINK 12/1)</t>
  </si>
  <si>
    <t>Муфта переходная  1''F x 1 1/4"F (AQUALINK 80/5)</t>
  </si>
  <si>
    <t>Муфта переходная  1''F x 1 1/2"F (AQUALINK 50/5)</t>
  </si>
  <si>
    <t>Муфта переходная  1 1/4''F x 1 1/2"F (AQUALINK 40/5)</t>
  </si>
  <si>
    <t>Муфта переходная  1 1/4''F x 2"F (AQUALINK 40/5)</t>
  </si>
  <si>
    <t>Муфта 1 1/4''F x 1 1/4"F (AQUALINK 50/5)</t>
  </si>
  <si>
    <t>Ниппель 1 1/4''M x 1 1/4''M (AQUALINK 80/5)</t>
  </si>
  <si>
    <t>Ниппель 1 1/2''M x 1 1/2''M (AQUALINK 40/5)</t>
  </si>
  <si>
    <t>Ниппель переходной  1/2''M x 1 1/4''M (AQUALINK 100/5)</t>
  </si>
  <si>
    <t>Ниппель переходной  3/4''M x 1 1/4''M (AQUALINK 100/5)</t>
  </si>
  <si>
    <t>Ниппель переходной 1''M x 1 1/4''M (AQUALINK 80/5)</t>
  </si>
  <si>
    <t>Ниппель переходной  1''M x 2''M (AQUALINK 40/5)</t>
  </si>
  <si>
    <t>Переходник  3/8''M x 1/2"F (AQUALINK 400/10)</t>
  </si>
  <si>
    <t>Переходник  1/2''M x 1/2"F (AQUALINK  300/10)</t>
  </si>
  <si>
    <t>Переходник  3/4''M x 3/4"F (AQUALINK  200/10)</t>
  </si>
  <si>
    <t>Переходник  1''M x 1 1/4"F (AQUALINK 70/5)</t>
  </si>
  <si>
    <t>Переходник  1''M x 1 1/2"F (AQUALINK 50/5)</t>
  </si>
  <si>
    <t>Переходник  1''M x 2"F (AQUALINK 30/5)</t>
  </si>
  <si>
    <t>Переходник  1 1/4''M x 2"F (AQUALINK 30/5)</t>
  </si>
  <si>
    <t>Тройник  3/4''F x 1/2"F x 3/4"F (AQUALINK 80/10)</t>
  </si>
  <si>
    <t>Тройник  1 1/4''F x 1 1/4"F x 1 1/4"F (AQUALINK 20/5)</t>
  </si>
  <si>
    <t>Тройник  1 1/2''F x 1 1/2"F x 1 1/2"F (AQUALINK 15/5)</t>
  </si>
  <si>
    <t>Тройник  1/2''F x 1/2"F x 1/2"M (AQUALINK 120/10)</t>
  </si>
  <si>
    <t>Тройник  3/4''F x 3/4"F x 3/4"M (AQUALINK 60/10)</t>
  </si>
  <si>
    <t>Тройник  1''F x 1"F x 1"M (AQUALINK 30/5)</t>
  </si>
  <si>
    <t>Тройник  1/2''F x 1/2"M x 1/2"F (AQUALINK 120/10)</t>
  </si>
  <si>
    <t>Тройник  1/2''F x 1/2"M x 1/2"M (AQUALINK 120/10)</t>
  </si>
  <si>
    <t>Тройник  1''F x 1"M x 1"M (AQUALINK 30/10)</t>
  </si>
  <si>
    <t>Тройник  1/2''M x 1/2"F x 1/2"M (AQUALINK 100/10)</t>
  </si>
  <si>
    <t>Тройник  1/2''M x 1/2"M x 1/2"M (AQUALINK 150/10)</t>
  </si>
  <si>
    <t>Уголок  1/2''F x 3/4"F (AQUALINK 150/10)</t>
  </si>
  <si>
    <t>Уголок  1/2''F x 1/2"M (AQUALINK 180/10)</t>
  </si>
  <si>
    <t>Уголок  3/4''F x 3/4"M (AQUALINK 80/10)</t>
  </si>
  <si>
    <t>Уголок  1''F x 1"M (AQUALINK 60/10)</t>
  </si>
  <si>
    <t>Уголок  1 1/4''F x 1 1/4"M (AQUALINK 35/5)</t>
  </si>
  <si>
    <t>Уголок  1/2"M x 1/2"M (AQUALINK 200/10)</t>
  </si>
  <si>
    <t>Уголок  3/4"M x 3/4"M (AQUALINK 120/10)</t>
  </si>
  <si>
    <t>Футорка  1/2''F x 1 1/4"M (AQUALINK 120/5)</t>
  </si>
  <si>
    <t>Футорка  1''F x 1 1/4"M (AQUALINK 120/5)</t>
  </si>
  <si>
    <t>Футорка  1''F x 1 1/2"M (AQUALINK 70/5)</t>
  </si>
  <si>
    <t>Футорка  1 1/4''F x 1 1/2"M (AQUALINK 70/5)</t>
  </si>
  <si>
    <t>Футорка  1 1/2''F x 2"M (AQUALINK 40/5)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</si>
</sst>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_-* #,##0.00\ _₽_-;\-* #,##0.00\ _₽_-;_-* &quot;-&quot;??\ _₽_-;_-@_-"/>
    <numFmt numFmtId="166" formatCode="0.0%"/>
    <numFmt numFmtId="167" formatCode="#,##0.00\ _₽"/>
    <numFmt numFmtId="168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sz val="8"/>
      <name val="Arial"/>
      <family val="2"/>
    </font>
    <font>
      <sz val="8"/>
      <color indexed="59"/>
      <name val="Microsoft Sans Serif"/>
      <family val="2"/>
      <charset val="204"/>
    </font>
    <font>
      <sz val="8"/>
      <color indexed="8"/>
      <name val="Arial"/>
      <family val="2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164" fontId="0" fillId="0" borderId="1" xfId="1" applyFont="1" applyBorder="1"/>
    <xf numFmtId="164" fontId="0" fillId="2" borderId="1" xfId="1" applyFont="1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1" applyFont="1" applyBorder="1" applyAlignment="1">
      <alignment horizontal="center" vertical="center" wrapText="1"/>
    </xf>
    <xf numFmtId="164" fontId="0" fillId="0" borderId="1" xfId="1" applyFont="1" applyBorder="1" applyAlignment="1">
      <alignment horizontal="center" vertical="center"/>
    </xf>
    <xf numFmtId="9" fontId="0" fillId="0" borderId="0" xfId="2" applyFont="1"/>
    <xf numFmtId="9" fontId="0" fillId="0" borderId="1" xfId="2" applyFont="1" applyBorder="1"/>
    <xf numFmtId="165" fontId="0" fillId="0" borderId="0" xfId="0" applyNumberFormat="1"/>
    <xf numFmtId="164" fontId="0" fillId="0" borderId="0" xfId="0" applyNumberFormat="1"/>
    <xf numFmtId="0" fontId="7" fillId="3" borderId="2" xfId="3" applyFont="1" applyFill="1" applyBorder="1" applyAlignment="1">
      <alignment horizontal="left" vertical="top"/>
    </xf>
    <xf numFmtId="0" fontId="8" fillId="3" borderId="2" xfId="3" applyFont="1" applyFill="1" applyBorder="1" applyAlignment="1">
      <alignment horizontal="left" vertical="top"/>
    </xf>
    <xf numFmtId="0" fontId="8" fillId="3" borderId="2" xfId="3" applyFont="1" applyFill="1" applyBorder="1" applyAlignment="1">
      <alignment horizontal="right" vertical="top"/>
    </xf>
    <xf numFmtId="1" fontId="8" fillId="3" borderId="2" xfId="3" applyNumberFormat="1" applyFont="1" applyFill="1" applyBorder="1" applyAlignment="1">
      <alignment horizontal="right" vertical="top"/>
    </xf>
    <xf numFmtId="3" fontId="8" fillId="3" borderId="2" xfId="3" applyNumberFormat="1" applyFont="1" applyFill="1" applyBorder="1" applyAlignment="1">
      <alignment horizontal="right" vertical="top"/>
    </xf>
    <xf numFmtId="165" fontId="0" fillId="0" borderId="1" xfId="0" applyNumberFormat="1" applyBorder="1"/>
    <xf numFmtId="166" fontId="0" fillId="0" borderId="1" xfId="2" applyNumberFormat="1" applyFont="1" applyBorder="1"/>
    <xf numFmtId="0" fontId="0" fillId="0" borderId="3" xfId="0" applyBorder="1" applyAlignment="1">
      <alignment horizontal="center" vertical="center" wrapText="1"/>
    </xf>
    <xf numFmtId="0" fontId="0" fillId="0" borderId="3" xfId="0" applyBorder="1"/>
    <xf numFmtId="0" fontId="5" fillId="4" borderId="6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4" applyAlignment="1">
      <alignment horizontal="left" vertical="center" wrapText="1"/>
    </xf>
    <xf numFmtId="167" fontId="0" fillId="0" borderId="0" xfId="0" applyNumberFormat="1" applyAlignment="1">
      <alignment horizontal="right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9" fontId="0" fillId="5" borderId="13" xfId="2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9" fontId="0" fillId="0" borderId="13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166" fontId="0" fillId="0" borderId="0" xfId="2" applyNumberFormat="1" applyFont="1" applyAlignment="1">
      <alignment horizontal="center" vertical="center" wrapText="1"/>
    </xf>
    <xf numFmtId="168" fontId="0" fillId="0" borderId="0" xfId="23" applyNumberFormat="1" applyFont="1" applyAlignment="1">
      <alignment horizontal="right" vertical="center"/>
    </xf>
    <xf numFmtId="9" fontId="0" fillId="0" borderId="0" xfId="2" applyFont="1" applyAlignment="1">
      <alignment horizontal="right" vertical="center"/>
    </xf>
    <xf numFmtId="0" fontId="0" fillId="0" borderId="1" xfId="0" applyBorder="1" applyAlignment="1">
      <alignment horizontal="center"/>
    </xf>
    <xf numFmtId="164" fontId="3" fillId="2" borderId="1" xfId="1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16" fontId="5" fillId="4" borderId="7" xfId="0" applyNumberFormat="1" applyFont="1" applyFill="1" applyBorder="1" applyAlignment="1">
      <alignment horizontal="center"/>
    </xf>
    <xf numFmtId="16" fontId="5" fillId="4" borderId="8" xfId="0" applyNumberFormat="1" applyFont="1" applyFill="1" applyBorder="1" applyAlignment="1">
      <alignment horizontal="center"/>
    </xf>
    <xf numFmtId="14" fontId="0" fillId="0" borderId="15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</cellXfs>
  <cellStyles count="24">
    <cellStyle name="Гиперссылка" xfId="4" builtinId="8"/>
    <cellStyle name="Обычный" xfId="0" builtinId="0"/>
    <cellStyle name="Обычный_Лист2" xfId="3" xr:uid="{931F61BA-52A1-4DF1-8728-AE193DDB27A8}"/>
    <cellStyle name="Процентный" xfId="2" builtinId="5"/>
    <cellStyle name="Финансовый" xfId="1" builtinId="3"/>
    <cellStyle name="Финансовый 10" xfId="13" xr:uid="{029CF9CE-E573-4DAC-B4A7-C53A7C104866}"/>
    <cellStyle name="Финансовый 11" xfId="14" xr:uid="{31E42580-ECDE-43F2-A6AB-FF9B92C9B1BA}"/>
    <cellStyle name="Финансовый 12" xfId="15" xr:uid="{DF3DF730-10AB-4F2C-96DB-D594F36303A8}"/>
    <cellStyle name="Финансовый 13" xfId="16" xr:uid="{40FFE760-C9C7-4DD6-909A-DE17C7E6E46F}"/>
    <cellStyle name="Финансовый 14" xfId="17" xr:uid="{4C63B330-A2D9-4A4B-B1FC-E838AEFC2E37}"/>
    <cellStyle name="Финансовый 15" xfId="18" xr:uid="{63CDEC77-14C5-4535-8002-C872F7BF4CC9}"/>
    <cellStyle name="Финансовый 16" xfId="19" xr:uid="{C3354804-23C7-4317-A845-3CF3337BFDFB}"/>
    <cellStyle name="Финансовый 17" xfId="20" xr:uid="{2731785E-D239-4362-961E-BA82B16AF97A}"/>
    <cellStyle name="Финансовый 18" xfId="21" xr:uid="{9B4DA5B2-C513-4DBD-AA47-16FC3BC10778}"/>
    <cellStyle name="Финансовый 19" xfId="22" xr:uid="{9A6E3FDB-90A7-4E61-9F70-FE4E64A8BB13}"/>
    <cellStyle name="Финансовый 2" xfId="5" xr:uid="{0E434D0F-FE89-4D12-BBA8-CFEC0CCB363E}"/>
    <cellStyle name="Финансовый 20" xfId="23" xr:uid="{9CFEF9E4-71A3-4FB1-81B1-61B9698E5C4A}"/>
    <cellStyle name="Финансовый 3" xfId="6" xr:uid="{A94E1B8A-DCF9-480B-8036-CCCAC4E49DD9}"/>
    <cellStyle name="Финансовый 4" xfId="7" xr:uid="{D99908C2-E539-4CBF-8672-08F8927CE6E0}"/>
    <cellStyle name="Финансовый 5" xfId="8" xr:uid="{F29C43BB-CF75-4165-9B3D-7AB57C43CF5A}"/>
    <cellStyle name="Финансовый 6" xfId="9" xr:uid="{A83486F5-FCE3-425D-8ED1-533EE18BF4F6}"/>
    <cellStyle name="Финансовый 7" xfId="10" xr:uid="{DDCA9CBD-21B7-4ECD-9976-D32F715936F4}"/>
    <cellStyle name="Финансовый 8" xfId="11" xr:uid="{25928406-6AC2-4B85-8A9E-166DDDFE481B}"/>
    <cellStyle name="Финансовый 9" xfId="12" xr:uid="{0C819162-7ABB-4477-AB47-BF564B476B9C}"/>
  </cellStyles>
  <dxfs count="57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8" formatCode="_-* #,##0.0_-;\-* #,##0.0_-;_-* &quot;-&quot;??_-;_-@_-"/>
      <alignment horizontal="right" vertical="center" textRotation="0" wrapText="0" indent="0" justifyLastLine="0" shrinkToFit="0" readingOrder="0"/>
    </dxf>
    <dxf>
      <numFmt numFmtId="168" formatCode="_-* #,##0.0_-;\-* #,##0.0_-;_-* &quot;-&quot;??_-;_-@_-"/>
      <alignment horizontal="right" vertical="center" textRotation="0" wrapText="0" indent="0" justifyLastLine="0" shrinkToFit="0" readingOrder="0"/>
    </dxf>
    <dxf>
      <numFmt numFmtId="168" formatCode="_-* #,##0.0_-;\-* #,##0.0_-;_-* &quot;-&quot;??_-;_-@_-"/>
      <alignment horizontal="right" vertical="center" textRotation="0" wrapText="0" indent="0" justifyLastLine="0" shrinkToFit="0" readingOrder="0"/>
    </dxf>
    <dxf>
      <numFmt numFmtId="168" formatCode="_-* #,##0.0_-;\-* #,##0.0_-;_-* &quot;-&quot;??_-;_-@_-"/>
      <alignment horizontal="right" vertical="center" textRotation="0" wrapText="0" indent="0" justifyLastLine="0" shrinkToFit="0" readingOrder="0"/>
    </dxf>
    <dxf>
      <numFmt numFmtId="168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/>
      </font>
    </dxf>
    <dxf>
      <font>
        <b/>
      </font>
      <alignment horizontal="left" vertical="center" textRotation="0" indent="0" justifyLastLine="0" shrinkToFit="0" readingOrder="0"/>
    </dxf>
    <dxf>
      <font>
        <b/>
        <charset val="204"/>
      </font>
      <numFmt numFmtId="1" formatCode="0"/>
      <alignment horizontal="center" vertical="center" textRotation="0" wrapText="0" indent="0" justifyLastLine="0" shrinkToFit="0" readingOrder="0"/>
    </dxf>
    <dxf>
      <font>
        <b val="0"/>
      </font>
    </dxf>
    <dxf>
      <border>
        <bottom style="medium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9EE6BB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20" defaultTableStyle="Стиль таблицы 1" defaultPivotStyle="PivotStyleLight16">
    <tableStyle name="Стиль таблицы 1" pivot="0" count="2" xr9:uid="{4C37EDF9-C9E9-4161-8EE3-3E548D0B2AA2}">
      <tableStyleElement type="wholeTable" dxfId="56"/>
      <tableStyleElement type="headerRow" dxfId="55"/>
    </tableStyle>
    <tableStyle name="Стиль таблицы 1 10" pivot="0" count="2" xr9:uid="{437946CE-A4AE-4B74-80FA-E1A5CB448BF9}">
      <tableStyleElement type="wholeTable" dxfId="54"/>
      <tableStyleElement type="headerRow" dxfId="53"/>
    </tableStyle>
    <tableStyle name="Стиль таблицы 1 11" pivot="0" count="2" xr9:uid="{D8F3AEF9-7722-4EDC-91BE-551E36F2BD3C}">
      <tableStyleElement type="wholeTable" dxfId="52"/>
      <tableStyleElement type="headerRow" dxfId="51"/>
    </tableStyle>
    <tableStyle name="Стиль таблицы 1 12" pivot="0" count="2" xr9:uid="{2399D6F6-4AEF-43F4-91B0-26D5DBA49B42}">
      <tableStyleElement type="wholeTable" dxfId="50"/>
      <tableStyleElement type="headerRow" dxfId="49"/>
    </tableStyle>
    <tableStyle name="Стиль таблицы 1 13" pivot="0" count="2" xr9:uid="{9B2AC947-09B6-45A7-B97A-BA997F6933C9}">
      <tableStyleElement type="wholeTable" dxfId="48"/>
      <tableStyleElement type="headerRow" dxfId="47"/>
    </tableStyle>
    <tableStyle name="Стиль таблицы 1 14" pivot="0" count="2" xr9:uid="{0BF9031A-BA77-4C5D-86FD-83BB758E187D}">
      <tableStyleElement type="wholeTable" dxfId="46"/>
      <tableStyleElement type="headerRow" dxfId="45"/>
    </tableStyle>
    <tableStyle name="Стиль таблицы 1 15" pivot="0" count="2" xr9:uid="{174D1A03-13EC-4F78-9F13-B547ADD2F42F}">
      <tableStyleElement type="wholeTable" dxfId="44"/>
      <tableStyleElement type="headerRow" dxfId="43"/>
    </tableStyle>
    <tableStyle name="Стиль таблицы 1 16" pivot="0" count="2" xr9:uid="{0939E482-39B3-4086-9E66-B8D347065020}">
      <tableStyleElement type="wholeTable" dxfId="42"/>
      <tableStyleElement type="headerRow" dxfId="41"/>
    </tableStyle>
    <tableStyle name="Стиль таблицы 1 17" pivot="0" count="2" xr9:uid="{1E122325-1B88-4087-967A-FEB1DCC5D3E3}">
      <tableStyleElement type="wholeTable" dxfId="40"/>
      <tableStyleElement type="headerRow" dxfId="39"/>
    </tableStyle>
    <tableStyle name="Стиль таблицы 1 18" pivot="0" count="2" xr9:uid="{65A9946F-7341-44C5-920E-87F3FBCA9AF4}">
      <tableStyleElement type="wholeTable" dxfId="38"/>
      <tableStyleElement type="headerRow" dxfId="37"/>
    </tableStyle>
    <tableStyle name="Стиль таблицы 1 19" pivot="0" count="2" xr9:uid="{3F9B4C3D-153D-4B03-A573-AA71ABCE32BC}">
      <tableStyleElement type="wholeTable" dxfId="36"/>
      <tableStyleElement type="headerRow" dxfId="35"/>
    </tableStyle>
    <tableStyle name="Стиль таблицы 1 2" pivot="0" count="2" xr9:uid="{50F32815-AC5E-4276-ADF2-6164EEA33BFA}">
      <tableStyleElement type="wholeTable" dxfId="34"/>
      <tableStyleElement type="headerRow" dxfId="33"/>
    </tableStyle>
    <tableStyle name="Стиль таблицы 1 20" pivot="0" count="2" xr9:uid="{3F57ED41-58FB-4448-BE2B-10D27BA40B8B}">
      <tableStyleElement type="wholeTable" dxfId="32"/>
      <tableStyleElement type="headerRow" dxfId="31"/>
    </tableStyle>
    <tableStyle name="Стиль таблицы 1 3" pivot="0" count="2" xr9:uid="{8617342C-26E9-4D46-BB8E-52FD6BEE3A51}">
      <tableStyleElement type="wholeTable" dxfId="30"/>
      <tableStyleElement type="headerRow" dxfId="29"/>
    </tableStyle>
    <tableStyle name="Стиль таблицы 1 4" pivot="0" count="2" xr9:uid="{D10E265A-26B5-47D7-9269-D2204736CB59}">
      <tableStyleElement type="wholeTable" dxfId="28"/>
      <tableStyleElement type="headerRow" dxfId="27"/>
    </tableStyle>
    <tableStyle name="Стиль таблицы 1 5" pivot="0" count="2" xr9:uid="{800EFD53-C31C-49C6-B12C-FCFC7B84C6FD}">
      <tableStyleElement type="wholeTable" dxfId="26"/>
      <tableStyleElement type="headerRow" dxfId="25"/>
    </tableStyle>
    <tableStyle name="Стиль таблицы 1 6" pivot="0" count="2" xr9:uid="{670ABD3C-F9CE-4A5B-9265-F3F3E67FD3A7}">
      <tableStyleElement type="wholeTable" dxfId="24"/>
      <tableStyleElement type="headerRow" dxfId="23"/>
    </tableStyle>
    <tableStyle name="Стиль таблицы 1 7" pivot="0" count="2" xr9:uid="{8FCE2498-E833-4416-B0AF-821817A27C13}">
      <tableStyleElement type="wholeTable" dxfId="22"/>
      <tableStyleElement type="headerRow" dxfId="21"/>
    </tableStyle>
    <tableStyle name="Стиль таблицы 1 8" pivot="0" count="2" xr9:uid="{497E07D3-88FE-4E1B-A96E-315E1FD30123}">
      <tableStyleElement type="wholeTable" dxfId="20"/>
      <tableStyleElement type="headerRow" dxfId="19"/>
    </tableStyle>
    <tableStyle name="Стиль таблицы 1 9" pivot="0" count="2" xr9:uid="{3BAB95C1-1799-4DB3-BC4E-856FDAEEC8BB}">
      <tableStyleElement type="wholeTable" dxfId="18"/>
      <tableStyleElement type="headerRow" dxfId="17"/>
    </tableStyle>
  </tableStyles>
  <colors>
    <mruColors>
      <color rgb="FF9EE6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30" xr16:uid="{E13431DE-2200-4313-AC07-683214B42EA2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5ED82-1FAA-4F07-910A-34A312515BA4}" name="Заявки" displayName="Заявки" ref="B2:D9" totalsRowShown="0" headerRowDxfId="15" dataDxfId="13" headerRowBorderDxfId="14">
  <autoFilter ref="B2:D9" xr:uid="{AE75ED82-1FAA-4F07-910A-34A312515BA4}"/>
  <tableColumns count="3">
    <tableColumn id="1" xr3:uid="{C87FA7B4-5845-4441-B135-EE2696FCB071}" name="№ п/п" dataDxfId="12"/>
    <tableColumn id="2" xr3:uid="{0F29169B-1893-43C5-9EAB-CEC8081A0806}" name="Наименование" dataDxfId="11"/>
    <tableColumn id="4" xr3:uid="{DB405482-B931-486B-AC2E-72C20C1255C8}" name="Отметка" dataDxfId="10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5A9D11-FAC2-4B5E-A869-785B946398A7}" name="Входящие_файлы_СЧЕТА" displayName="Входящие_файлы_СЧЕТА" ref="B5:K50" tableType="queryTable" totalsRowShown="0" headerRowDxfId="9">
  <autoFilter ref="B5:K50" xr:uid="{B832FD5B-F0C5-4BC4-BF31-2FDA64A05B9F}"/>
  <tableColumns count="10">
    <tableColumn id="13" xr3:uid="{B893ADB9-B579-4C45-B639-31F0131A5C76}" uniqueName="13" name="Артикул" queryTableFieldId="13" dataDxfId="8"/>
    <tableColumn id="14" xr3:uid="{73688282-86BC-4AEE-A8BF-4B135CC64437}" uniqueName="14" name="Товары (работы, услуги)" queryTableFieldId="14"/>
    <tableColumn id="15" xr3:uid="{B9F65B0A-790C-4B14-964F-EBA8DAD6F82E}" uniqueName="15" name="Количество" queryTableFieldId="15" dataDxfId="7"/>
    <tableColumn id="16" xr3:uid="{7765D9EF-F133-4F0A-9E36-B83A5B6ECE67}" uniqueName="16" name="Цена" queryTableFieldId="16" dataDxfId="6" dataCellStyle="Финансовый"/>
    <tableColumn id="17" xr3:uid="{313E0117-5224-4377-B867-97E023A2ED7F}" uniqueName="17" name="Сумма" queryTableFieldId="17" dataDxfId="5" dataCellStyle="Финансовый"/>
    <tableColumn id="1" xr3:uid="{65DE55C1-8BDE-47A2-8FCB-BA33262B1CAD}" uniqueName="1" name="Цена конкурента" queryTableFieldId="22" dataDxfId="4" dataCellStyle="Финансовый"/>
    <tableColumn id="2" xr3:uid="{3E55BDD0-96DD-40F8-8119-5A8D79186AFA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603ADAA0-7D1F-43F8-9254-247D92477A3A}" uniqueName="3" name="Максимальная себестоимость" queryTableFieldId="25" dataDxfId="2" dataCellStyle="Финансовый"/>
    <tableColumn id="4" xr3:uid="{8ED8192B-F70E-43BF-B96E-372AEBAC07C6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7DECDAC2-EC18-403E-BF9B-F2B4E7412817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498602-213A-43B7-8C61-CFB59C51046D}" name="doc_name" displayName="doc_name" ref="G1:G2" totalsRowShown="0">
  <autoFilter ref="G1:G2" xr:uid="{5E498602-213A-43B7-8C61-CFB59C51046D}"/>
  <tableColumns count="1">
    <tableColumn id="1" xr3:uid="{E844C205-4545-475D-A591-48A8073EDFBC}" name="doc_name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593654-F74C-4AE8-8EEA-E91A6E9278A7}" name="wb_name" displayName="wb_name" ref="I1:I2" totalsRowShown="0">
  <autoFilter ref="I1:I2" xr:uid="{29593654-F74C-4AE8-8EEA-E91A6E9278A7}"/>
  <tableColumns count="1">
    <tableColumn id="1" xr3:uid="{B02EFDAB-B304-43A0-87A5-9EAC99488B57}" name="wb_name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3D234-BA0F-4EC2-98E6-F23295BE92C0}" name="user_name" displayName="user_name" ref="K1:K5" totalsRowShown="0">
  <autoFilter ref="K1:K5" xr:uid="{3993D234-BA0F-4EC2-98E6-F23295BE92C0}"/>
  <tableColumns count="1">
    <tableColumn id="1" xr3:uid="{BE853B9A-620E-4494-837E-EEA27D5344BA}" name="user_name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&#1047;&#1072;&#1103;&#1074;&#1082;&#1080;\&#1054;&#1054;&#1054;%20&#1057;&#1058;&#1056;&#1054;&#1049;&#1041;&#1045;&#1056;%20&#8470;%2032631%20&#1086;&#1090;%2024.10.2023.xls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&#1047;&#1072;&#1103;&#1074;&#1082;&#1080;\&#1048;&#1055;%20&#1047;&#1083;&#1072;&#1090;&#1080;&#1085;%20&#1057;&#1090;&#1072;&#1085;&#1080;&#1089;&#1083;&#1072;&#1074;%20&#1070;&#1088;&#1100;&#1077;&#1074;&#1080;&#1095;%20&#8470;%2032545%20&#1086;&#1090;%2023.10.2023.xlsm" TargetMode="External"/><Relationship Id="rId1" Type="http://schemas.openxmlformats.org/officeDocument/2006/relationships/hyperlink" Target="&#1047;&#1072;&#1103;&#1074;&#1082;&#1080;\&#1058;&#1043;%20&#1055;&#1040;&#1056;&#1058;&#1053;&#1045;&#1056;,%20&#1054;&#1054;&#1054;,%20&#1045;&#1082;&#1072;&#1090;&#1077;&#1088;&#1080;&#1085;&#1073;&#1091;&#1088;&#1075;%20&#8470;%2032274%20&#1086;&#1090;%2020.10.2023.xlsm" TargetMode="External"/><Relationship Id="rId6" Type="http://schemas.openxmlformats.org/officeDocument/2006/relationships/hyperlink" Target="&#1047;&#1072;&#1103;&#1074;&#1082;&#1080;\&#1054;&#1054;&#1054;%20&#1070;&#1078;&#1050;&#1086;&#1084;&#1087;&#1083;&#1077;&#1082;&#1089;15%20&#8470;%2032598%20&#1086;&#1090;%2023.10.2023.xlsm" TargetMode="External"/><Relationship Id="rId5" Type="http://schemas.openxmlformats.org/officeDocument/2006/relationships/hyperlink" Target="&#1047;&#1072;&#1103;&#1074;&#1082;&#1080;\&#1054;&#1054;&#1054;%20&#1070;&#1078;&#1050;&#1086;&#1084;&#1087;&#1083;&#1077;&#1082;&#1089;15%20&#8470;%2032598%20&#1086;&#1090;%2023.10.2023.xlsm" TargetMode="External"/><Relationship Id="rId4" Type="http://schemas.openxmlformats.org/officeDocument/2006/relationships/hyperlink" Target="&#1047;&#1072;&#1103;&#1074;&#1082;&#1080;\&#1054;&#1054;&#1054;%20&#1070;&#1078;&#1059;&#1088;&#1072;&#1083;&#1050;&#1086;&#1084;&#1087;&#1083;&#1077;&#1082;&#1089;%20&#8470;%2032598%20&#1086;&#1090;%2023.10.2023.xls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1194"/>
  <sheetViews>
    <sheetView workbookViewId="0">
      <selection activeCell="E2" sqref="E2"/>
    </sheetView>
  </sheetViews>
  <sheetFormatPr defaultRowHeight="15" x14ac:dyDescent="0.25"/>
  <cols>
    <col min="1" max="1" width="10.28515625" style="2" bestFit="1" customWidth="1"/>
    <col min="2" max="2" width="62.140625" customWidth="1"/>
    <col min="3" max="3" width="15.42578125" bestFit="1" customWidth="1"/>
    <col min="4" max="4" width="12.85546875" customWidth="1"/>
    <col min="5" max="5" width="12.28515625" customWidth="1"/>
    <col min="6" max="6" width="13" customWidth="1"/>
    <col min="7" max="7" width="17.140625" customWidth="1"/>
    <col min="8" max="9" width="13.140625" customWidth="1"/>
    <col min="10" max="10" width="12.28515625" bestFit="1" customWidth="1"/>
    <col min="11" max="11" width="16.5703125" bestFit="1" customWidth="1"/>
    <col min="12" max="12" width="15.140625" style="9" bestFit="1" customWidth="1"/>
    <col min="13" max="13" width="25.140625" customWidth="1"/>
    <col min="14" max="14" width="10" bestFit="1" customWidth="1"/>
  </cols>
  <sheetData>
    <row r="1" spans="1:15" ht="30" customHeight="1" x14ac:dyDescent="0.25">
      <c r="C1" s="49" t="s">
        <v>7420</v>
      </c>
      <c r="D1" s="50"/>
      <c r="E1" s="22" t="s">
        <v>7419</v>
      </c>
      <c r="L1" s="9" t="str">
        <f>TEXT(C2,"ДД.ММ")</f>
        <v>23.10</v>
      </c>
      <c r="M1" t="str">
        <f>CONCATENATE("Расчетная себестоимость с НДС по курсу юаня на ",L1," - ",E2)</f>
        <v>Расчетная себестоимость с НДС по курсу юаня на 23.10 - 13,0688</v>
      </c>
      <c r="N1" t="s">
        <v>7414</v>
      </c>
      <c r="O1" t="s">
        <v>7415</v>
      </c>
    </row>
    <row r="2" spans="1:15" ht="15.75" thickBot="1" x14ac:dyDescent="0.3">
      <c r="B2" t="s">
        <v>1159</v>
      </c>
      <c r="C2" s="51">
        <v>45222</v>
      </c>
      <c r="D2" s="52"/>
      <c r="E2" s="23" cm="1">
        <f t="array" ref="E2">GetRateN("CNY",C2)</f>
        <v>13.0688</v>
      </c>
    </row>
    <row r="3" spans="1:15" x14ac:dyDescent="0.25">
      <c r="A3" s="6"/>
      <c r="B3" s="1"/>
      <c r="C3" s="20"/>
      <c r="D3" s="21"/>
      <c r="E3" s="21"/>
      <c r="F3" s="1"/>
      <c r="G3" s="48" t="s">
        <v>1161</v>
      </c>
      <c r="H3" s="47" t="s">
        <v>7417</v>
      </c>
      <c r="I3" s="47"/>
      <c r="J3" s="6"/>
      <c r="K3" s="1" t="s">
        <v>1173</v>
      </c>
    </row>
    <row r="4" spans="1:15" ht="45" x14ac:dyDescent="0.25">
      <c r="A4" s="5" t="s">
        <v>0</v>
      </c>
      <c r="B4" s="5" t="s">
        <v>8</v>
      </c>
      <c r="C4" s="5" t="s">
        <v>7418</v>
      </c>
      <c r="D4" s="5" t="s">
        <v>1199</v>
      </c>
      <c r="E4" s="7" t="s">
        <v>1160</v>
      </c>
      <c r="F4" s="7" t="s">
        <v>7416</v>
      </c>
      <c r="G4" s="48"/>
      <c r="H4" s="7" t="s">
        <v>1157</v>
      </c>
      <c r="I4" s="7" t="s">
        <v>1158</v>
      </c>
      <c r="J4" s="5" t="s">
        <v>1156</v>
      </c>
      <c r="K4" s="8">
        <v>0.56999999999999995</v>
      </c>
      <c r="L4" s="7" t="s">
        <v>1174</v>
      </c>
      <c r="M4" s="7" t="str">
        <f>Список!I1</f>
        <v>Товарная категория</v>
      </c>
    </row>
    <row r="5" spans="1:15" x14ac:dyDescent="0.25">
      <c r="A5" s="6">
        <v>3938</v>
      </c>
      <c r="B5" s="1" t="s">
        <v>9</v>
      </c>
      <c r="C5" s="3">
        <v>16.388666666666666</v>
      </c>
      <c r="D5" s="1" t="s">
        <v>1172</v>
      </c>
      <c r="E5" s="3">
        <f>IF(D5="RUB",C5*1.2,C5*$E$2*1.2)</f>
        <v>19.666399999999999</v>
      </c>
      <c r="F5" s="3">
        <v>17.335843636363634</v>
      </c>
      <c r="G5" s="4">
        <f>IF(M5="Вывод из ассортимента",F5,MAX(E5,F5))</f>
        <v>19.666399999999999</v>
      </c>
      <c r="H5" s="1">
        <v>31.63</v>
      </c>
      <c r="I5" s="1">
        <f>ROUND(H5*1.2,2)</f>
        <v>37.96</v>
      </c>
      <c r="J5" s="1" t="s">
        <v>1172</v>
      </c>
      <c r="K5" s="3">
        <f>IF(J5="RUB",I5*$K$4,I5*$E$2*$K$4)</f>
        <v>21.6372</v>
      </c>
      <c r="L5" s="10">
        <f>K5/E5-1</f>
        <v>0.10021152829190916</v>
      </c>
      <c r="M5" s="18" t="str">
        <f>VLOOKUP(A5,Список!A:I,9,0)</f>
        <v>Основной ассортимент</v>
      </c>
      <c r="N5" s="12"/>
      <c r="O5" s="11"/>
    </row>
    <row r="6" spans="1:15" x14ac:dyDescent="0.25">
      <c r="A6" s="6">
        <v>3937</v>
      </c>
      <c r="B6" s="1" t="s">
        <v>10</v>
      </c>
      <c r="C6" s="3">
        <v>16.388666666666666</v>
      </c>
      <c r="D6" s="1" t="s">
        <v>1172</v>
      </c>
      <c r="E6" s="3">
        <f t="shared" ref="E6:E69" si="0">IF(D6="RUB",C6*1.2,C6*$E$2*1.2)</f>
        <v>19.666399999999999</v>
      </c>
      <c r="F6" s="3">
        <v>19.003951991150441</v>
      </c>
      <c r="G6" s="4">
        <f t="shared" ref="G6:G69" si="1">IF(M6="Вывод из ассортимента",F6,MAX(E6,F6))</f>
        <v>19.666399999999999</v>
      </c>
      <c r="H6" s="1">
        <v>31.63</v>
      </c>
      <c r="I6" s="1">
        <f t="shared" ref="I6:I69" si="2">ROUND(H6*1.2,2)</f>
        <v>37.96</v>
      </c>
      <c r="J6" s="1" t="s">
        <v>1172</v>
      </c>
      <c r="K6" s="3">
        <f t="shared" ref="K6:K69" si="3">IF(J6="RUB",I6*$K$4,I6*$E$2*$K$4)</f>
        <v>21.6372</v>
      </c>
      <c r="L6" s="10">
        <f t="shared" ref="L6:L69" si="4">K6/E6-1</f>
        <v>0.10021152829190916</v>
      </c>
      <c r="M6" s="18" t="str">
        <f>VLOOKUP(A6,Список!A:I,9,0)</f>
        <v>Основной ассортимент</v>
      </c>
      <c r="N6" s="12"/>
      <c r="O6" s="11"/>
    </row>
    <row r="7" spans="1:15" x14ac:dyDescent="0.25">
      <c r="A7" s="6">
        <v>4859</v>
      </c>
      <c r="B7" s="1" t="s">
        <v>11</v>
      </c>
      <c r="C7" s="3">
        <v>24.856000000000002</v>
      </c>
      <c r="D7" s="1" t="s">
        <v>1172</v>
      </c>
      <c r="E7" s="3">
        <f t="shared" si="0"/>
        <v>29.827200000000001</v>
      </c>
      <c r="F7" s="3">
        <v>25.930122739726023</v>
      </c>
      <c r="G7" s="4">
        <f t="shared" si="1"/>
        <v>29.827200000000001</v>
      </c>
      <c r="H7" s="1">
        <v>52.15</v>
      </c>
      <c r="I7" s="1">
        <f t="shared" si="2"/>
        <v>62.58</v>
      </c>
      <c r="J7" s="1" t="s">
        <v>1172</v>
      </c>
      <c r="K7" s="3">
        <f t="shared" si="3"/>
        <v>35.670599999999993</v>
      </c>
      <c r="L7" s="19">
        <f t="shared" si="4"/>
        <v>0.19590843257161228</v>
      </c>
      <c r="M7" s="18" t="str">
        <f>VLOOKUP(A7,Список!A:I,9,0)</f>
        <v>Основной ассортимент</v>
      </c>
      <c r="N7" s="12"/>
    </row>
    <row r="8" spans="1:15" x14ac:dyDescent="0.25">
      <c r="A8" s="6">
        <v>4858</v>
      </c>
      <c r="B8" s="1" t="s">
        <v>12</v>
      </c>
      <c r="C8" s="3">
        <v>24.856000000000002</v>
      </c>
      <c r="D8" s="1" t="s">
        <v>1172</v>
      </c>
      <c r="E8" s="3">
        <f t="shared" si="0"/>
        <v>29.827200000000001</v>
      </c>
      <c r="F8" s="3">
        <v>26.513627407407405</v>
      </c>
      <c r="G8" s="4">
        <f t="shared" si="1"/>
        <v>29.827200000000001</v>
      </c>
      <c r="H8" s="1">
        <v>52.15</v>
      </c>
      <c r="I8" s="1">
        <f t="shared" si="2"/>
        <v>62.58</v>
      </c>
      <c r="J8" s="1" t="s">
        <v>1172</v>
      </c>
      <c r="K8" s="3">
        <f t="shared" si="3"/>
        <v>35.670599999999993</v>
      </c>
      <c r="L8" s="10">
        <f t="shared" si="4"/>
        <v>0.19590843257161228</v>
      </c>
      <c r="M8" s="18" t="str">
        <f>VLOOKUP(A8,Список!A:I,9,0)</f>
        <v>Основной ассортимент</v>
      </c>
      <c r="N8" s="12"/>
      <c r="O8" s="11"/>
    </row>
    <row r="9" spans="1:15" x14ac:dyDescent="0.25">
      <c r="A9" s="6">
        <v>2651</v>
      </c>
      <c r="B9" s="1" t="s">
        <v>13</v>
      </c>
      <c r="C9" s="3">
        <v>12.674150000000001</v>
      </c>
      <c r="D9" s="1" t="s">
        <v>1182</v>
      </c>
      <c r="E9" s="3">
        <f t="shared" si="0"/>
        <v>198.76311782400001</v>
      </c>
      <c r="F9" s="3">
        <v>174.81712145486034</v>
      </c>
      <c r="G9" s="4">
        <f t="shared" si="1"/>
        <v>198.76311782400001</v>
      </c>
      <c r="H9" s="1">
        <v>27.48</v>
      </c>
      <c r="I9" s="1">
        <f t="shared" si="2"/>
        <v>32.979999999999997</v>
      </c>
      <c r="J9" s="1" t="s">
        <v>1182</v>
      </c>
      <c r="K9" s="3">
        <f t="shared" si="3"/>
        <v>245.67514367999996</v>
      </c>
      <c r="L9" s="10">
        <f t="shared" si="4"/>
        <v>0.23601977252912398</v>
      </c>
      <c r="M9" s="18" t="str">
        <f>VLOOKUP(A9,Список!A:I,9,0)</f>
        <v>Основной ассортимент</v>
      </c>
      <c r="N9" s="12"/>
      <c r="O9" s="11"/>
    </row>
    <row r="10" spans="1:15" x14ac:dyDescent="0.25">
      <c r="A10" s="6">
        <v>2652</v>
      </c>
      <c r="B10" s="1" t="s">
        <v>14</v>
      </c>
      <c r="C10" s="3">
        <v>12.123100000000001</v>
      </c>
      <c r="D10" s="1" t="s">
        <v>1182</v>
      </c>
      <c r="E10" s="3">
        <f t="shared" si="0"/>
        <v>190.121243136</v>
      </c>
      <c r="F10" s="3">
        <v>168.89268396226416</v>
      </c>
      <c r="G10" s="4">
        <f t="shared" si="1"/>
        <v>190.121243136</v>
      </c>
      <c r="H10" s="1">
        <v>26.92</v>
      </c>
      <c r="I10" s="1">
        <f t="shared" si="2"/>
        <v>32.299999999999997</v>
      </c>
      <c r="J10" s="1" t="s">
        <v>1182</v>
      </c>
      <c r="K10" s="3">
        <f t="shared" si="3"/>
        <v>240.60967679999993</v>
      </c>
      <c r="L10" s="10">
        <f t="shared" si="4"/>
        <v>0.26555913916407481</v>
      </c>
      <c r="M10" s="18" t="str">
        <f>VLOOKUP(A10,Список!A:I,9,0)</f>
        <v>Основной ассортимент</v>
      </c>
      <c r="N10" s="12"/>
      <c r="O10" s="11"/>
    </row>
    <row r="11" spans="1:15" x14ac:dyDescent="0.25">
      <c r="A11" s="6">
        <v>2746</v>
      </c>
      <c r="B11" s="1" t="s">
        <v>15</v>
      </c>
      <c r="C11" s="3">
        <v>68.44041</v>
      </c>
      <c r="D11" s="1" t="s">
        <v>1182</v>
      </c>
      <c r="E11" s="3">
        <f t="shared" si="0"/>
        <v>1073.3208362496</v>
      </c>
      <c r="F11" s="3">
        <v>851.8854481697939</v>
      </c>
      <c r="G11" s="4">
        <f t="shared" si="1"/>
        <v>1073.3208362496</v>
      </c>
      <c r="H11" s="1">
        <v>153.59</v>
      </c>
      <c r="I11" s="1">
        <f t="shared" si="2"/>
        <v>184.31</v>
      </c>
      <c r="J11" s="1" t="s">
        <v>1182</v>
      </c>
      <c r="K11" s="3">
        <f t="shared" si="3"/>
        <v>1372.96500096</v>
      </c>
      <c r="L11" s="10">
        <f t="shared" si="4"/>
        <v>0.27917483252949538</v>
      </c>
      <c r="M11" s="18" t="str">
        <f>VLOOKUP(A11,Список!A:I,9,0)</f>
        <v>Основной ассортимент</v>
      </c>
      <c r="N11" s="12"/>
      <c r="O11" s="11"/>
    </row>
    <row r="12" spans="1:15" x14ac:dyDescent="0.25">
      <c r="A12" s="6">
        <v>2745</v>
      </c>
      <c r="B12" s="1" t="s">
        <v>16</v>
      </c>
      <c r="C12" s="3">
        <v>51.710532000000008</v>
      </c>
      <c r="D12" s="1" t="s">
        <v>1182</v>
      </c>
      <c r="E12" s="3">
        <f t="shared" si="0"/>
        <v>810.95352072192009</v>
      </c>
      <c r="F12" s="3">
        <v>616.8211349762604</v>
      </c>
      <c r="G12" s="4">
        <f t="shared" si="1"/>
        <v>810.95352072192009</v>
      </c>
      <c r="H12" s="1">
        <v>114.87</v>
      </c>
      <c r="I12" s="1">
        <f t="shared" si="2"/>
        <v>137.84</v>
      </c>
      <c r="J12" s="1" t="s">
        <v>1182</v>
      </c>
      <c r="K12" s="3">
        <f t="shared" si="3"/>
        <v>1026.7999334399999</v>
      </c>
      <c r="L12" s="10">
        <f t="shared" si="4"/>
        <v>0.26616372850312175</v>
      </c>
      <c r="M12" s="18" t="str">
        <f>VLOOKUP(A12,Список!A:I,9,0)</f>
        <v>Основной ассортимент</v>
      </c>
      <c r="N12" s="12"/>
      <c r="O12" s="11"/>
    </row>
    <row r="13" spans="1:15" x14ac:dyDescent="0.25">
      <c r="A13" s="6">
        <v>2747</v>
      </c>
      <c r="B13" s="1" t="s">
        <v>17</v>
      </c>
      <c r="C13" s="3">
        <v>89.816000000000003</v>
      </c>
      <c r="D13" s="1" t="s">
        <v>1182</v>
      </c>
      <c r="E13" s="3">
        <f t="shared" si="0"/>
        <v>1408.54480896</v>
      </c>
      <c r="F13" s="3">
        <v>1112.7153044776119</v>
      </c>
      <c r="G13" s="4">
        <f t="shared" si="1"/>
        <v>1408.54480896</v>
      </c>
      <c r="H13" s="1">
        <v>195.82</v>
      </c>
      <c r="I13" s="1">
        <f t="shared" si="2"/>
        <v>234.98</v>
      </c>
      <c r="J13" s="1" t="s">
        <v>1182</v>
      </c>
      <c r="K13" s="3">
        <f t="shared" si="3"/>
        <v>1750.4167756799998</v>
      </c>
      <c r="L13" s="10">
        <f t="shared" si="4"/>
        <v>0.24271287966509303</v>
      </c>
      <c r="M13" s="18" t="str">
        <f>VLOOKUP(A13,Список!A:I,9,0)</f>
        <v>Основной ассортимент</v>
      </c>
      <c r="N13" s="12"/>
      <c r="O13" s="11"/>
    </row>
    <row r="14" spans="1:15" x14ac:dyDescent="0.25">
      <c r="A14" s="6">
        <v>2750</v>
      </c>
      <c r="B14" s="1" t="s">
        <v>18</v>
      </c>
      <c r="C14" s="3">
        <v>11.638176000000001</v>
      </c>
      <c r="D14" s="1" t="s">
        <v>1182</v>
      </c>
      <c r="E14" s="3">
        <f t="shared" si="0"/>
        <v>182.51639341056</v>
      </c>
      <c r="F14" s="3">
        <v>149.76595243488109</v>
      </c>
      <c r="G14" s="4">
        <f t="shared" si="1"/>
        <v>182.51639341056</v>
      </c>
      <c r="H14" s="1">
        <v>25.24</v>
      </c>
      <c r="I14" s="1">
        <f t="shared" si="2"/>
        <v>30.29</v>
      </c>
      <c r="J14" s="1" t="s">
        <v>1182</v>
      </c>
      <c r="K14" s="3">
        <f t="shared" si="3"/>
        <v>225.63675263999997</v>
      </c>
      <c r="L14" s="10">
        <f t="shared" si="4"/>
        <v>0.23625471895252304</v>
      </c>
      <c r="M14" s="18" t="str">
        <f>VLOOKUP(A14,Список!A:I,9,0)</f>
        <v>Основной ассортимент</v>
      </c>
      <c r="N14" s="12"/>
      <c r="O14" s="11"/>
    </row>
    <row r="15" spans="1:15" x14ac:dyDescent="0.25">
      <c r="A15" s="6">
        <v>2751</v>
      </c>
      <c r="B15" s="1" t="s">
        <v>19</v>
      </c>
      <c r="C15" s="3">
        <v>11.638176000000001</v>
      </c>
      <c r="D15" s="1" t="s">
        <v>1182</v>
      </c>
      <c r="E15" s="3">
        <f t="shared" si="0"/>
        <v>182.51639341056</v>
      </c>
      <c r="F15" s="3">
        <v>167.15855184135978</v>
      </c>
      <c r="G15" s="4">
        <f t="shared" si="1"/>
        <v>182.51639341056</v>
      </c>
      <c r="H15" s="1">
        <v>25.24</v>
      </c>
      <c r="I15" s="1">
        <f t="shared" si="2"/>
        <v>30.29</v>
      </c>
      <c r="J15" s="1" t="s">
        <v>1182</v>
      </c>
      <c r="K15" s="3">
        <f t="shared" si="3"/>
        <v>225.63675263999997</v>
      </c>
      <c r="L15" s="10">
        <f t="shared" si="4"/>
        <v>0.23625471895252304</v>
      </c>
      <c r="M15" s="18" t="str">
        <f>VLOOKUP(A15,Список!A:I,9,0)</f>
        <v>Основной ассортимент</v>
      </c>
      <c r="N15" s="12"/>
      <c r="O15" s="11"/>
    </row>
    <row r="16" spans="1:15" x14ac:dyDescent="0.25">
      <c r="A16" s="6">
        <v>2752</v>
      </c>
      <c r="B16" s="1" t="s">
        <v>20</v>
      </c>
      <c r="C16" s="3">
        <v>11.638176000000001</v>
      </c>
      <c r="D16" s="1" t="s">
        <v>1182</v>
      </c>
      <c r="E16" s="3">
        <f t="shared" si="0"/>
        <v>182.51639341056</v>
      </c>
      <c r="F16" s="3">
        <v>156.45311538461539</v>
      </c>
      <c r="G16" s="4">
        <f t="shared" si="1"/>
        <v>182.51639341056</v>
      </c>
      <c r="H16" s="1">
        <v>25.24</v>
      </c>
      <c r="I16" s="1">
        <f t="shared" si="2"/>
        <v>30.29</v>
      </c>
      <c r="J16" s="1" t="s">
        <v>1182</v>
      </c>
      <c r="K16" s="3">
        <f t="shared" si="3"/>
        <v>225.63675263999997</v>
      </c>
      <c r="L16" s="10">
        <f t="shared" si="4"/>
        <v>0.23625471895252304</v>
      </c>
      <c r="M16" s="18" t="str">
        <f>VLOOKUP(A16,Список!A:I,9,0)</f>
        <v>Основной ассортимент</v>
      </c>
      <c r="N16" s="12"/>
      <c r="O16" s="11"/>
    </row>
    <row r="17" spans="1:15" x14ac:dyDescent="0.25">
      <c r="A17" s="6">
        <v>2760</v>
      </c>
      <c r="B17" s="1" t="s">
        <v>21</v>
      </c>
      <c r="C17" s="3">
        <v>7.6375530000000005</v>
      </c>
      <c r="D17" s="1" t="s">
        <v>1182</v>
      </c>
      <c r="E17" s="3">
        <f t="shared" si="0"/>
        <v>119.77638317568</v>
      </c>
      <c r="F17" s="3">
        <v>108.5039863415803</v>
      </c>
      <c r="G17" s="4">
        <f t="shared" si="1"/>
        <v>119.77638317568</v>
      </c>
      <c r="H17" s="1">
        <v>16.89</v>
      </c>
      <c r="I17" s="1">
        <f t="shared" si="2"/>
        <v>20.27</v>
      </c>
      <c r="J17" s="1" t="s">
        <v>1182</v>
      </c>
      <c r="K17" s="3">
        <f t="shared" si="3"/>
        <v>150.99560831999997</v>
      </c>
      <c r="L17" s="10">
        <f t="shared" si="4"/>
        <v>0.26064591630329748</v>
      </c>
      <c r="M17" s="18" t="str">
        <f>VLOOKUP(A17,Список!A:I,9,0)</f>
        <v>Основной ассортимент</v>
      </c>
      <c r="N17" s="12"/>
      <c r="O17" s="11"/>
    </row>
    <row r="18" spans="1:15" x14ac:dyDescent="0.25">
      <c r="A18" s="6">
        <v>2653</v>
      </c>
      <c r="B18" s="1" t="s">
        <v>22</v>
      </c>
      <c r="C18" s="3">
        <v>3.6375480000000002</v>
      </c>
      <c r="D18" s="1" t="s">
        <v>1182</v>
      </c>
      <c r="E18" s="3">
        <f t="shared" si="0"/>
        <v>57.04606476288</v>
      </c>
      <c r="F18" s="3">
        <v>47.730073871409026</v>
      </c>
      <c r="G18" s="4">
        <f t="shared" si="1"/>
        <v>57.04606476288</v>
      </c>
      <c r="H18" s="1">
        <v>9.4499999999999993</v>
      </c>
      <c r="I18" s="1">
        <f t="shared" si="2"/>
        <v>11.34</v>
      </c>
      <c r="J18" s="1" t="s">
        <v>1182</v>
      </c>
      <c r="K18" s="3">
        <f t="shared" si="3"/>
        <v>84.474109439999992</v>
      </c>
      <c r="L18" s="10">
        <f t="shared" si="4"/>
        <v>0.48080520174579133</v>
      </c>
      <c r="M18" s="18" t="str">
        <f>VLOOKUP(A18,Список!A:I,9,0)</f>
        <v>Основной ассортимент</v>
      </c>
      <c r="N18" s="12"/>
      <c r="O18" s="11"/>
    </row>
    <row r="19" spans="1:15" x14ac:dyDescent="0.25">
      <c r="A19" s="6">
        <v>2765</v>
      </c>
      <c r="B19" s="1" t="s">
        <v>23</v>
      </c>
      <c r="C19" s="3">
        <v>18.138300000000001</v>
      </c>
      <c r="D19" s="1" t="s">
        <v>1182</v>
      </c>
      <c r="E19" s="3">
        <f t="shared" si="0"/>
        <v>284.45497804799999</v>
      </c>
      <c r="F19" s="3">
        <v>268.76243519218468</v>
      </c>
      <c r="G19" s="4">
        <f t="shared" si="1"/>
        <v>284.45497804799999</v>
      </c>
      <c r="H19" s="1">
        <v>43.89</v>
      </c>
      <c r="I19" s="1">
        <f t="shared" si="2"/>
        <v>52.67</v>
      </c>
      <c r="J19" s="1" t="s">
        <v>1182</v>
      </c>
      <c r="K19" s="3">
        <f t="shared" si="3"/>
        <v>392.35020671999996</v>
      </c>
      <c r="L19" s="10">
        <f t="shared" si="4"/>
        <v>0.37930511679705359</v>
      </c>
      <c r="M19" s="18" t="str">
        <f>VLOOKUP(A19,Список!A:I,9,0)</f>
        <v>Основной ассортимент</v>
      </c>
      <c r="N19" s="12"/>
      <c r="O19" s="11"/>
    </row>
    <row r="20" spans="1:15" x14ac:dyDescent="0.25">
      <c r="A20" s="6">
        <v>2766</v>
      </c>
      <c r="B20" s="1" t="s">
        <v>24</v>
      </c>
      <c r="C20" s="3">
        <v>25.9148</v>
      </c>
      <c r="D20" s="1" t="s">
        <v>1182</v>
      </c>
      <c r="E20" s="3">
        <f t="shared" si="0"/>
        <v>406.41040588799996</v>
      </c>
      <c r="F20" s="3">
        <v>342.00822369668242</v>
      </c>
      <c r="G20" s="4">
        <f t="shared" si="1"/>
        <v>406.41040588799996</v>
      </c>
      <c r="H20" s="1">
        <v>60.34</v>
      </c>
      <c r="I20" s="1">
        <f t="shared" si="2"/>
        <v>72.41</v>
      </c>
      <c r="J20" s="1" t="s">
        <v>1182</v>
      </c>
      <c r="K20" s="3">
        <f t="shared" si="3"/>
        <v>539.3977305599999</v>
      </c>
      <c r="L20" s="10">
        <f t="shared" si="4"/>
        <v>0.32722421164739823</v>
      </c>
      <c r="M20" s="18" t="str">
        <f>VLOOKUP(A20,Список!A:I,9,0)</f>
        <v>Основной ассортимент</v>
      </c>
      <c r="N20" s="12"/>
      <c r="O20" s="11"/>
    </row>
    <row r="21" spans="1:15" x14ac:dyDescent="0.25">
      <c r="A21" s="6">
        <v>2770</v>
      </c>
      <c r="B21" s="1" t="s">
        <v>25</v>
      </c>
      <c r="C21" s="3">
        <v>52.128299999999996</v>
      </c>
      <c r="D21" s="1" t="s">
        <v>1182</v>
      </c>
      <c r="E21" s="3">
        <f t="shared" si="0"/>
        <v>817.50519244799989</v>
      </c>
      <c r="F21" s="3">
        <v>763.76430508474573</v>
      </c>
      <c r="G21" s="4">
        <f t="shared" si="1"/>
        <v>817.50519244799989</v>
      </c>
      <c r="H21" s="1">
        <v>126.29</v>
      </c>
      <c r="I21" s="1">
        <f t="shared" si="2"/>
        <v>151.55000000000001</v>
      </c>
      <c r="J21" s="1" t="s">
        <v>1182</v>
      </c>
      <c r="K21" s="3">
        <f t="shared" si="3"/>
        <v>1128.9286847999999</v>
      </c>
      <c r="L21" s="10">
        <f t="shared" si="4"/>
        <v>0.38094374840537681</v>
      </c>
      <c r="M21" s="18" t="str">
        <f>VLOOKUP(A21,Список!A:I,9,0)</f>
        <v>Основной ассортимент</v>
      </c>
      <c r="N21" s="12"/>
      <c r="O21" s="11"/>
    </row>
    <row r="22" spans="1:15" x14ac:dyDescent="0.25">
      <c r="A22" s="6">
        <v>2772</v>
      </c>
      <c r="B22" s="1" t="s">
        <v>26</v>
      </c>
      <c r="C22" s="3">
        <v>57.268000000000001</v>
      </c>
      <c r="D22" s="1" t="s">
        <v>1182</v>
      </c>
      <c r="E22" s="3">
        <f t="shared" si="0"/>
        <v>898.10884607999992</v>
      </c>
      <c r="F22" s="3">
        <v>736.54935960591126</v>
      </c>
      <c r="G22" s="4">
        <f t="shared" si="1"/>
        <v>898.10884607999992</v>
      </c>
      <c r="H22" s="1">
        <v>143.86000000000001</v>
      </c>
      <c r="I22" s="1">
        <f t="shared" si="2"/>
        <v>172.63</v>
      </c>
      <c r="J22" s="1" t="s">
        <v>1182</v>
      </c>
      <c r="K22" s="3">
        <f t="shared" si="3"/>
        <v>1285.9581580799997</v>
      </c>
      <c r="L22" s="10">
        <f t="shared" si="4"/>
        <v>0.43185112104491141</v>
      </c>
      <c r="M22" s="18" t="str">
        <f>VLOOKUP(A22,Список!A:I,9,0)</f>
        <v>Основной ассортимент</v>
      </c>
      <c r="N22" s="12"/>
      <c r="O22" s="11"/>
    </row>
    <row r="23" spans="1:15" x14ac:dyDescent="0.25">
      <c r="A23" s="6">
        <v>2771</v>
      </c>
      <c r="B23" s="1" t="s">
        <v>27</v>
      </c>
      <c r="C23" s="3">
        <v>53.910200000000003</v>
      </c>
      <c r="D23" s="1" t="s">
        <v>1182</v>
      </c>
      <c r="E23" s="3">
        <f t="shared" si="0"/>
        <v>845.44994611200002</v>
      </c>
      <c r="F23" s="3">
        <v>647.98652307692305</v>
      </c>
      <c r="G23" s="4">
        <f t="shared" si="1"/>
        <v>845.44994611200002</v>
      </c>
      <c r="H23" s="1">
        <v>139.46</v>
      </c>
      <c r="I23" s="1">
        <f t="shared" si="2"/>
        <v>167.35</v>
      </c>
      <c r="J23" s="1" t="s">
        <v>1182</v>
      </c>
      <c r="K23" s="3">
        <f t="shared" si="3"/>
        <v>1246.6262975999998</v>
      </c>
      <c r="L23" s="10">
        <f t="shared" si="4"/>
        <v>0.47451224443611761</v>
      </c>
      <c r="M23" s="18" t="str">
        <f>VLOOKUP(A23,Список!A:I,9,0)</f>
        <v>Основной ассортимент</v>
      </c>
      <c r="N23" s="12"/>
      <c r="O23" s="11"/>
    </row>
    <row r="24" spans="1:15" x14ac:dyDescent="0.25">
      <c r="A24" s="6">
        <v>4904</v>
      </c>
      <c r="B24" s="1" t="s">
        <v>28</v>
      </c>
      <c r="C24" s="3">
        <v>59.985861</v>
      </c>
      <c r="D24" s="1" t="s">
        <v>1182</v>
      </c>
      <c r="E24" s="3">
        <f t="shared" si="0"/>
        <v>940.73186428416</v>
      </c>
      <c r="F24" s="3">
        <v>820.13997822141562</v>
      </c>
      <c r="G24" s="4">
        <f t="shared" si="1"/>
        <v>940.73186428416</v>
      </c>
      <c r="H24" s="1">
        <v>131.61000000000001</v>
      </c>
      <c r="I24" s="1">
        <f t="shared" si="2"/>
        <v>157.93</v>
      </c>
      <c r="J24" s="1" t="s">
        <v>1182</v>
      </c>
      <c r="K24" s="3">
        <f t="shared" si="3"/>
        <v>1176.4546828799998</v>
      </c>
      <c r="L24" s="10">
        <f t="shared" si="4"/>
        <v>0.25057386439781193</v>
      </c>
      <c r="M24" s="18" t="str">
        <f>VLOOKUP(A24,Список!A:I,9,0)</f>
        <v>Основной ассортимент</v>
      </c>
      <c r="N24" s="12"/>
      <c r="O24" s="11"/>
    </row>
    <row r="25" spans="1:15" x14ac:dyDescent="0.25">
      <c r="A25" s="6">
        <v>4914</v>
      </c>
      <c r="B25" s="1" t="s">
        <v>29</v>
      </c>
      <c r="C25" s="3">
        <v>61.838315999999999</v>
      </c>
      <c r="D25" s="1" t="s">
        <v>1182</v>
      </c>
      <c r="E25" s="3">
        <f t="shared" si="0"/>
        <v>969.78310096895984</v>
      </c>
      <c r="F25" s="3">
        <v>704.51133199195169</v>
      </c>
      <c r="G25" s="4">
        <f t="shared" si="1"/>
        <v>969.78310096895984</v>
      </c>
      <c r="H25" s="1">
        <v>135.66999999999999</v>
      </c>
      <c r="I25" s="1">
        <f t="shared" si="2"/>
        <v>162.80000000000001</v>
      </c>
      <c r="J25" s="1" t="s">
        <v>1182</v>
      </c>
      <c r="K25" s="3">
        <f t="shared" si="3"/>
        <v>1212.7323647999999</v>
      </c>
      <c r="L25" s="10">
        <f t="shared" si="4"/>
        <v>0.25051917649245192</v>
      </c>
      <c r="M25" s="18" t="str">
        <f>VLOOKUP(A25,Список!A:I,9,0)</f>
        <v>Основной ассортимент</v>
      </c>
      <c r="N25" s="12"/>
      <c r="O25" s="11"/>
    </row>
    <row r="26" spans="1:15" x14ac:dyDescent="0.25">
      <c r="A26" s="6">
        <v>4903</v>
      </c>
      <c r="B26" s="1" t="s">
        <v>30</v>
      </c>
      <c r="C26" s="3">
        <v>37.138915999999995</v>
      </c>
      <c r="D26" s="1" t="s">
        <v>1182</v>
      </c>
      <c r="E26" s="3">
        <f t="shared" si="0"/>
        <v>582.43327850495984</v>
      </c>
      <c r="F26" s="3">
        <v>507.58238095238096</v>
      </c>
      <c r="G26" s="4">
        <f t="shared" si="1"/>
        <v>582.43327850495984</v>
      </c>
      <c r="H26" s="1">
        <v>78.150000000000006</v>
      </c>
      <c r="I26" s="1">
        <f t="shared" si="2"/>
        <v>93.78</v>
      </c>
      <c r="J26" s="1" t="s">
        <v>1182</v>
      </c>
      <c r="K26" s="3">
        <f t="shared" si="3"/>
        <v>698.58747647999985</v>
      </c>
      <c r="L26" s="10">
        <f t="shared" si="4"/>
        <v>0.1994291917405453</v>
      </c>
      <c r="M26" s="18" t="str">
        <f>VLOOKUP(A26,Список!A:I,9,0)</f>
        <v>Основной ассортимент</v>
      </c>
      <c r="N26" s="12"/>
      <c r="O26" s="11"/>
    </row>
    <row r="27" spans="1:15" x14ac:dyDescent="0.25">
      <c r="A27" s="6">
        <v>4913</v>
      </c>
      <c r="B27" s="1" t="s">
        <v>31</v>
      </c>
      <c r="C27" s="3">
        <v>38.385112999999997</v>
      </c>
      <c r="D27" s="1" t="s">
        <v>1182</v>
      </c>
      <c r="E27" s="3">
        <f t="shared" si="0"/>
        <v>601.97683772927985</v>
      </c>
      <c r="F27" s="3">
        <v>593.29303986135176</v>
      </c>
      <c r="G27" s="4">
        <f t="shared" si="1"/>
        <v>601.97683772927985</v>
      </c>
      <c r="H27" s="1">
        <v>78.680000000000007</v>
      </c>
      <c r="I27" s="1">
        <f t="shared" si="2"/>
        <v>94.42</v>
      </c>
      <c r="J27" s="1" t="s">
        <v>1182</v>
      </c>
      <c r="K27" s="3">
        <f t="shared" si="3"/>
        <v>703.35497471999986</v>
      </c>
      <c r="L27" s="10">
        <f t="shared" si="4"/>
        <v>0.16840870052929113</v>
      </c>
      <c r="M27" s="18" t="str">
        <f>VLOOKUP(A27,Список!A:I,9,0)</f>
        <v>Основной ассортимент</v>
      </c>
      <c r="N27" s="12"/>
      <c r="O27" s="11"/>
    </row>
    <row r="28" spans="1:15" x14ac:dyDescent="0.25">
      <c r="A28" s="6">
        <v>4902</v>
      </c>
      <c r="B28" s="1" t="s">
        <v>32</v>
      </c>
      <c r="C28" s="3">
        <v>20.455594000000001</v>
      </c>
      <c r="D28" s="1" t="s">
        <v>1182</v>
      </c>
      <c r="E28" s="3">
        <f t="shared" si="0"/>
        <v>320.79608024063998</v>
      </c>
      <c r="F28" s="3">
        <v>272.36851559251562</v>
      </c>
      <c r="G28" s="4">
        <f t="shared" si="1"/>
        <v>320.79608024063998</v>
      </c>
      <c r="H28" s="1">
        <v>46.73</v>
      </c>
      <c r="I28" s="1">
        <f t="shared" si="2"/>
        <v>56.08</v>
      </c>
      <c r="J28" s="1" t="s">
        <v>1182</v>
      </c>
      <c r="K28" s="3">
        <f t="shared" si="3"/>
        <v>417.75203327999992</v>
      </c>
      <c r="L28" s="10">
        <f t="shared" si="4"/>
        <v>0.30223546673834045</v>
      </c>
      <c r="M28" s="18" t="str">
        <f>VLOOKUP(A28,Список!A:I,9,0)</f>
        <v>Основной ассортимент</v>
      </c>
      <c r="N28" s="12"/>
      <c r="O28" s="11"/>
    </row>
    <row r="29" spans="1:15" x14ac:dyDescent="0.25">
      <c r="A29" s="6">
        <v>4912</v>
      </c>
      <c r="B29" s="1" t="s">
        <v>33</v>
      </c>
      <c r="C29" s="3">
        <v>20.579090999999998</v>
      </c>
      <c r="D29" s="1" t="s">
        <v>1182</v>
      </c>
      <c r="E29" s="3">
        <f t="shared" si="0"/>
        <v>322.73282935295998</v>
      </c>
      <c r="F29" s="3">
        <v>285.59403870967736</v>
      </c>
      <c r="G29" s="4">
        <f t="shared" si="1"/>
        <v>322.73282935295998</v>
      </c>
      <c r="H29" s="1">
        <v>47</v>
      </c>
      <c r="I29" s="1">
        <f t="shared" si="2"/>
        <v>56.4</v>
      </c>
      <c r="J29" s="1" t="s">
        <v>1182</v>
      </c>
      <c r="K29" s="3">
        <f t="shared" si="3"/>
        <v>420.13578239999993</v>
      </c>
      <c r="L29" s="10">
        <f t="shared" si="4"/>
        <v>0.30180677076553075</v>
      </c>
      <c r="M29" s="18" t="str">
        <f>VLOOKUP(A29,Список!A:I,9,0)</f>
        <v>Основной ассортимент</v>
      </c>
      <c r="N29" s="12"/>
      <c r="O29" s="11"/>
    </row>
    <row r="30" spans="1:15" x14ac:dyDescent="0.25">
      <c r="A30" s="6">
        <v>4910</v>
      </c>
      <c r="B30" s="1" t="s">
        <v>34</v>
      </c>
      <c r="C30" s="3">
        <v>11.698534</v>
      </c>
      <c r="D30" s="1" t="s">
        <v>1182</v>
      </c>
      <c r="E30" s="3">
        <f t="shared" si="0"/>
        <v>183.46296136703998</v>
      </c>
      <c r="F30" s="3">
        <v>174.26617207147584</v>
      </c>
      <c r="G30" s="4">
        <f t="shared" si="1"/>
        <v>183.46296136703998</v>
      </c>
      <c r="H30" s="1">
        <v>24.19</v>
      </c>
      <c r="I30" s="1">
        <f t="shared" si="2"/>
        <v>29.03</v>
      </c>
      <c r="J30" s="1" t="s">
        <v>1182</v>
      </c>
      <c r="K30" s="3">
        <f t="shared" si="3"/>
        <v>216.25074047999999</v>
      </c>
      <c r="L30" s="10">
        <f t="shared" si="4"/>
        <v>0.1787160681842701</v>
      </c>
      <c r="M30" s="18" t="str">
        <f>VLOOKUP(A30,Список!A:I,9,0)</f>
        <v>Основной ассортимент</v>
      </c>
      <c r="N30" s="12"/>
      <c r="O30" s="11"/>
    </row>
    <row r="31" spans="1:15" x14ac:dyDescent="0.25">
      <c r="A31" s="6">
        <v>4900</v>
      </c>
      <c r="B31" s="1" t="s">
        <v>35</v>
      </c>
      <c r="C31" s="3">
        <v>11.56381</v>
      </c>
      <c r="D31" s="1" t="s">
        <v>1182</v>
      </c>
      <c r="E31" s="3">
        <f t="shared" si="0"/>
        <v>181.35014415359998</v>
      </c>
      <c r="F31" s="3">
        <v>162.78695153550862</v>
      </c>
      <c r="G31" s="4">
        <f t="shared" si="1"/>
        <v>181.35014415359998</v>
      </c>
      <c r="H31" s="1">
        <v>24.13</v>
      </c>
      <c r="I31" s="1">
        <f t="shared" si="2"/>
        <v>28.96</v>
      </c>
      <c r="J31" s="1" t="s">
        <v>1182</v>
      </c>
      <c r="K31" s="3">
        <f t="shared" si="3"/>
        <v>215.72929535999998</v>
      </c>
      <c r="L31" s="10">
        <f t="shared" si="4"/>
        <v>0.18957333266458032</v>
      </c>
      <c r="M31" s="18" t="str">
        <f>VLOOKUP(A31,Список!A:I,9,0)</f>
        <v>Основной ассортимент</v>
      </c>
      <c r="N31" s="12"/>
      <c r="O31" s="11"/>
    </row>
    <row r="32" spans="1:15" x14ac:dyDescent="0.25">
      <c r="A32" s="6">
        <v>4915</v>
      </c>
      <c r="B32" s="1" t="s">
        <v>36</v>
      </c>
      <c r="C32" s="3">
        <v>95.631586000000013</v>
      </c>
      <c r="D32" s="1" t="s">
        <v>1182</v>
      </c>
      <c r="E32" s="3">
        <f t="shared" si="0"/>
        <v>1499.7480853401601</v>
      </c>
      <c r="F32" s="3">
        <v>1281.8411739130433</v>
      </c>
      <c r="G32" s="4">
        <f t="shared" si="1"/>
        <v>1499.7480853401601</v>
      </c>
      <c r="H32" s="1">
        <v>196.05</v>
      </c>
      <c r="I32" s="1">
        <f t="shared" si="2"/>
        <v>235.26</v>
      </c>
      <c r="J32" s="1" t="s">
        <v>1182</v>
      </c>
      <c r="K32" s="3">
        <f t="shared" si="3"/>
        <v>1752.5025561599996</v>
      </c>
      <c r="L32" s="10">
        <f t="shared" si="4"/>
        <v>0.16853128421398322</v>
      </c>
      <c r="M32" s="18" t="str">
        <f>VLOOKUP(A32,Список!A:I,9,0)</f>
        <v>Основной ассортимент</v>
      </c>
      <c r="N32" s="12"/>
      <c r="O32" s="11"/>
    </row>
    <row r="33" spans="1:15" x14ac:dyDescent="0.25">
      <c r="A33" s="6">
        <v>4905</v>
      </c>
      <c r="B33" s="1" t="s">
        <v>37</v>
      </c>
      <c r="C33" s="3">
        <v>93.565818000000007</v>
      </c>
      <c r="D33" s="1" t="s">
        <v>1182</v>
      </c>
      <c r="E33" s="3">
        <f t="shared" si="0"/>
        <v>1467.3515547340799</v>
      </c>
      <c r="F33" s="3">
        <v>1350.4923981042655</v>
      </c>
      <c r="G33" s="4">
        <f t="shared" si="1"/>
        <v>1467.3515547340799</v>
      </c>
      <c r="H33" s="1">
        <v>191.8</v>
      </c>
      <c r="I33" s="1">
        <f t="shared" si="2"/>
        <v>230.16</v>
      </c>
      <c r="J33" s="1" t="s">
        <v>1182</v>
      </c>
      <c r="K33" s="3">
        <f t="shared" si="3"/>
        <v>1714.5115545599999</v>
      </c>
      <c r="L33" s="10">
        <f t="shared" si="4"/>
        <v>0.16843952563958786</v>
      </c>
      <c r="M33" s="18" t="str">
        <f>VLOOKUP(A33,Список!A:I,9,0)</f>
        <v>Основной ассортимент</v>
      </c>
      <c r="N33" s="12"/>
      <c r="O33" s="11"/>
    </row>
    <row r="34" spans="1:15" x14ac:dyDescent="0.25">
      <c r="A34" s="6">
        <v>4911</v>
      </c>
      <c r="B34" s="1" t="s">
        <v>38</v>
      </c>
      <c r="C34" s="3">
        <v>15.268719999999998</v>
      </c>
      <c r="D34" s="1" t="s">
        <v>1182</v>
      </c>
      <c r="E34" s="3">
        <f t="shared" si="0"/>
        <v>239.45261752319993</v>
      </c>
      <c r="F34" s="3">
        <v>227.13414910025705</v>
      </c>
      <c r="G34" s="4">
        <f t="shared" si="1"/>
        <v>239.45261752319993</v>
      </c>
      <c r="H34" s="1">
        <v>34.049999999999997</v>
      </c>
      <c r="I34" s="1">
        <f t="shared" si="2"/>
        <v>40.86</v>
      </c>
      <c r="J34" s="1" t="s">
        <v>1182</v>
      </c>
      <c r="K34" s="3">
        <f t="shared" si="3"/>
        <v>304.37496576000001</v>
      </c>
      <c r="L34" s="10">
        <f t="shared" si="4"/>
        <v>0.27112816267506412</v>
      </c>
      <c r="M34" s="18" t="str">
        <f>VLOOKUP(A34,Список!A:I,9,0)</f>
        <v>Основной ассортимент</v>
      </c>
      <c r="N34" s="12"/>
      <c r="O34" s="11"/>
    </row>
    <row r="35" spans="1:15" x14ac:dyDescent="0.25">
      <c r="A35" s="6">
        <v>4901</v>
      </c>
      <c r="B35" s="1" t="s">
        <v>39</v>
      </c>
      <c r="C35" s="3">
        <v>15.122769</v>
      </c>
      <c r="D35" s="1" t="s">
        <v>1182</v>
      </c>
      <c r="E35" s="3">
        <f t="shared" si="0"/>
        <v>237.16373220864</v>
      </c>
      <c r="F35" s="3">
        <v>208.66633356164382</v>
      </c>
      <c r="G35" s="4">
        <f t="shared" si="1"/>
        <v>237.16373220864</v>
      </c>
      <c r="H35" s="1">
        <v>33.46</v>
      </c>
      <c r="I35" s="1">
        <f t="shared" si="2"/>
        <v>40.15</v>
      </c>
      <c r="J35" s="1" t="s">
        <v>1182</v>
      </c>
      <c r="K35" s="3">
        <f t="shared" si="3"/>
        <v>299.08602239999993</v>
      </c>
      <c r="L35" s="10">
        <f t="shared" si="4"/>
        <v>0.26109510764860566</v>
      </c>
      <c r="M35" s="18" t="str">
        <f>VLOOKUP(A35,Список!A:I,9,0)</f>
        <v>Основной ассортимент</v>
      </c>
      <c r="N35" s="12"/>
      <c r="O35" s="11"/>
    </row>
    <row r="36" spans="1:15" x14ac:dyDescent="0.25">
      <c r="A36" s="6">
        <v>4966</v>
      </c>
      <c r="B36" s="1" t="s">
        <v>40</v>
      </c>
      <c r="C36" s="3">
        <v>32.199860000000001</v>
      </c>
      <c r="D36" s="1" t="s">
        <v>1182</v>
      </c>
      <c r="E36" s="3">
        <f t="shared" si="0"/>
        <v>504.97623644159995</v>
      </c>
      <c r="F36" s="3">
        <v>472.03744058500911</v>
      </c>
      <c r="G36" s="4">
        <f t="shared" si="1"/>
        <v>504.97623644159995</v>
      </c>
      <c r="H36" s="1">
        <v>76.569999999999993</v>
      </c>
      <c r="I36" s="1">
        <f t="shared" si="2"/>
        <v>91.88</v>
      </c>
      <c r="J36" s="1" t="s">
        <v>1182</v>
      </c>
      <c r="K36" s="3">
        <f t="shared" si="3"/>
        <v>684.43396607999989</v>
      </c>
      <c r="L36" s="10">
        <f t="shared" si="4"/>
        <v>0.35537856375773047</v>
      </c>
      <c r="M36" s="18" t="str">
        <f>VLOOKUP(A36,Список!A:I,9,0)</f>
        <v>Основной ассортимент</v>
      </c>
      <c r="N36" s="12"/>
      <c r="O36" s="11"/>
    </row>
    <row r="37" spans="1:15" x14ac:dyDescent="0.25">
      <c r="A37" s="6">
        <v>4979</v>
      </c>
      <c r="B37" s="1" t="s">
        <v>41</v>
      </c>
      <c r="C37" s="3">
        <v>33.695419999999999</v>
      </c>
      <c r="D37" s="1" t="s">
        <v>1182</v>
      </c>
      <c r="E37" s="3">
        <f t="shared" si="0"/>
        <v>528.43044587519989</v>
      </c>
      <c r="F37" s="3">
        <v>416.68471232876709</v>
      </c>
      <c r="G37" s="4">
        <f t="shared" si="1"/>
        <v>528.43044587519989</v>
      </c>
      <c r="H37" s="1">
        <v>79.8</v>
      </c>
      <c r="I37" s="1">
        <f t="shared" si="2"/>
        <v>95.76</v>
      </c>
      <c r="J37" s="1" t="s">
        <v>1182</v>
      </c>
      <c r="K37" s="3">
        <f t="shared" si="3"/>
        <v>713.33692415999997</v>
      </c>
      <c r="L37" s="10">
        <f t="shared" si="4"/>
        <v>0.34991639813363373</v>
      </c>
      <c r="M37" s="18" t="str">
        <f>VLOOKUP(A37,Список!A:I,9,0)</f>
        <v>Основной ассортимент</v>
      </c>
      <c r="N37" s="12"/>
      <c r="O37" s="11"/>
    </row>
    <row r="38" spans="1:15" x14ac:dyDescent="0.25">
      <c r="A38" s="6">
        <v>4967</v>
      </c>
      <c r="B38" s="1" t="s">
        <v>42</v>
      </c>
      <c r="C38" s="3">
        <v>35.100340000000003</v>
      </c>
      <c r="D38" s="1" t="s">
        <v>1182</v>
      </c>
      <c r="E38" s="3">
        <f t="shared" si="0"/>
        <v>550.46318807040007</v>
      </c>
      <c r="F38" s="3">
        <v>489.11915294117648</v>
      </c>
      <c r="G38" s="4">
        <f t="shared" si="1"/>
        <v>550.46318807040007</v>
      </c>
      <c r="H38" s="1">
        <v>83.35</v>
      </c>
      <c r="I38" s="1">
        <f t="shared" si="2"/>
        <v>100.02</v>
      </c>
      <c r="J38" s="1" t="s">
        <v>1182</v>
      </c>
      <c r="K38" s="3">
        <f t="shared" si="3"/>
        <v>745.07058431999985</v>
      </c>
      <c r="L38" s="10">
        <f t="shared" si="4"/>
        <v>0.35353389739244645</v>
      </c>
      <c r="M38" s="18" t="str">
        <f>VLOOKUP(A38,Список!A:I,9,0)</f>
        <v>Основной ассортимент</v>
      </c>
      <c r="N38" s="12"/>
      <c r="O38" s="11"/>
    </row>
    <row r="39" spans="1:15" x14ac:dyDescent="0.25">
      <c r="A39" s="6">
        <v>4968</v>
      </c>
      <c r="B39" s="1" t="s">
        <v>43</v>
      </c>
      <c r="C39" s="3">
        <v>39.451059999999998</v>
      </c>
      <c r="D39" s="1" t="s">
        <v>1182</v>
      </c>
      <c r="E39" s="3">
        <f t="shared" si="0"/>
        <v>618.69361551359987</v>
      </c>
      <c r="F39" s="3">
        <v>485.03369999999995</v>
      </c>
      <c r="G39" s="4">
        <f t="shared" si="1"/>
        <v>618.69361551359987</v>
      </c>
      <c r="H39" s="1">
        <v>93.51</v>
      </c>
      <c r="I39" s="1">
        <f t="shared" si="2"/>
        <v>112.21</v>
      </c>
      <c r="J39" s="1" t="s">
        <v>1182</v>
      </c>
      <c r="K39" s="3">
        <f t="shared" si="3"/>
        <v>835.87652735999984</v>
      </c>
      <c r="L39" s="10">
        <f t="shared" si="4"/>
        <v>0.35103467435349023</v>
      </c>
      <c r="M39" s="18" t="str">
        <f>VLOOKUP(A39,Список!A:I,9,0)</f>
        <v>Основной ассортимент</v>
      </c>
      <c r="N39" s="12"/>
      <c r="O39" s="11"/>
    </row>
    <row r="40" spans="1:15" x14ac:dyDescent="0.25">
      <c r="A40" s="6">
        <v>4962</v>
      </c>
      <c r="B40" s="1" t="s">
        <v>44</v>
      </c>
      <c r="C40" s="3">
        <v>23.702359999999999</v>
      </c>
      <c r="D40" s="1" t="s">
        <v>1182</v>
      </c>
      <c r="E40" s="3">
        <f t="shared" si="0"/>
        <v>371.7136828415999</v>
      </c>
      <c r="F40" s="3">
        <v>313.90153521126757</v>
      </c>
      <c r="G40" s="4">
        <f t="shared" si="1"/>
        <v>371.7136828415999</v>
      </c>
      <c r="H40" s="1">
        <v>52.49</v>
      </c>
      <c r="I40" s="1">
        <f t="shared" si="2"/>
        <v>62.99</v>
      </c>
      <c r="J40" s="1" t="s">
        <v>1182</v>
      </c>
      <c r="K40" s="3">
        <f t="shared" si="3"/>
        <v>469.22611583999998</v>
      </c>
      <c r="L40" s="10">
        <f t="shared" si="4"/>
        <v>0.26233210532622087</v>
      </c>
      <c r="M40" s="18" t="str">
        <f>VLOOKUP(A40,Список!A:I,9,0)</f>
        <v>Основной ассортимент</v>
      </c>
      <c r="N40" s="12"/>
      <c r="O40" s="11"/>
    </row>
    <row r="41" spans="1:15" x14ac:dyDescent="0.25">
      <c r="A41" s="6">
        <v>4963</v>
      </c>
      <c r="B41" s="1" t="s">
        <v>45</v>
      </c>
      <c r="C41" s="3">
        <v>25.11861</v>
      </c>
      <c r="D41" s="1" t="s">
        <v>1182</v>
      </c>
      <c r="E41" s="3">
        <f t="shared" si="0"/>
        <v>393.92410844160003</v>
      </c>
      <c r="F41" s="3">
        <v>345.68556521739129</v>
      </c>
      <c r="G41" s="4">
        <f t="shared" si="1"/>
        <v>393.92410844160003</v>
      </c>
      <c r="H41" s="1">
        <v>57.24</v>
      </c>
      <c r="I41" s="1">
        <f t="shared" si="2"/>
        <v>68.69</v>
      </c>
      <c r="J41" s="1" t="s">
        <v>1182</v>
      </c>
      <c r="K41" s="3">
        <f t="shared" si="3"/>
        <v>511.68664703999991</v>
      </c>
      <c r="L41" s="10">
        <f t="shared" si="4"/>
        <v>0.29894727455062164</v>
      </c>
      <c r="M41" s="18" t="str">
        <f>VLOOKUP(A41,Список!A:I,9,0)</f>
        <v>Основной ассортимент</v>
      </c>
      <c r="N41" s="12"/>
      <c r="O41" s="11"/>
    </row>
    <row r="42" spans="1:15" x14ac:dyDescent="0.25">
      <c r="A42" s="6">
        <v>4976</v>
      </c>
      <c r="B42" s="1" t="s">
        <v>46</v>
      </c>
      <c r="C42" s="3">
        <v>26.614169999999998</v>
      </c>
      <c r="D42" s="1" t="s">
        <v>1182</v>
      </c>
      <c r="E42" s="3">
        <f t="shared" si="0"/>
        <v>417.37831787519997</v>
      </c>
      <c r="F42" s="3">
        <v>380.95437013996883</v>
      </c>
      <c r="G42" s="4">
        <f t="shared" si="1"/>
        <v>417.37831787519997</v>
      </c>
      <c r="H42" s="1">
        <v>63.25</v>
      </c>
      <c r="I42" s="1">
        <f t="shared" si="2"/>
        <v>75.900000000000006</v>
      </c>
      <c r="J42" s="1" t="s">
        <v>1182</v>
      </c>
      <c r="K42" s="3">
        <f t="shared" si="3"/>
        <v>565.39549439999996</v>
      </c>
      <c r="L42" s="10">
        <f t="shared" si="4"/>
        <v>0.35463551934927895</v>
      </c>
      <c r="M42" s="18" t="str">
        <f>VLOOKUP(A42,Список!A:I,9,0)</f>
        <v>Основной ассортимент</v>
      </c>
      <c r="N42" s="12"/>
      <c r="O42" s="11"/>
    </row>
    <row r="43" spans="1:15" x14ac:dyDescent="0.25">
      <c r="A43" s="6">
        <v>4964</v>
      </c>
      <c r="B43" s="1" t="s">
        <v>47</v>
      </c>
      <c r="C43" s="3">
        <v>26.534860000000002</v>
      </c>
      <c r="D43" s="1" t="s">
        <v>1182</v>
      </c>
      <c r="E43" s="3">
        <f t="shared" si="0"/>
        <v>416.13453404160003</v>
      </c>
      <c r="F43" s="3">
        <v>357.45760893854748</v>
      </c>
      <c r="G43" s="4">
        <f t="shared" si="1"/>
        <v>416.13453404160003</v>
      </c>
      <c r="H43" s="1">
        <v>61.99</v>
      </c>
      <c r="I43" s="1">
        <f t="shared" si="2"/>
        <v>74.39</v>
      </c>
      <c r="J43" s="1" t="s">
        <v>1182</v>
      </c>
      <c r="K43" s="3">
        <f t="shared" si="3"/>
        <v>554.14717824000002</v>
      </c>
      <c r="L43" s="10">
        <f t="shared" si="4"/>
        <v>0.33165390735055689</v>
      </c>
      <c r="M43" s="18" t="str">
        <f>VLOOKUP(A43,Список!A:I,9,0)</f>
        <v>Основной ассортимент</v>
      </c>
      <c r="N43" s="12"/>
      <c r="O43" s="11"/>
    </row>
    <row r="44" spans="1:15" x14ac:dyDescent="0.25">
      <c r="A44" s="6">
        <v>4977</v>
      </c>
      <c r="B44" s="1" t="s">
        <v>48</v>
      </c>
      <c r="C44" s="3">
        <v>28.030419999999999</v>
      </c>
      <c r="D44" s="1" t="s">
        <v>1182</v>
      </c>
      <c r="E44" s="3">
        <f t="shared" si="0"/>
        <v>439.58874347519998</v>
      </c>
      <c r="F44" s="3">
        <v>379.48537815126053</v>
      </c>
      <c r="G44" s="4">
        <f t="shared" si="1"/>
        <v>439.58874347519998</v>
      </c>
      <c r="H44" s="1">
        <v>66.56</v>
      </c>
      <c r="I44" s="1">
        <f t="shared" si="2"/>
        <v>79.87</v>
      </c>
      <c r="J44" s="1" t="s">
        <v>1182</v>
      </c>
      <c r="K44" s="3">
        <f t="shared" si="3"/>
        <v>594.96888191999994</v>
      </c>
      <c r="L44" s="10">
        <f t="shared" si="4"/>
        <v>0.3534670547212635</v>
      </c>
      <c r="M44" s="18" t="str">
        <f>VLOOKUP(A44,Список!A:I,9,0)</f>
        <v>Основной ассортимент</v>
      </c>
      <c r="N44" s="12"/>
      <c r="O44" s="11"/>
    </row>
    <row r="45" spans="1:15" x14ac:dyDescent="0.25">
      <c r="A45" s="6">
        <v>4965</v>
      </c>
      <c r="B45" s="1" t="s">
        <v>49</v>
      </c>
      <c r="C45" s="3">
        <v>29.367360000000005</v>
      </c>
      <c r="D45" s="1" t="s">
        <v>1182</v>
      </c>
      <c r="E45" s="3">
        <f t="shared" si="0"/>
        <v>460.55538524159999</v>
      </c>
      <c r="F45" s="3">
        <v>395.57105535055348</v>
      </c>
      <c r="G45" s="4">
        <f t="shared" si="1"/>
        <v>460.55538524159999</v>
      </c>
      <c r="H45" s="1">
        <v>69.95</v>
      </c>
      <c r="I45" s="1">
        <f t="shared" si="2"/>
        <v>83.94</v>
      </c>
      <c r="J45" s="1" t="s">
        <v>1182</v>
      </c>
      <c r="K45" s="3">
        <f t="shared" si="3"/>
        <v>625.28719103999993</v>
      </c>
      <c r="L45" s="10">
        <f t="shared" si="4"/>
        <v>0.35768077212251947</v>
      </c>
      <c r="M45" s="18" t="str">
        <f>VLOOKUP(A45,Список!A:I,9,0)</f>
        <v>Основной ассортимент</v>
      </c>
      <c r="N45" s="12"/>
      <c r="O45" s="11"/>
    </row>
    <row r="46" spans="1:15" x14ac:dyDescent="0.25">
      <c r="A46" s="6">
        <v>4978</v>
      </c>
      <c r="B46" s="1" t="s">
        <v>50</v>
      </c>
      <c r="C46" s="3">
        <v>30.862919999999999</v>
      </c>
      <c r="D46" s="1" t="s">
        <v>1182</v>
      </c>
      <c r="E46" s="3">
        <f t="shared" si="0"/>
        <v>484.00959467519999</v>
      </c>
      <c r="F46" s="3">
        <v>413.07048888888892</v>
      </c>
      <c r="G46" s="4">
        <f t="shared" si="1"/>
        <v>484.00959467519999</v>
      </c>
      <c r="H46" s="1">
        <v>73.180000000000007</v>
      </c>
      <c r="I46" s="1">
        <f t="shared" si="2"/>
        <v>87.82</v>
      </c>
      <c r="J46" s="1" t="s">
        <v>1182</v>
      </c>
      <c r="K46" s="3">
        <f t="shared" si="3"/>
        <v>654.19014911999989</v>
      </c>
      <c r="L46" s="10">
        <f t="shared" si="4"/>
        <v>0.35160574566502434</v>
      </c>
      <c r="M46" s="18" t="str">
        <f>VLOOKUP(A46,Список!A:I,9,0)</f>
        <v>Основной ассортимент</v>
      </c>
      <c r="N46" s="12"/>
      <c r="O46" s="11"/>
    </row>
    <row r="47" spans="1:15" x14ac:dyDescent="0.25">
      <c r="A47" s="6">
        <v>4973</v>
      </c>
      <c r="B47" s="1" t="s">
        <v>51</v>
      </c>
      <c r="C47" s="3">
        <v>32.199860000000001</v>
      </c>
      <c r="D47" s="1" t="s">
        <v>1182</v>
      </c>
      <c r="E47" s="3">
        <f t="shared" si="0"/>
        <v>504.97623644159995</v>
      </c>
      <c r="F47" s="3">
        <v>434.19868965517242</v>
      </c>
      <c r="G47" s="4">
        <f t="shared" si="1"/>
        <v>504.97623644159995</v>
      </c>
      <c r="H47" s="1">
        <v>76.569999999999993</v>
      </c>
      <c r="I47" s="1">
        <f t="shared" si="2"/>
        <v>91.88</v>
      </c>
      <c r="J47" s="1" t="s">
        <v>1182</v>
      </c>
      <c r="K47" s="3">
        <f t="shared" si="3"/>
        <v>684.43396607999989</v>
      </c>
      <c r="L47" s="10">
        <f t="shared" si="4"/>
        <v>0.35537856375773047</v>
      </c>
      <c r="M47" s="18" t="str">
        <f>VLOOKUP(A47,Список!A:I,9,0)</f>
        <v>Основной ассортимент</v>
      </c>
      <c r="N47" s="12"/>
      <c r="O47" s="11"/>
    </row>
    <row r="48" spans="1:15" x14ac:dyDescent="0.25">
      <c r="A48" s="6">
        <v>4983</v>
      </c>
      <c r="B48" s="1" t="s">
        <v>52</v>
      </c>
      <c r="C48" s="3">
        <v>33.695419999999999</v>
      </c>
      <c r="D48" s="1" t="s">
        <v>1182</v>
      </c>
      <c r="E48" s="3">
        <f t="shared" si="0"/>
        <v>528.43044587519989</v>
      </c>
      <c r="F48" s="3">
        <v>430.0540183486238</v>
      </c>
      <c r="G48" s="4">
        <f t="shared" si="1"/>
        <v>528.43044587519989</v>
      </c>
      <c r="H48" s="1">
        <v>79.8</v>
      </c>
      <c r="I48" s="1">
        <f t="shared" si="2"/>
        <v>95.76</v>
      </c>
      <c r="J48" s="1" t="s">
        <v>1182</v>
      </c>
      <c r="K48" s="3">
        <f t="shared" si="3"/>
        <v>713.33692415999997</v>
      </c>
      <c r="L48" s="10">
        <f t="shared" si="4"/>
        <v>0.34991639813363373</v>
      </c>
      <c r="M48" s="18" t="str">
        <f>VLOOKUP(A48,Список!A:I,9,0)</f>
        <v>Основной ассортимент</v>
      </c>
      <c r="N48" s="12"/>
      <c r="O48" s="11"/>
    </row>
    <row r="49" spans="1:15" x14ac:dyDescent="0.25">
      <c r="A49" s="6">
        <v>4974</v>
      </c>
      <c r="B49" s="1" t="s">
        <v>53</v>
      </c>
      <c r="C49" s="3">
        <v>35.100340000000003</v>
      </c>
      <c r="D49" s="1" t="s">
        <v>1182</v>
      </c>
      <c r="E49" s="3">
        <f t="shared" si="0"/>
        <v>550.46318807040007</v>
      </c>
      <c r="F49" s="3">
        <v>461.29927007299267</v>
      </c>
      <c r="G49" s="4">
        <f t="shared" si="1"/>
        <v>550.46318807040007</v>
      </c>
      <c r="H49" s="1">
        <v>83.35</v>
      </c>
      <c r="I49" s="1">
        <f t="shared" si="2"/>
        <v>100.02</v>
      </c>
      <c r="J49" s="1" t="s">
        <v>1182</v>
      </c>
      <c r="K49" s="3">
        <f t="shared" si="3"/>
        <v>745.07058431999985</v>
      </c>
      <c r="L49" s="10">
        <f t="shared" si="4"/>
        <v>0.35353389739244645</v>
      </c>
      <c r="M49" s="18" t="str">
        <f>VLOOKUP(A49,Список!A:I,9,0)</f>
        <v>Основной ассортимент</v>
      </c>
      <c r="N49" s="12"/>
      <c r="O49" s="11"/>
    </row>
    <row r="50" spans="1:15" x14ac:dyDescent="0.25">
      <c r="A50" s="6">
        <v>4975</v>
      </c>
      <c r="B50" s="1" t="s">
        <v>54</v>
      </c>
      <c r="C50" s="3">
        <v>39.451059999999998</v>
      </c>
      <c r="D50" s="1" t="s">
        <v>1182</v>
      </c>
      <c r="E50" s="3">
        <f t="shared" si="0"/>
        <v>618.69361551359987</v>
      </c>
      <c r="F50" s="3">
        <v>505.39031249999999</v>
      </c>
      <c r="G50" s="4">
        <f t="shared" si="1"/>
        <v>618.69361551359987</v>
      </c>
      <c r="H50" s="1">
        <v>93.51</v>
      </c>
      <c r="I50" s="1">
        <f t="shared" si="2"/>
        <v>112.21</v>
      </c>
      <c r="J50" s="1" t="s">
        <v>1182</v>
      </c>
      <c r="K50" s="3">
        <f t="shared" si="3"/>
        <v>835.87652735999984</v>
      </c>
      <c r="L50" s="10">
        <f t="shared" si="4"/>
        <v>0.35103467435349023</v>
      </c>
      <c r="M50" s="18" t="str">
        <f>VLOOKUP(A50,Список!A:I,9,0)</f>
        <v>Основной ассортимент</v>
      </c>
      <c r="N50" s="12"/>
      <c r="O50" s="11"/>
    </row>
    <row r="51" spans="1:15" x14ac:dyDescent="0.25">
      <c r="A51" s="6">
        <v>4969</v>
      </c>
      <c r="B51" s="1" t="s">
        <v>55</v>
      </c>
      <c r="C51" s="3">
        <v>23.702359999999999</v>
      </c>
      <c r="D51" s="1" t="s">
        <v>1182</v>
      </c>
      <c r="E51" s="3">
        <f t="shared" si="0"/>
        <v>371.7136828415999</v>
      </c>
      <c r="F51" s="3">
        <v>312.47122826086957</v>
      </c>
      <c r="G51" s="4">
        <f t="shared" si="1"/>
        <v>371.7136828415999</v>
      </c>
      <c r="H51" s="1">
        <v>52.49</v>
      </c>
      <c r="I51" s="1">
        <f t="shared" si="2"/>
        <v>62.99</v>
      </c>
      <c r="J51" s="1" t="s">
        <v>1182</v>
      </c>
      <c r="K51" s="3">
        <f t="shared" si="3"/>
        <v>469.22611583999998</v>
      </c>
      <c r="L51" s="10">
        <f t="shared" si="4"/>
        <v>0.26233210532622087</v>
      </c>
      <c r="M51" s="18" t="str">
        <f>VLOOKUP(A51,Список!A:I,9,0)</f>
        <v>Основной ассортимент</v>
      </c>
      <c r="N51" s="12"/>
      <c r="O51" s="11"/>
    </row>
    <row r="52" spans="1:15" x14ac:dyDescent="0.25">
      <c r="A52" s="6">
        <v>4970</v>
      </c>
      <c r="B52" s="1" t="s">
        <v>56</v>
      </c>
      <c r="C52" s="3">
        <v>25.11861</v>
      </c>
      <c r="D52" s="1" t="s">
        <v>1182</v>
      </c>
      <c r="E52" s="3">
        <f t="shared" si="0"/>
        <v>393.92410844160003</v>
      </c>
      <c r="F52" s="3">
        <v>360.41866666666664</v>
      </c>
      <c r="G52" s="4">
        <f t="shared" si="1"/>
        <v>393.92410844160003</v>
      </c>
      <c r="H52" s="1">
        <v>57.24</v>
      </c>
      <c r="I52" s="1">
        <f t="shared" si="2"/>
        <v>68.69</v>
      </c>
      <c r="J52" s="1" t="s">
        <v>1182</v>
      </c>
      <c r="K52" s="3">
        <f t="shared" si="3"/>
        <v>511.68664703999991</v>
      </c>
      <c r="L52" s="10">
        <f t="shared" si="4"/>
        <v>0.29894727455062164</v>
      </c>
      <c r="M52" s="18" t="str">
        <f>VLOOKUP(A52,Список!A:I,9,0)</f>
        <v>Основной ассортимент</v>
      </c>
      <c r="N52" s="12"/>
      <c r="O52" s="11"/>
    </row>
    <row r="53" spans="1:15" x14ac:dyDescent="0.25">
      <c r="A53" s="6">
        <v>4980</v>
      </c>
      <c r="B53" s="1" t="s">
        <v>57</v>
      </c>
      <c r="C53" s="3">
        <v>26.614169999999998</v>
      </c>
      <c r="D53" s="1" t="s">
        <v>1182</v>
      </c>
      <c r="E53" s="3">
        <f t="shared" si="0"/>
        <v>417.37831787519997</v>
      </c>
      <c r="F53" s="3">
        <v>377.35255890410957</v>
      </c>
      <c r="G53" s="4">
        <f t="shared" si="1"/>
        <v>417.37831787519997</v>
      </c>
      <c r="H53" s="1">
        <v>63.25</v>
      </c>
      <c r="I53" s="1">
        <f t="shared" si="2"/>
        <v>75.900000000000006</v>
      </c>
      <c r="J53" s="1" t="s">
        <v>1182</v>
      </c>
      <c r="K53" s="3">
        <f t="shared" si="3"/>
        <v>565.39549439999996</v>
      </c>
      <c r="L53" s="10">
        <f t="shared" si="4"/>
        <v>0.35463551934927895</v>
      </c>
      <c r="M53" s="18" t="str">
        <f>VLOOKUP(A53,Список!A:I,9,0)</f>
        <v>Основной ассортимент</v>
      </c>
      <c r="N53" s="12"/>
      <c r="O53" s="11"/>
    </row>
    <row r="54" spans="1:15" x14ac:dyDescent="0.25">
      <c r="A54" s="6">
        <v>4971</v>
      </c>
      <c r="B54" s="1" t="s">
        <v>58</v>
      </c>
      <c r="C54" s="3">
        <v>26.534860000000002</v>
      </c>
      <c r="D54" s="1" t="s">
        <v>1182</v>
      </c>
      <c r="E54" s="3">
        <f t="shared" si="0"/>
        <v>416.13453404160003</v>
      </c>
      <c r="F54" s="3">
        <v>346.98134482758616</v>
      </c>
      <c r="G54" s="4">
        <f t="shared" si="1"/>
        <v>416.13453404160003</v>
      </c>
      <c r="H54" s="1">
        <v>61.99</v>
      </c>
      <c r="I54" s="1">
        <f t="shared" si="2"/>
        <v>74.39</v>
      </c>
      <c r="J54" s="1" t="s">
        <v>1182</v>
      </c>
      <c r="K54" s="3">
        <f t="shared" si="3"/>
        <v>554.14717824000002</v>
      </c>
      <c r="L54" s="10">
        <f t="shared" si="4"/>
        <v>0.33165390735055689</v>
      </c>
      <c r="M54" s="18" t="str">
        <f>VLOOKUP(A54,Список!A:I,9,0)</f>
        <v>Основной ассортимент</v>
      </c>
      <c r="N54" s="12"/>
      <c r="O54" s="11"/>
    </row>
    <row r="55" spans="1:15" x14ac:dyDescent="0.25">
      <c r="A55" s="6">
        <v>4981</v>
      </c>
      <c r="B55" s="1" t="s">
        <v>59</v>
      </c>
      <c r="C55" s="3">
        <v>28.030419999999999</v>
      </c>
      <c r="D55" s="1" t="s">
        <v>1182</v>
      </c>
      <c r="E55" s="3">
        <f t="shared" si="0"/>
        <v>439.58874347519998</v>
      </c>
      <c r="F55" s="3">
        <v>426.92520000000002</v>
      </c>
      <c r="G55" s="4">
        <f t="shared" si="1"/>
        <v>439.58874347519998</v>
      </c>
      <c r="H55" s="1">
        <v>66.56</v>
      </c>
      <c r="I55" s="1">
        <f t="shared" si="2"/>
        <v>79.87</v>
      </c>
      <c r="J55" s="1" t="s">
        <v>1182</v>
      </c>
      <c r="K55" s="3">
        <f t="shared" si="3"/>
        <v>594.96888191999994</v>
      </c>
      <c r="L55" s="10">
        <f t="shared" si="4"/>
        <v>0.3534670547212635</v>
      </c>
      <c r="M55" s="18" t="str">
        <f>VLOOKUP(A55,Список!A:I,9,0)</f>
        <v>Основной ассортимент</v>
      </c>
      <c r="N55" s="12"/>
      <c r="O55" s="11"/>
    </row>
    <row r="56" spans="1:15" x14ac:dyDescent="0.25">
      <c r="A56" s="6">
        <v>4972</v>
      </c>
      <c r="B56" s="1" t="s">
        <v>60</v>
      </c>
      <c r="C56" s="3">
        <v>29.367360000000005</v>
      </c>
      <c r="D56" s="1" t="s">
        <v>1182</v>
      </c>
      <c r="E56" s="3">
        <f t="shared" si="0"/>
        <v>460.55538524159999</v>
      </c>
      <c r="F56" s="3">
        <v>402.14366355140186</v>
      </c>
      <c r="G56" s="4">
        <f t="shared" si="1"/>
        <v>460.55538524159999</v>
      </c>
      <c r="H56" s="1">
        <v>69.95</v>
      </c>
      <c r="I56" s="1">
        <f t="shared" si="2"/>
        <v>83.94</v>
      </c>
      <c r="J56" s="1" t="s">
        <v>1182</v>
      </c>
      <c r="K56" s="3">
        <f t="shared" si="3"/>
        <v>625.28719103999993</v>
      </c>
      <c r="L56" s="10">
        <f t="shared" si="4"/>
        <v>0.35768077212251947</v>
      </c>
      <c r="M56" s="18" t="str">
        <f>VLOOKUP(A56,Список!A:I,9,0)</f>
        <v>Основной ассортимент</v>
      </c>
      <c r="N56" s="12"/>
      <c r="O56" s="11"/>
    </row>
    <row r="57" spans="1:15" x14ac:dyDescent="0.25">
      <c r="A57" s="6">
        <v>4982</v>
      </c>
      <c r="B57" s="1" t="s">
        <v>61</v>
      </c>
      <c r="C57" s="3">
        <v>30.862919999999999</v>
      </c>
      <c r="D57" s="1" t="s">
        <v>1182</v>
      </c>
      <c r="E57" s="3">
        <f t="shared" si="0"/>
        <v>484.00959467519999</v>
      </c>
      <c r="F57" s="3">
        <v>447.59795391705069</v>
      </c>
      <c r="G57" s="4">
        <f t="shared" si="1"/>
        <v>484.00959467519999</v>
      </c>
      <c r="H57" s="1">
        <v>73.180000000000007</v>
      </c>
      <c r="I57" s="1">
        <f t="shared" si="2"/>
        <v>87.82</v>
      </c>
      <c r="J57" s="1" t="s">
        <v>1182</v>
      </c>
      <c r="K57" s="3">
        <f t="shared" si="3"/>
        <v>654.19014911999989</v>
      </c>
      <c r="L57" s="10">
        <f t="shared" si="4"/>
        <v>0.35160574566502434</v>
      </c>
      <c r="M57" s="18" t="str">
        <f>VLOOKUP(A57,Список!A:I,9,0)</f>
        <v>Основной ассортимент</v>
      </c>
      <c r="N57" s="12"/>
      <c r="O57" s="11"/>
    </row>
    <row r="58" spans="1:15" x14ac:dyDescent="0.25">
      <c r="A58" s="6">
        <v>4935</v>
      </c>
      <c r="B58" s="1" t="s">
        <v>62</v>
      </c>
      <c r="C58" s="3">
        <v>10.027049999999999</v>
      </c>
      <c r="D58" s="1" t="s">
        <v>1182</v>
      </c>
      <c r="E58" s="3">
        <f t="shared" si="0"/>
        <v>157.24981324799998</v>
      </c>
      <c r="F58" s="3">
        <v>139.0904098613251</v>
      </c>
      <c r="G58" s="4">
        <f t="shared" si="1"/>
        <v>157.24981324799998</v>
      </c>
      <c r="H58" s="1">
        <v>23.83</v>
      </c>
      <c r="I58" s="1">
        <f t="shared" si="2"/>
        <v>28.6</v>
      </c>
      <c r="J58" s="1" t="s">
        <v>1182</v>
      </c>
      <c r="K58" s="3">
        <f t="shared" si="3"/>
        <v>213.04757759999998</v>
      </c>
      <c r="L58" s="10">
        <f t="shared" si="4"/>
        <v>0.35483517086281613</v>
      </c>
      <c r="M58" s="18" t="str">
        <f>VLOOKUP(A58,Список!A:I,9,0)</f>
        <v>Основной ассортимент</v>
      </c>
      <c r="N58" s="12"/>
      <c r="O58" s="11"/>
    </row>
    <row r="59" spans="1:15" x14ac:dyDescent="0.25">
      <c r="A59" s="6">
        <v>4936</v>
      </c>
      <c r="B59" s="1" t="s">
        <v>63</v>
      </c>
      <c r="C59" s="3">
        <v>11.160049999999998</v>
      </c>
      <c r="D59" s="1" t="s">
        <v>1182</v>
      </c>
      <c r="E59" s="3">
        <f t="shared" si="0"/>
        <v>175.01815372799996</v>
      </c>
      <c r="F59" s="3">
        <v>149.749</v>
      </c>
      <c r="G59" s="4">
        <f t="shared" si="1"/>
        <v>175.01815372799996</v>
      </c>
      <c r="H59" s="1">
        <v>26.48</v>
      </c>
      <c r="I59" s="1">
        <f t="shared" si="2"/>
        <v>31.78</v>
      </c>
      <c r="J59" s="1" t="s">
        <v>1182</v>
      </c>
      <c r="K59" s="3">
        <f t="shared" si="3"/>
        <v>236.73608447999996</v>
      </c>
      <c r="L59" s="10">
        <f t="shared" si="4"/>
        <v>0.35263730897263024</v>
      </c>
      <c r="M59" s="18" t="str">
        <f>VLOOKUP(A59,Список!A:I,9,0)</f>
        <v>Основной ассортимент</v>
      </c>
      <c r="N59" s="12"/>
      <c r="O59" s="11"/>
    </row>
    <row r="60" spans="1:15" x14ac:dyDescent="0.25">
      <c r="A60" s="6">
        <v>4937</v>
      </c>
      <c r="B60" s="1" t="s">
        <v>64</v>
      </c>
      <c r="C60" s="3">
        <v>12.859549999999999</v>
      </c>
      <c r="D60" s="1" t="s">
        <v>1182</v>
      </c>
      <c r="E60" s="3">
        <f t="shared" si="0"/>
        <v>201.67066444799997</v>
      </c>
      <c r="F60" s="3">
        <v>158.25297560975608</v>
      </c>
      <c r="G60" s="4">
        <f t="shared" si="1"/>
        <v>201.67066444799997</v>
      </c>
      <c r="H60" s="1">
        <v>30.45</v>
      </c>
      <c r="I60" s="1">
        <f t="shared" si="2"/>
        <v>36.54</v>
      </c>
      <c r="J60" s="1" t="s">
        <v>1182</v>
      </c>
      <c r="K60" s="3">
        <f t="shared" si="3"/>
        <v>272.19435263999998</v>
      </c>
      <c r="L60" s="10">
        <f t="shared" si="4"/>
        <v>0.34969730667091792</v>
      </c>
      <c r="M60" s="18" t="str">
        <f>VLOOKUP(A60,Список!A:I,9,0)</f>
        <v>Основной ассортимент</v>
      </c>
      <c r="N60" s="12"/>
      <c r="O60" s="11"/>
    </row>
    <row r="61" spans="1:15" x14ac:dyDescent="0.25">
      <c r="A61" s="6">
        <v>4930</v>
      </c>
      <c r="B61" s="1" t="s">
        <v>65</v>
      </c>
      <c r="C61" s="3">
        <v>6.2201700000000004</v>
      </c>
      <c r="D61" s="1" t="s">
        <v>1182</v>
      </c>
      <c r="E61" s="3">
        <f t="shared" si="0"/>
        <v>97.548189235200013</v>
      </c>
      <c r="F61" s="3">
        <v>77.631959780621557</v>
      </c>
      <c r="G61" s="4">
        <f t="shared" si="1"/>
        <v>97.548189235200013</v>
      </c>
      <c r="H61" s="1">
        <v>14.93</v>
      </c>
      <c r="I61" s="1">
        <f t="shared" si="2"/>
        <v>17.920000000000002</v>
      </c>
      <c r="J61" s="1" t="s">
        <v>1182</v>
      </c>
      <c r="K61" s="3">
        <f t="shared" si="3"/>
        <v>133.48995072</v>
      </c>
      <c r="L61" s="10">
        <f t="shared" si="4"/>
        <v>0.3684513445773987</v>
      </c>
      <c r="M61" s="18" t="str">
        <f>VLOOKUP(A61,Список!A:I,9,0)</f>
        <v>Основной ассортимент</v>
      </c>
      <c r="N61" s="12"/>
      <c r="O61" s="11"/>
    </row>
    <row r="62" spans="1:15" x14ac:dyDescent="0.25">
      <c r="A62" s="6">
        <v>4931</v>
      </c>
      <c r="B62" s="1" t="s">
        <v>66</v>
      </c>
      <c r="C62" s="3">
        <v>6.764009999999999</v>
      </c>
      <c r="D62" s="1" t="s">
        <v>1182</v>
      </c>
      <c r="E62" s="3">
        <f t="shared" si="0"/>
        <v>106.07699266559997</v>
      </c>
      <c r="F62" s="3">
        <v>85.818909473684201</v>
      </c>
      <c r="G62" s="4">
        <f t="shared" si="1"/>
        <v>106.07699266559997</v>
      </c>
      <c r="H62" s="1">
        <v>16.2</v>
      </c>
      <c r="I62" s="1">
        <f t="shared" si="2"/>
        <v>19.440000000000001</v>
      </c>
      <c r="J62" s="1" t="s">
        <v>1182</v>
      </c>
      <c r="K62" s="3">
        <f t="shared" si="3"/>
        <v>144.81275904</v>
      </c>
      <c r="L62" s="10">
        <f t="shared" si="4"/>
        <v>0.36516652104299108</v>
      </c>
      <c r="M62" s="18" t="str">
        <f>VLOOKUP(A62,Список!A:I,9,0)</f>
        <v>Основной ассортимент</v>
      </c>
      <c r="N62" s="12"/>
      <c r="O62" s="11"/>
    </row>
    <row r="63" spans="1:15" x14ac:dyDescent="0.25">
      <c r="A63" s="6">
        <v>4932</v>
      </c>
      <c r="B63" s="1" t="s">
        <v>67</v>
      </c>
      <c r="C63" s="3">
        <v>7.3078500000000002</v>
      </c>
      <c r="D63" s="1" t="s">
        <v>1182</v>
      </c>
      <c r="E63" s="3">
        <f t="shared" si="0"/>
        <v>114.60579609600001</v>
      </c>
      <c r="F63" s="3">
        <v>91.247623318385635</v>
      </c>
      <c r="G63" s="4">
        <f t="shared" si="1"/>
        <v>114.60579609600001</v>
      </c>
      <c r="H63" s="1">
        <v>16.91</v>
      </c>
      <c r="I63" s="1">
        <f t="shared" si="2"/>
        <v>20.29</v>
      </c>
      <c r="J63" s="1" t="s">
        <v>1182</v>
      </c>
      <c r="K63" s="3">
        <f t="shared" si="3"/>
        <v>151.14459263999998</v>
      </c>
      <c r="L63" s="10">
        <f t="shared" si="4"/>
        <v>0.31882154121937356</v>
      </c>
      <c r="M63" s="18" t="str">
        <f>VLOOKUP(A63,Список!A:I,9,0)</f>
        <v>Основной ассортимент</v>
      </c>
      <c r="N63" s="12"/>
      <c r="O63" s="11"/>
    </row>
    <row r="64" spans="1:15" x14ac:dyDescent="0.25">
      <c r="A64" s="6">
        <v>4933</v>
      </c>
      <c r="B64" s="1" t="s">
        <v>68</v>
      </c>
      <c r="C64" s="3">
        <v>7.8516899999999996</v>
      </c>
      <c r="D64" s="1" t="s">
        <v>1182</v>
      </c>
      <c r="E64" s="3">
        <f t="shared" si="0"/>
        <v>123.1345995264</v>
      </c>
      <c r="F64" s="3">
        <v>94.265483443708604</v>
      </c>
      <c r="G64" s="4">
        <f t="shared" si="1"/>
        <v>123.1345995264</v>
      </c>
      <c r="H64" s="1">
        <v>18.72</v>
      </c>
      <c r="I64" s="1">
        <f t="shared" si="2"/>
        <v>22.46</v>
      </c>
      <c r="J64" s="1" t="s">
        <v>1182</v>
      </c>
      <c r="K64" s="3">
        <f t="shared" si="3"/>
        <v>167.30939135999998</v>
      </c>
      <c r="L64" s="10">
        <f t="shared" si="4"/>
        <v>0.35875206484209121</v>
      </c>
      <c r="M64" s="18" t="str">
        <f>VLOOKUP(A64,Список!A:I,9,0)</f>
        <v>Основной ассортимент</v>
      </c>
      <c r="N64" s="12"/>
      <c r="O64" s="11"/>
    </row>
    <row r="65" spans="1:15" x14ac:dyDescent="0.25">
      <c r="A65" s="6">
        <v>4934</v>
      </c>
      <c r="B65" s="1" t="s">
        <v>69</v>
      </c>
      <c r="C65" s="3">
        <v>8.9393699999999985</v>
      </c>
      <c r="D65" s="1" t="s">
        <v>1182</v>
      </c>
      <c r="E65" s="3">
        <f t="shared" si="0"/>
        <v>140.19220638719997</v>
      </c>
      <c r="F65" s="3">
        <v>119.2590902255639</v>
      </c>
      <c r="G65" s="4">
        <f t="shared" si="1"/>
        <v>140.19220638719997</v>
      </c>
      <c r="H65" s="1">
        <v>21.29</v>
      </c>
      <c r="I65" s="1">
        <f t="shared" si="2"/>
        <v>25.55</v>
      </c>
      <c r="J65" s="1" t="s">
        <v>1182</v>
      </c>
      <c r="K65" s="3">
        <f t="shared" si="3"/>
        <v>190.32746879999999</v>
      </c>
      <c r="L65" s="10">
        <f t="shared" si="4"/>
        <v>0.35761804243475792</v>
      </c>
      <c r="M65" s="18" t="str">
        <f>VLOOKUP(A65,Список!A:I,9,0)</f>
        <v>Основной ассортимент</v>
      </c>
      <c r="N65" s="12"/>
      <c r="O65" s="11"/>
    </row>
    <row r="66" spans="1:15" x14ac:dyDescent="0.25">
      <c r="A66" s="6">
        <v>4943</v>
      </c>
      <c r="B66" s="1" t="s">
        <v>70</v>
      </c>
      <c r="C66" s="3">
        <v>10.027049999999999</v>
      </c>
      <c r="D66" s="1" t="s">
        <v>1182</v>
      </c>
      <c r="E66" s="3">
        <f t="shared" si="0"/>
        <v>157.24981324799998</v>
      </c>
      <c r="F66" s="3">
        <v>133.20041640378548</v>
      </c>
      <c r="G66" s="4">
        <f t="shared" si="1"/>
        <v>157.24981324799998</v>
      </c>
      <c r="H66" s="1">
        <v>23.83</v>
      </c>
      <c r="I66" s="1">
        <f t="shared" si="2"/>
        <v>28.6</v>
      </c>
      <c r="J66" s="1" t="s">
        <v>1182</v>
      </c>
      <c r="K66" s="3">
        <f t="shared" si="3"/>
        <v>213.04757759999998</v>
      </c>
      <c r="L66" s="10">
        <f t="shared" si="4"/>
        <v>0.35483517086281613</v>
      </c>
      <c r="M66" s="18" t="str">
        <f>VLOOKUP(A66,Список!A:I,9,0)</f>
        <v>Основной ассортимент</v>
      </c>
      <c r="N66" s="12"/>
      <c r="O66" s="11"/>
    </row>
    <row r="67" spans="1:15" x14ac:dyDescent="0.25">
      <c r="A67" s="6">
        <v>4944</v>
      </c>
      <c r="B67" s="1" t="s">
        <v>71</v>
      </c>
      <c r="C67" s="3">
        <v>11.160049999999998</v>
      </c>
      <c r="D67" s="1" t="s">
        <v>1182</v>
      </c>
      <c r="E67" s="3">
        <f t="shared" si="0"/>
        <v>175.01815372799996</v>
      </c>
      <c r="F67" s="3">
        <v>143.52658823529413</v>
      </c>
      <c r="G67" s="4">
        <f t="shared" si="1"/>
        <v>175.01815372799996</v>
      </c>
      <c r="H67" s="1">
        <v>26.48</v>
      </c>
      <c r="I67" s="1">
        <f t="shared" si="2"/>
        <v>31.78</v>
      </c>
      <c r="J67" s="1" t="s">
        <v>1182</v>
      </c>
      <c r="K67" s="3">
        <f t="shared" si="3"/>
        <v>236.73608447999996</v>
      </c>
      <c r="L67" s="10">
        <f t="shared" si="4"/>
        <v>0.35263730897263024</v>
      </c>
      <c r="M67" s="18" t="str">
        <f>VLOOKUP(A67,Список!A:I,9,0)</f>
        <v>Основной ассортимент</v>
      </c>
      <c r="N67" s="12"/>
      <c r="O67" s="11"/>
    </row>
    <row r="68" spans="1:15" x14ac:dyDescent="0.25">
      <c r="A68" s="6">
        <v>4945</v>
      </c>
      <c r="B68" s="1" t="s">
        <v>72</v>
      </c>
      <c r="C68" s="3">
        <v>12.859549999999999</v>
      </c>
      <c r="D68" s="1" t="s">
        <v>1182</v>
      </c>
      <c r="E68" s="3">
        <f t="shared" si="0"/>
        <v>201.67066444799997</v>
      </c>
      <c r="F68" s="3">
        <v>155.16008450704226</v>
      </c>
      <c r="G68" s="4">
        <f t="shared" si="1"/>
        <v>201.67066444799997</v>
      </c>
      <c r="H68" s="1">
        <v>30.45</v>
      </c>
      <c r="I68" s="1">
        <f t="shared" si="2"/>
        <v>36.54</v>
      </c>
      <c r="J68" s="1" t="s">
        <v>1182</v>
      </c>
      <c r="K68" s="3">
        <f t="shared" si="3"/>
        <v>272.19435263999998</v>
      </c>
      <c r="L68" s="10">
        <f t="shared" si="4"/>
        <v>0.34969730667091792</v>
      </c>
      <c r="M68" s="18" t="str">
        <f>VLOOKUP(A68,Список!A:I,9,0)</f>
        <v>Основной ассортимент</v>
      </c>
      <c r="N68" s="12"/>
      <c r="O68" s="11"/>
    </row>
    <row r="69" spans="1:15" x14ac:dyDescent="0.25">
      <c r="A69" s="6">
        <v>4938</v>
      </c>
      <c r="B69" s="1" t="s">
        <v>73</v>
      </c>
      <c r="C69" s="3">
        <v>6.2201700000000004</v>
      </c>
      <c r="D69" s="1" t="s">
        <v>1182</v>
      </c>
      <c r="E69" s="3">
        <f t="shared" si="0"/>
        <v>97.548189235200013</v>
      </c>
      <c r="F69" s="3">
        <v>73.991801652892562</v>
      </c>
      <c r="G69" s="4">
        <f t="shared" si="1"/>
        <v>97.548189235200013</v>
      </c>
      <c r="H69" s="1">
        <v>14.93</v>
      </c>
      <c r="I69" s="1">
        <f t="shared" si="2"/>
        <v>17.920000000000002</v>
      </c>
      <c r="J69" s="1" t="s">
        <v>1182</v>
      </c>
      <c r="K69" s="3">
        <f t="shared" si="3"/>
        <v>133.48995072</v>
      </c>
      <c r="L69" s="10">
        <f t="shared" si="4"/>
        <v>0.3684513445773987</v>
      </c>
      <c r="M69" s="18" t="str">
        <f>VLOOKUP(A69,Список!A:I,9,0)</f>
        <v>Основной ассортимент</v>
      </c>
      <c r="N69" s="12"/>
      <c r="O69" s="11"/>
    </row>
    <row r="70" spans="1:15" x14ac:dyDescent="0.25">
      <c r="A70" s="6">
        <v>4939</v>
      </c>
      <c r="B70" s="1" t="s">
        <v>74</v>
      </c>
      <c r="C70" s="3">
        <v>6.764009999999999</v>
      </c>
      <c r="D70" s="1" t="s">
        <v>1182</v>
      </c>
      <c r="E70" s="3">
        <f t="shared" ref="E70:E133" si="5">IF(D70="RUB",C70*1.2,C70*$E$2*1.2)</f>
        <v>106.07699266559997</v>
      </c>
      <c r="F70" s="3">
        <v>98.365044642857143</v>
      </c>
      <c r="G70" s="4">
        <f t="shared" ref="G70:G133" si="6">IF(M70="Вывод из ассортимента",F70,MAX(E70,F70))</f>
        <v>106.07699266559997</v>
      </c>
      <c r="H70" s="1">
        <v>16.2</v>
      </c>
      <c r="I70" s="1">
        <f t="shared" ref="I70:I133" si="7">ROUND(H70*1.2,2)</f>
        <v>19.440000000000001</v>
      </c>
      <c r="J70" s="1" t="s">
        <v>1182</v>
      </c>
      <c r="K70" s="3">
        <f t="shared" ref="K70:K133" si="8">IF(J70="RUB",I70*$K$4,I70*$E$2*$K$4)</f>
        <v>144.81275904</v>
      </c>
      <c r="L70" s="10">
        <f t="shared" ref="L70:L133" si="9">K70/E70-1</f>
        <v>0.36516652104299108</v>
      </c>
      <c r="M70" s="18" t="str">
        <f>VLOOKUP(A70,Список!A:I,9,0)</f>
        <v>Основной ассортимент</v>
      </c>
      <c r="N70" s="12"/>
      <c r="O70" s="11"/>
    </row>
    <row r="71" spans="1:15" x14ac:dyDescent="0.25">
      <c r="A71" s="6">
        <v>4940</v>
      </c>
      <c r="B71" s="1" t="s">
        <v>75</v>
      </c>
      <c r="C71" s="3">
        <v>7.3078500000000002</v>
      </c>
      <c r="D71" s="1" t="s">
        <v>1182</v>
      </c>
      <c r="E71" s="3">
        <f t="shared" si="5"/>
        <v>114.60579609600001</v>
      </c>
      <c r="F71" s="3">
        <v>100.12568838526911</v>
      </c>
      <c r="G71" s="4">
        <f t="shared" si="6"/>
        <v>114.60579609600001</v>
      </c>
      <c r="H71" s="1">
        <v>16.91</v>
      </c>
      <c r="I71" s="1">
        <f t="shared" si="7"/>
        <v>20.29</v>
      </c>
      <c r="J71" s="1" t="s">
        <v>1182</v>
      </c>
      <c r="K71" s="3">
        <f t="shared" si="8"/>
        <v>151.14459263999998</v>
      </c>
      <c r="L71" s="10">
        <f t="shared" si="9"/>
        <v>0.31882154121937356</v>
      </c>
      <c r="M71" s="18" t="str">
        <f>VLOOKUP(A71,Список!A:I,9,0)</f>
        <v>Основной ассортимент</v>
      </c>
      <c r="N71" s="12"/>
      <c r="O71" s="11"/>
    </row>
    <row r="72" spans="1:15" x14ac:dyDescent="0.25">
      <c r="A72" s="6">
        <v>4941</v>
      </c>
      <c r="B72" s="1" t="s">
        <v>76</v>
      </c>
      <c r="C72" s="3">
        <v>7.8516899999999996</v>
      </c>
      <c r="D72" s="1" t="s">
        <v>1182</v>
      </c>
      <c r="E72" s="3">
        <f t="shared" si="5"/>
        <v>123.1345995264</v>
      </c>
      <c r="F72" s="3">
        <v>106.69881818181818</v>
      </c>
      <c r="G72" s="4">
        <f t="shared" si="6"/>
        <v>123.1345995264</v>
      </c>
      <c r="H72" s="1">
        <v>18.72</v>
      </c>
      <c r="I72" s="1">
        <f t="shared" si="7"/>
        <v>22.46</v>
      </c>
      <c r="J72" s="1" t="s">
        <v>1182</v>
      </c>
      <c r="K72" s="3">
        <f t="shared" si="8"/>
        <v>167.30939135999998</v>
      </c>
      <c r="L72" s="10">
        <f t="shared" si="9"/>
        <v>0.35875206484209121</v>
      </c>
      <c r="M72" s="18" t="str">
        <f>VLOOKUP(A72,Список!A:I,9,0)</f>
        <v>Основной ассортимент</v>
      </c>
      <c r="N72" s="12"/>
      <c r="O72" s="11"/>
    </row>
    <row r="73" spans="1:15" x14ac:dyDescent="0.25">
      <c r="A73" s="6">
        <v>4942</v>
      </c>
      <c r="B73" s="1" t="s">
        <v>77</v>
      </c>
      <c r="C73" s="3">
        <v>8.9393699999999985</v>
      </c>
      <c r="D73" s="1" t="s">
        <v>1182</v>
      </c>
      <c r="E73" s="3">
        <f t="shared" si="5"/>
        <v>140.19220638719997</v>
      </c>
      <c r="F73" s="3">
        <v>120.52961797752809</v>
      </c>
      <c r="G73" s="4">
        <f t="shared" si="6"/>
        <v>140.19220638719997</v>
      </c>
      <c r="H73" s="1">
        <v>21.29</v>
      </c>
      <c r="I73" s="1">
        <f t="shared" si="7"/>
        <v>25.55</v>
      </c>
      <c r="J73" s="1" t="s">
        <v>1182</v>
      </c>
      <c r="K73" s="3">
        <f t="shared" si="8"/>
        <v>190.32746879999999</v>
      </c>
      <c r="L73" s="10">
        <f t="shared" si="9"/>
        <v>0.35761804243475792</v>
      </c>
      <c r="M73" s="18" t="str">
        <f>VLOOKUP(A73,Список!A:I,9,0)</f>
        <v>Основной ассортимент</v>
      </c>
      <c r="N73" s="12"/>
      <c r="O73" s="11"/>
    </row>
    <row r="74" spans="1:15" x14ac:dyDescent="0.25">
      <c r="A74" s="6">
        <v>4951</v>
      </c>
      <c r="B74" s="1" t="s">
        <v>78</v>
      </c>
      <c r="C74" s="3">
        <v>12.610290000000001</v>
      </c>
      <c r="D74" s="1" t="s">
        <v>1182</v>
      </c>
      <c r="E74" s="3">
        <f t="shared" si="5"/>
        <v>197.76162954240002</v>
      </c>
      <c r="F74" s="3">
        <v>184.35012259615385</v>
      </c>
      <c r="G74" s="4">
        <f t="shared" si="6"/>
        <v>197.76162954240002</v>
      </c>
      <c r="H74" s="1">
        <v>27.6</v>
      </c>
      <c r="I74" s="1">
        <f t="shared" si="7"/>
        <v>33.119999999999997</v>
      </c>
      <c r="J74" s="1" t="s">
        <v>1182</v>
      </c>
      <c r="K74" s="3">
        <f t="shared" si="8"/>
        <v>246.71803391999995</v>
      </c>
      <c r="L74" s="10">
        <f t="shared" si="9"/>
        <v>0.2475525939530332</v>
      </c>
      <c r="M74" s="18" t="str">
        <f>VLOOKUP(A74,Список!A:I,9,0)</f>
        <v>Основной ассортимент</v>
      </c>
      <c r="N74" s="12"/>
      <c r="O74" s="11"/>
    </row>
    <row r="75" spans="1:15" x14ac:dyDescent="0.25">
      <c r="A75" s="6">
        <v>4952</v>
      </c>
      <c r="B75" s="1" t="s">
        <v>79</v>
      </c>
      <c r="C75" s="3">
        <v>13.743290000000002</v>
      </c>
      <c r="D75" s="1" t="s">
        <v>1182</v>
      </c>
      <c r="E75" s="3">
        <f t="shared" si="5"/>
        <v>215.52997002240002</v>
      </c>
      <c r="F75" s="3">
        <v>186.35107167235495</v>
      </c>
      <c r="G75" s="4">
        <f t="shared" si="6"/>
        <v>215.52997002240002</v>
      </c>
      <c r="H75" s="1">
        <v>32.78</v>
      </c>
      <c r="I75" s="1">
        <f t="shared" si="7"/>
        <v>39.340000000000003</v>
      </c>
      <c r="J75" s="1" t="s">
        <v>1182</v>
      </c>
      <c r="K75" s="3">
        <f t="shared" si="8"/>
        <v>293.05215744000003</v>
      </c>
      <c r="L75" s="10">
        <f t="shared" si="9"/>
        <v>0.35968170649094944</v>
      </c>
      <c r="M75" s="18" t="str">
        <f>VLOOKUP(A75,Список!A:I,9,0)</f>
        <v>Основной ассортимент</v>
      </c>
      <c r="N75" s="12"/>
      <c r="O75" s="11"/>
    </row>
    <row r="76" spans="1:15" x14ac:dyDescent="0.25">
      <c r="A76" s="6">
        <v>4953</v>
      </c>
      <c r="B76" s="1" t="s">
        <v>80</v>
      </c>
      <c r="C76" s="3">
        <v>15.44279</v>
      </c>
      <c r="D76" s="1" t="s">
        <v>1182</v>
      </c>
      <c r="E76" s="3">
        <f t="shared" si="5"/>
        <v>242.1824807424</v>
      </c>
      <c r="F76" s="3">
        <v>209.39791836734693</v>
      </c>
      <c r="G76" s="4">
        <f t="shared" si="6"/>
        <v>242.1824807424</v>
      </c>
      <c r="H76" s="1">
        <v>33.86</v>
      </c>
      <c r="I76" s="1">
        <f t="shared" si="7"/>
        <v>40.630000000000003</v>
      </c>
      <c r="J76" s="1" t="s">
        <v>1182</v>
      </c>
      <c r="K76" s="3">
        <f t="shared" si="8"/>
        <v>302.66164608000003</v>
      </c>
      <c r="L76" s="10">
        <f t="shared" si="9"/>
        <v>0.24972560010205425</v>
      </c>
      <c r="M76" s="18" t="str">
        <f>VLOOKUP(A76,Список!A:I,9,0)</f>
        <v>Основной ассортимент</v>
      </c>
      <c r="N76" s="12"/>
      <c r="O76" s="11"/>
    </row>
    <row r="77" spans="1:15" x14ac:dyDescent="0.25">
      <c r="A77" s="6">
        <v>4946</v>
      </c>
      <c r="B77" s="1" t="s">
        <v>81</v>
      </c>
      <c r="C77" s="3">
        <v>8.8034099999999995</v>
      </c>
      <c r="D77" s="1" t="s">
        <v>1182</v>
      </c>
      <c r="E77" s="3">
        <f t="shared" si="5"/>
        <v>138.06000552959998</v>
      </c>
      <c r="F77" s="3">
        <v>109.13026855123675</v>
      </c>
      <c r="G77" s="4">
        <f t="shared" si="6"/>
        <v>138.06000552959998</v>
      </c>
      <c r="H77" s="1">
        <v>19.25</v>
      </c>
      <c r="I77" s="1">
        <f t="shared" si="7"/>
        <v>23.1</v>
      </c>
      <c r="J77" s="1" t="s">
        <v>1182</v>
      </c>
      <c r="K77" s="3">
        <f t="shared" si="8"/>
        <v>172.07688959999999</v>
      </c>
      <c r="L77" s="10">
        <f t="shared" si="9"/>
        <v>0.24639202309105235</v>
      </c>
      <c r="M77" s="18" t="str">
        <f>VLOOKUP(A77,Список!A:I,9,0)</f>
        <v>Основной ассортимент</v>
      </c>
      <c r="N77" s="12"/>
      <c r="O77" s="11"/>
    </row>
    <row r="78" spans="1:15" x14ac:dyDescent="0.25">
      <c r="A78" s="6">
        <v>4947</v>
      </c>
      <c r="B78" s="1" t="s">
        <v>82</v>
      </c>
      <c r="C78" s="3">
        <v>9.3472499999999989</v>
      </c>
      <c r="D78" s="1" t="s">
        <v>1182</v>
      </c>
      <c r="E78" s="3">
        <f t="shared" si="5"/>
        <v>146.58880895999997</v>
      </c>
      <c r="F78" s="3">
        <v>126.62353667953667</v>
      </c>
      <c r="G78" s="4">
        <f t="shared" si="6"/>
        <v>146.58880895999997</v>
      </c>
      <c r="H78" s="1">
        <v>19.95</v>
      </c>
      <c r="I78" s="1">
        <f t="shared" si="7"/>
        <v>23.94</v>
      </c>
      <c r="J78" s="1" t="s">
        <v>1182</v>
      </c>
      <c r="K78" s="3">
        <f t="shared" si="8"/>
        <v>178.33423103999999</v>
      </c>
      <c r="L78" s="10">
        <f t="shared" si="9"/>
        <v>0.21656102062103844</v>
      </c>
      <c r="M78" s="18" t="str">
        <f>VLOOKUP(A78,Список!A:I,9,0)</f>
        <v>Основной ассортимент</v>
      </c>
      <c r="N78" s="12"/>
      <c r="O78" s="11"/>
    </row>
    <row r="79" spans="1:15" x14ac:dyDescent="0.25">
      <c r="A79" s="6">
        <v>4948</v>
      </c>
      <c r="B79" s="1" t="s">
        <v>83</v>
      </c>
      <c r="C79" s="3">
        <v>9.8910900000000002</v>
      </c>
      <c r="D79" s="1" t="s">
        <v>1182</v>
      </c>
      <c r="E79" s="3">
        <f t="shared" si="5"/>
        <v>155.11761239040001</v>
      </c>
      <c r="F79" s="3">
        <v>127.9192087912088</v>
      </c>
      <c r="G79" s="4">
        <f t="shared" si="6"/>
        <v>155.11761239040001</v>
      </c>
      <c r="H79" s="1">
        <v>21.07</v>
      </c>
      <c r="I79" s="1">
        <f t="shared" si="7"/>
        <v>25.28</v>
      </c>
      <c r="J79" s="1" t="s">
        <v>1182</v>
      </c>
      <c r="K79" s="3">
        <f t="shared" si="8"/>
        <v>188.31618047999996</v>
      </c>
      <c r="L79" s="10">
        <f t="shared" si="9"/>
        <v>0.21402191265067816</v>
      </c>
      <c r="M79" s="18" t="str">
        <f>VLOOKUP(A79,Список!A:I,9,0)</f>
        <v>Основной ассортимент</v>
      </c>
      <c r="N79" s="12"/>
      <c r="O79" s="11"/>
    </row>
    <row r="80" spans="1:15" x14ac:dyDescent="0.25">
      <c r="A80" s="6">
        <v>4949</v>
      </c>
      <c r="B80" s="1" t="s">
        <v>84</v>
      </c>
      <c r="C80" s="3">
        <v>10.43493</v>
      </c>
      <c r="D80" s="1" t="s">
        <v>1182</v>
      </c>
      <c r="E80" s="3">
        <f t="shared" si="5"/>
        <v>163.6464158208</v>
      </c>
      <c r="F80" s="3">
        <v>139.75811298315162</v>
      </c>
      <c r="G80" s="4">
        <f t="shared" si="6"/>
        <v>163.6464158208</v>
      </c>
      <c r="H80" s="1">
        <v>22.2</v>
      </c>
      <c r="I80" s="1">
        <f t="shared" si="7"/>
        <v>26.64</v>
      </c>
      <c r="J80" s="1" t="s">
        <v>1182</v>
      </c>
      <c r="K80" s="3">
        <f t="shared" si="8"/>
        <v>198.44711423999999</v>
      </c>
      <c r="L80" s="10">
        <f t="shared" si="9"/>
        <v>0.21265787120756907</v>
      </c>
      <c r="M80" s="18" t="str">
        <f>VLOOKUP(A80,Список!A:I,9,0)</f>
        <v>Основной ассортимент</v>
      </c>
      <c r="N80" s="12"/>
      <c r="O80" s="11"/>
    </row>
    <row r="81" spans="1:15" x14ac:dyDescent="0.25">
      <c r="A81" s="6">
        <v>4950</v>
      </c>
      <c r="B81" s="1" t="s">
        <v>85</v>
      </c>
      <c r="C81" s="3">
        <v>11.52261</v>
      </c>
      <c r="D81" s="1" t="s">
        <v>1182</v>
      </c>
      <c r="E81" s="3">
        <f t="shared" si="5"/>
        <v>180.70402268160001</v>
      </c>
      <c r="F81" s="3">
        <v>160.46980952380949</v>
      </c>
      <c r="G81" s="4">
        <f t="shared" si="6"/>
        <v>180.70402268160001</v>
      </c>
      <c r="H81" s="1">
        <v>24.45</v>
      </c>
      <c r="I81" s="1">
        <f t="shared" si="7"/>
        <v>29.34</v>
      </c>
      <c r="J81" s="1" t="s">
        <v>1182</v>
      </c>
      <c r="K81" s="3">
        <f t="shared" si="8"/>
        <v>218.55999743999996</v>
      </c>
      <c r="L81" s="10">
        <f t="shared" si="9"/>
        <v>0.20949159955947461</v>
      </c>
      <c r="M81" s="18" t="str">
        <f>VLOOKUP(A81,Список!A:I,9,0)</f>
        <v>Основной ассортимент</v>
      </c>
      <c r="N81" s="12"/>
      <c r="O81" s="11"/>
    </row>
    <row r="82" spans="1:15" x14ac:dyDescent="0.25">
      <c r="A82" s="6">
        <v>4959</v>
      </c>
      <c r="B82" s="1" t="s">
        <v>86</v>
      </c>
      <c r="C82" s="3">
        <v>12.610290000000001</v>
      </c>
      <c r="D82" s="1" t="s">
        <v>1182</v>
      </c>
      <c r="E82" s="3">
        <f t="shared" si="5"/>
        <v>197.76162954240002</v>
      </c>
      <c r="F82" s="3">
        <v>190.73394432548179</v>
      </c>
      <c r="G82" s="4">
        <f t="shared" si="6"/>
        <v>197.76162954240002</v>
      </c>
      <c r="H82" s="1">
        <v>27.6</v>
      </c>
      <c r="I82" s="1">
        <f t="shared" si="7"/>
        <v>33.119999999999997</v>
      </c>
      <c r="J82" s="1" t="s">
        <v>1182</v>
      </c>
      <c r="K82" s="3">
        <f t="shared" si="8"/>
        <v>246.71803391999995</v>
      </c>
      <c r="L82" s="10">
        <f t="shared" si="9"/>
        <v>0.2475525939530332</v>
      </c>
      <c r="M82" s="18" t="str">
        <f>VLOOKUP(A82,Список!A:I,9,0)</f>
        <v>Основной ассортимент</v>
      </c>
      <c r="N82" s="12"/>
      <c r="O82" s="11"/>
    </row>
    <row r="83" spans="1:15" x14ac:dyDescent="0.25">
      <c r="A83" s="6">
        <v>4960</v>
      </c>
      <c r="B83" s="1" t="s">
        <v>87</v>
      </c>
      <c r="C83" s="3">
        <v>13.743290000000002</v>
      </c>
      <c r="D83" s="1" t="s">
        <v>1182</v>
      </c>
      <c r="E83" s="3">
        <f t="shared" si="5"/>
        <v>215.52997002240002</v>
      </c>
      <c r="F83" s="3">
        <v>179.65001503759399</v>
      </c>
      <c r="G83" s="4">
        <f t="shared" si="6"/>
        <v>215.52997002240002</v>
      </c>
      <c r="H83" s="1">
        <v>32.78</v>
      </c>
      <c r="I83" s="1">
        <f t="shared" si="7"/>
        <v>39.340000000000003</v>
      </c>
      <c r="J83" s="1" t="s">
        <v>1182</v>
      </c>
      <c r="K83" s="3">
        <f t="shared" si="8"/>
        <v>293.05215744000003</v>
      </c>
      <c r="L83" s="10">
        <f t="shared" si="9"/>
        <v>0.35968170649094944</v>
      </c>
      <c r="M83" s="18" t="str">
        <f>VLOOKUP(A83,Список!A:I,9,0)</f>
        <v>Основной ассортимент</v>
      </c>
      <c r="N83" s="12"/>
      <c r="O83" s="11"/>
    </row>
    <row r="84" spans="1:15" x14ac:dyDescent="0.25">
      <c r="A84" s="6">
        <v>4961</v>
      </c>
      <c r="B84" s="1" t="s">
        <v>88</v>
      </c>
      <c r="C84" s="3">
        <v>15.44279</v>
      </c>
      <c r="D84" s="1" t="s">
        <v>1182</v>
      </c>
      <c r="E84" s="3">
        <f t="shared" si="5"/>
        <v>242.1824807424</v>
      </c>
      <c r="F84" s="3">
        <v>205.79353488372092</v>
      </c>
      <c r="G84" s="4">
        <f t="shared" si="6"/>
        <v>242.1824807424</v>
      </c>
      <c r="H84" s="1">
        <v>33.86</v>
      </c>
      <c r="I84" s="1">
        <f t="shared" si="7"/>
        <v>40.630000000000003</v>
      </c>
      <c r="J84" s="1" t="s">
        <v>1182</v>
      </c>
      <c r="K84" s="3">
        <f t="shared" si="8"/>
        <v>302.66164608000003</v>
      </c>
      <c r="L84" s="10">
        <f t="shared" si="9"/>
        <v>0.24972560010205425</v>
      </c>
      <c r="M84" s="18" t="str">
        <f>VLOOKUP(A84,Список!A:I,9,0)</f>
        <v>Основной ассортимент</v>
      </c>
      <c r="N84" s="12"/>
      <c r="O84" s="11"/>
    </row>
    <row r="85" spans="1:15" x14ac:dyDescent="0.25">
      <c r="A85" s="6">
        <v>4954</v>
      </c>
      <c r="B85" s="1" t="s">
        <v>89</v>
      </c>
      <c r="C85" s="3">
        <v>8.8034099999999995</v>
      </c>
      <c r="D85" s="1" t="s">
        <v>1182</v>
      </c>
      <c r="E85" s="3">
        <f t="shared" si="5"/>
        <v>138.06000552959998</v>
      </c>
      <c r="F85" s="3">
        <v>119.350453125</v>
      </c>
      <c r="G85" s="4">
        <f t="shared" si="6"/>
        <v>138.06000552959998</v>
      </c>
      <c r="H85" s="1">
        <v>19.25</v>
      </c>
      <c r="I85" s="1">
        <f t="shared" si="7"/>
        <v>23.1</v>
      </c>
      <c r="J85" s="1" t="s">
        <v>1182</v>
      </c>
      <c r="K85" s="3">
        <f t="shared" si="8"/>
        <v>172.07688959999999</v>
      </c>
      <c r="L85" s="10">
        <f t="shared" si="9"/>
        <v>0.24639202309105235</v>
      </c>
      <c r="M85" s="18" t="str">
        <f>VLOOKUP(A85,Список!A:I,9,0)</f>
        <v>Основной ассортимент</v>
      </c>
      <c r="N85" s="12"/>
      <c r="O85" s="11"/>
    </row>
    <row r="86" spans="1:15" x14ac:dyDescent="0.25">
      <c r="A86" s="6">
        <v>4955</v>
      </c>
      <c r="B86" s="1" t="s">
        <v>90</v>
      </c>
      <c r="C86" s="3">
        <v>9.3472499999999989</v>
      </c>
      <c r="D86" s="1" t="s">
        <v>1182</v>
      </c>
      <c r="E86" s="3">
        <f t="shared" si="5"/>
        <v>146.58880895999997</v>
      </c>
      <c r="F86" s="3">
        <v>133.82663063063063</v>
      </c>
      <c r="G86" s="4">
        <f t="shared" si="6"/>
        <v>146.58880895999997</v>
      </c>
      <c r="H86" s="1">
        <v>19.95</v>
      </c>
      <c r="I86" s="1">
        <f t="shared" si="7"/>
        <v>23.94</v>
      </c>
      <c r="J86" s="1" t="s">
        <v>1182</v>
      </c>
      <c r="K86" s="3">
        <f t="shared" si="8"/>
        <v>178.33423103999999</v>
      </c>
      <c r="L86" s="10">
        <f t="shared" si="9"/>
        <v>0.21656102062103844</v>
      </c>
      <c r="M86" s="18" t="str">
        <f>VLOOKUP(A86,Список!A:I,9,0)</f>
        <v>Основной ассортимент</v>
      </c>
      <c r="N86" s="12"/>
      <c r="O86" s="11"/>
    </row>
    <row r="87" spans="1:15" x14ac:dyDescent="0.25">
      <c r="A87" s="6">
        <v>4956</v>
      </c>
      <c r="B87" s="1" t="s">
        <v>91</v>
      </c>
      <c r="C87" s="3">
        <v>9.8910900000000002</v>
      </c>
      <c r="D87" s="1" t="s">
        <v>1182</v>
      </c>
      <c r="E87" s="3">
        <f t="shared" si="5"/>
        <v>155.11761239040001</v>
      </c>
      <c r="F87" s="3">
        <v>123.02598994974875</v>
      </c>
      <c r="G87" s="4">
        <f t="shared" si="6"/>
        <v>155.11761239040001</v>
      </c>
      <c r="H87" s="1">
        <v>21.07</v>
      </c>
      <c r="I87" s="1">
        <f t="shared" si="7"/>
        <v>25.28</v>
      </c>
      <c r="J87" s="1" t="s">
        <v>1182</v>
      </c>
      <c r="K87" s="3">
        <f t="shared" si="8"/>
        <v>188.31618047999996</v>
      </c>
      <c r="L87" s="10">
        <f t="shared" si="9"/>
        <v>0.21402191265067816</v>
      </c>
      <c r="M87" s="18" t="str">
        <f>VLOOKUP(A87,Список!A:I,9,0)</f>
        <v>Основной ассортимент</v>
      </c>
      <c r="N87" s="12"/>
      <c r="O87" s="11"/>
    </row>
    <row r="88" spans="1:15" x14ac:dyDescent="0.25">
      <c r="A88" s="6">
        <v>4957</v>
      </c>
      <c r="B88" s="1" t="s">
        <v>92</v>
      </c>
      <c r="C88" s="3">
        <v>10.43493</v>
      </c>
      <c r="D88" s="1" t="s">
        <v>1182</v>
      </c>
      <c r="E88" s="3">
        <f t="shared" si="5"/>
        <v>163.6464158208</v>
      </c>
      <c r="F88" s="3">
        <v>149.46686631016041</v>
      </c>
      <c r="G88" s="4">
        <f t="shared" si="6"/>
        <v>163.6464158208</v>
      </c>
      <c r="H88" s="1">
        <v>22.2</v>
      </c>
      <c r="I88" s="1">
        <f t="shared" si="7"/>
        <v>26.64</v>
      </c>
      <c r="J88" s="1" t="s">
        <v>1182</v>
      </c>
      <c r="K88" s="3">
        <f t="shared" si="8"/>
        <v>198.44711423999999</v>
      </c>
      <c r="L88" s="10">
        <f t="shared" si="9"/>
        <v>0.21265787120756907</v>
      </c>
      <c r="M88" s="18" t="str">
        <f>VLOOKUP(A88,Список!A:I,9,0)</f>
        <v>Основной ассортимент</v>
      </c>
      <c r="N88" s="12"/>
      <c r="O88" s="11"/>
    </row>
    <row r="89" spans="1:15" x14ac:dyDescent="0.25">
      <c r="A89" s="6">
        <v>4958</v>
      </c>
      <c r="B89" s="1" t="s">
        <v>93</v>
      </c>
      <c r="C89" s="3">
        <v>11.52261</v>
      </c>
      <c r="D89" s="1" t="s">
        <v>1182</v>
      </c>
      <c r="E89" s="3">
        <f t="shared" si="5"/>
        <v>180.70402268160001</v>
      </c>
      <c r="F89" s="3">
        <v>160.05033827893178</v>
      </c>
      <c r="G89" s="4">
        <f t="shared" si="6"/>
        <v>180.70402268160001</v>
      </c>
      <c r="H89" s="1">
        <v>24.45</v>
      </c>
      <c r="I89" s="1">
        <f t="shared" si="7"/>
        <v>29.34</v>
      </c>
      <c r="J89" s="1" t="s">
        <v>1182</v>
      </c>
      <c r="K89" s="3">
        <f t="shared" si="8"/>
        <v>218.55999743999996</v>
      </c>
      <c r="L89" s="10">
        <f t="shared" si="9"/>
        <v>0.20949159955947461</v>
      </c>
      <c r="M89" s="18" t="str">
        <f>VLOOKUP(A89,Список!A:I,9,0)</f>
        <v>Основной ассортимент</v>
      </c>
      <c r="N89" s="12"/>
      <c r="O89" s="11"/>
    </row>
    <row r="90" spans="1:15" x14ac:dyDescent="0.25">
      <c r="A90" s="6">
        <v>4865</v>
      </c>
      <c r="B90" s="1" t="s">
        <v>94</v>
      </c>
      <c r="C90" s="3">
        <v>3.5349599999999999</v>
      </c>
      <c r="D90" s="1" t="s">
        <v>1182</v>
      </c>
      <c r="E90" s="3">
        <f t="shared" si="5"/>
        <v>55.437222297599995</v>
      </c>
      <c r="F90" s="3">
        <v>54.741175697211155</v>
      </c>
      <c r="G90" s="4">
        <f t="shared" si="6"/>
        <v>55.437222297599995</v>
      </c>
      <c r="H90" s="1">
        <v>8.7200000000000006</v>
      </c>
      <c r="I90" s="1">
        <f t="shared" si="7"/>
        <v>10.46</v>
      </c>
      <c r="J90" s="1" t="s">
        <v>1182</v>
      </c>
      <c r="K90" s="3">
        <f t="shared" si="8"/>
        <v>77.918799359999994</v>
      </c>
      <c r="L90" s="10">
        <f t="shared" si="9"/>
        <v>0.40553217009527698</v>
      </c>
      <c r="M90" s="18" t="str">
        <f>VLOOKUP(A90,Список!A:I,9,0)</f>
        <v>Основной ассортимент</v>
      </c>
      <c r="N90" s="12"/>
      <c r="O90" s="11"/>
    </row>
    <row r="91" spans="1:15" x14ac:dyDescent="0.25">
      <c r="A91" s="6">
        <v>4866</v>
      </c>
      <c r="B91" s="1" t="s">
        <v>95</v>
      </c>
      <c r="C91" s="3">
        <v>3.9881599999999997</v>
      </c>
      <c r="D91" s="1" t="s">
        <v>1182</v>
      </c>
      <c r="E91" s="3">
        <f t="shared" si="5"/>
        <v>62.544558489599993</v>
      </c>
      <c r="F91" s="3">
        <v>62.186274707925477</v>
      </c>
      <c r="G91" s="4">
        <f t="shared" si="6"/>
        <v>62.544558489599993</v>
      </c>
      <c r="H91" s="1">
        <v>9.81</v>
      </c>
      <c r="I91" s="1">
        <f t="shared" si="7"/>
        <v>11.77</v>
      </c>
      <c r="J91" s="1" t="s">
        <v>1182</v>
      </c>
      <c r="K91" s="3">
        <f t="shared" si="8"/>
        <v>87.677272319999986</v>
      </c>
      <c r="L91" s="10">
        <f t="shared" si="9"/>
        <v>0.40183693733451009</v>
      </c>
      <c r="M91" s="18" t="str">
        <f>VLOOKUP(A91,Список!A:I,9,0)</f>
        <v>Основной ассортимент</v>
      </c>
      <c r="N91" s="12"/>
      <c r="O91" s="11"/>
    </row>
    <row r="92" spans="1:15" x14ac:dyDescent="0.25">
      <c r="A92" s="6">
        <v>4867</v>
      </c>
      <c r="B92" s="1" t="s">
        <v>96</v>
      </c>
      <c r="C92" s="3">
        <v>4.6679599999999999</v>
      </c>
      <c r="D92" s="1" t="s">
        <v>1182</v>
      </c>
      <c r="E92" s="3">
        <f t="shared" si="5"/>
        <v>73.205562777599994</v>
      </c>
      <c r="F92" s="3">
        <v>73.014684102983239</v>
      </c>
      <c r="G92" s="4">
        <f t="shared" si="6"/>
        <v>73.205562777599994</v>
      </c>
      <c r="H92" s="1">
        <v>11.44</v>
      </c>
      <c r="I92" s="1">
        <f t="shared" si="7"/>
        <v>13.73</v>
      </c>
      <c r="J92" s="1" t="s">
        <v>1182</v>
      </c>
      <c r="K92" s="3">
        <f t="shared" si="8"/>
        <v>102.27773567999998</v>
      </c>
      <c r="L92" s="10">
        <f t="shared" si="9"/>
        <v>0.39713065236205947</v>
      </c>
      <c r="M92" s="18" t="str">
        <f>VLOOKUP(A92,Список!A:I,9,0)</f>
        <v>Основной ассортимент</v>
      </c>
      <c r="N92" s="12"/>
      <c r="O92" s="11"/>
    </row>
    <row r="93" spans="1:15" x14ac:dyDescent="0.25">
      <c r="A93" s="6">
        <v>4868</v>
      </c>
      <c r="B93" s="1" t="s">
        <v>97</v>
      </c>
      <c r="C93" s="3">
        <v>5.8009599999999999</v>
      </c>
      <c r="D93" s="1" t="s">
        <v>1182</v>
      </c>
      <c r="E93" s="3">
        <f t="shared" si="5"/>
        <v>90.973903257599986</v>
      </c>
      <c r="F93" s="3">
        <v>89.867228368794315</v>
      </c>
      <c r="G93" s="4">
        <f t="shared" si="6"/>
        <v>90.973903257599986</v>
      </c>
      <c r="H93" s="1">
        <v>14.15</v>
      </c>
      <c r="I93" s="1">
        <f t="shared" si="7"/>
        <v>16.98</v>
      </c>
      <c r="J93" s="1" t="s">
        <v>1182</v>
      </c>
      <c r="K93" s="3">
        <f t="shared" si="8"/>
        <v>126.48768767999998</v>
      </c>
      <c r="L93" s="10">
        <f t="shared" si="9"/>
        <v>0.39037331751985871</v>
      </c>
      <c r="M93" s="18" t="str">
        <f>VLOOKUP(A93,Список!A:I,9,0)</f>
        <v>Основной ассортимент</v>
      </c>
      <c r="N93" s="12"/>
      <c r="O93" s="11"/>
    </row>
    <row r="94" spans="1:15" x14ac:dyDescent="0.25">
      <c r="A94" s="6">
        <v>4869</v>
      </c>
      <c r="B94" s="1" t="s">
        <v>98</v>
      </c>
      <c r="C94" s="3">
        <v>6.9339599999999999</v>
      </c>
      <c r="D94" s="1" t="s">
        <v>1182</v>
      </c>
      <c r="E94" s="3">
        <f t="shared" si="5"/>
        <v>108.74224373759999</v>
      </c>
      <c r="F94" s="3">
        <v>104.85180405405404</v>
      </c>
      <c r="G94" s="4">
        <f t="shared" si="6"/>
        <v>108.74224373759999</v>
      </c>
      <c r="H94" s="1">
        <v>16.86</v>
      </c>
      <c r="I94" s="1">
        <f t="shared" si="7"/>
        <v>20.23</v>
      </c>
      <c r="J94" s="1" t="s">
        <v>1182</v>
      </c>
      <c r="K94" s="3">
        <f t="shared" si="8"/>
        <v>150.69763967999998</v>
      </c>
      <c r="L94" s="10">
        <f t="shared" si="9"/>
        <v>0.38582426203785425</v>
      </c>
      <c r="M94" s="18" t="str">
        <f>VLOOKUP(A94,Список!A:I,9,0)</f>
        <v>Основной ассортимент</v>
      </c>
      <c r="N94" s="12"/>
      <c r="O94" s="11"/>
    </row>
    <row r="95" spans="1:15" x14ac:dyDescent="0.25">
      <c r="A95" s="6">
        <v>4860</v>
      </c>
      <c r="B95" s="1" t="s">
        <v>99</v>
      </c>
      <c r="C95" s="3">
        <v>2.02807</v>
      </c>
      <c r="D95" s="1" t="s">
        <v>1182</v>
      </c>
      <c r="E95" s="3">
        <f t="shared" si="5"/>
        <v>31.805329459199999</v>
      </c>
      <c r="F95" s="3">
        <v>31.173036782296652</v>
      </c>
      <c r="G95" s="4">
        <f t="shared" si="6"/>
        <v>31.805329459199999</v>
      </c>
      <c r="H95" s="1">
        <v>5.13</v>
      </c>
      <c r="I95" s="1">
        <f t="shared" si="7"/>
        <v>6.16</v>
      </c>
      <c r="J95" s="1" t="s">
        <v>1182</v>
      </c>
      <c r="K95" s="3">
        <f t="shared" si="8"/>
        <v>45.887170559999994</v>
      </c>
      <c r="L95" s="10">
        <f t="shared" si="9"/>
        <v>0.44275098985735184</v>
      </c>
      <c r="M95" s="18" t="str">
        <f>VLOOKUP(A95,Список!A:I,9,0)</f>
        <v>Основной ассортимент</v>
      </c>
      <c r="N95" s="12"/>
      <c r="O95" s="11"/>
    </row>
    <row r="96" spans="1:15" x14ac:dyDescent="0.25">
      <c r="A96" s="6">
        <v>4870</v>
      </c>
      <c r="B96" s="1" t="s">
        <v>100</v>
      </c>
      <c r="C96" s="3">
        <v>8.0669599999999999</v>
      </c>
      <c r="D96" s="1" t="s">
        <v>1182</v>
      </c>
      <c r="E96" s="3">
        <f t="shared" si="5"/>
        <v>126.51058421759998</v>
      </c>
      <c r="F96" s="3">
        <v>121.13596837944664</v>
      </c>
      <c r="G96" s="4">
        <f t="shared" si="6"/>
        <v>126.51058421759998</v>
      </c>
      <c r="H96" s="1">
        <v>19.55</v>
      </c>
      <c r="I96" s="1">
        <f t="shared" si="7"/>
        <v>23.46</v>
      </c>
      <c r="J96" s="1" t="s">
        <v>1182</v>
      </c>
      <c r="K96" s="3">
        <f t="shared" si="8"/>
        <v>174.75860735999998</v>
      </c>
      <c r="L96" s="10">
        <f t="shared" si="9"/>
        <v>0.38137538800241977</v>
      </c>
      <c r="M96" s="18" t="str">
        <f>VLOOKUP(A96,Список!A:I,9,0)</f>
        <v>Основной ассортимент</v>
      </c>
      <c r="N96" s="12"/>
      <c r="O96" s="11"/>
    </row>
    <row r="97" spans="1:15" x14ac:dyDescent="0.25">
      <c r="A97" s="6">
        <v>4871</v>
      </c>
      <c r="B97" s="1" t="s">
        <v>101</v>
      </c>
      <c r="C97" s="3">
        <v>9.199959999999999</v>
      </c>
      <c r="D97" s="1" t="s">
        <v>1182</v>
      </c>
      <c r="E97" s="3">
        <f t="shared" si="5"/>
        <v>144.27892469759996</v>
      </c>
      <c r="F97" s="3">
        <v>137.91201384083044</v>
      </c>
      <c r="G97" s="4">
        <f t="shared" si="6"/>
        <v>144.27892469759996</v>
      </c>
      <c r="H97" s="1">
        <v>22.28</v>
      </c>
      <c r="I97" s="1">
        <f t="shared" si="7"/>
        <v>26.74</v>
      </c>
      <c r="J97" s="1" t="s">
        <v>1182</v>
      </c>
      <c r="K97" s="3">
        <f t="shared" si="8"/>
        <v>199.19203583999996</v>
      </c>
      <c r="L97" s="10">
        <f t="shared" si="9"/>
        <v>0.38060382871229881</v>
      </c>
      <c r="M97" s="18" t="str">
        <f>VLOOKUP(A97,Список!A:I,9,0)</f>
        <v>Основной ассортимент</v>
      </c>
      <c r="N97" s="12"/>
      <c r="O97" s="11"/>
    </row>
    <row r="98" spans="1:15" x14ac:dyDescent="0.25">
      <c r="A98" s="6">
        <v>4861</v>
      </c>
      <c r="B98" s="1" t="s">
        <v>102</v>
      </c>
      <c r="C98" s="3">
        <v>2.2433399999999999</v>
      </c>
      <c r="D98" s="1" t="s">
        <v>1182</v>
      </c>
      <c r="E98" s="3">
        <f t="shared" si="5"/>
        <v>35.181314150399999</v>
      </c>
      <c r="F98" s="3">
        <v>34.985861233823606</v>
      </c>
      <c r="G98" s="4">
        <f t="shared" si="6"/>
        <v>35.181314150399999</v>
      </c>
      <c r="H98" s="1">
        <v>5.64</v>
      </c>
      <c r="I98" s="1">
        <f t="shared" si="7"/>
        <v>6.77</v>
      </c>
      <c r="J98" s="1" t="s">
        <v>1182</v>
      </c>
      <c r="K98" s="3">
        <f t="shared" si="8"/>
        <v>50.431192319999994</v>
      </c>
      <c r="L98" s="10">
        <f t="shared" si="9"/>
        <v>0.43346527944939228</v>
      </c>
      <c r="M98" s="18" t="str">
        <f>VLOOKUP(A98,Список!A:I,9,0)</f>
        <v>Основной ассортимент</v>
      </c>
      <c r="N98" s="12"/>
      <c r="O98" s="11"/>
    </row>
    <row r="99" spans="1:15" x14ac:dyDescent="0.25">
      <c r="A99" s="6">
        <v>4872</v>
      </c>
      <c r="B99" s="1" t="s">
        <v>103</v>
      </c>
      <c r="C99" s="3">
        <v>10.33296</v>
      </c>
      <c r="D99" s="1" t="s">
        <v>1182</v>
      </c>
      <c r="E99" s="3">
        <f t="shared" si="5"/>
        <v>162.0472651776</v>
      </c>
      <c r="F99" s="3">
        <v>156.86245810055865</v>
      </c>
      <c r="G99" s="4">
        <f t="shared" si="6"/>
        <v>162.0472651776</v>
      </c>
      <c r="H99" s="1">
        <v>24.96</v>
      </c>
      <c r="I99" s="1">
        <f t="shared" si="7"/>
        <v>29.95</v>
      </c>
      <c r="J99" s="1" t="s">
        <v>1182</v>
      </c>
      <c r="K99" s="3">
        <f t="shared" si="8"/>
        <v>223.10401919999995</v>
      </c>
      <c r="L99" s="10">
        <f t="shared" si="9"/>
        <v>0.37678361282730188</v>
      </c>
      <c r="M99" s="18" t="str">
        <f>VLOOKUP(A99,Список!A:I,9,0)</f>
        <v>Основной ассортимент</v>
      </c>
      <c r="N99" s="12"/>
      <c r="O99" s="11"/>
    </row>
    <row r="100" spans="1:15" x14ac:dyDescent="0.25">
      <c r="A100" s="6">
        <v>4862</v>
      </c>
      <c r="B100" s="1" t="s">
        <v>104</v>
      </c>
      <c r="C100" s="3">
        <v>2.4586100000000002</v>
      </c>
      <c r="D100" s="1" t="s">
        <v>1182</v>
      </c>
      <c r="E100" s="3">
        <f t="shared" si="5"/>
        <v>38.557298841600002</v>
      </c>
      <c r="F100" s="3">
        <v>39.337654511578386</v>
      </c>
      <c r="G100" s="4">
        <f t="shared" si="6"/>
        <v>39.337654511578386</v>
      </c>
      <c r="H100" s="1">
        <v>6.17</v>
      </c>
      <c r="I100" s="1">
        <f t="shared" si="7"/>
        <v>7.4</v>
      </c>
      <c r="J100" s="1" t="s">
        <v>1182</v>
      </c>
      <c r="K100" s="3">
        <f t="shared" si="8"/>
        <v>55.124198399999997</v>
      </c>
      <c r="L100" s="10">
        <f t="shared" si="9"/>
        <v>0.42966961006422322</v>
      </c>
      <c r="M100" s="18" t="str">
        <f>VLOOKUP(A100,Список!A:I,9,0)</f>
        <v>Основной ассортимент</v>
      </c>
      <c r="N100" s="12"/>
      <c r="O100" s="11"/>
    </row>
    <row r="101" spans="1:15" x14ac:dyDescent="0.25">
      <c r="A101" s="6">
        <v>4863</v>
      </c>
      <c r="B101" s="1" t="s">
        <v>105</v>
      </c>
      <c r="C101" s="3">
        <v>2.6738799999999996</v>
      </c>
      <c r="D101" s="1" t="s">
        <v>1182</v>
      </c>
      <c r="E101" s="3">
        <f t="shared" si="5"/>
        <v>41.933283532799997</v>
      </c>
      <c r="F101" s="3">
        <v>42.308813023255816</v>
      </c>
      <c r="G101" s="4">
        <f t="shared" si="6"/>
        <v>42.308813023255816</v>
      </c>
      <c r="H101" s="1">
        <v>6.68</v>
      </c>
      <c r="I101" s="1">
        <f t="shared" si="7"/>
        <v>8.02</v>
      </c>
      <c r="J101" s="1" t="s">
        <v>1182</v>
      </c>
      <c r="K101" s="3">
        <f t="shared" si="8"/>
        <v>59.742712319999988</v>
      </c>
      <c r="L101" s="10">
        <f t="shared" si="9"/>
        <v>0.4247086630664052</v>
      </c>
      <c r="M101" s="18" t="str">
        <f>VLOOKUP(A101,Список!A:I,9,0)</f>
        <v>Основной ассортимент</v>
      </c>
      <c r="N101" s="12"/>
      <c r="O101" s="11"/>
    </row>
    <row r="102" spans="1:15" x14ac:dyDescent="0.25">
      <c r="A102" s="6">
        <v>4864</v>
      </c>
      <c r="B102" s="1" t="s">
        <v>106</v>
      </c>
      <c r="C102" s="3">
        <v>3.1044200000000002</v>
      </c>
      <c r="D102" s="1" t="s">
        <v>1182</v>
      </c>
      <c r="E102" s="3">
        <f t="shared" si="5"/>
        <v>48.685252915200003</v>
      </c>
      <c r="F102" s="3">
        <v>48.241934638483734</v>
      </c>
      <c r="G102" s="4">
        <f t="shared" si="6"/>
        <v>48.685252915200003</v>
      </c>
      <c r="H102" s="1">
        <v>7.7</v>
      </c>
      <c r="I102" s="1">
        <f t="shared" si="7"/>
        <v>9.24</v>
      </c>
      <c r="J102" s="1" t="s">
        <v>1182</v>
      </c>
      <c r="K102" s="3">
        <f t="shared" si="8"/>
        <v>68.830755839999995</v>
      </c>
      <c r="L102" s="10">
        <f t="shared" si="9"/>
        <v>0.41379065976897444</v>
      </c>
      <c r="M102" s="18" t="str">
        <f>VLOOKUP(A102,Список!A:I,9,0)</f>
        <v>Основной ассортимент</v>
      </c>
      <c r="N102" s="12"/>
      <c r="O102" s="11"/>
    </row>
    <row r="103" spans="1:15" x14ac:dyDescent="0.25">
      <c r="A103" s="6">
        <v>4878</v>
      </c>
      <c r="B103" s="1" t="s">
        <v>107</v>
      </c>
      <c r="C103" s="3">
        <v>3.7389000000000001</v>
      </c>
      <c r="D103" s="1" t="s">
        <v>1182</v>
      </c>
      <c r="E103" s="3">
        <f t="shared" si="5"/>
        <v>58.635523583999998</v>
      </c>
      <c r="F103" s="3">
        <v>59.978771078308725</v>
      </c>
      <c r="G103" s="4">
        <f t="shared" si="6"/>
        <v>59.978771078308725</v>
      </c>
      <c r="H103" s="1">
        <v>9.44</v>
      </c>
      <c r="I103" s="1">
        <f t="shared" si="7"/>
        <v>11.33</v>
      </c>
      <c r="J103" s="1" t="s">
        <v>1182</v>
      </c>
      <c r="K103" s="3">
        <f t="shared" si="8"/>
        <v>84.399617279999987</v>
      </c>
      <c r="L103" s="10">
        <f t="shared" si="9"/>
        <v>0.43939393939393923</v>
      </c>
      <c r="M103" s="18" t="str">
        <f>VLOOKUP(A103,Список!A:I,9,0)</f>
        <v>Основной ассортимент</v>
      </c>
      <c r="N103" s="12"/>
      <c r="O103" s="11"/>
    </row>
    <row r="104" spans="1:15" x14ac:dyDescent="0.25">
      <c r="A104" s="6">
        <v>4879</v>
      </c>
      <c r="B104" s="1" t="s">
        <v>108</v>
      </c>
      <c r="C104" s="3">
        <v>4.1920999999999999</v>
      </c>
      <c r="D104" s="1" t="s">
        <v>1182</v>
      </c>
      <c r="E104" s="3">
        <f t="shared" si="5"/>
        <v>65.742859775999989</v>
      </c>
      <c r="F104" s="3">
        <v>67.9058909090909</v>
      </c>
      <c r="G104" s="4">
        <f t="shared" si="6"/>
        <v>67.9058909090909</v>
      </c>
      <c r="H104" s="1">
        <v>10.54</v>
      </c>
      <c r="I104" s="1">
        <f t="shared" si="7"/>
        <v>12.65</v>
      </c>
      <c r="J104" s="1" t="s">
        <v>1182</v>
      </c>
      <c r="K104" s="3">
        <f t="shared" si="8"/>
        <v>94.232582399999998</v>
      </c>
      <c r="L104" s="10">
        <f t="shared" si="9"/>
        <v>0.43335082655471036</v>
      </c>
      <c r="M104" s="18" t="str">
        <f>VLOOKUP(A104,Список!A:I,9,0)</f>
        <v>Основной ассортимент</v>
      </c>
      <c r="N104" s="12"/>
      <c r="O104" s="11"/>
    </row>
    <row r="105" spans="1:15" x14ac:dyDescent="0.25">
      <c r="A105" s="6">
        <v>4880</v>
      </c>
      <c r="B105" s="1" t="s">
        <v>109</v>
      </c>
      <c r="C105" s="3">
        <v>4.8718999999999992</v>
      </c>
      <c r="D105" s="1" t="s">
        <v>1182</v>
      </c>
      <c r="E105" s="3">
        <f t="shared" si="5"/>
        <v>76.403864063999976</v>
      </c>
      <c r="F105" s="3">
        <v>76.486437699680522</v>
      </c>
      <c r="G105" s="4">
        <f t="shared" si="6"/>
        <v>76.486437699680522</v>
      </c>
      <c r="H105" s="1">
        <v>12.17</v>
      </c>
      <c r="I105" s="1">
        <f t="shared" si="7"/>
        <v>14.6</v>
      </c>
      <c r="J105" s="1" t="s">
        <v>1182</v>
      </c>
      <c r="K105" s="3">
        <f t="shared" si="8"/>
        <v>108.75855359999998</v>
      </c>
      <c r="L105" s="10">
        <f t="shared" si="9"/>
        <v>0.42346928303126119</v>
      </c>
      <c r="M105" s="18" t="str">
        <f>VLOOKUP(A105,Список!A:I,9,0)</f>
        <v>Основной ассортимент</v>
      </c>
      <c r="N105" s="12"/>
      <c r="O105" s="11"/>
    </row>
    <row r="106" spans="1:15" x14ac:dyDescent="0.25">
      <c r="A106" s="6">
        <v>4881</v>
      </c>
      <c r="B106" s="1" t="s">
        <v>110</v>
      </c>
      <c r="C106" s="3">
        <v>6.0049000000000001</v>
      </c>
      <c r="D106" s="1" t="s">
        <v>1182</v>
      </c>
      <c r="E106" s="3">
        <f t="shared" si="5"/>
        <v>94.172204543999996</v>
      </c>
      <c r="F106" s="3">
        <v>93.207789473684215</v>
      </c>
      <c r="G106" s="4">
        <f t="shared" si="6"/>
        <v>94.172204543999996</v>
      </c>
      <c r="H106" s="1">
        <v>14.86</v>
      </c>
      <c r="I106" s="1">
        <f t="shared" si="7"/>
        <v>17.829999999999998</v>
      </c>
      <c r="J106" s="1" t="s">
        <v>1182</v>
      </c>
      <c r="K106" s="3">
        <f t="shared" si="8"/>
        <v>132.81952127999998</v>
      </c>
      <c r="L106" s="10">
        <f t="shared" si="9"/>
        <v>0.41038984829056258</v>
      </c>
      <c r="M106" s="18" t="str">
        <f>VLOOKUP(A106,Список!A:I,9,0)</f>
        <v>Основной ассортимент</v>
      </c>
      <c r="N106" s="12"/>
      <c r="O106" s="11"/>
    </row>
    <row r="107" spans="1:15" x14ac:dyDescent="0.25">
      <c r="A107" s="6">
        <v>4882</v>
      </c>
      <c r="B107" s="1" t="s">
        <v>111</v>
      </c>
      <c r="C107" s="3">
        <v>7.1378999999999992</v>
      </c>
      <c r="D107" s="1" t="s">
        <v>1182</v>
      </c>
      <c r="E107" s="3">
        <f t="shared" si="5"/>
        <v>111.94054502399999</v>
      </c>
      <c r="F107" s="3">
        <v>104.43676510067115</v>
      </c>
      <c r="G107" s="4">
        <f t="shared" si="6"/>
        <v>111.94054502399999</v>
      </c>
      <c r="H107" s="1">
        <v>17.57</v>
      </c>
      <c r="I107" s="1">
        <f t="shared" si="7"/>
        <v>21.08</v>
      </c>
      <c r="J107" s="1" t="s">
        <v>1182</v>
      </c>
      <c r="K107" s="3">
        <f t="shared" si="8"/>
        <v>157.02947327999996</v>
      </c>
      <c r="L107" s="10">
        <f t="shared" si="9"/>
        <v>0.40279353871586854</v>
      </c>
      <c r="M107" s="18" t="str">
        <f>VLOOKUP(A107,Список!A:I,9,0)</f>
        <v>Основной ассортимент</v>
      </c>
      <c r="N107" s="12"/>
      <c r="O107" s="11"/>
    </row>
    <row r="108" spans="1:15" x14ac:dyDescent="0.25">
      <c r="A108" s="6">
        <v>4873</v>
      </c>
      <c r="B108" s="1" t="s">
        <v>112</v>
      </c>
      <c r="C108" s="3">
        <v>2.2320099999999998</v>
      </c>
      <c r="D108" s="1" t="s">
        <v>1182</v>
      </c>
      <c r="E108" s="3">
        <f t="shared" si="5"/>
        <v>35.003630745599992</v>
      </c>
      <c r="F108" s="3">
        <v>38.439352601156067</v>
      </c>
      <c r="G108" s="4">
        <f t="shared" si="6"/>
        <v>38.439352601156067</v>
      </c>
      <c r="H108" s="1">
        <v>5.84</v>
      </c>
      <c r="I108" s="1">
        <f t="shared" si="7"/>
        <v>7.01</v>
      </c>
      <c r="J108" s="1" t="s">
        <v>1182</v>
      </c>
      <c r="K108" s="3">
        <f t="shared" si="8"/>
        <v>52.21900415999999</v>
      </c>
      <c r="L108" s="10">
        <f t="shared" si="9"/>
        <v>0.4918167929355155</v>
      </c>
      <c r="M108" s="18" t="str">
        <f>VLOOKUP(A108,Список!A:I,9,0)</f>
        <v>Основной ассортимент</v>
      </c>
      <c r="N108" s="12"/>
      <c r="O108" s="11"/>
    </row>
    <row r="109" spans="1:15" x14ac:dyDescent="0.25">
      <c r="A109" s="6">
        <v>4883</v>
      </c>
      <c r="B109" s="1" t="s">
        <v>113</v>
      </c>
      <c r="C109" s="3">
        <v>8.2708999999999993</v>
      </c>
      <c r="D109" s="1" t="s">
        <v>1182</v>
      </c>
      <c r="E109" s="3">
        <f t="shared" si="5"/>
        <v>129.70888550399997</v>
      </c>
      <c r="F109" s="3">
        <v>115.2860224719101</v>
      </c>
      <c r="G109" s="4">
        <f t="shared" si="6"/>
        <v>129.70888550399997</v>
      </c>
      <c r="H109" s="1">
        <v>20.27</v>
      </c>
      <c r="I109" s="1">
        <f t="shared" si="7"/>
        <v>24.32</v>
      </c>
      <c r="J109" s="1" t="s">
        <v>1182</v>
      </c>
      <c r="K109" s="3">
        <f t="shared" si="8"/>
        <v>181.16493311999997</v>
      </c>
      <c r="L109" s="10">
        <f t="shared" si="9"/>
        <v>0.39670410717092475</v>
      </c>
      <c r="M109" s="18" t="str">
        <f>VLOOKUP(A109,Список!A:I,9,0)</f>
        <v>Основной ассортимент</v>
      </c>
      <c r="N109" s="12"/>
      <c r="O109" s="11"/>
    </row>
    <row r="110" spans="1:15" x14ac:dyDescent="0.25">
      <c r="A110" s="6">
        <v>4884</v>
      </c>
      <c r="B110" s="1" t="s">
        <v>114</v>
      </c>
      <c r="C110" s="3">
        <v>9.4039000000000001</v>
      </c>
      <c r="D110" s="1" t="s">
        <v>1182</v>
      </c>
      <c r="E110" s="3">
        <f t="shared" si="5"/>
        <v>147.477225984</v>
      </c>
      <c r="F110" s="3">
        <v>135.9771659192825</v>
      </c>
      <c r="G110" s="4">
        <f t="shared" si="6"/>
        <v>147.477225984</v>
      </c>
      <c r="H110" s="1">
        <v>22.97</v>
      </c>
      <c r="I110" s="1">
        <f t="shared" si="7"/>
        <v>27.56</v>
      </c>
      <c r="J110" s="1" t="s">
        <v>1182</v>
      </c>
      <c r="K110" s="3">
        <f t="shared" si="8"/>
        <v>205.30039295999995</v>
      </c>
      <c r="L110" s="10">
        <f t="shared" si="9"/>
        <v>0.39208200852837627</v>
      </c>
      <c r="M110" s="18" t="str">
        <f>VLOOKUP(A110,Список!A:I,9,0)</f>
        <v>Основной ассортимент</v>
      </c>
      <c r="N110" s="12"/>
      <c r="O110" s="11"/>
    </row>
    <row r="111" spans="1:15" x14ac:dyDescent="0.25">
      <c r="A111" s="6">
        <v>4874</v>
      </c>
      <c r="B111" s="1" t="s">
        <v>115</v>
      </c>
      <c r="C111" s="3">
        <v>2.4472800000000001</v>
      </c>
      <c r="D111" s="1" t="s">
        <v>1182</v>
      </c>
      <c r="E111" s="3">
        <f t="shared" si="5"/>
        <v>38.379615436799995</v>
      </c>
      <c r="F111" s="3">
        <v>38.804663912515188</v>
      </c>
      <c r="G111" s="4">
        <f t="shared" si="6"/>
        <v>38.804663912515188</v>
      </c>
      <c r="H111" s="1">
        <v>6.36</v>
      </c>
      <c r="I111" s="1">
        <f t="shared" si="7"/>
        <v>7.63</v>
      </c>
      <c r="J111" s="1" t="s">
        <v>1182</v>
      </c>
      <c r="K111" s="3">
        <f t="shared" si="8"/>
        <v>56.837518079999988</v>
      </c>
      <c r="L111" s="10">
        <f t="shared" si="9"/>
        <v>0.48092984864829513</v>
      </c>
      <c r="M111" s="18" t="str">
        <f>VLOOKUP(A111,Список!A:I,9,0)</f>
        <v>Основной ассортимент</v>
      </c>
      <c r="N111" s="12"/>
      <c r="O111" s="11"/>
    </row>
    <row r="112" spans="1:15" x14ac:dyDescent="0.25">
      <c r="A112" s="6">
        <v>4885</v>
      </c>
      <c r="B112" s="1" t="s">
        <v>116</v>
      </c>
      <c r="C112" s="3">
        <v>10.536900000000001</v>
      </c>
      <c r="D112" s="1" t="s">
        <v>1182</v>
      </c>
      <c r="E112" s="3">
        <f t="shared" si="5"/>
        <v>165.24556646400001</v>
      </c>
      <c r="F112" s="3">
        <v>139.6726956521739</v>
      </c>
      <c r="G112" s="4">
        <f t="shared" si="6"/>
        <v>165.24556646400001</v>
      </c>
      <c r="H112" s="1">
        <v>25.68</v>
      </c>
      <c r="I112" s="1">
        <f t="shared" si="7"/>
        <v>30.82</v>
      </c>
      <c r="J112" s="1" t="s">
        <v>1182</v>
      </c>
      <c r="K112" s="3">
        <f t="shared" si="8"/>
        <v>229.58483711999997</v>
      </c>
      <c r="L112" s="10">
        <f t="shared" si="9"/>
        <v>0.38935550304169131</v>
      </c>
      <c r="M112" s="18" t="str">
        <f>VLOOKUP(A112,Список!A:I,9,0)</f>
        <v>Основной ассортимент</v>
      </c>
      <c r="N112" s="12"/>
      <c r="O112" s="11"/>
    </row>
    <row r="113" spans="1:15" x14ac:dyDescent="0.25">
      <c r="A113" s="6">
        <v>4875</v>
      </c>
      <c r="B113" s="1" t="s">
        <v>117</v>
      </c>
      <c r="C113" s="3">
        <v>2.66255</v>
      </c>
      <c r="D113" s="1" t="s">
        <v>1182</v>
      </c>
      <c r="E113" s="3">
        <f t="shared" si="5"/>
        <v>41.755600127999998</v>
      </c>
      <c r="F113" s="3">
        <v>43.98926907117778</v>
      </c>
      <c r="G113" s="4">
        <f t="shared" si="6"/>
        <v>43.98926907117778</v>
      </c>
      <c r="H113" s="1">
        <v>6.88</v>
      </c>
      <c r="I113" s="1">
        <f t="shared" si="7"/>
        <v>8.26</v>
      </c>
      <c r="J113" s="1" t="s">
        <v>1182</v>
      </c>
      <c r="K113" s="3">
        <f t="shared" si="8"/>
        <v>61.530524159999992</v>
      </c>
      <c r="L113" s="10">
        <f t="shared" si="9"/>
        <v>0.47358735047229139</v>
      </c>
      <c r="M113" s="18" t="str">
        <f>VLOOKUP(A113,Список!A:I,9,0)</f>
        <v>Основной ассортимент</v>
      </c>
      <c r="N113" s="12"/>
      <c r="O113" s="11"/>
    </row>
    <row r="114" spans="1:15" x14ac:dyDescent="0.25">
      <c r="A114" s="6">
        <v>4876</v>
      </c>
      <c r="B114" s="1" t="s">
        <v>118</v>
      </c>
      <c r="C114" s="3">
        <v>2.8778199999999998</v>
      </c>
      <c r="D114" s="1" t="s">
        <v>1182</v>
      </c>
      <c r="E114" s="3">
        <f t="shared" si="5"/>
        <v>45.131584819199993</v>
      </c>
      <c r="F114" s="3">
        <v>46.087395171537487</v>
      </c>
      <c r="G114" s="4">
        <f t="shared" si="6"/>
        <v>46.087395171537487</v>
      </c>
      <c r="H114" s="1">
        <v>7.38</v>
      </c>
      <c r="I114" s="1">
        <f t="shared" si="7"/>
        <v>8.86</v>
      </c>
      <c r="J114" s="1" t="s">
        <v>1182</v>
      </c>
      <c r="K114" s="3">
        <f t="shared" si="8"/>
        <v>66.000053759999986</v>
      </c>
      <c r="L114" s="10">
        <f t="shared" si="9"/>
        <v>0.46239167147354587</v>
      </c>
      <c r="M114" s="18" t="str">
        <f>VLOOKUP(A114,Список!A:I,9,0)</f>
        <v>Основной ассортимент</v>
      </c>
      <c r="N114" s="12"/>
      <c r="O114" s="11"/>
    </row>
    <row r="115" spans="1:15" x14ac:dyDescent="0.25">
      <c r="A115" s="6">
        <v>4877</v>
      </c>
      <c r="B115" s="1" t="s">
        <v>119</v>
      </c>
      <c r="C115" s="3">
        <v>3.3083599999999995</v>
      </c>
      <c r="D115" s="1" t="s">
        <v>1182</v>
      </c>
      <c r="E115" s="3">
        <f t="shared" si="5"/>
        <v>51.883554201599985</v>
      </c>
      <c r="F115" s="3">
        <v>54.462654889589899</v>
      </c>
      <c r="G115" s="4">
        <f t="shared" si="6"/>
        <v>54.462654889589899</v>
      </c>
      <c r="H115" s="1">
        <v>8.42</v>
      </c>
      <c r="I115" s="1">
        <f t="shared" si="7"/>
        <v>10.1</v>
      </c>
      <c r="J115" s="1" t="s">
        <v>1182</v>
      </c>
      <c r="K115" s="3">
        <f t="shared" si="8"/>
        <v>75.237081599999996</v>
      </c>
      <c r="L115" s="10">
        <f t="shared" si="9"/>
        <v>0.45011425600599719</v>
      </c>
      <c r="M115" s="18" t="str">
        <f>VLOOKUP(A115,Список!A:I,9,0)</f>
        <v>Основной ассортимент</v>
      </c>
      <c r="N115" s="12"/>
      <c r="O115" s="11"/>
    </row>
    <row r="116" spans="1:15" x14ac:dyDescent="0.25">
      <c r="A116" s="6">
        <v>4891</v>
      </c>
      <c r="B116" s="1" t="s">
        <v>120</v>
      </c>
      <c r="C116" s="3">
        <v>6.8659799999999995</v>
      </c>
      <c r="D116" s="1" t="s">
        <v>1182</v>
      </c>
      <c r="E116" s="3">
        <f t="shared" si="5"/>
        <v>107.67614330879999</v>
      </c>
      <c r="F116" s="3">
        <v>111.40887725631769</v>
      </c>
      <c r="G116" s="4">
        <f t="shared" si="6"/>
        <v>111.40887725631769</v>
      </c>
      <c r="H116" s="1">
        <v>17.54</v>
      </c>
      <c r="I116" s="1">
        <f t="shared" si="7"/>
        <v>21.05</v>
      </c>
      <c r="J116" s="1" t="s">
        <v>1182</v>
      </c>
      <c r="K116" s="3">
        <f t="shared" si="8"/>
        <v>156.80599679999997</v>
      </c>
      <c r="L116" s="10">
        <f t="shared" si="9"/>
        <v>0.45627426820351924</v>
      </c>
      <c r="M116" s="18" t="str">
        <f>VLOOKUP(A116,Список!A:I,9,0)</f>
        <v>Основной ассортимент</v>
      </c>
      <c r="N116" s="12"/>
      <c r="O116" s="11"/>
    </row>
    <row r="117" spans="1:15" x14ac:dyDescent="0.25">
      <c r="A117" s="6">
        <v>4892</v>
      </c>
      <c r="B117" s="1" t="s">
        <v>121</v>
      </c>
      <c r="C117" s="3">
        <v>7.7723800000000001</v>
      </c>
      <c r="D117" s="1" t="s">
        <v>1182</v>
      </c>
      <c r="E117" s="3">
        <f t="shared" si="5"/>
        <v>121.89081569279999</v>
      </c>
      <c r="F117" s="3">
        <v>125.54773443983403</v>
      </c>
      <c r="G117" s="4">
        <f t="shared" si="6"/>
        <v>125.54773443983403</v>
      </c>
      <c r="H117" s="1">
        <v>19.71</v>
      </c>
      <c r="I117" s="1">
        <f t="shared" si="7"/>
        <v>23.65</v>
      </c>
      <c r="J117" s="1" t="s">
        <v>1182</v>
      </c>
      <c r="K117" s="3">
        <f t="shared" si="8"/>
        <v>176.17395839999998</v>
      </c>
      <c r="L117" s="10">
        <f t="shared" si="9"/>
        <v>0.44534235330748095</v>
      </c>
      <c r="M117" s="18" t="str">
        <f>VLOOKUP(A117,Список!A:I,9,0)</f>
        <v>Основной ассортимент</v>
      </c>
      <c r="N117" s="12"/>
      <c r="O117" s="11"/>
    </row>
    <row r="118" spans="1:15" x14ac:dyDescent="0.25">
      <c r="A118" s="6">
        <v>4893</v>
      </c>
      <c r="B118" s="1" t="s">
        <v>122</v>
      </c>
      <c r="C118" s="3">
        <v>9.1319800000000022</v>
      </c>
      <c r="D118" s="1" t="s">
        <v>1182</v>
      </c>
      <c r="E118" s="3">
        <f t="shared" si="5"/>
        <v>143.21282426880001</v>
      </c>
      <c r="F118" s="3">
        <v>148.12968623024832</v>
      </c>
      <c r="G118" s="4">
        <f t="shared" si="6"/>
        <v>148.12968623024832</v>
      </c>
      <c r="H118" s="1">
        <v>22.95</v>
      </c>
      <c r="I118" s="1">
        <f t="shared" si="7"/>
        <v>27.54</v>
      </c>
      <c r="J118" s="1" t="s">
        <v>1182</v>
      </c>
      <c r="K118" s="3">
        <f t="shared" si="8"/>
        <v>205.15140863999997</v>
      </c>
      <c r="L118" s="10">
        <f t="shared" si="9"/>
        <v>0.43249328185125213</v>
      </c>
      <c r="M118" s="18" t="str">
        <f>VLOOKUP(A118,Список!A:I,9,0)</f>
        <v>Основной ассортимент</v>
      </c>
      <c r="N118" s="12"/>
      <c r="O118" s="11"/>
    </row>
    <row r="119" spans="1:15" x14ac:dyDescent="0.25">
      <c r="A119" s="6">
        <v>4894</v>
      </c>
      <c r="B119" s="1" t="s">
        <v>123</v>
      </c>
      <c r="C119" s="3">
        <v>11.39798</v>
      </c>
      <c r="D119" s="1" t="s">
        <v>1182</v>
      </c>
      <c r="E119" s="3">
        <f t="shared" si="5"/>
        <v>178.74950522879999</v>
      </c>
      <c r="F119" s="3">
        <v>182.66034024896268</v>
      </c>
      <c r="G119" s="4">
        <f t="shared" si="6"/>
        <v>182.66034024896268</v>
      </c>
      <c r="H119" s="1">
        <v>28.38</v>
      </c>
      <c r="I119" s="1">
        <f t="shared" si="7"/>
        <v>34.06</v>
      </c>
      <c r="J119" s="1" t="s">
        <v>1182</v>
      </c>
      <c r="K119" s="3">
        <f t="shared" si="8"/>
        <v>253.72029695999998</v>
      </c>
      <c r="L119" s="10">
        <f t="shared" si="9"/>
        <v>0.41941817760690925</v>
      </c>
      <c r="M119" s="18" t="str">
        <f>VLOOKUP(A119,Список!A:I,9,0)</f>
        <v>Основной ассортимент</v>
      </c>
      <c r="N119" s="12"/>
      <c r="O119" s="11"/>
    </row>
    <row r="120" spans="1:15" x14ac:dyDescent="0.25">
      <c r="A120" s="6">
        <v>4886</v>
      </c>
      <c r="B120" s="1" t="s">
        <v>124</v>
      </c>
      <c r="C120" s="3">
        <v>3.8521999999999998</v>
      </c>
      <c r="D120" s="1" t="s">
        <v>1182</v>
      </c>
      <c r="E120" s="3">
        <f t="shared" si="5"/>
        <v>60.412357631999996</v>
      </c>
      <c r="F120" s="3">
        <v>58.958562933597619</v>
      </c>
      <c r="G120" s="4">
        <f t="shared" si="6"/>
        <v>60.412357631999996</v>
      </c>
      <c r="H120" s="1">
        <v>10.34</v>
      </c>
      <c r="I120" s="1">
        <f t="shared" si="7"/>
        <v>12.41</v>
      </c>
      <c r="J120" s="1" t="s">
        <v>1182</v>
      </c>
      <c r="K120" s="3">
        <f t="shared" si="8"/>
        <v>92.444770559999995</v>
      </c>
      <c r="L120" s="10">
        <f t="shared" si="9"/>
        <v>0.53022947925860553</v>
      </c>
      <c r="M120" s="18" t="str">
        <f>VLOOKUP(A120,Список!A:I,9,0)</f>
        <v>Основной ассортимент</v>
      </c>
      <c r="N120" s="12"/>
      <c r="O120" s="11"/>
    </row>
    <row r="121" spans="1:15" x14ac:dyDescent="0.25">
      <c r="A121" s="6">
        <v>4887</v>
      </c>
      <c r="B121" s="1" t="s">
        <v>125</v>
      </c>
      <c r="C121" s="3">
        <v>4.2827399999999995</v>
      </c>
      <c r="D121" s="1" t="s">
        <v>1182</v>
      </c>
      <c r="E121" s="3">
        <f t="shared" si="5"/>
        <v>67.164327014399987</v>
      </c>
      <c r="F121" s="3">
        <v>69.208014117647068</v>
      </c>
      <c r="G121" s="4">
        <f t="shared" si="6"/>
        <v>69.208014117647068</v>
      </c>
      <c r="H121" s="1">
        <v>11.36</v>
      </c>
      <c r="I121" s="1">
        <f t="shared" si="7"/>
        <v>13.63</v>
      </c>
      <c r="J121" s="1" t="s">
        <v>1182</v>
      </c>
      <c r="K121" s="3">
        <f t="shared" si="8"/>
        <v>101.53281407999999</v>
      </c>
      <c r="L121" s="10">
        <f t="shared" si="9"/>
        <v>0.51170745830940034</v>
      </c>
      <c r="M121" s="18" t="str">
        <f>VLOOKUP(A121,Список!A:I,9,0)</f>
        <v>Основной ассортимент</v>
      </c>
      <c r="N121" s="12"/>
      <c r="O121" s="11"/>
    </row>
    <row r="122" spans="1:15" x14ac:dyDescent="0.25">
      <c r="A122" s="6">
        <v>4888</v>
      </c>
      <c r="B122" s="1" t="s">
        <v>126</v>
      </c>
      <c r="C122" s="3">
        <v>4.7132800000000001</v>
      </c>
      <c r="D122" s="1" t="s">
        <v>1182</v>
      </c>
      <c r="E122" s="3">
        <f t="shared" si="5"/>
        <v>73.916296396799993</v>
      </c>
      <c r="F122" s="3">
        <v>81.98771791638373</v>
      </c>
      <c r="G122" s="4">
        <f t="shared" si="6"/>
        <v>81.98771791638373</v>
      </c>
      <c r="H122" s="1">
        <v>12.4</v>
      </c>
      <c r="I122" s="1">
        <f t="shared" si="7"/>
        <v>14.88</v>
      </c>
      <c r="J122" s="1" t="s">
        <v>1182</v>
      </c>
      <c r="K122" s="3">
        <f t="shared" si="8"/>
        <v>110.84433407999998</v>
      </c>
      <c r="L122" s="10">
        <f t="shared" si="9"/>
        <v>0.49959264036933937</v>
      </c>
      <c r="M122" s="18" t="str">
        <f>VLOOKUP(A122,Список!A:I,9,0)</f>
        <v>Основной ассортимент</v>
      </c>
      <c r="N122" s="12"/>
      <c r="O122" s="11"/>
    </row>
    <row r="123" spans="1:15" x14ac:dyDescent="0.25">
      <c r="A123" s="6">
        <v>4889</v>
      </c>
      <c r="B123" s="1" t="s">
        <v>127</v>
      </c>
      <c r="C123" s="3">
        <v>5.1438199999999998</v>
      </c>
      <c r="D123" s="1" t="s">
        <v>1182</v>
      </c>
      <c r="E123" s="3">
        <f t="shared" si="5"/>
        <v>80.668265779199984</v>
      </c>
      <c r="F123" s="3">
        <v>88.647575136937363</v>
      </c>
      <c r="G123" s="4">
        <f t="shared" si="6"/>
        <v>88.647575136937363</v>
      </c>
      <c r="H123" s="1">
        <v>13.42</v>
      </c>
      <c r="I123" s="1">
        <f t="shared" si="7"/>
        <v>16.100000000000001</v>
      </c>
      <c r="J123" s="1" t="s">
        <v>1182</v>
      </c>
      <c r="K123" s="3">
        <f t="shared" si="8"/>
        <v>119.9323776</v>
      </c>
      <c r="L123" s="10">
        <f t="shared" si="9"/>
        <v>0.48673553895742883</v>
      </c>
      <c r="M123" s="18" t="str">
        <f>VLOOKUP(A123,Список!A:I,9,0)</f>
        <v>Основной ассортимент</v>
      </c>
      <c r="N123" s="12"/>
      <c r="O123" s="11"/>
    </row>
    <row r="124" spans="1:15" x14ac:dyDescent="0.25">
      <c r="A124" s="6">
        <v>4890</v>
      </c>
      <c r="B124" s="1" t="s">
        <v>128</v>
      </c>
      <c r="C124" s="3">
        <v>6.0049000000000001</v>
      </c>
      <c r="D124" s="1" t="s">
        <v>1182</v>
      </c>
      <c r="E124" s="3">
        <f t="shared" si="5"/>
        <v>94.172204543999996</v>
      </c>
      <c r="F124" s="3">
        <v>99.886024844720495</v>
      </c>
      <c r="G124" s="4">
        <f t="shared" si="6"/>
        <v>99.886024844720495</v>
      </c>
      <c r="H124" s="1">
        <v>15.49</v>
      </c>
      <c r="I124" s="1">
        <f t="shared" si="7"/>
        <v>18.59</v>
      </c>
      <c r="J124" s="1" t="s">
        <v>1182</v>
      </c>
      <c r="K124" s="3">
        <f t="shared" si="8"/>
        <v>138.48092543999996</v>
      </c>
      <c r="L124" s="10">
        <f t="shared" si="9"/>
        <v>0.47050741894119774</v>
      </c>
      <c r="M124" s="18" t="str">
        <f>VLOOKUP(A124,Список!A:I,9,0)</f>
        <v>Основной ассортимент</v>
      </c>
      <c r="N124" s="12"/>
      <c r="O124" s="11"/>
    </row>
    <row r="125" spans="1:15" x14ac:dyDescent="0.25">
      <c r="A125" s="6">
        <v>7057</v>
      </c>
      <c r="B125" s="1" t="s">
        <v>129</v>
      </c>
      <c r="C125" s="3">
        <v>6.7699920000000011</v>
      </c>
      <c r="D125" s="1" t="s">
        <v>1182</v>
      </c>
      <c r="E125" s="3">
        <f t="shared" si="5"/>
        <v>106.17080573952002</v>
      </c>
      <c r="F125" s="3">
        <v>91.521508242454985</v>
      </c>
      <c r="G125" s="4">
        <f t="shared" si="6"/>
        <v>106.17080573952002</v>
      </c>
      <c r="H125" s="1">
        <v>16.309999999999999</v>
      </c>
      <c r="I125" s="1">
        <f t="shared" si="7"/>
        <v>19.57</v>
      </c>
      <c r="J125" s="1" t="s">
        <v>1182</v>
      </c>
      <c r="K125" s="3">
        <f t="shared" si="8"/>
        <v>145.78115711999999</v>
      </c>
      <c r="L125" s="10">
        <f t="shared" si="9"/>
        <v>0.37308138621138665</v>
      </c>
      <c r="M125" s="18" t="str">
        <f>VLOOKUP(A125,Список!A:I,9,0)</f>
        <v>Основной ассортимент</v>
      </c>
      <c r="N125" s="12"/>
      <c r="O125" s="11"/>
    </row>
    <row r="126" spans="1:15" x14ac:dyDescent="0.25">
      <c r="A126" s="6">
        <v>7058</v>
      </c>
      <c r="B126" s="1" t="s">
        <v>130</v>
      </c>
      <c r="C126" s="3">
        <v>7.4988779999999995</v>
      </c>
      <c r="D126" s="1" t="s">
        <v>1182</v>
      </c>
      <c r="E126" s="3">
        <f t="shared" si="5"/>
        <v>117.60160416767998</v>
      </c>
      <c r="F126" s="3">
        <v>100.02399917990773</v>
      </c>
      <c r="G126" s="4">
        <f t="shared" si="6"/>
        <v>117.60160416767998</v>
      </c>
      <c r="H126" s="1">
        <v>18.170000000000002</v>
      </c>
      <c r="I126" s="1">
        <f t="shared" si="7"/>
        <v>21.8</v>
      </c>
      <c r="J126" s="1" t="s">
        <v>1182</v>
      </c>
      <c r="K126" s="3">
        <f t="shared" si="8"/>
        <v>162.39290879999999</v>
      </c>
      <c r="L126" s="10">
        <f t="shared" si="9"/>
        <v>0.38087324530416433</v>
      </c>
      <c r="M126" s="18" t="str">
        <f>VLOOKUP(A126,Список!A:I,9,0)</f>
        <v>Основной ассортимент</v>
      </c>
      <c r="N126" s="12"/>
      <c r="O126" s="11"/>
    </row>
    <row r="127" spans="1:15" x14ac:dyDescent="0.25">
      <c r="A127" s="6">
        <v>7059</v>
      </c>
      <c r="B127" s="1" t="s">
        <v>131</v>
      </c>
      <c r="C127" s="3">
        <v>8.5736760000000007</v>
      </c>
      <c r="D127" s="1" t="s">
        <v>1182</v>
      </c>
      <c r="E127" s="3">
        <f t="shared" si="5"/>
        <v>134.45718829056</v>
      </c>
      <c r="F127" s="3">
        <v>114.99585018997647</v>
      </c>
      <c r="G127" s="4">
        <f t="shared" si="6"/>
        <v>134.45718829056</v>
      </c>
      <c r="H127" s="1">
        <v>20.7</v>
      </c>
      <c r="I127" s="1">
        <f t="shared" si="7"/>
        <v>24.84</v>
      </c>
      <c r="J127" s="1" t="s">
        <v>1182</v>
      </c>
      <c r="K127" s="3">
        <f t="shared" si="8"/>
        <v>185.03852543999997</v>
      </c>
      <c r="L127" s="10">
        <f t="shared" si="9"/>
        <v>0.37618916320140849</v>
      </c>
      <c r="M127" s="18" t="str">
        <f>VLOOKUP(A127,Список!A:I,9,0)</f>
        <v>Основной ассортимент</v>
      </c>
      <c r="N127" s="12"/>
      <c r="O127" s="11"/>
    </row>
    <row r="128" spans="1:15" x14ac:dyDescent="0.25">
      <c r="A128" s="6">
        <v>7060</v>
      </c>
      <c r="B128" s="1" t="s">
        <v>132</v>
      </c>
      <c r="C128" s="3">
        <v>9.6484740000000002</v>
      </c>
      <c r="D128" s="1" t="s">
        <v>1182</v>
      </c>
      <c r="E128" s="3">
        <f t="shared" si="5"/>
        <v>151.31277241344</v>
      </c>
      <c r="F128" s="3">
        <v>126.30995001711742</v>
      </c>
      <c r="G128" s="4">
        <f t="shared" si="6"/>
        <v>151.31277241344</v>
      </c>
      <c r="H128" s="1">
        <v>23.24</v>
      </c>
      <c r="I128" s="1">
        <f t="shared" si="7"/>
        <v>27.89</v>
      </c>
      <c r="J128" s="1" t="s">
        <v>1182</v>
      </c>
      <c r="K128" s="3">
        <f t="shared" si="8"/>
        <v>207.75863423999999</v>
      </c>
      <c r="L128" s="10">
        <f t="shared" si="9"/>
        <v>0.3730409596377624</v>
      </c>
      <c r="M128" s="18" t="str">
        <f>VLOOKUP(A128,Список!A:I,9,0)</f>
        <v>Основной ассортимент</v>
      </c>
      <c r="N128" s="12"/>
      <c r="O128" s="11"/>
    </row>
    <row r="129" spans="1:15" x14ac:dyDescent="0.25">
      <c r="A129" s="6">
        <v>7061</v>
      </c>
      <c r="B129" s="1" t="s">
        <v>133</v>
      </c>
      <c r="C129" s="3">
        <v>10.488545999999999</v>
      </c>
      <c r="D129" s="1" t="s">
        <v>1182</v>
      </c>
      <c r="E129" s="3">
        <f t="shared" si="5"/>
        <v>164.48725195775998</v>
      </c>
      <c r="F129" s="3">
        <v>141.26267006703586</v>
      </c>
      <c r="G129" s="4">
        <f t="shared" si="6"/>
        <v>164.48725195775998</v>
      </c>
      <c r="H129" s="1">
        <v>24.79</v>
      </c>
      <c r="I129" s="1">
        <f t="shared" si="7"/>
        <v>29.75</v>
      </c>
      <c r="J129" s="1" t="s">
        <v>1182</v>
      </c>
      <c r="K129" s="3">
        <f t="shared" si="8"/>
        <v>221.61417599999996</v>
      </c>
      <c r="L129" s="10">
        <f t="shared" si="9"/>
        <v>0.34730304848736893</v>
      </c>
      <c r="M129" s="18" t="str">
        <f>VLOOKUP(A129,Список!A:I,9,0)</f>
        <v>Основной ассортимент</v>
      </c>
      <c r="N129" s="12"/>
      <c r="O129" s="11"/>
    </row>
    <row r="130" spans="1:15" x14ac:dyDescent="0.25">
      <c r="A130" s="6">
        <v>7062</v>
      </c>
      <c r="B130" s="1" t="s">
        <v>134</v>
      </c>
      <c r="C130" s="3">
        <v>12.29223</v>
      </c>
      <c r="D130" s="1" t="s">
        <v>1182</v>
      </c>
      <c r="E130" s="3">
        <f t="shared" si="5"/>
        <v>192.77363450879997</v>
      </c>
      <c r="F130" s="3">
        <v>165.79789932639315</v>
      </c>
      <c r="G130" s="4">
        <f t="shared" si="6"/>
        <v>192.77363450879997</v>
      </c>
      <c r="H130" s="1">
        <v>27.99</v>
      </c>
      <c r="I130" s="1">
        <f t="shared" si="7"/>
        <v>33.590000000000003</v>
      </c>
      <c r="J130" s="1" t="s">
        <v>1182</v>
      </c>
      <c r="K130" s="3">
        <f t="shared" si="8"/>
        <v>250.21916543999998</v>
      </c>
      <c r="L130" s="10">
        <f t="shared" si="9"/>
        <v>0.29799474952876737</v>
      </c>
      <c r="M130" s="18" t="str">
        <f>VLOOKUP(A130,Список!A:I,9,0)</f>
        <v>Основной ассортимент</v>
      </c>
      <c r="N130" s="12"/>
      <c r="O130" s="11"/>
    </row>
    <row r="131" spans="1:15" x14ac:dyDescent="0.25">
      <c r="A131" s="6">
        <v>7052</v>
      </c>
      <c r="B131" s="1" t="s">
        <v>135</v>
      </c>
      <c r="C131" s="3">
        <v>4.2497759999999998</v>
      </c>
      <c r="D131" s="1" t="s">
        <v>1182</v>
      </c>
      <c r="E131" s="3">
        <f t="shared" si="5"/>
        <v>66.647367106559997</v>
      </c>
      <c r="F131" s="3">
        <v>51.678346913360606</v>
      </c>
      <c r="G131" s="4">
        <f t="shared" si="6"/>
        <v>66.647367106559997</v>
      </c>
      <c r="H131" s="1">
        <v>10.23</v>
      </c>
      <c r="I131" s="1">
        <f t="shared" si="7"/>
        <v>12.28</v>
      </c>
      <c r="J131" s="1" t="s">
        <v>1182</v>
      </c>
      <c r="K131" s="3">
        <f t="shared" si="8"/>
        <v>91.476372479999981</v>
      </c>
      <c r="L131" s="10">
        <f t="shared" si="9"/>
        <v>0.37254292932145106</v>
      </c>
      <c r="M131" s="18" t="str">
        <f>VLOOKUP(A131,Список!A:I,9,0)</f>
        <v>Основной ассортимент</v>
      </c>
      <c r="N131" s="12"/>
      <c r="O131" s="11"/>
    </row>
    <row r="132" spans="1:15" x14ac:dyDescent="0.25">
      <c r="A132" s="6">
        <v>7063</v>
      </c>
      <c r="B132" s="1" t="s">
        <v>136</v>
      </c>
      <c r="C132" s="3">
        <v>14.08356</v>
      </c>
      <c r="D132" s="1" t="s">
        <v>1182</v>
      </c>
      <c r="E132" s="3">
        <f t="shared" si="5"/>
        <v>220.86627471359998</v>
      </c>
      <c r="F132" s="3">
        <v>187.57169381443299</v>
      </c>
      <c r="G132" s="4">
        <f t="shared" si="6"/>
        <v>220.86627471359998</v>
      </c>
      <c r="H132" s="1">
        <v>33.15</v>
      </c>
      <c r="I132" s="1">
        <f t="shared" si="7"/>
        <v>39.78</v>
      </c>
      <c r="J132" s="1" t="s">
        <v>1182</v>
      </c>
      <c r="K132" s="3">
        <f t="shared" si="8"/>
        <v>296.32981247999993</v>
      </c>
      <c r="L132" s="10">
        <f t="shared" si="9"/>
        <v>0.3416707139388051</v>
      </c>
      <c r="M132" s="18" t="str">
        <f>VLOOKUP(A132,Список!A:I,9,0)</f>
        <v>Основной ассортимент</v>
      </c>
      <c r="N132" s="12"/>
      <c r="O132" s="11"/>
    </row>
    <row r="133" spans="1:15" x14ac:dyDescent="0.25">
      <c r="A133" s="6">
        <v>7053</v>
      </c>
      <c r="B133" s="1" t="s">
        <v>137</v>
      </c>
      <c r="C133" s="3">
        <v>4.6203960000000004</v>
      </c>
      <c r="D133" s="1" t="s">
        <v>1182</v>
      </c>
      <c r="E133" s="3">
        <f t="shared" si="5"/>
        <v>72.459637493759999</v>
      </c>
      <c r="F133" s="3">
        <v>55.849113697403752</v>
      </c>
      <c r="G133" s="4">
        <f t="shared" si="6"/>
        <v>72.459637493759999</v>
      </c>
      <c r="H133" s="1">
        <v>11.17</v>
      </c>
      <c r="I133" s="1">
        <f t="shared" si="7"/>
        <v>13.4</v>
      </c>
      <c r="J133" s="1" t="s">
        <v>1182</v>
      </c>
      <c r="K133" s="3">
        <f t="shared" si="8"/>
        <v>99.819494399999982</v>
      </c>
      <c r="L133" s="10">
        <f t="shared" si="9"/>
        <v>0.37758754877287548</v>
      </c>
      <c r="M133" s="18" t="str">
        <f>VLOOKUP(A133,Список!A:I,9,0)</f>
        <v>Основной ассортимент</v>
      </c>
      <c r="N133" s="12"/>
      <c r="O133" s="11"/>
    </row>
    <row r="134" spans="1:15" x14ac:dyDescent="0.25">
      <c r="A134" s="6">
        <v>7064</v>
      </c>
      <c r="B134" s="1" t="s">
        <v>138</v>
      </c>
      <c r="C134" s="3">
        <v>17.678574000000001</v>
      </c>
      <c r="D134" s="1" t="s">
        <v>1182</v>
      </c>
      <c r="E134" s="3">
        <f t="shared" ref="E134:E197" si="10">IF(D134="RUB",C134*1.2,C134*$E$2*1.2)</f>
        <v>277.24529746944</v>
      </c>
      <c r="F134" s="3">
        <v>239.03838642629904</v>
      </c>
      <c r="G134" s="4">
        <f t="shared" ref="G134:G197" si="11">IF(M134="Вывод из ассортимента",F134,MAX(E134,F134))</f>
        <v>277.24529746944</v>
      </c>
      <c r="H134" s="1">
        <v>39.49</v>
      </c>
      <c r="I134" s="1">
        <f t="shared" ref="I134:I197" si="12">ROUND(H134*1.2,2)</f>
        <v>47.39</v>
      </c>
      <c r="J134" s="1" t="s">
        <v>1182</v>
      </c>
      <c r="K134" s="3">
        <f t="shared" ref="K134:K197" si="13">IF(J134="RUB",I134*$K$4,I134*$E$2*$K$4)</f>
        <v>353.01834623999997</v>
      </c>
      <c r="L134" s="10">
        <f t="shared" ref="L134:L197" si="14">K134/E134-1</f>
        <v>0.27330688549879634</v>
      </c>
      <c r="M134" s="18" t="str">
        <f>VLOOKUP(A134,Список!A:I,9,0)</f>
        <v>Основной ассортимент</v>
      </c>
      <c r="N134" s="12"/>
      <c r="O134" s="11"/>
    </row>
    <row r="135" spans="1:15" x14ac:dyDescent="0.25">
      <c r="A135" s="6">
        <v>7054</v>
      </c>
      <c r="B135" s="1" t="s">
        <v>139</v>
      </c>
      <c r="C135" s="3">
        <v>4.9786619999999999</v>
      </c>
      <c r="D135" s="1" t="s">
        <v>1182</v>
      </c>
      <c r="E135" s="3">
        <f t="shared" si="10"/>
        <v>78.07816553472</v>
      </c>
      <c r="F135" s="3">
        <v>59.98635140186915</v>
      </c>
      <c r="G135" s="4">
        <f t="shared" si="11"/>
        <v>78.07816553472</v>
      </c>
      <c r="H135" s="1">
        <v>12.02</v>
      </c>
      <c r="I135" s="1">
        <f t="shared" si="12"/>
        <v>14.42</v>
      </c>
      <c r="J135" s="1" t="s">
        <v>1182</v>
      </c>
      <c r="K135" s="3">
        <f t="shared" si="13"/>
        <v>107.41769471999999</v>
      </c>
      <c r="L135" s="10">
        <f t="shared" si="14"/>
        <v>0.37577124134958328</v>
      </c>
      <c r="M135" s="18" t="str">
        <f>VLOOKUP(A135,Список!A:I,9,0)</f>
        <v>Основной ассортимент</v>
      </c>
      <c r="N135" s="12"/>
      <c r="O135" s="11"/>
    </row>
    <row r="136" spans="1:15" x14ac:dyDescent="0.25">
      <c r="A136" s="6">
        <v>7065</v>
      </c>
      <c r="B136" s="1" t="s">
        <v>140</v>
      </c>
      <c r="C136" s="3">
        <v>21.285941999999999</v>
      </c>
      <c r="D136" s="1" t="s">
        <v>1182</v>
      </c>
      <c r="E136" s="3">
        <f t="shared" si="10"/>
        <v>333.81806257151999</v>
      </c>
      <c r="F136" s="3">
        <v>285.19342434584757</v>
      </c>
      <c r="G136" s="4">
        <f t="shared" si="11"/>
        <v>333.81806257151999</v>
      </c>
      <c r="H136" s="1">
        <v>47.49</v>
      </c>
      <c r="I136" s="1">
        <f t="shared" si="12"/>
        <v>56.99</v>
      </c>
      <c r="J136" s="1" t="s">
        <v>1182</v>
      </c>
      <c r="K136" s="3">
        <f t="shared" si="13"/>
        <v>424.53081983999999</v>
      </c>
      <c r="L136" s="10">
        <f t="shared" si="14"/>
        <v>0.27174310631871501</v>
      </c>
      <c r="M136" s="18" t="str">
        <f>VLOOKUP(A136,Список!A:I,9,0)</f>
        <v>Основной ассортимент</v>
      </c>
      <c r="N136" s="12"/>
      <c r="O136" s="11"/>
    </row>
    <row r="137" spans="1:15" x14ac:dyDescent="0.25">
      <c r="A137" s="6">
        <v>7055</v>
      </c>
      <c r="B137" s="1" t="s">
        <v>141</v>
      </c>
      <c r="C137" s="3">
        <v>5.3369280000000003</v>
      </c>
      <c r="D137" s="1" t="s">
        <v>1182</v>
      </c>
      <c r="E137" s="3">
        <f t="shared" si="10"/>
        <v>83.696693575680001</v>
      </c>
      <c r="F137" s="3">
        <v>70.970503067484657</v>
      </c>
      <c r="G137" s="4">
        <f t="shared" si="11"/>
        <v>83.696693575680001</v>
      </c>
      <c r="H137" s="1">
        <v>12.86</v>
      </c>
      <c r="I137" s="1">
        <f t="shared" si="12"/>
        <v>15.43</v>
      </c>
      <c r="J137" s="1" t="s">
        <v>1182</v>
      </c>
      <c r="K137" s="3">
        <f t="shared" si="13"/>
        <v>114.94140287999998</v>
      </c>
      <c r="L137" s="10">
        <f t="shared" si="14"/>
        <v>0.37330876489246223</v>
      </c>
      <c r="M137" s="18" t="str">
        <f>VLOOKUP(A137,Список!A:I,9,0)</f>
        <v>Основной ассортимент</v>
      </c>
      <c r="N137" s="12"/>
      <c r="O137" s="11"/>
    </row>
    <row r="138" spans="1:15" x14ac:dyDescent="0.25">
      <c r="A138" s="6">
        <v>7056</v>
      </c>
      <c r="B138" s="1" t="s">
        <v>142</v>
      </c>
      <c r="C138" s="3">
        <v>6.0534600000000003</v>
      </c>
      <c r="D138" s="1" t="s">
        <v>1182</v>
      </c>
      <c r="E138" s="3">
        <f t="shared" si="10"/>
        <v>94.933749657600004</v>
      </c>
      <c r="F138" s="3">
        <v>80.887904761904764</v>
      </c>
      <c r="G138" s="4">
        <f t="shared" si="11"/>
        <v>94.933749657600004</v>
      </c>
      <c r="H138" s="1">
        <v>14.62</v>
      </c>
      <c r="I138" s="1">
        <f t="shared" si="12"/>
        <v>17.54</v>
      </c>
      <c r="J138" s="1" t="s">
        <v>1182</v>
      </c>
      <c r="K138" s="3">
        <f t="shared" si="13"/>
        <v>130.65924863999999</v>
      </c>
      <c r="L138" s="10">
        <f t="shared" si="14"/>
        <v>0.37632031928847276</v>
      </c>
      <c r="M138" s="18" t="str">
        <f>VLOOKUP(A138,Список!A:I,9,0)</f>
        <v>Основной ассортимент</v>
      </c>
      <c r="N138" s="12"/>
      <c r="O138" s="11"/>
    </row>
    <row r="139" spans="1:15" x14ac:dyDescent="0.25">
      <c r="A139" s="6">
        <v>7071</v>
      </c>
      <c r="B139" s="1" t="s">
        <v>143</v>
      </c>
      <c r="C139" s="3">
        <v>6.646452</v>
      </c>
      <c r="D139" s="1" t="s">
        <v>1182</v>
      </c>
      <c r="E139" s="3">
        <f t="shared" si="10"/>
        <v>104.23338227711999</v>
      </c>
      <c r="F139" s="3">
        <v>88.54131882202303</v>
      </c>
      <c r="G139" s="4">
        <f t="shared" si="11"/>
        <v>104.23338227711999</v>
      </c>
      <c r="H139" s="1">
        <v>16.09</v>
      </c>
      <c r="I139" s="1">
        <f t="shared" si="12"/>
        <v>19.309999999999999</v>
      </c>
      <c r="J139" s="1" t="s">
        <v>1182</v>
      </c>
      <c r="K139" s="3">
        <f t="shared" si="13"/>
        <v>143.84436095999999</v>
      </c>
      <c r="L139" s="10">
        <f t="shared" si="14"/>
        <v>0.38002200271663744</v>
      </c>
      <c r="M139" s="18" t="str">
        <f>VLOOKUP(A139,Список!A:I,9,0)</f>
        <v>Основной ассортимент</v>
      </c>
      <c r="N139" s="12"/>
      <c r="O139" s="11"/>
    </row>
    <row r="140" spans="1:15" x14ac:dyDescent="0.25">
      <c r="A140" s="6">
        <v>7072</v>
      </c>
      <c r="B140" s="1" t="s">
        <v>144</v>
      </c>
      <c r="C140" s="3">
        <v>7.3753379999999993</v>
      </c>
      <c r="D140" s="1" t="s">
        <v>1182</v>
      </c>
      <c r="E140" s="3">
        <f t="shared" si="10"/>
        <v>115.66418070527997</v>
      </c>
      <c r="F140" s="3">
        <v>96.009329798082803</v>
      </c>
      <c r="G140" s="4">
        <f t="shared" si="11"/>
        <v>115.66418070527997</v>
      </c>
      <c r="H140" s="1">
        <v>17.8</v>
      </c>
      <c r="I140" s="1">
        <f t="shared" si="12"/>
        <v>21.36</v>
      </c>
      <c r="J140" s="1" t="s">
        <v>1182</v>
      </c>
      <c r="K140" s="3">
        <f t="shared" si="13"/>
        <v>159.11525375999997</v>
      </c>
      <c r="L140" s="10">
        <f t="shared" si="14"/>
        <v>0.37566576609777069</v>
      </c>
      <c r="M140" s="18" t="str">
        <f>VLOOKUP(A140,Список!A:I,9,0)</f>
        <v>Основной ассортимент</v>
      </c>
      <c r="N140" s="12"/>
      <c r="O140" s="11"/>
    </row>
    <row r="141" spans="1:15" x14ac:dyDescent="0.25">
      <c r="A141" s="6">
        <v>7073</v>
      </c>
      <c r="B141" s="1" t="s">
        <v>145</v>
      </c>
      <c r="C141" s="3">
        <v>8.4501360000000005</v>
      </c>
      <c r="D141" s="1" t="s">
        <v>1182</v>
      </c>
      <c r="E141" s="3">
        <f t="shared" si="10"/>
        <v>132.51976482815999</v>
      </c>
      <c r="F141" s="3">
        <v>113.95200000000001</v>
      </c>
      <c r="G141" s="4">
        <f t="shared" si="11"/>
        <v>132.51976482815999</v>
      </c>
      <c r="H141" s="1">
        <v>20.41</v>
      </c>
      <c r="I141" s="1">
        <f t="shared" si="12"/>
        <v>24.49</v>
      </c>
      <c r="J141" s="1" t="s">
        <v>1182</v>
      </c>
      <c r="K141" s="3">
        <f t="shared" si="13"/>
        <v>182.43129983999995</v>
      </c>
      <c r="L141" s="10">
        <f t="shared" si="14"/>
        <v>0.37663464824708126</v>
      </c>
      <c r="M141" s="18" t="str">
        <f>VLOOKUP(A141,Список!A:I,9,0)</f>
        <v>Основной ассортимент</v>
      </c>
      <c r="N141" s="12"/>
      <c r="O141" s="11"/>
    </row>
    <row r="142" spans="1:15" x14ac:dyDescent="0.25">
      <c r="A142" s="6">
        <v>7074</v>
      </c>
      <c r="B142" s="1" t="s">
        <v>146</v>
      </c>
      <c r="C142" s="3">
        <v>9.5372880000000002</v>
      </c>
      <c r="D142" s="1" t="s">
        <v>1182</v>
      </c>
      <c r="E142" s="3">
        <f t="shared" si="10"/>
        <v>149.56909129727998</v>
      </c>
      <c r="F142" s="3">
        <v>116.98552823920264</v>
      </c>
      <c r="G142" s="4">
        <f t="shared" si="11"/>
        <v>149.56909129727998</v>
      </c>
      <c r="H142" s="1">
        <v>23.04</v>
      </c>
      <c r="I142" s="1">
        <f t="shared" si="12"/>
        <v>27.65</v>
      </c>
      <c r="J142" s="1" t="s">
        <v>1182</v>
      </c>
      <c r="K142" s="3">
        <f t="shared" si="13"/>
        <v>205.97082239999997</v>
      </c>
      <c r="L142" s="10">
        <f t="shared" si="14"/>
        <v>0.37709483031234869</v>
      </c>
      <c r="M142" s="18" t="str">
        <f>VLOOKUP(A142,Список!A:I,9,0)</f>
        <v>Основной ассортимент</v>
      </c>
      <c r="N142" s="12"/>
      <c r="O142" s="11"/>
    </row>
    <row r="143" spans="1:15" x14ac:dyDescent="0.25">
      <c r="A143" s="6">
        <v>7075</v>
      </c>
      <c r="B143" s="1" t="s">
        <v>147</v>
      </c>
      <c r="C143" s="3">
        <v>10.241465999999999</v>
      </c>
      <c r="D143" s="1" t="s">
        <v>1182</v>
      </c>
      <c r="E143" s="3">
        <f t="shared" si="10"/>
        <v>160.61240503295997</v>
      </c>
      <c r="F143" s="3">
        <v>136.94070571010249</v>
      </c>
      <c r="G143" s="4">
        <f t="shared" si="11"/>
        <v>160.61240503295997</v>
      </c>
      <c r="H143" s="1">
        <v>24.34</v>
      </c>
      <c r="I143" s="1">
        <f t="shared" si="12"/>
        <v>29.21</v>
      </c>
      <c r="J143" s="1" t="s">
        <v>1182</v>
      </c>
      <c r="K143" s="3">
        <f t="shared" si="13"/>
        <v>217.59159935999998</v>
      </c>
      <c r="L143" s="10">
        <f t="shared" si="14"/>
        <v>0.35476210144133669</v>
      </c>
      <c r="M143" s="18" t="str">
        <f>VLOOKUP(A143,Список!A:I,9,0)</f>
        <v>Основной ассортимент</v>
      </c>
      <c r="N143" s="12"/>
      <c r="O143" s="11"/>
    </row>
    <row r="144" spans="1:15" x14ac:dyDescent="0.25">
      <c r="A144" s="6">
        <v>7076</v>
      </c>
      <c r="B144" s="1" t="s">
        <v>148</v>
      </c>
      <c r="C144" s="3">
        <v>12.045150000000001</v>
      </c>
      <c r="D144" s="1" t="s">
        <v>1182</v>
      </c>
      <c r="E144" s="3">
        <f t="shared" si="10"/>
        <v>188.89878758400002</v>
      </c>
      <c r="F144" s="3">
        <v>156.96653209459458</v>
      </c>
      <c r="G144" s="4">
        <f t="shared" si="11"/>
        <v>188.89878758400002</v>
      </c>
      <c r="H144" s="1">
        <v>27.46</v>
      </c>
      <c r="I144" s="1">
        <f t="shared" si="12"/>
        <v>32.950000000000003</v>
      </c>
      <c r="J144" s="1" t="s">
        <v>1182</v>
      </c>
      <c r="K144" s="3">
        <f t="shared" si="13"/>
        <v>245.45166719999997</v>
      </c>
      <c r="L144" s="10">
        <f t="shared" si="14"/>
        <v>0.29938190890109273</v>
      </c>
      <c r="M144" s="18" t="str">
        <f>VLOOKUP(A144,Список!A:I,9,0)</f>
        <v>Основной ассортимент</v>
      </c>
      <c r="N144" s="12"/>
      <c r="O144" s="11"/>
    </row>
    <row r="145" spans="1:15" x14ac:dyDescent="0.25">
      <c r="A145" s="6">
        <v>7066</v>
      </c>
      <c r="B145" s="1" t="s">
        <v>149</v>
      </c>
      <c r="C145" s="3">
        <v>4.1385900000000007</v>
      </c>
      <c r="D145" s="1" t="s">
        <v>1182</v>
      </c>
      <c r="E145" s="3">
        <f t="shared" si="10"/>
        <v>64.903685990400007</v>
      </c>
      <c r="F145" s="3">
        <v>45.840827938671204</v>
      </c>
      <c r="G145" s="4">
        <f t="shared" si="11"/>
        <v>64.903685990400007</v>
      </c>
      <c r="H145" s="1">
        <v>10.029999999999999</v>
      </c>
      <c r="I145" s="1">
        <f t="shared" si="12"/>
        <v>12.04</v>
      </c>
      <c r="J145" s="1" t="s">
        <v>1182</v>
      </c>
      <c r="K145" s="3">
        <f t="shared" si="13"/>
        <v>89.688560639999977</v>
      </c>
      <c r="L145" s="10">
        <f t="shared" si="14"/>
        <v>0.38187160361379058</v>
      </c>
      <c r="M145" s="18" t="str">
        <f>VLOOKUP(A145,Список!A:I,9,0)</f>
        <v>Основной ассортимент</v>
      </c>
      <c r="N145" s="12"/>
      <c r="O145" s="11"/>
    </row>
    <row r="146" spans="1:15" x14ac:dyDescent="0.25">
      <c r="A146" s="6">
        <v>7077</v>
      </c>
      <c r="B146" s="1" t="s">
        <v>150</v>
      </c>
      <c r="C146" s="3">
        <v>13.848834</v>
      </c>
      <c r="D146" s="1" t="s">
        <v>1182</v>
      </c>
      <c r="E146" s="3">
        <f t="shared" si="10"/>
        <v>217.18517013504001</v>
      </c>
      <c r="F146" s="3">
        <v>180.42520831319479</v>
      </c>
      <c r="G146" s="4">
        <f t="shared" si="11"/>
        <v>217.18517013504001</v>
      </c>
      <c r="H146" s="1">
        <v>32.619999999999997</v>
      </c>
      <c r="I146" s="1">
        <f t="shared" si="12"/>
        <v>39.14</v>
      </c>
      <c r="J146" s="1" t="s">
        <v>1182</v>
      </c>
      <c r="K146" s="3">
        <f t="shared" si="13"/>
        <v>291.56231423999998</v>
      </c>
      <c r="L146" s="10">
        <f t="shared" si="14"/>
        <v>0.34245958901666351</v>
      </c>
      <c r="M146" s="18" t="str">
        <f>VLOOKUP(A146,Список!A:I,9,0)</f>
        <v>Основной ассортимент</v>
      </c>
      <c r="N146" s="12"/>
      <c r="O146" s="11"/>
    </row>
    <row r="147" spans="1:15" x14ac:dyDescent="0.25">
      <c r="A147" s="6">
        <v>7067</v>
      </c>
      <c r="B147" s="1" t="s">
        <v>151</v>
      </c>
      <c r="C147" s="3">
        <v>4.4968560000000002</v>
      </c>
      <c r="D147" s="1" t="s">
        <v>1182</v>
      </c>
      <c r="E147" s="3">
        <f t="shared" si="10"/>
        <v>70.522214031359994</v>
      </c>
      <c r="F147" s="3">
        <v>50.614492359932086</v>
      </c>
      <c r="G147" s="4">
        <f t="shared" si="11"/>
        <v>70.522214031359994</v>
      </c>
      <c r="H147" s="1">
        <v>10.87</v>
      </c>
      <c r="I147" s="1">
        <f t="shared" si="12"/>
        <v>13.04</v>
      </c>
      <c r="J147" s="1" t="s">
        <v>1182</v>
      </c>
      <c r="K147" s="3">
        <f t="shared" si="13"/>
        <v>97.137776639999984</v>
      </c>
      <c r="L147" s="10">
        <f t="shared" si="14"/>
        <v>0.37740679265691401</v>
      </c>
      <c r="M147" s="18" t="str">
        <f>VLOOKUP(A147,Список!A:I,9,0)</f>
        <v>Основной ассортимент</v>
      </c>
      <c r="N147" s="12"/>
      <c r="O147" s="11"/>
    </row>
    <row r="148" spans="1:15" x14ac:dyDescent="0.25">
      <c r="A148" s="6">
        <v>7078</v>
      </c>
      <c r="B148" s="1" t="s">
        <v>152</v>
      </c>
      <c r="C148" s="3">
        <v>17.443847999999999</v>
      </c>
      <c r="D148" s="1" t="s">
        <v>1182</v>
      </c>
      <c r="E148" s="3">
        <f t="shared" si="10"/>
        <v>273.56419289087995</v>
      </c>
      <c r="F148" s="3">
        <v>230.71196178343951</v>
      </c>
      <c r="G148" s="4">
        <f t="shared" si="11"/>
        <v>273.56419289087995</v>
      </c>
      <c r="H148" s="1">
        <v>39.090000000000003</v>
      </c>
      <c r="I148" s="1">
        <f t="shared" si="12"/>
        <v>46.91</v>
      </c>
      <c r="J148" s="1" t="s">
        <v>1182</v>
      </c>
      <c r="K148" s="3">
        <f t="shared" si="13"/>
        <v>349.44272255999994</v>
      </c>
      <c r="L148" s="10">
        <f t="shared" si="14"/>
        <v>0.27737010778814408</v>
      </c>
      <c r="M148" s="18" t="str">
        <f>VLOOKUP(A148,Список!A:I,9,0)</f>
        <v>Основной ассортимент</v>
      </c>
      <c r="N148" s="12"/>
      <c r="O148" s="11"/>
    </row>
    <row r="149" spans="1:15" x14ac:dyDescent="0.25">
      <c r="A149" s="6">
        <v>7068</v>
      </c>
      <c r="B149" s="1" t="s">
        <v>153</v>
      </c>
      <c r="C149" s="3">
        <v>4.8551219999999997</v>
      </c>
      <c r="D149" s="1" t="s">
        <v>1182</v>
      </c>
      <c r="E149" s="3">
        <f t="shared" si="10"/>
        <v>76.140742072319995</v>
      </c>
      <c r="F149" s="3">
        <v>57.852627501613952</v>
      </c>
      <c r="G149" s="4">
        <f t="shared" si="11"/>
        <v>76.140742072319995</v>
      </c>
      <c r="H149" s="1">
        <v>11.73</v>
      </c>
      <c r="I149" s="1">
        <f t="shared" si="12"/>
        <v>14.08</v>
      </c>
      <c r="J149" s="1" t="s">
        <v>1182</v>
      </c>
      <c r="K149" s="3">
        <f t="shared" si="13"/>
        <v>104.88496127999998</v>
      </c>
      <c r="L149" s="10">
        <f t="shared" si="14"/>
        <v>0.37751430345107684</v>
      </c>
      <c r="M149" s="18" t="str">
        <f>VLOOKUP(A149,Список!A:I,9,0)</f>
        <v>Основной ассортимент</v>
      </c>
      <c r="N149" s="12"/>
      <c r="O149" s="11"/>
    </row>
    <row r="150" spans="1:15" x14ac:dyDescent="0.25">
      <c r="A150" s="6">
        <v>7079</v>
      </c>
      <c r="B150" s="1" t="s">
        <v>154</v>
      </c>
      <c r="C150" s="3">
        <v>21.038862000000002</v>
      </c>
      <c r="D150" s="1" t="s">
        <v>1182</v>
      </c>
      <c r="E150" s="3">
        <f t="shared" si="10"/>
        <v>329.94321564672003</v>
      </c>
      <c r="F150" s="3">
        <v>273.49339072847681</v>
      </c>
      <c r="G150" s="4">
        <f t="shared" si="11"/>
        <v>329.94321564672003</v>
      </c>
      <c r="H150" s="1">
        <v>47.03</v>
      </c>
      <c r="I150" s="1">
        <f t="shared" si="12"/>
        <v>56.44</v>
      </c>
      <c r="J150" s="1" t="s">
        <v>1182</v>
      </c>
      <c r="K150" s="3">
        <f t="shared" si="13"/>
        <v>420.43375103999995</v>
      </c>
      <c r="L150" s="10">
        <f t="shared" si="14"/>
        <v>0.27426093673697727</v>
      </c>
      <c r="M150" s="18" t="str">
        <f>VLOOKUP(A150,Список!A:I,9,0)</f>
        <v>Основной ассортимент</v>
      </c>
      <c r="N150" s="12"/>
      <c r="O150" s="11"/>
    </row>
    <row r="151" spans="1:15" x14ac:dyDescent="0.25">
      <c r="A151" s="6">
        <v>7069</v>
      </c>
      <c r="B151" s="1" t="s">
        <v>155</v>
      </c>
      <c r="C151" s="3">
        <v>5.2257420000000003</v>
      </c>
      <c r="D151" s="1" t="s">
        <v>1182</v>
      </c>
      <c r="E151" s="3">
        <f t="shared" si="10"/>
        <v>81.953012459520011</v>
      </c>
      <c r="F151" s="3">
        <v>62.433622529644268</v>
      </c>
      <c r="G151" s="4">
        <f t="shared" si="11"/>
        <v>81.953012459520011</v>
      </c>
      <c r="H151" s="1">
        <v>12.59</v>
      </c>
      <c r="I151" s="1">
        <f t="shared" si="12"/>
        <v>15.11</v>
      </c>
      <c r="J151" s="1" t="s">
        <v>1182</v>
      </c>
      <c r="K151" s="3">
        <f t="shared" si="13"/>
        <v>112.55765375999998</v>
      </c>
      <c r="L151" s="10">
        <f t="shared" si="14"/>
        <v>0.3734413218256849</v>
      </c>
      <c r="M151" s="18" t="str">
        <f>VLOOKUP(A151,Список!A:I,9,0)</f>
        <v>Основной ассортимент</v>
      </c>
      <c r="N151" s="12"/>
      <c r="O151" s="11"/>
    </row>
    <row r="152" spans="1:15" x14ac:dyDescent="0.25">
      <c r="A152" s="6">
        <v>7070</v>
      </c>
      <c r="B152" s="1" t="s">
        <v>156</v>
      </c>
      <c r="C152" s="3">
        <v>5.9299199999999992</v>
      </c>
      <c r="D152" s="1" t="s">
        <v>1182</v>
      </c>
      <c r="E152" s="3">
        <f t="shared" si="10"/>
        <v>92.996326195199984</v>
      </c>
      <c r="F152" s="3">
        <v>74.903821011673159</v>
      </c>
      <c r="G152" s="4">
        <f t="shared" si="11"/>
        <v>92.996326195199984</v>
      </c>
      <c r="H152" s="1">
        <v>14.33</v>
      </c>
      <c r="I152" s="1">
        <f t="shared" si="12"/>
        <v>17.2</v>
      </c>
      <c r="J152" s="1" t="s">
        <v>1182</v>
      </c>
      <c r="K152" s="3">
        <f t="shared" si="13"/>
        <v>128.12651519999997</v>
      </c>
      <c r="L152" s="10">
        <f t="shared" si="14"/>
        <v>0.37775889050779776</v>
      </c>
      <c r="M152" s="18" t="str">
        <f>VLOOKUP(A152,Список!A:I,9,0)</f>
        <v>Основной ассортимент</v>
      </c>
      <c r="N152" s="12"/>
      <c r="O152" s="11"/>
    </row>
    <row r="153" spans="1:15" x14ac:dyDescent="0.25">
      <c r="A153" s="6">
        <v>2355</v>
      </c>
      <c r="B153" s="1" t="s">
        <v>157</v>
      </c>
      <c r="C153" s="3">
        <v>3.2517100000000001</v>
      </c>
      <c r="D153" s="1" t="s">
        <v>1182</v>
      </c>
      <c r="E153" s="3">
        <f t="shared" si="10"/>
        <v>50.995137177599993</v>
      </c>
      <c r="F153" s="3">
        <v>44.965795488721803</v>
      </c>
      <c r="G153" s="4">
        <f t="shared" si="11"/>
        <v>50.995137177599993</v>
      </c>
      <c r="H153" s="1">
        <v>7.6</v>
      </c>
      <c r="I153" s="1">
        <f t="shared" si="12"/>
        <v>9.1199999999999992</v>
      </c>
      <c r="J153" s="1" t="s">
        <v>1182</v>
      </c>
      <c r="K153" s="3">
        <f t="shared" si="13"/>
        <v>67.936849919999986</v>
      </c>
      <c r="L153" s="10">
        <f t="shared" si="14"/>
        <v>0.33222212312906119</v>
      </c>
      <c r="M153" s="18" t="str">
        <f>VLOOKUP(A153,Список!A:I,9,0)</f>
        <v>Основной ассортимент</v>
      </c>
      <c r="N153" s="12"/>
      <c r="O153" s="11"/>
    </row>
    <row r="154" spans="1:15" x14ac:dyDescent="0.25">
      <c r="A154" s="6">
        <v>1412</v>
      </c>
      <c r="B154" s="1" t="s">
        <v>158</v>
      </c>
      <c r="C154" s="3">
        <v>3.5689499999999996</v>
      </c>
      <c r="D154" s="1" t="s">
        <v>1182</v>
      </c>
      <c r="E154" s="3">
        <f t="shared" si="10"/>
        <v>55.970272511999994</v>
      </c>
      <c r="F154" s="3">
        <v>50.112060251684248</v>
      </c>
      <c r="G154" s="4">
        <f t="shared" si="11"/>
        <v>55.970272511999994</v>
      </c>
      <c r="H154" s="1">
        <v>8.41</v>
      </c>
      <c r="I154" s="1">
        <f t="shared" si="12"/>
        <v>10.09</v>
      </c>
      <c r="J154" s="1" t="s">
        <v>1182</v>
      </c>
      <c r="K154" s="3">
        <f t="shared" si="13"/>
        <v>75.162589439999991</v>
      </c>
      <c r="L154" s="10">
        <f t="shared" si="14"/>
        <v>0.34290197396993505</v>
      </c>
      <c r="M154" s="18" t="str">
        <f>VLOOKUP(A154,Список!A:I,9,0)</f>
        <v>Основной ассортимент</v>
      </c>
      <c r="N154" s="12"/>
      <c r="O154" s="11"/>
    </row>
    <row r="155" spans="1:15" x14ac:dyDescent="0.25">
      <c r="A155" s="6">
        <v>1413</v>
      </c>
      <c r="B155" s="1" t="s">
        <v>159</v>
      </c>
      <c r="C155" s="3">
        <v>3.8295400000000002</v>
      </c>
      <c r="D155" s="1" t="s">
        <v>1182</v>
      </c>
      <c r="E155" s="3">
        <f t="shared" si="10"/>
        <v>60.056990822399996</v>
      </c>
      <c r="F155" s="3">
        <v>50.270526775089245</v>
      </c>
      <c r="G155" s="4">
        <f t="shared" si="11"/>
        <v>60.056990822399996</v>
      </c>
      <c r="H155" s="1">
        <v>9.1199999999999992</v>
      </c>
      <c r="I155" s="1">
        <f t="shared" si="12"/>
        <v>10.94</v>
      </c>
      <c r="J155" s="1" t="s">
        <v>1182</v>
      </c>
      <c r="K155" s="3">
        <f t="shared" si="13"/>
        <v>81.494423039999987</v>
      </c>
      <c r="L155" s="10">
        <f t="shared" si="14"/>
        <v>0.35695148764603579</v>
      </c>
      <c r="M155" s="18" t="str">
        <f>VLOOKUP(A155,Список!A:I,9,0)</f>
        <v>Основной ассортимент</v>
      </c>
      <c r="N155" s="12"/>
      <c r="O155" s="11"/>
    </row>
    <row r="156" spans="1:15" x14ac:dyDescent="0.25">
      <c r="A156" s="6">
        <v>1414</v>
      </c>
      <c r="B156" s="1" t="s">
        <v>160</v>
      </c>
      <c r="C156" s="3">
        <v>4.0901300000000003</v>
      </c>
      <c r="D156" s="1" t="s">
        <v>1182</v>
      </c>
      <c r="E156" s="3">
        <f t="shared" si="10"/>
        <v>64.143709132799998</v>
      </c>
      <c r="F156" s="3">
        <v>57.831940528464678</v>
      </c>
      <c r="G156" s="4">
        <f t="shared" si="11"/>
        <v>64.143709132799998</v>
      </c>
      <c r="H156" s="1">
        <v>9.7200000000000006</v>
      </c>
      <c r="I156" s="1">
        <f t="shared" si="12"/>
        <v>11.66</v>
      </c>
      <c r="J156" s="1" t="s">
        <v>1182</v>
      </c>
      <c r="K156" s="3">
        <f t="shared" si="13"/>
        <v>86.857858559999983</v>
      </c>
      <c r="L156" s="10">
        <f t="shared" si="14"/>
        <v>0.35411343893714853</v>
      </c>
      <c r="M156" s="18" t="str">
        <f>VLOOKUP(A156,Список!A:I,9,0)</f>
        <v>Основной ассортимент</v>
      </c>
      <c r="N156" s="12"/>
      <c r="O156" s="11"/>
    </row>
    <row r="157" spans="1:15" x14ac:dyDescent="0.25">
      <c r="A157" s="6">
        <v>1415</v>
      </c>
      <c r="B157" s="1" t="s">
        <v>161</v>
      </c>
      <c r="C157" s="3">
        <v>4.3847100000000001</v>
      </c>
      <c r="D157" s="1" t="s">
        <v>1182</v>
      </c>
      <c r="E157" s="3">
        <f t="shared" si="10"/>
        <v>68.763477657599992</v>
      </c>
      <c r="F157" s="3">
        <v>58.413501843475615</v>
      </c>
      <c r="G157" s="4">
        <f t="shared" si="11"/>
        <v>68.763477657599992</v>
      </c>
      <c r="H157" s="1">
        <v>10.39</v>
      </c>
      <c r="I157" s="1">
        <f t="shared" si="12"/>
        <v>12.47</v>
      </c>
      <c r="J157" s="1" t="s">
        <v>1182</v>
      </c>
      <c r="K157" s="3">
        <f t="shared" si="13"/>
        <v>92.891723519999999</v>
      </c>
      <c r="L157" s="10">
        <f t="shared" si="14"/>
        <v>0.35088751593605982</v>
      </c>
      <c r="M157" s="18" t="str">
        <f>VLOOKUP(A157,Список!A:I,9,0)</f>
        <v>Основной ассортимент</v>
      </c>
      <c r="N157" s="12"/>
      <c r="O157" s="11"/>
    </row>
    <row r="158" spans="1:15" x14ac:dyDescent="0.25">
      <c r="A158" s="6">
        <v>1416</v>
      </c>
      <c r="B158" s="1" t="s">
        <v>162</v>
      </c>
      <c r="C158" s="3">
        <v>5.00786</v>
      </c>
      <c r="D158" s="1" t="s">
        <v>1182</v>
      </c>
      <c r="E158" s="3">
        <f t="shared" si="10"/>
        <v>78.536064921599987</v>
      </c>
      <c r="F158" s="3">
        <v>65.492069686411142</v>
      </c>
      <c r="G158" s="4">
        <f t="shared" si="11"/>
        <v>78.536064921599987</v>
      </c>
      <c r="H158" s="1">
        <v>12.01</v>
      </c>
      <c r="I158" s="1">
        <f t="shared" si="12"/>
        <v>14.41</v>
      </c>
      <c r="J158" s="1" t="s">
        <v>1182</v>
      </c>
      <c r="K158" s="3">
        <f t="shared" si="13"/>
        <v>107.34320255999998</v>
      </c>
      <c r="L158" s="10">
        <f t="shared" si="14"/>
        <v>0.36680138821772168</v>
      </c>
      <c r="M158" s="18" t="str">
        <f>VLOOKUP(A158,Список!A:I,9,0)</f>
        <v>Основной ассортимент</v>
      </c>
      <c r="N158" s="12"/>
      <c r="O158" s="11"/>
    </row>
    <row r="159" spans="1:15" x14ac:dyDescent="0.25">
      <c r="A159" s="6">
        <v>1418</v>
      </c>
      <c r="B159" s="1" t="s">
        <v>163</v>
      </c>
      <c r="C159" s="3">
        <v>5.5403699999999994</v>
      </c>
      <c r="D159" s="1" t="s">
        <v>1182</v>
      </c>
      <c r="E159" s="3">
        <f t="shared" si="10"/>
        <v>86.887184947199984</v>
      </c>
      <c r="F159" s="3">
        <v>76.055179814077022</v>
      </c>
      <c r="G159" s="4">
        <f t="shared" si="11"/>
        <v>86.887184947199984</v>
      </c>
      <c r="H159" s="1">
        <v>13.18</v>
      </c>
      <c r="I159" s="1">
        <f t="shared" si="12"/>
        <v>15.82</v>
      </c>
      <c r="J159" s="1" t="s">
        <v>1182</v>
      </c>
      <c r="K159" s="3">
        <f t="shared" si="13"/>
        <v>117.84659711999998</v>
      </c>
      <c r="L159" s="10">
        <f t="shared" si="14"/>
        <v>0.35631735786599106</v>
      </c>
      <c r="M159" s="18" t="str">
        <f>VLOOKUP(A159,Список!A:I,9,0)</f>
        <v>Основной ассортимент</v>
      </c>
      <c r="N159" s="12"/>
      <c r="O159" s="11"/>
    </row>
    <row r="160" spans="1:15" x14ac:dyDescent="0.25">
      <c r="A160" s="6">
        <v>1419</v>
      </c>
      <c r="B160" s="1" t="s">
        <v>164</v>
      </c>
      <c r="C160" s="3">
        <v>6.2314999999999996</v>
      </c>
      <c r="D160" s="1" t="s">
        <v>1182</v>
      </c>
      <c r="E160" s="3">
        <f t="shared" si="10"/>
        <v>97.725872639999977</v>
      </c>
      <c r="F160" s="3">
        <v>81.224086769964231</v>
      </c>
      <c r="G160" s="4">
        <f t="shared" si="11"/>
        <v>97.725872639999977</v>
      </c>
      <c r="H160" s="1">
        <v>14.71</v>
      </c>
      <c r="I160" s="1">
        <f t="shared" si="12"/>
        <v>17.649999999999999</v>
      </c>
      <c r="J160" s="1" t="s">
        <v>1182</v>
      </c>
      <c r="K160" s="3">
        <f t="shared" si="13"/>
        <v>131.47866239999996</v>
      </c>
      <c r="L160" s="10">
        <f t="shared" si="14"/>
        <v>0.34538233170183741</v>
      </c>
      <c r="M160" s="18" t="str">
        <f>VLOOKUP(A160,Список!A:I,9,0)</f>
        <v>Основной ассортимент</v>
      </c>
      <c r="N160" s="12"/>
      <c r="O160" s="11"/>
    </row>
    <row r="161" spans="1:15" x14ac:dyDescent="0.25">
      <c r="A161" s="6">
        <v>1420</v>
      </c>
      <c r="B161" s="1" t="s">
        <v>165</v>
      </c>
      <c r="C161" s="3">
        <v>7.0359300000000005</v>
      </c>
      <c r="D161" s="1" t="s">
        <v>1182</v>
      </c>
      <c r="E161" s="3">
        <f t="shared" si="10"/>
        <v>110.34139438080001</v>
      </c>
      <c r="F161" s="3">
        <v>96.13791367757193</v>
      </c>
      <c r="G161" s="4">
        <f t="shared" si="11"/>
        <v>110.34139438080001</v>
      </c>
      <c r="H161" s="1">
        <v>17.170000000000002</v>
      </c>
      <c r="I161" s="1">
        <f t="shared" si="12"/>
        <v>20.6</v>
      </c>
      <c r="J161" s="1" t="s">
        <v>1182</v>
      </c>
      <c r="K161" s="3">
        <f t="shared" si="13"/>
        <v>153.45384959999998</v>
      </c>
      <c r="L161" s="10">
        <f t="shared" si="14"/>
        <v>0.39071878202312949</v>
      </c>
      <c r="M161" s="18" t="str">
        <f>VLOOKUP(A161,Список!A:I,9,0)</f>
        <v>Основной ассортимент</v>
      </c>
      <c r="N161" s="12"/>
      <c r="O161" s="11"/>
    </row>
    <row r="162" spans="1:15" x14ac:dyDescent="0.25">
      <c r="A162" s="6">
        <v>1421</v>
      </c>
      <c r="B162" s="1" t="s">
        <v>166</v>
      </c>
      <c r="C162" s="3">
        <v>7.8403600000000004</v>
      </c>
      <c r="D162" s="1" t="s">
        <v>1182</v>
      </c>
      <c r="E162" s="3">
        <f t="shared" si="10"/>
        <v>122.9569161216</v>
      </c>
      <c r="F162" s="3">
        <v>101.91634972677595</v>
      </c>
      <c r="G162" s="4">
        <f t="shared" si="11"/>
        <v>122.9569161216</v>
      </c>
      <c r="H162" s="1">
        <v>19.47</v>
      </c>
      <c r="I162" s="1">
        <f t="shared" si="12"/>
        <v>23.36</v>
      </c>
      <c r="J162" s="1" t="s">
        <v>1182</v>
      </c>
      <c r="K162" s="3">
        <f t="shared" si="13"/>
        <v>174.01368575999999</v>
      </c>
      <c r="L162" s="10">
        <f t="shared" si="14"/>
        <v>0.41524113688657138</v>
      </c>
      <c r="M162" s="18" t="str">
        <f>VLOOKUP(A162,Список!A:I,9,0)</f>
        <v>Основной ассортимент</v>
      </c>
      <c r="N162" s="12"/>
      <c r="O162" s="11"/>
    </row>
    <row r="163" spans="1:15" x14ac:dyDescent="0.25">
      <c r="A163" s="6">
        <v>1422</v>
      </c>
      <c r="B163" s="1" t="s">
        <v>167</v>
      </c>
      <c r="C163" s="3">
        <v>8.3615399999999998</v>
      </c>
      <c r="D163" s="1" t="s">
        <v>1182</v>
      </c>
      <c r="E163" s="3">
        <f t="shared" si="10"/>
        <v>131.13035274239999</v>
      </c>
      <c r="F163" s="3">
        <v>116.13207967092444</v>
      </c>
      <c r="G163" s="4">
        <f t="shared" si="11"/>
        <v>131.13035274239999</v>
      </c>
      <c r="H163" s="1">
        <v>20.73</v>
      </c>
      <c r="I163" s="1">
        <f t="shared" si="12"/>
        <v>24.88</v>
      </c>
      <c r="J163" s="1" t="s">
        <v>1182</v>
      </c>
      <c r="K163" s="3">
        <f t="shared" si="13"/>
        <v>185.33649407999997</v>
      </c>
      <c r="L163" s="10">
        <f t="shared" si="14"/>
        <v>0.41337600489861903</v>
      </c>
      <c r="M163" s="18" t="str">
        <f>VLOOKUP(A163,Список!A:I,9,0)</f>
        <v>Основной ассортимент</v>
      </c>
      <c r="N163" s="12"/>
      <c r="O163" s="11"/>
    </row>
    <row r="164" spans="1:15" x14ac:dyDescent="0.25">
      <c r="A164" s="6">
        <v>1423</v>
      </c>
      <c r="B164" s="1" t="s">
        <v>168</v>
      </c>
      <c r="C164" s="3">
        <v>9.7324699999999993</v>
      </c>
      <c r="D164" s="1" t="s">
        <v>1182</v>
      </c>
      <c r="E164" s="3">
        <f t="shared" si="10"/>
        <v>152.63004472319997</v>
      </c>
      <c r="F164" s="3">
        <v>120.21828155844156</v>
      </c>
      <c r="G164" s="4">
        <f t="shared" si="11"/>
        <v>152.63004472319997</v>
      </c>
      <c r="H164" s="1">
        <v>24.76</v>
      </c>
      <c r="I164" s="1">
        <f t="shared" si="12"/>
        <v>29.71</v>
      </c>
      <c r="J164" s="1" t="s">
        <v>1182</v>
      </c>
      <c r="K164" s="3">
        <f t="shared" si="13"/>
        <v>221.31620735999996</v>
      </c>
      <c r="L164" s="10">
        <f t="shared" si="14"/>
        <v>0.4500173131794909</v>
      </c>
      <c r="M164" s="18" t="str">
        <f>VLOOKUP(A164,Список!A:I,9,0)</f>
        <v>Основной ассортимент</v>
      </c>
      <c r="N164" s="12"/>
      <c r="O164" s="11"/>
    </row>
    <row r="165" spans="1:15" x14ac:dyDescent="0.25">
      <c r="A165" s="6">
        <v>1424</v>
      </c>
      <c r="B165" s="1" t="s">
        <v>169</v>
      </c>
      <c r="C165" s="3">
        <v>11.216700000000001</v>
      </c>
      <c r="D165" s="1" t="s">
        <v>1182</v>
      </c>
      <c r="E165" s="3">
        <f t="shared" si="10"/>
        <v>175.90657075200002</v>
      </c>
      <c r="F165" s="3">
        <v>156.6222808988764</v>
      </c>
      <c r="G165" s="4">
        <f t="shared" si="11"/>
        <v>175.90657075200002</v>
      </c>
      <c r="H165" s="1">
        <v>28.96</v>
      </c>
      <c r="I165" s="1">
        <f t="shared" si="12"/>
        <v>34.75</v>
      </c>
      <c r="J165" s="1" t="s">
        <v>1182</v>
      </c>
      <c r="K165" s="3">
        <f t="shared" si="13"/>
        <v>258.86025599999994</v>
      </c>
      <c r="L165" s="10">
        <f t="shared" si="14"/>
        <v>0.47157809337862244</v>
      </c>
      <c r="M165" s="18" t="str">
        <f>VLOOKUP(A165,Список!A:I,9,0)</f>
        <v>Основной ассортимент</v>
      </c>
      <c r="N165" s="12"/>
      <c r="O165" s="11"/>
    </row>
    <row r="166" spans="1:15" x14ac:dyDescent="0.25">
      <c r="A166" s="6">
        <v>1425</v>
      </c>
      <c r="B166" s="1" t="s">
        <v>170</v>
      </c>
      <c r="C166" s="3">
        <v>12.51965</v>
      </c>
      <c r="D166" s="1" t="s">
        <v>1182</v>
      </c>
      <c r="E166" s="3">
        <f t="shared" si="10"/>
        <v>196.34016230399999</v>
      </c>
      <c r="F166" s="3">
        <v>168.25159798994972</v>
      </c>
      <c r="G166" s="4">
        <f t="shared" si="11"/>
        <v>196.34016230399999</v>
      </c>
      <c r="H166" s="1">
        <v>34.43</v>
      </c>
      <c r="I166" s="1">
        <f t="shared" si="12"/>
        <v>41.32</v>
      </c>
      <c r="J166" s="1" t="s">
        <v>1182</v>
      </c>
      <c r="K166" s="3">
        <f t="shared" si="13"/>
        <v>307.80160511999992</v>
      </c>
      <c r="L166" s="10">
        <f t="shared" si="14"/>
        <v>0.56769558254424024</v>
      </c>
      <c r="M166" s="18" t="str">
        <f>VLOOKUP(A166,Список!A:I,9,0)</f>
        <v>Основной ассортимент</v>
      </c>
      <c r="N166" s="12"/>
      <c r="O166" s="11"/>
    </row>
    <row r="167" spans="1:15" x14ac:dyDescent="0.25">
      <c r="A167" s="6">
        <v>2356</v>
      </c>
      <c r="B167" s="1" t="s">
        <v>171</v>
      </c>
      <c r="C167" s="3">
        <v>14.117180000000001</v>
      </c>
      <c r="D167" s="1" t="s">
        <v>1182</v>
      </c>
      <c r="E167" s="3">
        <f t="shared" si="10"/>
        <v>221.39352238080002</v>
      </c>
      <c r="F167" s="3">
        <v>202.37150963222416</v>
      </c>
      <c r="G167" s="4">
        <f t="shared" si="11"/>
        <v>221.39352238080002</v>
      </c>
      <c r="H167" s="1">
        <v>38.630000000000003</v>
      </c>
      <c r="I167" s="1">
        <f t="shared" si="12"/>
        <v>46.36</v>
      </c>
      <c r="J167" s="1" t="s">
        <v>1182</v>
      </c>
      <c r="K167" s="3">
        <f t="shared" si="13"/>
        <v>345.34565375999995</v>
      </c>
      <c r="L167" s="10">
        <f t="shared" si="14"/>
        <v>0.55987243911319351</v>
      </c>
      <c r="M167" s="18" t="str">
        <f>VLOOKUP(A167,Список!A:I,9,0)</f>
        <v>Основной ассортимент</v>
      </c>
      <c r="N167" s="12"/>
      <c r="O167" s="11"/>
    </row>
    <row r="168" spans="1:15" x14ac:dyDescent="0.25">
      <c r="A168" s="6">
        <v>2357</v>
      </c>
      <c r="B168" s="1" t="s">
        <v>172</v>
      </c>
      <c r="C168" s="3">
        <v>3.5802800000000001</v>
      </c>
      <c r="D168" s="1" t="s">
        <v>1182</v>
      </c>
      <c r="E168" s="3">
        <f t="shared" si="10"/>
        <v>56.147955916800001</v>
      </c>
      <c r="F168" s="3">
        <v>49.51190106007067</v>
      </c>
      <c r="G168" s="4">
        <f t="shared" si="11"/>
        <v>56.147955916800001</v>
      </c>
      <c r="H168" s="1">
        <v>8.2899999999999991</v>
      </c>
      <c r="I168" s="1">
        <f t="shared" si="12"/>
        <v>9.9499999999999993</v>
      </c>
      <c r="J168" s="1" t="s">
        <v>1182</v>
      </c>
      <c r="K168" s="3">
        <f t="shared" si="13"/>
        <v>74.119699199999999</v>
      </c>
      <c r="L168" s="10">
        <f t="shared" si="14"/>
        <v>0.3200783178969242</v>
      </c>
      <c r="M168" s="18" t="str">
        <f>VLOOKUP(A168,Список!A:I,9,0)</f>
        <v>Основной ассортимент</v>
      </c>
      <c r="N168" s="12"/>
      <c r="O168" s="11"/>
    </row>
    <row r="169" spans="1:15" x14ac:dyDescent="0.25">
      <c r="A169" s="6">
        <v>1426</v>
      </c>
      <c r="B169" s="1" t="s">
        <v>173</v>
      </c>
      <c r="C169" s="3">
        <v>3.87486</v>
      </c>
      <c r="D169" s="1" t="s">
        <v>1182</v>
      </c>
      <c r="E169" s="3">
        <f t="shared" si="10"/>
        <v>60.767724441599995</v>
      </c>
      <c r="F169" s="3">
        <v>51.526232445520577</v>
      </c>
      <c r="G169" s="4">
        <f t="shared" si="11"/>
        <v>60.767724441599995</v>
      </c>
      <c r="H169" s="1">
        <v>8.98</v>
      </c>
      <c r="I169" s="1">
        <f t="shared" si="12"/>
        <v>10.78</v>
      </c>
      <c r="J169" s="1" t="s">
        <v>1182</v>
      </c>
      <c r="K169" s="3">
        <f t="shared" si="13"/>
        <v>80.302548479999999</v>
      </c>
      <c r="L169" s="10">
        <f t="shared" si="14"/>
        <v>0.3214670981661274</v>
      </c>
      <c r="M169" s="18" t="str">
        <f>VLOOKUP(A169,Список!A:I,9,0)</f>
        <v>Основной ассортимент</v>
      </c>
      <c r="N169" s="12"/>
      <c r="O169" s="11"/>
    </row>
    <row r="170" spans="1:15" x14ac:dyDescent="0.25">
      <c r="A170" s="6">
        <v>1427</v>
      </c>
      <c r="B170" s="1" t="s">
        <v>174</v>
      </c>
      <c r="C170" s="3">
        <v>4.1354499999999996</v>
      </c>
      <c r="D170" s="1" t="s">
        <v>1182</v>
      </c>
      <c r="E170" s="3">
        <f t="shared" si="10"/>
        <v>64.854442751999983</v>
      </c>
      <c r="F170" s="3">
        <v>52.777387015601398</v>
      </c>
      <c r="G170" s="4">
        <f t="shared" si="11"/>
        <v>64.854442751999983</v>
      </c>
      <c r="H170" s="1">
        <v>9.6300000000000008</v>
      </c>
      <c r="I170" s="1">
        <f t="shared" si="12"/>
        <v>11.56</v>
      </c>
      <c r="J170" s="1" t="s">
        <v>1182</v>
      </c>
      <c r="K170" s="3">
        <f t="shared" si="13"/>
        <v>86.112936959999999</v>
      </c>
      <c r="L170" s="10">
        <f t="shared" si="14"/>
        <v>0.32778778609341219</v>
      </c>
      <c r="M170" s="18" t="str">
        <f>VLOOKUP(A170,Список!A:I,9,0)</f>
        <v>Основной ассортимент</v>
      </c>
      <c r="N170" s="12"/>
      <c r="O170" s="11"/>
    </row>
    <row r="171" spans="1:15" x14ac:dyDescent="0.25">
      <c r="A171" s="6">
        <v>1428</v>
      </c>
      <c r="B171" s="1" t="s">
        <v>175</v>
      </c>
      <c r="C171" s="3">
        <v>4.3960400000000002</v>
      </c>
      <c r="D171" s="1" t="s">
        <v>1182</v>
      </c>
      <c r="E171" s="3">
        <f t="shared" si="10"/>
        <v>68.941161062399999</v>
      </c>
      <c r="F171" s="3">
        <v>57.922317733473243</v>
      </c>
      <c r="G171" s="4">
        <f t="shared" si="11"/>
        <v>68.941161062399999</v>
      </c>
      <c r="H171" s="1">
        <v>10.19</v>
      </c>
      <c r="I171" s="1">
        <f t="shared" si="12"/>
        <v>12.23</v>
      </c>
      <c r="J171" s="1" t="s">
        <v>1182</v>
      </c>
      <c r="K171" s="3">
        <f t="shared" si="13"/>
        <v>91.103911679999996</v>
      </c>
      <c r="L171" s="10">
        <f t="shared" si="14"/>
        <v>0.3214734169843767</v>
      </c>
      <c r="M171" s="18" t="str">
        <f>VLOOKUP(A171,Список!A:I,9,0)</f>
        <v>Основной ассортимент</v>
      </c>
      <c r="N171" s="12"/>
      <c r="O171" s="11"/>
    </row>
    <row r="172" spans="1:15" x14ac:dyDescent="0.25">
      <c r="A172" s="6">
        <v>1429</v>
      </c>
      <c r="B172" s="1" t="s">
        <v>176</v>
      </c>
      <c r="C172" s="3">
        <v>4.6679599999999999</v>
      </c>
      <c r="D172" s="1" t="s">
        <v>1182</v>
      </c>
      <c r="E172" s="3">
        <f t="shared" si="10"/>
        <v>73.205562777599994</v>
      </c>
      <c r="F172" s="3">
        <v>63.47520288115247</v>
      </c>
      <c r="G172" s="4">
        <f t="shared" si="11"/>
        <v>73.205562777599994</v>
      </c>
      <c r="H172" s="1">
        <v>10.83</v>
      </c>
      <c r="I172" s="1">
        <f t="shared" si="12"/>
        <v>13</v>
      </c>
      <c r="J172" s="1" t="s">
        <v>1182</v>
      </c>
      <c r="K172" s="3">
        <f t="shared" si="13"/>
        <v>96.839807999999991</v>
      </c>
      <c r="L172" s="10">
        <f t="shared" si="14"/>
        <v>0.32284766793203024</v>
      </c>
      <c r="M172" s="18" t="str">
        <f>VLOOKUP(A172,Список!A:I,9,0)</f>
        <v>Основной ассортимент</v>
      </c>
      <c r="N172" s="12"/>
      <c r="O172" s="11"/>
    </row>
    <row r="173" spans="1:15" x14ac:dyDescent="0.25">
      <c r="A173" s="6">
        <v>1430</v>
      </c>
      <c r="B173" s="1" t="s">
        <v>177</v>
      </c>
      <c r="C173" s="3">
        <v>5.3024399999999998</v>
      </c>
      <c r="D173" s="1" t="s">
        <v>1182</v>
      </c>
      <c r="E173" s="3">
        <f t="shared" si="10"/>
        <v>83.155833446399996</v>
      </c>
      <c r="F173" s="3">
        <v>75.951283236994215</v>
      </c>
      <c r="G173" s="4">
        <f t="shared" si="11"/>
        <v>83.155833446399996</v>
      </c>
      <c r="H173" s="1">
        <v>12.5</v>
      </c>
      <c r="I173" s="1">
        <f t="shared" si="12"/>
        <v>15</v>
      </c>
      <c r="J173" s="1" t="s">
        <v>1182</v>
      </c>
      <c r="K173" s="3">
        <f t="shared" si="13"/>
        <v>111.73823999999998</v>
      </c>
      <c r="L173" s="10">
        <f t="shared" si="14"/>
        <v>0.34372100391517857</v>
      </c>
      <c r="M173" s="18" t="str">
        <f>VLOOKUP(A173,Список!A:I,9,0)</f>
        <v>Основной ассортимент</v>
      </c>
      <c r="N173" s="12"/>
      <c r="O173" s="11"/>
    </row>
    <row r="174" spans="1:15" x14ac:dyDescent="0.25">
      <c r="A174" s="6">
        <v>1432</v>
      </c>
      <c r="B174" s="1" t="s">
        <v>178</v>
      </c>
      <c r="C174" s="3">
        <v>5.82362</v>
      </c>
      <c r="D174" s="1" t="s">
        <v>1182</v>
      </c>
      <c r="E174" s="3">
        <f t="shared" si="10"/>
        <v>91.329270067199985</v>
      </c>
      <c r="F174" s="3">
        <v>79.888628901734108</v>
      </c>
      <c r="G174" s="4">
        <f t="shared" si="11"/>
        <v>91.329270067199985</v>
      </c>
      <c r="H174" s="1">
        <v>13.44</v>
      </c>
      <c r="I174" s="1">
        <f t="shared" si="12"/>
        <v>16.13</v>
      </c>
      <c r="J174" s="1" t="s">
        <v>1182</v>
      </c>
      <c r="K174" s="3">
        <f t="shared" si="13"/>
        <v>120.15585407999997</v>
      </c>
      <c r="L174" s="10">
        <f t="shared" si="14"/>
        <v>0.31563357499287381</v>
      </c>
      <c r="M174" s="18" t="str">
        <f>VLOOKUP(A174,Список!A:I,9,0)</f>
        <v>Основной ассортимент</v>
      </c>
      <c r="N174" s="12"/>
      <c r="O174" s="11"/>
    </row>
    <row r="175" spans="1:15" x14ac:dyDescent="0.25">
      <c r="A175" s="6">
        <v>1433</v>
      </c>
      <c r="B175" s="1" t="s">
        <v>179</v>
      </c>
      <c r="C175" s="3">
        <v>6.5147500000000003</v>
      </c>
      <c r="D175" s="1" t="s">
        <v>1182</v>
      </c>
      <c r="E175" s="3">
        <f t="shared" si="10"/>
        <v>102.16795775999999</v>
      </c>
      <c r="F175" s="3">
        <v>82.31538876404494</v>
      </c>
      <c r="G175" s="4">
        <f t="shared" si="11"/>
        <v>102.16795775999999</v>
      </c>
      <c r="H175" s="1">
        <v>15.33</v>
      </c>
      <c r="I175" s="1">
        <f t="shared" si="12"/>
        <v>18.399999999999999</v>
      </c>
      <c r="J175" s="1" t="s">
        <v>1182</v>
      </c>
      <c r="K175" s="3">
        <f t="shared" si="13"/>
        <v>137.06557439999997</v>
      </c>
      <c r="L175" s="10">
        <f t="shared" si="14"/>
        <v>0.34157105030891421</v>
      </c>
      <c r="M175" s="18" t="str">
        <f>VLOOKUP(A175,Список!A:I,9,0)</f>
        <v>Основной ассортимент</v>
      </c>
      <c r="N175" s="12"/>
      <c r="O175" s="11"/>
    </row>
    <row r="176" spans="1:15" x14ac:dyDescent="0.25">
      <c r="A176" s="6">
        <v>1434</v>
      </c>
      <c r="B176" s="1" t="s">
        <v>180</v>
      </c>
      <c r="C176" s="3">
        <v>7.3191800000000002</v>
      </c>
      <c r="D176" s="1" t="s">
        <v>1182</v>
      </c>
      <c r="E176" s="3">
        <f t="shared" si="10"/>
        <v>114.7834795008</v>
      </c>
      <c r="F176" s="3">
        <v>96.549910532276328</v>
      </c>
      <c r="G176" s="4">
        <f t="shared" si="11"/>
        <v>114.7834795008</v>
      </c>
      <c r="H176" s="1">
        <v>17.53</v>
      </c>
      <c r="I176" s="1">
        <f t="shared" si="12"/>
        <v>21.04</v>
      </c>
      <c r="J176" s="1" t="s">
        <v>1182</v>
      </c>
      <c r="K176" s="3">
        <f t="shared" si="13"/>
        <v>156.73150463999997</v>
      </c>
      <c r="L176" s="10">
        <f t="shared" si="14"/>
        <v>0.3654535070868592</v>
      </c>
      <c r="M176" s="18" t="str">
        <f>VLOOKUP(A176,Список!A:I,9,0)</f>
        <v>Основной ассортимент</v>
      </c>
      <c r="N176" s="12"/>
      <c r="O176" s="11"/>
    </row>
    <row r="177" spans="1:15" x14ac:dyDescent="0.25">
      <c r="A177" s="6">
        <v>1435</v>
      </c>
      <c r="B177" s="1" t="s">
        <v>181</v>
      </c>
      <c r="C177" s="3">
        <v>8.1236099999999993</v>
      </c>
      <c r="D177" s="1" t="s">
        <v>1182</v>
      </c>
      <c r="E177" s="3">
        <f t="shared" si="10"/>
        <v>127.39900124159999</v>
      </c>
      <c r="F177" s="3">
        <v>107.80287224669603</v>
      </c>
      <c r="G177" s="4">
        <f t="shared" si="11"/>
        <v>127.39900124159999</v>
      </c>
      <c r="H177" s="1">
        <v>19.77</v>
      </c>
      <c r="I177" s="1">
        <f t="shared" si="12"/>
        <v>23.72</v>
      </c>
      <c r="J177" s="1" t="s">
        <v>1182</v>
      </c>
      <c r="K177" s="3">
        <f t="shared" si="13"/>
        <v>176.69540351999996</v>
      </c>
      <c r="L177" s="10">
        <f t="shared" si="14"/>
        <v>0.3869449665850524</v>
      </c>
      <c r="M177" s="18" t="str">
        <f>VLOOKUP(A177,Список!A:I,9,0)</f>
        <v>Основной ассортимент</v>
      </c>
      <c r="N177" s="12"/>
      <c r="O177" s="11"/>
    </row>
    <row r="178" spans="1:15" x14ac:dyDescent="0.25">
      <c r="A178" s="6">
        <v>1436</v>
      </c>
      <c r="B178" s="1" t="s">
        <v>182</v>
      </c>
      <c r="C178" s="3">
        <v>8.6674500000000005</v>
      </c>
      <c r="D178" s="1" t="s">
        <v>1182</v>
      </c>
      <c r="E178" s="3">
        <f t="shared" si="10"/>
        <v>135.92780467199998</v>
      </c>
      <c r="F178" s="3">
        <v>104.84181990950225</v>
      </c>
      <c r="G178" s="4">
        <f t="shared" si="11"/>
        <v>135.92780467199998</v>
      </c>
      <c r="H178" s="1">
        <v>21.17</v>
      </c>
      <c r="I178" s="1">
        <f t="shared" si="12"/>
        <v>25.4</v>
      </c>
      <c r="J178" s="1" t="s">
        <v>1182</v>
      </c>
      <c r="K178" s="3">
        <f t="shared" si="13"/>
        <v>189.21008639999999</v>
      </c>
      <c r="L178" s="10">
        <f t="shared" si="14"/>
        <v>0.39198957017346525</v>
      </c>
      <c r="M178" s="18" t="str">
        <f>VLOOKUP(A178,Список!A:I,9,0)</f>
        <v>Основной ассортимент</v>
      </c>
      <c r="N178" s="12"/>
      <c r="O178" s="11"/>
    </row>
    <row r="179" spans="1:15" x14ac:dyDescent="0.25">
      <c r="A179" s="6">
        <v>1437</v>
      </c>
      <c r="B179" s="1" t="s">
        <v>183</v>
      </c>
      <c r="C179" s="3">
        <v>10.0837</v>
      </c>
      <c r="D179" s="1" t="s">
        <v>1182</v>
      </c>
      <c r="E179" s="3">
        <f t="shared" si="10"/>
        <v>158.13823027199999</v>
      </c>
      <c r="F179" s="3">
        <v>124.30092782478845</v>
      </c>
      <c r="G179" s="4">
        <f t="shared" si="11"/>
        <v>158.13823027199999</v>
      </c>
      <c r="H179" s="1">
        <v>25.22</v>
      </c>
      <c r="I179" s="1">
        <f t="shared" si="12"/>
        <v>30.26</v>
      </c>
      <c r="J179" s="1" t="s">
        <v>1182</v>
      </c>
      <c r="K179" s="3">
        <f t="shared" si="13"/>
        <v>225.41327615999998</v>
      </c>
      <c r="L179" s="10">
        <f t="shared" si="14"/>
        <v>0.42541924095322159</v>
      </c>
      <c r="M179" s="18" t="str">
        <f>VLOOKUP(A179,Список!A:I,9,0)</f>
        <v>Основной ассортимент</v>
      </c>
      <c r="N179" s="12"/>
      <c r="O179" s="11"/>
    </row>
    <row r="180" spans="1:15" x14ac:dyDescent="0.25">
      <c r="A180" s="6">
        <v>1438</v>
      </c>
      <c r="B180" s="1" t="s">
        <v>184</v>
      </c>
      <c r="C180" s="3">
        <v>11.54527</v>
      </c>
      <c r="D180" s="1" t="s">
        <v>1182</v>
      </c>
      <c r="E180" s="3">
        <f t="shared" si="10"/>
        <v>181.05938949119999</v>
      </c>
      <c r="F180" s="3">
        <v>141.63369543147206</v>
      </c>
      <c r="G180" s="4">
        <f t="shared" si="11"/>
        <v>181.05938949119999</v>
      </c>
      <c r="H180" s="1">
        <v>29.43</v>
      </c>
      <c r="I180" s="1">
        <f t="shared" si="12"/>
        <v>35.32</v>
      </c>
      <c r="J180" s="1" t="s">
        <v>1182</v>
      </c>
      <c r="K180" s="3">
        <f t="shared" si="13"/>
        <v>263.10630911999999</v>
      </c>
      <c r="L180" s="10">
        <f t="shared" si="14"/>
        <v>0.45314921175511702</v>
      </c>
      <c r="M180" s="18" t="str">
        <f>VLOOKUP(A180,Список!A:I,9,0)</f>
        <v>Основной ассортимент</v>
      </c>
      <c r="N180" s="12"/>
      <c r="O180" s="11"/>
    </row>
    <row r="181" spans="1:15" x14ac:dyDescent="0.25">
      <c r="A181" s="6">
        <v>1439</v>
      </c>
      <c r="B181" s="1" t="s">
        <v>185</v>
      </c>
      <c r="C181" s="3">
        <v>12.927530000000001</v>
      </c>
      <c r="D181" s="1" t="s">
        <v>1182</v>
      </c>
      <c r="E181" s="3">
        <f t="shared" si="10"/>
        <v>202.73676487680001</v>
      </c>
      <c r="F181" s="3">
        <v>171.57615384615386</v>
      </c>
      <c r="G181" s="4">
        <f t="shared" si="11"/>
        <v>202.73676487680001</v>
      </c>
      <c r="H181" s="1">
        <v>34.89</v>
      </c>
      <c r="I181" s="1">
        <f t="shared" si="12"/>
        <v>41.87</v>
      </c>
      <c r="J181" s="1" t="s">
        <v>1182</v>
      </c>
      <c r="K181" s="3">
        <f t="shared" si="13"/>
        <v>311.89867391999996</v>
      </c>
      <c r="L181" s="10">
        <f t="shared" si="14"/>
        <v>0.53844160485413672</v>
      </c>
      <c r="M181" s="18" t="str">
        <f>VLOOKUP(A181,Список!A:I,9,0)</f>
        <v>Основной ассортимент</v>
      </c>
      <c r="N181" s="12"/>
      <c r="O181" s="11"/>
    </row>
    <row r="182" spans="1:15" x14ac:dyDescent="0.25">
      <c r="A182" s="6">
        <v>2358</v>
      </c>
      <c r="B182" s="1" t="s">
        <v>186</v>
      </c>
      <c r="C182" s="3">
        <v>14.47974</v>
      </c>
      <c r="D182" s="1" t="s">
        <v>1182</v>
      </c>
      <c r="E182" s="3">
        <f t="shared" si="10"/>
        <v>227.07939133439999</v>
      </c>
      <c r="F182" s="3">
        <v>159.39465654648959</v>
      </c>
      <c r="G182" s="4">
        <f t="shared" si="11"/>
        <v>227.07939133439999</v>
      </c>
      <c r="H182" s="1">
        <v>38.97</v>
      </c>
      <c r="I182" s="1">
        <f t="shared" si="12"/>
        <v>46.76</v>
      </c>
      <c r="J182" s="1" t="s">
        <v>1182</v>
      </c>
      <c r="K182" s="3">
        <f t="shared" si="13"/>
        <v>348.32534015999994</v>
      </c>
      <c r="L182" s="10">
        <f t="shared" si="14"/>
        <v>0.53393638283560318</v>
      </c>
      <c r="M182" s="18" t="str">
        <f>VLOOKUP(A182,Список!A:I,9,0)</f>
        <v>Основной ассортимент</v>
      </c>
      <c r="N182" s="12"/>
      <c r="O182" s="11"/>
    </row>
    <row r="183" spans="1:15" x14ac:dyDescent="0.25">
      <c r="A183" s="6">
        <v>1440</v>
      </c>
      <c r="B183" s="1" t="s">
        <v>187</v>
      </c>
      <c r="C183" s="3">
        <v>6.7300200000000006</v>
      </c>
      <c r="D183" s="1" t="s">
        <v>1182</v>
      </c>
      <c r="E183" s="3">
        <f t="shared" si="10"/>
        <v>105.54394245120001</v>
      </c>
      <c r="F183" s="3">
        <v>91.527209169054444</v>
      </c>
      <c r="G183" s="4">
        <f t="shared" si="11"/>
        <v>105.54394245120001</v>
      </c>
      <c r="H183" s="1">
        <v>15.55</v>
      </c>
      <c r="I183" s="1">
        <f t="shared" si="12"/>
        <v>18.66</v>
      </c>
      <c r="J183" s="1" t="s">
        <v>1182</v>
      </c>
      <c r="K183" s="3">
        <f t="shared" si="13"/>
        <v>139.00237056</v>
      </c>
      <c r="L183" s="10">
        <f t="shared" si="14"/>
        <v>0.31700945911007694</v>
      </c>
      <c r="M183" s="18" t="str">
        <f>VLOOKUP(A183,Список!A:I,9,0)</f>
        <v>Основной ассортимент</v>
      </c>
      <c r="N183" s="12"/>
      <c r="O183" s="11"/>
    </row>
    <row r="184" spans="1:15" x14ac:dyDescent="0.25">
      <c r="A184" s="6">
        <v>1441</v>
      </c>
      <c r="B184" s="1" t="s">
        <v>188</v>
      </c>
      <c r="C184" s="3">
        <v>7.2398699999999998</v>
      </c>
      <c r="D184" s="1" t="s">
        <v>1182</v>
      </c>
      <c r="E184" s="3">
        <f t="shared" si="10"/>
        <v>113.53969566719999</v>
      </c>
      <c r="F184" s="3">
        <v>101.04099747447017</v>
      </c>
      <c r="G184" s="4">
        <f t="shared" si="11"/>
        <v>113.53969566719999</v>
      </c>
      <c r="H184" s="1">
        <v>16.75</v>
      </c>
      <c r="I184" s="1">
        <f t="shared" si="12"/>
        <v>20.100000000000001</v>
      </c>
      <c r="J184" s="1" t="s">
        <v>1182</v>
      </c>
      <c r="K184" s="3">
        <f t="shared" si="13"/>
        <v>149.72924159999999</v>
      </c>
      <c r="L184" s="10">
        <f t="shared" si="14"/>
        <v>0.31873914863112196</v>
      </c>
      <c r="M184" s="18" t="str">
        <f>VLOOKUP(A184,Список!A:I,9,0)</f>
        <v>Основной ассортимент</v>
      </c>
      <c r="N184" s="12"/>
      <c r="O184" s="11"/>
    </row>
    <row r="185" spans="1:15" x14ac:dyDescent="0.25">
      <c r="A185" s="6">
        <v>1442</v>
      </c>
      <c r="B185" s="1" t="s">
        <v>189</v>
      </c>
      <c r="C185" s="3">
        <v>7.7610499999999991</v>
      </c>
      <c r="D185" s="1" t="s">
        <v>1182</v>
      </c>
      <c r="E185" s="3">
        <f t="shared" si="10"/>
        <v>121.71313228799997</v>
      </c>
      <c r="F185" s="3">
        <v>101.5545806530363</v>
      </c>
      <c r="G185" s="4">
        <f t="shared" si="11"/>
        <v>121.71313228799997</v>
      </c>
      <c r="H185" s="1">
        <v>18.07</v>
      </c>
      <c r="I185" s="1">
        <f t="shared" si="12"/>
        <v>21.68</v>
      </c>
      <c r="J185" s="1" t="s">
        <v>1182</v>
      </c>
      <c r="K185" s="3">
        <f t="shared" si="13"/>
        <v>161.49900287999998</v>
      </c>
      <c r="L185" s="10">
        <f t="shared" si="14"/>
        <v>0.3268823161814447</v>
      </c>
      <c r="M185" s="18" t="str">
        <f>VLOOKUP(A185,Список!A:I,9,0)</f>
        <v>Основной ассортимент</v>
      </c>
      <c r="N185" s="12"/>
      <c r="O185" s="11"/>
    </row>
    <row r="186" spans="1:15" x14ac:dyDescent="0.25">
      <c r="A186" s="6">
        <v>1443</v>
      </c>
      <c r="B186" s="1" t="s">
        <v>190</v>
      </c>
      <c r="C186" s="3">
        <v>8.2708999999999993</v>
      </c>
      <c r="D186" s="1" t="s">
        <v>1182</v>
      </c>
      <c r="E186" s="3">
        <f t="shared" si="10"/>
        <v>129.70888550399997</v>
      </c>
      <c r="F186" s="3">
        <v>108.84404682651622</v>
      </c>
      <c r="G186" s="4">
        <f t="shared" si="11"/>
        <v>129.70888550399997</v>
      </c>
      <c r="H186" s="1">
        <v>19.55</v>
      </c>
      <c r="I186" s="1">
        <f t="shared" si="12"/>
        <v>23.46</v>
      </c>
      <c r="J186" s="1" t="s">
        <v>1182</v>
      </c>
      <c r="K186" s="3">
        <f t="shared" si="13"/>
        <v>174.75860735999998</v>
      </c>
      <c r="L186" s="10">
        <f t="shared" si="14"/>
        <v>0.34731407706537398</v>
      </c>
      <c r="M186" s="18" t="str">
        <f>VLOOKUP(A186,Список!A:I,9,0)</f>
        <v>Основной ассортимент</v>
      </c>
      <c r="N186" s="12"/>
      <c r="O186" s="11"/>
    </row>
    <row r="187" spans="1:15" x14ac:dyDescent="0.25">
      <c r="A187" s="6">
        <v>1444</v>
      </c>
      <c r="B187" s="1" t="s">
        <v>191</v>
      </c>
      <c r="C187" s="3">
        <v>9.5172000000000008</v>
      </c>
      <c r="D187" s="1" t="s">
        <v>1182</v>
      </c>
      <c r="E187" s="3">
        <f t="shared" si="10"/>
        <v>149.25406003199998</v>
      </c>
      <c r="F187" s="3">
        <v>138.16503017156379</v>
      </c>
      <c r="G187" s="4">
        <f t="shared" si="11"/>
        <v>149.25406003199998</v>
      </c>
      <c r="H187" s="1">
        <v>22.93</v>
      </c>
      <c r="I187" s="1">
        <f t="shared" si="12"/>
        <v>27.52</v>
      </c>
      <c r="J187" s="1" t="s">
        <v>1182</v>
      </c>
      <c r="K187" s="3">
        <f t="shared" si="13"/>
        <v>205.00242431999996</v>
      </c>
      <c r="L187" s="10">
        <f t="shared" si="14"/>
        <v>0.37351321817341221</v>
      </c>
      <c r="M187" s="18" t="str">
        <f>VLOOKUP(A187,Список!A:I,9,0)</f>
        <v>Основной ассортимент</v>
      </c>
      <c r="N187" s="12"/>
      <c r="O187" s="11"/>
    </row>
    <row r="188" spans="1:15" x14ac:dyDescent="0.25">
      <c r="A188" s="6">
        <v>1446</v>
      </c>
      <c r="B188" s="1" t="s">
        <v>192</v>
      </c>
      <c r="C188" s="3">
        <v>10.536900000000001</v>
      </c>
      <c r="D188" s="1" t="s">
        <v>1182</v>
      </c>
      <c r="E188" s="3">
        <f t="shared" si="10"/>
        <v>165.24556646400001</v>
      </c>
      <c r="F188" s="3">
        <v>139.55192781316347</v>
      </c>
      <c r="G188" s="4">
        <f t="shared" si="11"/>
        <v>165.24556646400001</v>
      </c>
      <c r="H188" s="1">
        <v>25.17</v>
      </c>
      <c r="I188" s="1">
        <f t="shared" si="12"/>
        <v>30.2</v>
      </c>
      <c r="J188" s="1" t="s">
        <v>1182</v>
      </c>
      <c r="K188" s="3">
        <f t="shared" si="13"/>
        <v>224.96632319999998</v>
      </c>
      <c r="L188" s="10">
        <f t="shared" si="14"/>
        <v>0.36140610616025559</v>
      </c>
      <c r="M188" s="18" t="str">
        <f>VLOOKUP(A188,Список!A:I,9,0)</f>
        <v>Основной ассортимент</v>
      </c>
      <c r="N188" s="12"/>
      <c r="O188" s="11"/>
    </row>
    <row r="189" spans="1:15" x14ac:dyDescent="0.25">
      <c r="A189" s="6">
        <v>1447</v>
      </c>
      <c r="B189" s="1" t="s">
        <v>193</v>
      </c>
      <c r="C189" s="3">
        <v>11.91916</v>
      </c>
      <c r="D189" s="1" t="s">
        <v>1182</v>
      </c>
      <c r="E189" s="3">
        <f t="shared" si="10"/>
        <v>186.92294184959997</v>
      </c>
      <c r="F189" s="3">
        <v>161.02723350253808</v>
      </c>
      <c r="G189" s="4">
        <f t="shared" si="11"/>
        <v>186.92294184959997</v>
      </c>
      <c r="H189" s="1">
        <v>28.94</v>
      </c>
      <c r="I189" s="1">
        <f t="shared" si="12"/>
        <v>34.729999999999997</v>
      </c>
      <c r="J189" s="1" t="s">
        <v>1182</v>
      </c>
      <c r="K189" s="3">
        <f t="shared" si="13"/>
        <v>258.71127167999992</v>
      </c>
      <c r="L189" s="10">
        <f t="shared" si="14"/>
        <v>0.38405307085398621</v>
      </c>
      <c r="M189" s="18" t="str">
        <f>VLOOKUP(A189,Список!A:I,9,0)</f>
        <v>Основной ассортимент</v>
      </c>
      <c r="N189" s="12"/>
      <c r="O189" s="11"/>
    </row>
    <row r="190" spans="1:15" x14ac:dyDescent="0.25">
      <c r="A190" s="6">
        <v>1448</v>
      </c>
      <c r="B190" s="1" t="s">
        <v>194</v>
      </c>
      <c r="C190" s="3">
        <v>13.49403</v>
      </c>
      <c r="D190" s="1" t="s">
        <v>1182</v>
      </c>
      <c r="E190" s="3">
        <f t="shared" si="10"/>
        <v>211.62093511680001</v>
      </c>
      <c r="F190" s="3">
        <v>186.03319455040872</v>
      </c>
      <c r="G190" s="4">
        <f t="shared" si="11"/>
        <v>211.62093511680001</v>
      </c>
      <c r="H190" s="1">
        <v>33.47</v>
      </c>
      <c r="I190" s="1">
        <f t="shared" si="12"/>
        <v>40.159999999999997</v>
      </c>
      <c r="J190" s="1" t="s">
        <v>1182</v>
      </c>
      <c r="K190" s="3">
        <f t="shared" si="13"/>
        <v>299.16051455999997</v>
      </c>
      <c r="L190" s="10">
        <f t="shared" si="14"/>
        <v>0.41366218987211356</v>
      </c>
      <c r="M190" s="18" t="str">
        <f>VLOOKUP(A190,Список!A:I,9,0)</f>
        <v>Основной ассортимент</v>
      </c>
      <c r="N190" s="12"/>
      <c r="O190" s="11"/>
    </row>
    <row r="191" spans="1:15" x14ac:dyDescent="0.25">
      <c r="A191" s="6">
        <v>2359</v>
      </c>
      <c r="B191" s="1" t="s">
        <v>195</v>
      </c>
      <c r="C191" s="3">
        <v>16.530470000000001</v>
      </c>
      <c r="D191" s="1" t="s">
        <v>1182</v>
      </c>
      <c r="E191" s="3">
        <f t="shared" si="10"/>
        <v>259.24008760319998</v>
      </c>
      <c r="F191" s="3">
        <v>237.90346927374301</v>
      </c>
      <c r="G191" s="4">
        <f t="shared" si="11"/>
        <v>259.24008760319998</v>
      </c>
      <c r="H191" s="1">
        <v>43.89</v>
      </c>
      <c r="I191" s="1">
        <f t="shared" si="12"/>
        <v>52.67</v>
      </c>
      <c r="J191" s="1" t="s">
        <v>1182</v>
      </c>
      <c r="K191" s="3">
        <f t="shared" si="13"/>
        <v>392.35020671999996</v>
      </c>
      <c r="L191" s="10">
        <f t="shared" si="14"/>
        <v>0.51346271461126025</v>
      </c>
      <c r="M191" s="18" t="str">
        <f>VLOOKUP(A191,Список!A:I,9,0)</f>
        <v>Основной ассортимент</v>
      </c>
      <c r="N191" s="12"/>
      <c r="O191" s="11"/>
    </row>
    <row r="192" spans="1:15" x14ac:dyDescent="0.25">
      <c r="A192" s="6">
        <v>4800</v>
      </c>
      <c r="B192" s="1" t="s">
        <v>196</v>
      </c>
      <c r="C192" s="3">
        <v>2.2206800000000002</v>
      </c>
      <c r="D192" s="1" t="s">
        <v>1182</v>
      </c>
      <c r="E192" s="3">
        <f t="shared" si="10"/>
        <v>34.825947340799999</v>
      </c>
      <c r="F192" s="3">
        <v>32.841986078886308</v>
      </c>
      <c r="G192" s="4">
        <f t="shared" si="11"/>
        <v>34.825947340799999</v>
      </c>
      <c r="H192" s="1">
        <v>5.54</v>
      </c>
      <c r="I192" s="1">
        <f t="shared" si="12"/>
        <v>6.65</v>
      </c>
      <c r="J192" s="1" t="s">
        <v>1182</v>
      </c>
      <c r="K192" s="3">
        <f t="shared" si="13"/>
        <v>49.537286399999999</v>
      </c>
      <c r="L192" s="10">
        <f t="shared" si="14"/>
        <v>0.42242466271592494</v>
      </c>
      <c r="M192" s="18" t="str">
        <f>VLOOKUP(A192,Список!A:I,9,0)</f>
        <v>Основной ассортимент</v>
      </c>
      <c r="N192" s="12"/>
      <c r="O192" s="11"/>
    </row>
    <row r="193" spans="1:15" x14ac:dyDescent="0.25">
      <c r="A193" s="6">
        <v>4801</v>
      </c>
      <c r="B193" s="1" t="s">
        <v>197</v>
      </c>
      <c r="C193" s="3">
        <v>2.5152600000000001</v>
      </c>
      <c r="D193" s="1" t="s">
        <v>1182</v>
      </c>
      <c r="E193" s="3">
        <f t="shared" si="10"/>
        <v>39.4457158656</v>
      </c>
      <c r="F193" s="3">
        <v>37.347850910266075</v>
      </c>
      <c r="G193" s="4">
        <f t="shared" si="11"/>
        <v>39.4457158656</v>
      </c>
      <c r="H193" s="1">
        <v>6.3</v>
      </c>
      <c r="I193" s="1">
        <f t="shared" si="12"/>
        <v>7.56</v>
      </c>
      <c r="J193" s="1" t="s">
        <v>1182</v>
      </c>
      <c r="K193" s="3">
        <f t="shared" si="13"/>
        <v>56.316072959999985</v>
      </c>
      <c r="L193" s="10">
        <f t="shared" si="14"/>
        <v>0.42768540826793222</v>
      </c>
      <c r="M193" s="18" t="str">
        <f>VLOOKUP(A193,Список!A:I,9,0)</f>
        <v>Основной ассортимент</v>
      </c>
      <c r="N193" s="12"/>
      <c r="O193" s="11"/>
    </row>
    <row r="194" spans="1:15" x14ac:dyDescent="0.25">
      <c r="A194" s="6">
        <v>4802</v>
      </c>
      <c r="B194" s="1" t="s">
        <v>198</v>
      </c>
      <c r="C194" s="3">
        <v>2.7645200000000001</v>
      </c>
      <c r="D194" s="1" t="s">
        <v>1182</v>
      </c>
      <c r="E194" s="3">
        <f t="shared" si="10"/>
        <v>43.354750771199996</v>
      </c>
      <c r="F194" s="3">
        <v>40.649625715064019</v>
      </c>
      <c r="G194" s="4">
        <f t="shared" si="11"/>
        <v>43.354750771199996</v>
      </c>
      <c r="H194" s="1">
        <v>6.94</v>
      </c>
      <c r="I194" s="1">
        <f t="shared" si="12"/>
        <v>8.33</v>
      </c>
      <c r="J194" s="1" t="s">
        <v>1182</v>
      </c>
      <c r="K194" s="3">
        <f t="shared" si="13"/>
        <v>62.051969279999987</v>
      </c>
      <c r="L194" s="10">
        <f t="shared" si="14"/>
        <v>0.43126112308827569</v>
      </c>
      <c r="M194" s="18" t="str">
        <f>VLOOKUP(A194,Список!A:I,9,0)</f>
        <v>Основной ассортимент</v>
      </c>
      <c r="N194" s="12"/>
      <c r="O194" s="11"/>
    </row>
    <row r="195" spans="1:15" x14ac:dyDescent="0.25">
      <c r="A195" s="6">
        <v>4803</v>
      </c>
      <c r="B195" s="1" t="s">
        <v>199</v>
      </c>
      <c r="C195" s="3">
        <v>3.0137800000000001</v>
      </c>
      <c r="D195" s="1" t="s">
        <v>1182</v>
      </c>
      <c r="E195" s="3">
        <f t="shared" si="10"/>
        <v>47.263785676799998</v>
      </c>
      <c r="F195" s="3">
        <v>43.632179257800793</v>
      </c>
      <c r="G195" s="4">
        <f t="shared" si="11"/>
        <v>47.263785676799998</v>
      </c>
      <c r="H195" s="1">
        <v>7.62</v>
      </c>
      <c r="I195" s="1">
        <f t="shared" si="12"/>
        <v>9.14</v>
      </c>
      <c r="J195" s="1" t="s">
        <v>1182</v>
      </c>
      <c r="K195" s="3">
        <f t="shared" si="13"/>
        <v>68.085834239999997</v>
      </c>
      <c r="L195" s="10">
        <f t="shared" si="14"/>
        <v>0.44054974152061521</v>
      </c>
      <c r="M195" s="18" t="str">
        <f>VLOOKUP(A195,Список!A:I,9,0)</f>
        <v>Основной ассортимент</v>
      </c>
      <c r="N195" s="12"/>
      <c r="O195" s="11"/>
    </row>
    <row r="196" spans="1:15" x14ac:dyDescent="0.25">
      <c r="A196" s="6">
        <v>4804</v>
      </c>
      <c r="B196" s="1" t="s">
        <v>200</v>
      </c>
      <c r="C196" s="3">
        <v>3.2970299999999999</v>
      </c>
      <c r="D196" s="1" t="s">
        <v>1182</v>
      </c>
      <c r="E196" s="3">
        <f t="shared" si="10"/>
        <v>51.705870796799999</v>
      </c>
      <c r="F196" s="3">
        <v>47.556038027332143</v>
      </c>
      <c r="G196" s="4">
        <f t="shared" si="11"/>
        <v>51.705870796799999</v>
      </c>
      <c r="H196" s="1">
        <v>8.16</v>
      </c>
      <c r="I196" s="1">
        <f t="shared" si="12"/>
        <v>9.7899999999999991</v>
      </c>
      <c r="J196" s="1" t="s">
        <v>1182</v>
      </c>
      <c r="K196" s="3">
        <f t="shared" si="13"/>
        <v>72.927824639999983</v>
      </c>
      <c r="L196" s="10">
        <f t="shared" si="14"/>
        <v>0.41043605911987435</v>
      </c>
      <c r="M196" s="18" t="str">
        <f>VLOOKUP(A196,Список!A:I,9,0)</f>
        <v>Основной ассортимент</v>
      </c>
      <c r="N196" s="12"/>
      <c r="O196" s="11"/>
    </row>
    <row r="197" spans="1:15" x14ac:dyDescent="0.25">
      <c r="A197" s="6">
        <v>4805</v>
      </c>
      <c r="B197" s="1" t="s">
        <v>201</v>
      </c>
      <c r="C197" s="3">
        <v>3.9088500000000006</v>
      </c>
      <c r="D197" s="1" t="s">
        <v>1182</v>
      </c>
      <c r="E197" s="3">
        <f t="shared" si="10"/>
        <v>61.300774656000002</v>
      </c>
      <c r="F197" s="3">
        <v>55.444793949729366</v>
      </c>
      <c r="G197" s="4">
        <f t="shared" si="11"/>
        <v>61.300774656000002</v>
      </c>
      <c r="H197" s="1">
        <v>9.6</v>
      </c>
      <c r="I197" s="1">
        <f t="shared" si="12"/>
        <v>11.52</v>
      </c>
      <c r="J197" s="1" t="s">
        <v>1182</v>
      </c>
      <c r="K197" s="3">
        <f t="shared" si="13"/>
        <v>85.814968319999991</v>
      </c>
      <c r="L197" s="10">
        <f t="shared" si="14"/>
        <v>0.3999002264093019</v>
      </c>
      <c r="M197" s="18" t="str">
        <f>VLOOKUP(A197,Список!A:I,9,0)</f>
        <v>Основной ассортимент</v>
      </c>
      <c r="N197" s="12"/>
      <c r="O197" s="11"/>
    </row>
    <row r="198" spans="1:15" x14ac:dyDescent="0.25">
      <c r="A198" s="6">
        <v>4806</v>
      </c>
      <c r="B198" s="1" t="s">
        <v>202</v>
      </c>
      <c r="C198" s="3">
        <v>4.4186999999999994</v>
      </c>
      <c r="D198" s="1" t="s">
        <v>1182</v>
      </c>
      <c r="E198" s="3">
        <f t="shared" ref="E198:E261" si="15">IF(D198="RUB",C198*1.2,C198*$E$2*1.2)</f>
        <v>69.296527871999984</v>
      </c>
      <c r="F198" s="3">
        <v>63.450275548200253</v>
      </c>
      <c r="G198" s="4">
        <f t="shared" ref="G198:G261" si="16">IF(M198="Вывод из ассортимента",F198,MAX(E198,F198))</f>
        <v>69.296527871999984</v>
      </c>
      <c r="H198" s="1">
        <v>10.83</v>
      </c>
      <c r="I198" s="1">
        <f t="shared" ref="I198:I261" si="17">ROUND(H198*1.2,2)</f>
        <v>13</v>
      </c>
      <c r="J198" s="1" t="s">
        <v>1182</v>
      </c>
      <c r="K198" s="3">
        <f t="shared" ref="K198:K261" si="18">IF(J198="RUB",I198*$K$4,I198*$E$2*$K$4)</f>
        <v>96.839807999999991</v>
      </c>
      <c r="L198" s="10">
        <f t="shared" ref="L198:L261" si="19">K198/E198-1</f>
        <v>0.39746984407178609</v>
      </c>
      <c r="M198" s="18" t="str">
        <f>VLOOKUP(A198,Список!A:I,9,0)</f>
        <v>Основной ассортимент</v>
      </c>
      <c r="N198" s="12"/>
      <c r="O198" s="11"/>
    </row>
    <row r="199" spans="1:15" x14ac:dyDescent="0.25">
      <c r="A199" s="6">
        <v>4807</v>
      </c>
      <c r="B199" s="1" t="s">
        <v>203</v>
      </c>
      <c r="C199" s="3">
        <v>5.0645099999999994</v>
      </c>
      <c r="D199" s="1" t="s">
        <v>1182</v>
      </c>
      <c r="E199" s="3">
        <f t="shared" si="15"/>
        <v>79.424481945599993</v>
      </c>
      <c r="F199" s="3">
        <v>73.327476155753246</v>
      </c>
      <c r="G199" s="4">
        <f t="shared" si="16"/>
        <v>79.424481945599993</v>
      </c>
      <c r="H199" s="1">
        <v>12.59</v>
      </c>
      <c r="I199" s="1">
        <f t="shared" si="17"/>
        <v>15.11</v>
      </c>
      <c r="J199" s="1" t="s">
        <v>1182</v>
      </c>
      <c r="K199" s="3">
        <f t="shared" si="18"/>
        <v>112.55765375999998</v>
      </c>
      <c r="L199" s="10">
        <f t="shared" si="19"/>
        <v>0.41716572778017991</v>
      </c>
      <c r="M199" s="18" t="str">
        <f>VLOOKUP(A199,Список!A:I,9,0)</f>
        <v>Основной ассортимент</v>
      </c>
      <c r="N199" s="12"/>
      <c r="O199" s="11"/>
    </row>
    <row r="200" spans="1:15" x14ac:dyDescent="0.25">
      <c r="A200" s="6">
        <v>4808</v>
      </c>
      <c r="B200" s="1" t="s">
        <v>204</v>
      </c>
      <c r="C200" s="3">
        <v>5.8576100000000002</v>
      </c>
      <c r="D200" s="1" t="s">
        <v>1182</v>
      </c>
      <c r="E200" s="3">
        <f t="shared" si="15"/>
        <v>91.862320281599992</v>
      </c>
      <c r="F200" s="3">
        <v>87.360182543640889</v>
      </c>
      <c r="G200" s="4">
        <f t="shared" si="16"/>
        <v>91.862320281599992</v>
      </c>
      <c r="H200" s="1">
        <v>14.64</v>
      </c>
      <c r="I200" s="1">
        <f t="shared" si="17"/>
        <v>17.57</v>
      </c>
      <c r="J200" s="1" t="s">
        <v>1182</v>
      </c>
      <c r="K200" s="3">
        <f t="shared" si="18"/>
        <v>130.88272512</v>
      </c>
      <c r="L200" s="10">
        <f t="shared" si="19"/>
        <v>0.42477051220549011</v>
      </c>
      <c r="M200" s="18" t="str">
        <f>VLOOKUP(A200,Список!A:I,9,0)</f>
        <v>Основной ассортимент</v>
      </c>
      <c r="N200" s="12"/>
      <c r="O200" s="11"/>
    </row>
    <row r="201" spans="1:15" x14ac:dyDescent="0.25">
      <c r="A201" s="6">
        <v>4809</v>
      </c>
      <c r="B201" s="1" t="s">
        <v>205</v>
      </c>
      <c r="C201" s="3">
        <v>6.6507100000000001</v>
      </c>
      <c r="D201" s="1" t="s">
        <v>1182</v>
      </c>
      <c r="E201" s="3">
        <f t="shared" si="15"/>
        <v>104.30015861759999</v>
      </c>
      <c r="F201" s="3">
        <v>87.894953545232269</v>
      </c>
      <c r="G201" s="4">
        <f t="shared" si="16"/>
        <v>104.30015861759999</v>
      </c>
      <c r="H201" s="1">
        <v>16.559999999999999</v>
      </c>
      <c r="I201" s="1">
        <f t="shared" si="17"/>
        <v>19.87</v>
      </c>
      <c r="J201" s="1" t="s">
        <v>1182</v>
      </c>
      <c r="K201" s="3">
        <f t="shared" si="18"/>
        <v>148.01592191999998</v>
      </c>
      <c r="L201" s="10">
        <f t="shared" si="19"/>
        <v>0.41913419770220028</v>
      </c>
      <c r="M201" s="18" t="str">
        <f>VLOOKUP(A201,Список!A:I,9,0)</f>
        <v>Основной ассортимент</v>
      </c>
      <c r="N201" s="12"/>
      <c r="O201" s="11"/>
    </row>
    <row r="202" spans="1:15" x14ac:dyDescent="0.25">
      <c r="A202" s="6">
        <v>4810</v>
      </c>
      <c r="B202" s="1" t="s">
        <v>206</v>
      </c>
      <c r="C202" s="3">
        <v>7.1605600000000003</v>
      </c>
      <c r="D202" s="1" t="s">
        <v>1182</v>
      </c>
      <c r="E202" s="3">
        <f t="shared" si="15"/>
        <v>112.2959118336</v>
      </c>
      <c r="F202" s="3">
        <v>104.86177218664228</v>
      </c>
      <c r="G202" s="4">
        <f t="shared" si="16"/>
        <v>112.2959118336</v>
      </c>
      <c r="H202" s="1">
        <v>17.8</v>
      </c>
      <c r="I202" s="1">
        <f t="shared" si="17"/>
        <v>21.36</v>
      </c>
      <c r="J202" s="1" t="s">
        <v>1182</v>
      </c>
      <c r="K202" s="3">
        <f t="shared" si="18"/>
        <v>159.11525375999997</v>
      </c>
      <c r="L202" s="10">
        <f t="shared" si="19"/>
        <v>0.41692828493860778</v>
      </c>
      <c r="M202" s="18" t="str">
        <f>VLOOKUP(A202,Список!A:I,9,0)</f>
        <v>Основной ассортимент</v>
      </c>
      <c r="N202" s="12"/>
      <c r="O202" s="11"/>
    </row>
    <row r="203" spans="1:15" x14ac:dyDescent="0.25">
      <c r="A203" s="6">
        <v>4811</v>
      </c>
      <c r="B203" s="1" t="s">
        <v>207</v>
      </c>
      <c r="C203" s="3">
        <v>8.5314900000000016</v>
      </c>
      <c r="D203" s="1" t="s">
        <v>1182</v>
      </c>
      <c r="E203" s="3">
        <f t="shared" si="15"/>
        <v>133.79560381440001</v>
      </c>
      <c r="F203" s="3">
        <v>122.97378984651711</v>
      </c>
      <c r="G203" s="4">
        <f t="shared" si="16"/>
        <v>133.79560381440001</v>
      </c>
      <c r="H203" s="1">
        <v>21.12</v>
      </c>
      <c r="I203" s="1">
        <f t="shared" si="17"/>
        <v>25.34</v>
      </c>
      <c r="J203" s="1" t="s">
        <v>1182</v>
      </c>
      <c r="K203" s="3">
        <f t="shared" si="18"/>
        <v>188.76313343999999</v>
      </c>
      <c r="L203" s="10">
        <f t="shared" si="19"/>
        <v>0.41083210552904581</v>
      </c>
      <c r="M203" s="18" t="str">
        <f>VLOOKUP(A203,Список!A:I,9,0)</f>
        <v>Основной ассортимент</v>
      </c>
      <c r="N203" s="12"/>
      <c r="O203" s="11"/>
    </row>
    <row r="204" spans="1:15" x14ac:dyDescent="0.25">
      <c r="A204" s="6">
        <v>4812</v>
      </c>
      <c r="B204" s="1" t="s">
        <v>208</v>
      </c>
      <c r="C204" s="3">
        <v>9.9930599999999998</v>
      </c>
      <c r="D204" s="1" t="s">
        <v>1182</v>
      </c>
      <c r="E204" s="3">
        <f t="shared" si="15"/>
        <v>156.71676303359999</v>
      </c>
      <c r="F204" s="3">
        <v>140.21735413839892</v>
      </c>
      <c r="G204" s="4">
        <f t="shared" si="16"/>
        <v>156.71676303359999</v>
      </c>
      <c r="H204" s="1">
        <v>24.76</v>
      </c>
      <c r="I204" s="1">
        <f t="shared" si="17"/>
        <v>29.71</v>
      </c>
      <c r="J204" s="1" t="s">
        <v>1182</v>
      </c>
      <c r="K204" s="3">
        <f t="shared" si="18"/>
        <v>221.31620735999996</v>
      </c>
      <c r="L204" s="10">
        <f t="shared" si="19"/>
        <v>0.41220507031880116</v>
      </c>
      <c r="M204" s="18" t="str">
        <f>VLOOKUP(A204,Список!A:I,9,0)</f>
        <v>Основной ассортимент</v>
      </c>
      <c r="N204" s="12"/>
      <c r="O204" s="11"/>
    </row>
    <row r="205" spans="1:15" x14ac:dyDescent="0.25">
      <c r="A205" s="6">
        <v>4813</v>
      </c>
      <c r="B205" s="1" t="s">
        <v>209</v>
      </c>
      <c r="C205" s="3">
        <v>11.296010000000001</v>
      </c>
      <c r="D205" s="1" t="s">
        <v>1182</v>
      </c>
      <c r="E205" s="3">
        <f t="shared" si="15"/>
        <v>177.15035458560001</v>
      </c>
      <c r="F205" s="3">
        <v>161.01100216919738</v>
      </c>
      <c r="G205" s="4">
        <f t="shared" si="16"/>
        <v>177.15035458560001</v>
      </c>
      <c r="H205" s="1">
        <v>29.59</v>
      </c>
      <c r="I205" s="1">
        <f t="shared" si="17"/>
        <v>35.51</v>
      </c>
      <c r="J205" s="1" t="s">
        <v>1182</v>
      </c>
      <c r="K205" s="3">
        <f t="shared" si="18"/>
        <v>264.52166015999995</v>
      </c>
      <c r="L205" s="10">
        <f t="shared" si="19"/>
        <v>0.49320423760248056</v>
      </c>
      <c r="M205" s="18" t="str">
        <f>VLOOKUP(A205,Список!A:I,9,0)</f>
        <v>Основной ассортимент</v>
      </c>
      <c r="N205" s="12"/>
      <c r="O205" s="11"/>
    </row>
    <row r="206" spans="1:15" x14ac:dyDescent="0.25">
      <c r="A206" s="6">
        <v>4814</v>
      </c>
      <c r="B206" s="1" t="s">
        <v>210</v>
      </c>
      <c r="C206" s="3">
        <v>12.882209999999999</v>
      </c>
      <c r="D206" s="1" t="s">
        <v>1182</v>
      </c>
      <c r="E206" s="3">
        <f t="shared" si="15"/>
        <v>202.02603125759998</v>
      </c>
      <c r="F206" s="3">
        <v>180.09541401273884</v>
      </c>
      <c r="G206" s="4">
        <f t="shared" si="16"/>
        <v>202.02603125759998</v>
      </c>
      <c r="H206" s="1">
        <v>31.7</v>
      </c>
      <c r="I206" s="1">
        <f t="shared" si="17"/>
        <v>38.04</v>
      </c>
      <c r="J206" s="1" t="s">
        <v>1182</v>
      </c>
      <c r="K206" s="3">
        <f t="shared" si="18"/>
        <v>283.36817663999994</v>
      </c>
      <c r="L206" s="10">
        <f t="shared" si="19"/>
        <v>0.4026320018071432</v>
      </c>
      <c r="M206" s="18" t="str">
        <f>VLOOKUP(A206,Список!A:I,9,0)</f>
        <v>Основной ассортимент</v>
      </c>
      <c r="N206" s="12"/>
      <c r="O206" s="11"/>
    </row>
    <row r="207" spans="1:15" x14ac:dyDescent="0.25">
      <c r="A207" s="6">
        <v>4821</v>
      </c>
      <c r="B207" s="1" t="s">
        <v>211</v>
      </c>
      <c r="C207" s="3">
        <v>4.4866799999999998</v>
      </c>
      <c r="D207" s="1" t="s">
        <v>1182</v>
      </c>
      <c r="E207" s="3">
        <f t="shared" si="15"/>
        <v>70.362628300799997</v>
      </c>
      <c r="F207" s="3">
        <v>63.995791805685307</v>
      </c>
      <c r="G207" s="4">
        <f t="shared" si="16"/>
        <v>70.362628300799997</v>
      </c>
      <c r="H207" s="1">
        <v>11.38</v>
      </c>
      <c r="I207" s="1">
        <f t="shared" si="17"/>
        <v>13.66</v>
      </c>
      <c r="J207" s="1" t="s">
        <v>1182</v>
      </c>
      <c r="K207" s="3">
        <f t="shared" si="18"/>
        <v>101.75629055999998</v>
      </c>
      <c r="L207" s="10">
        <f t="shared" si="19"/>
        <v>0.44616955075913567</v>
      </c>
      <c r="M207" s="18" t="str">
        <f>VLOOKUP(A207,Список!A:I,9,0)</f>
        <v>Основной ассортимент</v>
      </c>
      <c r="N207" s="12"/>
      <c r="O207" s="11"/>
    </row>
    <row r="208" spans="1:15" x14ac:dyDescent="0.25">
      <c r="A208" s="6">
        <v>4822</v>
      </c>
      <c r="B208" s="1" t="s">
        <v>212</v>
      </c>
      <c r="C208" s="3">
        <v>5.1324900000000007</v>
      </c>
      <c r="D208" s="1" t="s">
        <v>1182</v>
      </c>
      <c r="E208" s="3">
        <f t="shared" si="15"/>
        <v>80.490582374400006</v>
      </c>
      <c r="F208" s="3">
        <v>81.476589774078477</v>
      </c>
      <c r="G208" s="4">
        <f t="shared" si="16"/>
        <v>81.476589774078477</v>
      </c>
      <c r="H208" s="1">
        <v>13.09</v>
      </c>
      <c r="I208" s="1">
        <f t="shared" si="17"/>
        <v>15.71</v>
      </c>
      <c r="J208" s="1" t="s">
        <v>1182</v>
      </c>
      <c r="K208" s="3">
        <f t="shared" si="18"/>
        <v>117.02718335999998</v>
      </c>
      <c r="L208" s="10">
        <f t="shared" si="19"/>
        <v>0.4539239238654138</v>
      </c>
      <c r="M208" s="18" t="str">
        <f>VLOOKUP(A208,Список!A:I,9,0)</f>
        <v>Основной ассортимент</v>
      </c>
      <c r="N208" s="12"/>
      <c r="O208" s="11"/>
    </row>
    <row r="209" spans="1:15" x14ac:dyDescent="0.25">
      <c r="A209" s="6">
        <v>4823</v>
      </c>
      <c r="B209" s="1" t="s">
        <v>213</v>
      </c>
      <c r="C209" s="3">
        <v>5.9142599999999996</v>
      </c>
      <c r="D209" s="1" t="s">
        <v>1182</v>
      </c>
      <c r="E209" s="3">
        <f t="shared" si="15"/>
        <v>92.750737305599998</v>
      </c>
      <c r="F209" s="3">
        <v>87.466398266522219</v>
      </c>
      <c r="G209" s="4">
        <f t="shared" si="16"/>
        <v>92.750737305599998</v>
      </c>
      <c r="H209" s="1">
        <v>14.97</v>
      </c>
      <c r="I209" s="1">
        <f t="shared" si="17"/>
        <v>17.96</v>
      </c>
      <c r="J209" s="1" t="s">
        <v>1182</v>
      </c>
      <c r="K209" s="3">
        <f t="shared" si="18"/>
        <v>133.78791935999999</v>
      </c>
      <c r="L209" s="10">
        <f t="shared" si="19"/>
        <v>0.44244588503041782</v>
      </c>
      <c r="M209" s="18" t="str">
        <f>VLOOKUP(A209,Список!A:I,9,0)</f>
        <v>Основной ассортимент</v>
      </c>
      <c r="N209" s="12"/>
      <c r="O209" s="11"/>
    </row>
    <row r="210" spans="1:15" x14ac:dyDescent="0.25">
      <c r="A210" s="6">
        <v>4824</v>
      </c>
      <c r="B210" s="1" t="s">
        <v>214</v>
      </c>
      <c r="C210" s="3">
        <v>6.7073599999999995</v>
      </c>
      <c r="D210" s="1" t="s">
        <v>1182</v>
      </c>
      <c r="E210" s="3">
        <f t="shared" si="15"/>
        <v>105.18857564159998</v>
      </c>
      <c r="F210" s="3">
        <v>88.702028571428571</v>
      </c>
      <c r="G210" s="4">
        <f t="shared" si="16"/>
        <v>105.18857564159998</v>
      </c>
      <c r="H210" s="1">
        <v>16.98</v>
      </c>
      <c r="I210" s="1">
        <f t="shared" si="17"/>
        <v>20.38</v>
      </c>
      <c r="J210" s="1" t="s">
        <v>1182</v>
      </c>
      <c r="K210" s="3">
        <f t="shared" si="18"/>
        <v>151.81502207999998</v>
      </c>
      <c r="L210" s="10">
        <f t="shared" si="19"/>
        <v>0.44326530855657076</v>
      </c>
      <c r="M210" s="18" t="str">
        <f>VLOOKUP(A210,Список!A:I,9,0)</f>
        <v>Основной ассортимент</v>
      </c>
      <c r="N210" s="12"/>
      <c r="O210" s="11"/>
    </row>
    <row r="211" spans="1:15" x14ac:dyDescent="0.25">
      <c r="A211" s="6">
        <v>4815</v>
      </c>
      <c r="B211" s="1" t="s">
        <v>215</v>
      </c>
      <c r="C211" s="3">
        <v>2.3226499999999999</v>
      </c>
      <c r="D211" s="1" t="s">
        <v>1182</v>
      </c>
      <c r="E211" s="3">
        <f t="shared" si="15"/>
        <v>36.425097983999997</v>
      </c>
      <c r="F211" s="3">
        <v>35.944300129366106</v>
      </c>
      <c r="G211" s="4">
        <f t="shared" si="16"/>
        <v>36.425097983999997</v>
      </c>
      <c r="H211" s="1">
        <v>6.11</v>
      </c>
      <c r="I211" s="1">
        <f t="shared" si="17"/>
        <v>7.33</v>
      </c>
      <c r="J211" s="1" t="s">
        <v>1182</v>
      </c>
      <c r="K211" s="3">
        <f t="shared" si="18"/>
        <v>54.602753279999995</v>
      </c>
      <c r="L211" s="10">
        <f t="shared" si="19"/>
        <v>0.4990420424945643</v>
      </c>
      <c r="M211" s="18" t="str">
        <f>VLOOKUP(A211,Список!A:I,9,0)</f>
        <v>Основной ассортимент</v>
      </c>
      <c r="N211" s="12"/>
      <c r="O211" s="11"/>
    </row>
    <row r="212" spans="1:15" x14ac:dyDescent="0.25">
      <c r="A212" s="6">
        <v>4825</v>
      </c>
      <c r="B212" s="1" t="s">
        <v>216</v>
      </c>
      <c r="C212" s="3">
        <v>7.2398699999999998</v>
      </c>
      <c r="D212" s="1" t="s">
        <v>1182</v>
      </c>
      <c r="E212" s="3">
        <f t="shared" si="15"/>
        <v>113.53969566719999</v>
      </c>
      <c r="F212" s="3">
        <v>104.73859139026112</v>
      </c>
      <c r="G212" s="4">
        <f t="shared" si="16"/>
        <v>113.53969566719999</v>
      </c>
      <c r="H212" s="1">
        <v>18.46</v>
      </c>
      <c r="I212" s="1">
        <f t="shared" si="17"/>
        <v>22.15</v>
      </c>
      <c r="J212" s="1" t="s">
        <v>1182</v>
      </c>
      <c r="K212" s="3">
        <f t="shared" si="18"/>
        <v>165.00013439999998</v>
      </c>
      <c r="L212" s="10">
        <f t="shared" si="19"/>
        <v>0.45323742000892264</v>
      </c>
      <c r="M212" s="18" t="str">
        <f>VLOOKUP(A212,Список!A:I,9,0)</f>
        <v>Основной ассортимент</v>
      </c>
      <c r="N212" s="12"/>
      <c r="O212" s="11"/>
    </row>
    <row r="213" spans="1:15" x14ac:dyDescent="0.25">
      <c r="A213" s="6">
        <v>4826</v>
      </c>
      <c r="B213" s="1" t="s">
        <v>217</v>
      </c>
      <c r="C213" s="3">
        <v>8.6334599999999995</v>
      </c>
      <c r="D213" s="1" t="s">
        <v>1182</v>
      </c>
      <c r="E213" s="3">
        <f t="shared" si="15"/>
        <v>135.39475445759999</v>
      </c>
      <c r="F213" s="3">
        <v>120.75936734693876</v>
      </c>
      <c r="G213" s="4">
        <f t="shared" si="16"/>
        <v>135.39475445759999</v>
      </c>
      <c r="H213" s="1">
        <v>21.95</v>
      </c>
      <c r="I213" s="1">
        <f t="shared" si="17"/>
        <v>26.34</v>
      </c>
      <c r="J213" s="1" t="s">
        <v>1182</v>
      </c>
      <c r="K213" s="3">
        <f t="shared" si="18"/>
        <v>196.21234943999997</v>
      </c>
      <c r="L213" s="10">
        <f t="shared" si="19"/>
        <v>0.44918723200200139</v>
      </c>
      <c r="M213" s="18" t="str">
        <f>VLOOKUP(A213,Список!A:I,9,0)</f>
        <v>Основной ассортимент</v>
      </c>
      <c r="N213" s="12"/>
      <c r="O213" s="11"/>
    </row>
    <row r="214" spans="1:15" x14ac:dyDescent="0.25">
      <c r="A214" s="6">
        <v>4816</v>
      </c>
      <c r="B214" s="1" t="s">
        <v>218</v>
      </c>
      <c r="C214" s="3">
        <v>2.6058999999999997</v>
      </c>
      <c r="D214" s="1" t="s">
        <v>1182</v>
      </c>
      <c r="E214" s="3">
        <f t="shared" si="15"/>
        <v>40.867183103999999</v>
      </c>
      <c r="F214" s="3">
        <v>38.3860987918642</v>
      </c>
      <c r="G214" s="4">
        <f t="shared" si="16"/>
        <v>40.867183103999999</v>
      </c>
      <c r="H214" s="1">
        <v>6.83</v>
      </c>
      <c r="I214" s="1">
        <f t="shared" si="17"/>
        <v>8.1999999999999993</v>
      </c>
      <c r="J214" s="1" t="s">
        <v>1182</v>
      </c>
      <c r="K214" s="3">
        <f t="shared" si="18"/>
        <v>61.083571199999987</v>
      </c>
      <c r="L214" s="10">
        <f t="shared" si="19"/>
        <v>0.49468513757243149</v>
      </c>
      <c r="M214" s="18" t="str">
        <f>VLOOKUP(A214,Список!A:I,9,0)</f>
        <v>Основной ассортимент</v>
      </c>
      <c r="N214" s="12"/>
      <c r="O214" s="11"/>
    </row>
    <row r="215" spans="1:15" x14ac:dyDescent="0.25">
      <c r="A215" s="6">
        <v>4827</v>
      </c>
      <c r="B215" s="1" t="s">
        <v>219</v>
      </c>
      <c r="C215" s="3">
        <v>10.0837</v>
      </c>
      <c r="D215" s="1" t="s">
        <v>1182</v>
      </c>
      <c r="E215" s="3">
        <f t="shared" si="15"/>
        <v>158.13823027199999</v>
      </c>
      <c r="F215" s="3">
        <v>148.79132075471699</v>
      </c>
      <c r="G215" s="4">
        <f t="shared" si="16"/>
        <v>158.13823027199999</v>
      </c>
      <c r="H215" s="1">
        <v>25.43</v>
      </c>
      <c r="I215" s="1">
        <f t="shared" si="17"/>
        <v>30.52</v>
      </c>
      <c r="J215" s="1" t="s">
        <v>1182</v>
      </c>
      <c r="K215" s="3">
        <f t="shared" si="18"/>
        <v>227.35007231999995</v>
      </c>
      <c r="L215" s="10">
        <f t="shared" si="19"/>
        <v>0.43766672947429996</v>
      </c>
      <c r="M215" s="18" t="str">
        <f>VLOOKUP(A215,Список!A:I,9,0)</f>
        <v>Основной ассортимент</v>
      </c>
      <c r="N215" s="12"/>
      <c r="O215" s="11"/>
    </row>
    <row r="216" spans="1:15" x14ac:dyDescent="0.25">
      <c r="A216" s="6">
        <v>4828</v>
      </c>
      <c r="B216" s="1" t="s">
        <v>220</v>
      </c>
      <c r="C216" s="3">
        <v>11.454629999999998</v>
      </c>
      <c r="D216" s="1" t="s">
        <v>1182</v>
      </c>
      <c r="E216" s="3">
        <f t="shared" si="15"/>
        <v>179.63792225279997</v>
      </c>
      <c r="F216" s="3">
        <v>170.93484999999998</v>
      </c>
      <c r="G216" s="4">
        <f t="shared" si="16"/>
        <v>179.63792225279997</v>
      </c>
      <c r="H216" s="1">
        <v>29.06</v>
      </c>
      <c r="I216" s="1">
        <f t="shared" si="17"/>
        <v>34.869999999999997</v>
      </c>
      <c r="J216" s="1" t="s">
        <v>1182</v>
      </c>
      <c r="K216" s="3">
        <f t="shared" si="18"/>
        <v>259.75416191999994</v>
      </c>
      <c r="L216" s="10">
        <f t="shared" si="19"/>
        <v>0.44598734310929289</v>
      </c>
      <c r="M216" s="18" t="str">
        <f>VLOOKUP(A216,Список!A:I,9,0)</f>
        <v>Основной ассортимент</v>
      </c>
      <c r="N216" s="12"/>
      <c r="O216" s="11"/>
    </row>
    <row r="217" spans="1:15" x14ac:dyDescent="0.25">
      <c r="A217" s="6">
        <v>4817</v>
      </c>
      <c r="B217" s="1" t="s">
        <v>221</v>
      </c>
      <c r="C217" s="3">
        <v>2.8551599999999997</v>
      </c>
      <c r="D217" s="1" t="s">
        <v>1182</v>
      </c>
      <c r="E217" s="3">
        <f t="shared" si="15"/>
        <v>44.776218009599994</v>
      </c>
      <c r="F217" s="3">
        <v>42.888304537298133</v>
      </c>
      <c r="G217" s="4">
        <f t="shared" si="16"/>
        <v>44.776218009599994</v>
      </c>
      <c r="H217" s="1">
        <v>7.45</v>
      </c>
      <c r="I217" s="1">
        <f t="shared" si="17"/>
        <v>8.94</v>
      </c>
      <c r="J217" s="1" t="s">
        <v>1182</v>
      </c>
      <c r="K217" s="3">
        <f t="shared" si="18"/>
        <v>66.595991039999987</v>
      </c>
      <c r="L217" s="10">
        <f t="shared" si="19"/>
        <v>0.48730719119068633</v>
      </c>
      <c r="M217" s="18" t="str">
        <f>VLOOKUP(A217,Список!A:I,9,0)</f>
        <v>Основной ассортимент</v>
      </c>
      <c r="N217" s="12"/>
      <c r="O217" s="11"/>
    </row>
    <row r="218" spans="1:15" x14ac:dyDescent="0.25">
      <c r="A218" s="6">
        <v>4829</v>
      </c>
      <c r="B218" s="1" t="s">
        <v>222</v>
      </c>
      <c r="C218" s="3">
        <v>13.00684</v>
      </c>
      <c r="D218" s="1" t="s">
        <v>1182</v>
      </c>
      <c r="E218" s="3">
        <f t="shared" si="15"/>
        <v>203.98054871039997</v>
      </c>
      <c r="F218" s="3">
        <v>151.15562989323843</v>
      </c>
      <c r="G218" s="4">
        <f t="shared" si="16"/>
        <v>203.98054871039997</v>
      </c>
      <c r="H218" s="1">
        <v>32.56</v>
      </c>
      <c r="I218" s="1">
        <f t="shared" si="17"/>
        <v>39.07</v>
      </c>
      <c r="J218" s="1" t="s">
        <v>1182</v>
      </c>
      <c r="K218" s="3">
        <f t="shared" si="18"/>
        <v>291.04086911999997</v>
      </c>
      <c r="L218" s="10">
        <f t="shared" si="19"/>
        <v>0.4268069723314809</v>
      </c>
      <c r="M218" s="18" t="str">
        <f>VLOOKUP(A218,Список!A:I,9,0)</f>
        <v>Основной ассортимент</v>
      </c>
      <c r="N218" s="12"/>
      <c r="O218" s="11"/>
    </row>
    <row r="219" spans="1:15" x14ac:dyDescent="0.25">
      <c r="A219" s="6">
        <v>4818</v>
      </c>
      <c r="B219" s="1" t="s">
        <v>223</v>
      </c>
      <c r="C219" s="3">
        <v>3.1044200000000002</v>
      </c>
      <c r="D219" s="1" t="s">
        <v>1182</v>
      </c>
      <c r="E219" s="3">
        <f t="shared" si="15"/>
        <v>48.685252915200003</v>
      </c>
      <c r="F219" s="3">
        <v>46.114004815181978</v>
      </c>
      <c r="G219" s="4">
        <f t="shared" si="16"/>
        <v>48.685252915200003</v>
      </c>
      <c r="H219" s="1">
        <v>8.06</v>
      </c>
      <c r="I219" s="1">
        <f t="shared" si="17"/>
        <v>9.67</v>
      </c>
      <c r="J219" s="1" t="s">
        <v>1182</v>
      </c>
      <c r="K219" s="3">
        <f t="shared" si="18"/>
        <v>72.033918719999988</v>
      </c>
      <c r="L219" s="10">
        <f t="shared" si="19"/>
        <v>0.47958394804826643</v>
      </c>
      <c r="M219" s="18" t="str">
        <f>VLOOKUP(A219,Список!A:I,9,0)</f>
        <v>Основной ассортимент</v>
      </c>
      <c r="N219" s="12"/>
      <c r="O219" s="11"/>
    </row>
    <row r="220" spans="1:15" x14ac:dyDescent="0.25">
      <c r="A220" s="6">
        <v>4819</v>
      </c>
      <c r="B220" s="1" t="s">
        <v>224</v>
      </c>
      <c r="C220" s="3">
        <v>3.3536799999999998</v>
      </c>
      <c r="D220" s="1" t="s">
        <v>1182</v>
      </c>
      <c r="E220" s="3">
        <f t="shared" si="15"/>
        <v>52.594287820799991</v>
      </c>
      <c r="F220" s="3">
        <v>50.235160087284264</v>
      </c>
      <c r="G220" s="4">
        <f t="shared" si="16"/>
        <v>52.594287820799991</v>
      </c>
      <c r="H220" s="1">
        <v>8.68</v>
      </c>
      <c r="I220" s="1">
        <f t="shared" si="17"/>
        <v>10.42</v>
      </c>
      <c r="J220" s="1" t="s">
        <v>1182</v>
      </c>
      <c r="K220" s="3">
        <f t="shared" si="18"/>
        <v>77.620830719999987</v>
      </c>
      <c r="L220" s="10">
        <f t="shared" si="19"/>
        <v>0.47584146370554148</v>
      </c>
      <c r="M220" s="18" t="str">
        <f>VLOOKUP(A220,Список!A:I,9,0)</f>
        <v>Основной ассортимент</v>
      </c>
      <c r="N220" s="12"/>
      <c r="O220" s="11"/>
    </row>
    <row r="221" spans="1:15" x14ac:dyDescent="0.25">
      <c r="A221" s="6">
        <v>4820</v>
      </c>
      <c r="B221" s="1" t="s">
        <v>225</v>
      </c>
      <c r="C221" s="3">
        <v>3.9768299999999996</v>
      </c>
      <c r="D221" s="1" t="s">
        <v>1182</v>
      </c>
      <c r="E221" s="3">
        <f t="shared" si="15"/>
        <v>62.366875084799993</v>
      </c>
      <c r="F221" s="3">
        <v>59.010457299198748</v>
      </c>
      <c r="G221" s="4">
        <f t="shared" si="16"/>
        <v>62.366875084799993</v>
      </c>
      <c r="H221" s="1">
        <v>10.17</v>
      </c>
      <c r="I221" s="1">
        <f t="shared" si="17"/>
        <v>12.2</v>
      </c>
      <c r="J221" s="1" t="s">
        <v>1182</v>
      </c>
      <c r="K221" s="3">
        <f t="shared" si="18"/>
        <v>90.880435199999994</v>
      </c>
      <c r="L221" s="10">
        <f t="shared" si="19"/>
        <v>0.45719077757912707</v>
      </c>
      <c r="M221" s="18" t="str">
        <f>VLOOKUP(A221,Список!A:I,9,0)</f>
        <v>Основной ассортимент</v>
      </c>
      <c r="N221" s="12"/>
      <c r="O221" s="11"/>
    </row>
    <row r="222" spans="1:15" x14ac:dyDescent="0.25">
      <c r="A222" s="6">
        <v>4835</v>
      </c>
      <c r="B222" s="1" t="s">
        <v>226</v>
      </c>
      <c r="C222" s="3">
        <v>8.6107999999999993</v>
      </c>
      <c r="D222" s="1" t="s">
        <v>1182</v>
      </c>
      <c r="E222" s="3">
        <f t="shared" si="15"/>
        <v>135.03938764799997</v>
      </c>
      <c r="F222" s="3">
        <v>124.75801530084775</v>
      </c>
      <c r="G222" s="4">
        <f t="shared" si="16"/>
        <v>135.03938764799997</v>
      </c>
      <c r="H222" s="1">
        <v>21.54</v>
      </c>
      <c r="I222" s="1">
        <f t="shared" si="17"/>
        <v>25.85</v>
      </c>
      <c r="J222" s="1" t="s">
        <v>1182</v>
      </c>
      <c r="K222" s="3">
        <f t="shared" si="18"/>
        <v>192.56223359999998</v>
      </c>
      <c r="L222" s="10">
        <f t="shared" si="19"/>
        <v>0.42597087378640786</v>
      </c>
      <c r="M222" s="18" t="str">
        <f>VLOOKUP(A222,Список!A:I,9,0)</f>
        <v>Основной ассортимент</v>
      </c>
      <c r="N222" s="12"/>
      <c r="O222" s="11"/>
    </row>
    <row r="223" spans="1:15" x14ac:dyDescent="0.25">
      <c r="A223" s="6">
        <v>4836</v>
      </c>
      <c r="B223" s="1" t="s">
        <v>227</v>
      </c>
      <c r="C223" s="3">
        <v>9.9364100000000004</v>
      </c>
      <c r="D223" s="1" t="s">
        <v>1182</v>
      </c>
      <c r="E223" s="3">
        <f t="shared" si="15"/>
        <v>155.82834600959998</v>
      </c>
      <c r="F223" s="3">
        <v>136.70936019268666</v>
      </c>
      <c r="G223" s="4">
        <f t="shared" si="16"/>
        <v>155.82834600959998</v>
      </c>
      <c r="H223" s="1">
        <v>24.82</v>
      </c>
      <c r="I223" s="1">
        <f t="shared" si="17"/>
        <v>29.78</v>
      </c>
      <c r="J223" s="1" t="s">
        <v>1182</v>
      </c>
      <c r="K223" s="3">
        <f t="shared" si="18"/>
        <v>221.83765248</v>
      </c>
      <c r="L223" s="10">
        <f t="shared" si="19"/>
        <v>0.42360268950254687</v>
      </c>
      <c r="M223" s="18" t="str">
        <f>VLOOKUP(A223,Список!A:I,9,0)</f>
        <v>Основной ассортимент</v>
      </c>
      <c r="N223" s="12"/>
      <c r="O223" s="11"/>
    </row>
    <row r="224" spans="1:15" x14ac:dyDescent="0.25">
      <c r="A224" s="6">
        <v>4837</v>
      </c>
      <c r="B224" s="1" t="s">
        <v>228</v>
      </c>
      <c r="C224" s="3">
        <v>11.511279999999999</v>
      </c>
      <c r="D224" s="1" t="s">
        <v>1182</v>
      </c>
      <c r="E224" s="3">
        <f t="shared" si="15"/>
        <v>180.52633927679997</v>
      </c>
      <c r="F224" s="3">
        <v>165.64799268515694</v>
      </c>
      <c r="G224" s="4">
        <f t="shared" si="16"/>
        <v>180.52633927679997</v>
      </c>
      <c r="H224" s="1">
        <v>28.73</v>
      </c>
      <c r="I224" s="1">
        <f t="shared" si="17"/>
        <v>34.479999999999997</v>
      </c>
      <c r="J224" s="1" t="s">
        <v>1182</v>
      </c>
      <c r="K224" s="3">
        <f t="shared" si="18"/>
        <v>256.84896767999999</v>
      </c>
      <c r="L224" s="10">
        <f t="shared" si="19"/>
        <v>0.42277835305891287</v>
      </c>
      <c r="M224" s="18" t="str">
        <f>VLOOKUP(A224,Список!A:I,9,0)</f>
        <v>Основной ассортимент</v>
      </c>
      <c r="N224" s="12"/>
      <c r="O224" s="11"/>
    </row>
    <row r="225" spans="1:15" x14ac:dyDescent="0.25">
      <c r="A225" s="6">
        <v>4838</v>
      </c>
      <c r="B225" s="1" t="s">
        <v>229</v>
      </c>
      <c r="C225" s="3">
        <v>14.52506</v>
      </c>
      <c r="D225" s="1" t="s">
        <v>1182</v>
      </c>
      <c r="E225" s="3">
        <f t="shared" si="15"/>
        <v>227.79012495359999</v>
      </c>
      <c r="F225" s="3">
        <v>203.96729966329966</v>
      </c>
      <c r="G225" s="4">
        <f t="shared" si="16"/>
        <v>227.79012495359999</v>
      </c>
      <c r="H225" s="1">
        <v>36.200000000000003</v>
      </c>
      <c r="I225" s="1">
        <f t="shared" si="17"/>
        <v>43.44</v>
      </c>
      <c r="J225" s="1" t="s">
        <v>1182</v>
      </c>
      <c r="K225" s="3">
        <f t="shared" si="18"/>
        <v>323.59394303999994</v>
      </c>
      <c r="L225" s="10">
        <f t="shared" si="19"/>
        <v>0.42057932979278556</v>
      </c>
      <c r="M225" s="18" t="str">
        <f>VLOOKUP(A225,Список!A:I,9,0)</f>
        <v>Основной ассортимент</v>
      </c>
      <c r="N225" s="12"/>
      <c r="O225" s="11"/>
    </row>
    <row r="226" spans="1:15" x14ac:dyDescent="0.25">
      <c r="A226" s="6">
        <v>4830</v>
      </c>
      <c r="B226" s="1" t="s">
        <v>230</v>
      </c>
      <c r="C226" s="3">
        <v>4.8152499999999998</v>
      </c>
      <c r="D226" s="1" t="s">
        <v>1182</v>
      </c>
      <c r="E226" s="3">
        <f t="shared" si="15"/>
        <v>75.515447039999984</v>
      </c>
      <c r="F226" s="3">
        <v>72.001618604651171</v>
      </c>
      <c r="G226" s="4">
        <f t="shared" si="16"/>
        <v>75.515447039999984</v>
      </c>
      <c r="H226" s="1">
        <v>12.39</v>
      </c>
      <c r="I226" s="1">
        <f t="shared" si="17"/>
        <v>14.87</v>
      </c>
      <c r="J226" s="1" t="s">
        <v>1182</v>
      </c>
      <c r="K226" s="3">
        <f t="shared" si="18"/>
        <v>110.76984191999998</v>
      </c>
      <c r="L226" s="10">
        <f t="shared" si="19"/>
        <v>0.46685011162452628</v>
      </c>
      <c r="M226" s="18" t="str">
        <f>VLOOKUP(A226,Список!A:I,9,0)</f>
        <v>Основной ассортимент</v>
      </c>
      <c r="N226" s="12"/>
      <c r="O226" s="11"/>
    </row>
    <row r="227" spans="1:15" x14ac:dyDescent="0.25">
      <c r="A227" s="6">
        <v>4831</v>
      </c>
      <c r="B227" s="1" t="s">
        <v>231</v>
      </c>
      <c r="C227" s="3">
        <v>5.3137700000000008</v>
      </c>
      <c r="D227" s="1" t="s">
        <v>1182</v>
      </c>
      <c r="E227" s="3">
        <f t="shared" si="15"/>
        <v>83.333516851200002</v>
      </c>
      <c r="F227" s="3">
        <v>78.91442079990631</v>
      </c>
      <c r="G227" s="4">
        <f t="shared" si="16"/>
        <v>83.333516851200002</v>
      </c>
      <c r="H227" s="1">
        <v>13.52</v>
      </c>
      <c r="I227" s="1">
        <f t="shared" si="17"/>
        <v>16.22</v>
      </c>
      <c r="J227" s="1" t="s">
        <v>1182</v>
      </c>
      <c r="K227" s="3">
        <f t="shared" si="18"/>
        <v>120.82628351999999</v>
      </c>
      <c r="L227" s="10">
        <f t="shared" si="19"/>
        <v>0.4499122092224539</v>
      </c>
      <c r="M227" s="18" t="str">
        <f>VLOOKUP(A227,Список!A:I,9,0)</f>
        <v>Основной ассортимент</v>
      </c>
      <c r="N227" s="12"/>
      <c r="O227" s="11"/>
    </row>
    <row r="228" spans="1:15" x14ac:dyDescent="0.25">
      <c r="A228" s="6">
        <v>4832</v>
      </c>
      <c r="B228" s="1" t="s">
        <v>232</v>
      </c>
      <c r="C228" s="3">
        <v>5.8349500000000001</v>
      </c>
      <c r="D228" s="1" t="s">
        <v>1182</v>
      </c>
      <c r="E228" s="3">
        <f t="shared" si="15"/>
        <v>91.506953471999992</v>
      </c>
      <c r="F228" s="3">
        <v>89.941179530574971</v>
      </c>
      <c r="G228" s="4">
        <f t="shared" si="16"/>
        <v>91.506953471999992</v>
      </c>
      <c r="H228" s="1">
        <v>14.76</v>
      </c>
      <c r="I228" s="1">
        <f t="shared" si="17"/>
        <v>17.71</v>
      </c>
      <c r="J228" s="1" t="s">
        <v>1182</v>
      </c>
      <c r="K228" s="3">
        <f t="shared" si="18"/>
        <v>131.92561535999999</v>
      </c>
      <c r="L228" s="10">
        <f t="shared" si="19"/>
        <v>0.44170044302007727</v>
      </c>
      <c r="M228" s="18" t="str">
        <f>VLOOKUP(A228,Список!A:I,9,0)</f>
        <v>Основной ассортимент</v>
      </c>
      <c r="N228" s="12"/>
      <c r="O228" s="11"/>
    </row>
    <row r="229" spans="1:15" x14ac:dyDescent="0.25">
      <c r="A229" s="6">
        <v>4833</v>
      </c>
      <c r="B229" s="1" t="s">
        <v>233</v>
      </c>
      <c r="C229" s="3">
        <v>6.3334700000000002</v>
      </c>
      <c r="D229" s="1" t="s">
        <v>1182</v>
      </c>
      <c r="E229" s="3">
        <f t="shared" si="15"/>
        <v>99.325023283199997</v>
      </c>
      <c r="F229" s="3">
        <v>95.227508041895973</v>
      </c>
      <c r="G229" s="4">
        <f t="shared" si="16"/>
        <v>99.325023283199997</v>
      </c>
      <c r="H229" s="1">
        <v>16.12</v>
      </c>
      <c r="I229" s="1">
        <f t="shared" si="17"/>
        <v>19.34</v>
      </c>
      <c r="J229" s="1" t="s">
        <v>1182</v>
      </c>
      <c r="K229" s="3">
        <f t="shared" si="18"/>
        <v>144.06783743999998</v>
      </c>
      <c r="L229" s="10">
        <f t="shared" si="19"/>
        <v>0.45046870041225406</v>
      </c>
      <c r="M229" s="18" t="str">
        <f>VLOOKUP(A229,Список!A:I,9,0)</f>
        <v>Основной ассортимент</v>
      </c>
      <c r="N229" s="12"/>
      <c r="O229" s="11"/>
    </row>
    <row r="230" spans="1:15" x14ac:dyDescent="0.25">
      <c r="A230" s="6">
        <v>4834</v>
      </c>
      <c r="B230" s="1" t="s">
        <v>234</v>
      </c>
      <c r="C230" s="3">
        <v>7.5797699999999999</v>
      </c>
      <c r="D230" s="1" t="s">
        <v>1182</v>
      </c>
      <c r="E230" s="3">
        <f t="shared" si="15"/>
        <v>118.8701978112</v>
      </c>
      <c r="F230" s="3">
        <v>111.22256232761883</v>
      </c>
      <c r="G230" s="4">
        <f t="shared" si="16"/>
        <v>118.8701978112</v>
      </c>
      <c r="H230" s="1">
        <v>18.93</v>
      </c>
      <c r="I230" s="1">
        <f t="shared" si="17"/>
        <v>22.72</v>
      </c>
      <c r="J230" s="1" t="s">
        <v>1182</v>
      </c>
      <c r="K230" s="3">
        <f t="shared" si="18"/>
        <v>169.24618751999998</v>
      </c>
      <c r="L230" s="10">
        <f t="shared" si="19"/>
        <v>0.42378990391529014</v>
      </c>
      <c r="M230" s="18" t="str">
        <f>VLOOKUP(A230,Список!A:I,9,0)</f>
        <v>Основной ассортимент</v>
      </c>
      <c r="N230" s="12"/>
      <c r="O230" s="11"/>
    </row>
    <row r="231" spans="1:15" x14ac:dyDescent="0.25">
      <c r="A231" s="6">
        <v>2708</v>
      </c>
      <c r="B231" s="1" t="s">
        <v>235</v>
      </c>
      <c r="C231" s="3">
        <v>423.95881499999996</v>
      </c>
      <c r="D231" s="1" t="s">
        <v>1182</v>
      </c>
      <c r="E231" s="3">
        <f t="shared" si="15"/>
        <v>6648.7595537663983</v>
      </c>
      <c r="F231" s="3">
        <v>5301.3641632653062</v>
      </c>
      <c r="G231" s="4">
        <f t="shared" si="16"/>
        <v>6648.7595537663983</v>
      </c>
      <c r="H231" s="1">
        <v>981.12</v>
      </c>
      <c r="I231" s="1">
        <f t="shared" si="17"/>
        <v>1177.3399999999999</v>
      </c>
      <c r="J231" s="1" t="s">
        <v>1182</v>
      </c>
      <c r="K231" s="3">
        <f t="shared" si="18"/>
        <v>8770.2599654399983</v>
      </c>
      <c r="L231" s="10">
        <f t="shared" si="19"/>
        <v>0.31908213773076044</v>
      </c>
      <c r="M231" s="18" t="str">
        <f>VLOOKUP(A231,Список!A:I,9,0)</f>
        <v>Основной ассортимент</v>
      </c>
      <c r="N231" s="12"/>
      <c r="O231" s="11"/>
    </row>
    <row r="232" spans="1:15" x14ac:dyDescent="0.25">
      <c r="A232" s="6">
        <v>2709</v>
      </c>
      <c r="B232" s="1" t="s">
        <v>236</v>
      </c>
      <c r="C232" s="3">
        <v>458.62088999999997</v>
      </c>
      <c r="D232" s="1" t="s">
        <v>1182</v>
      </c>
      <c r="E232" s="3">
        <f t="shared" si="15"/>
        <v>7192.3496246783998</v>
      </c>
      <c r="F232" s="3">
        <v>6066.3073548387101</v>
      </c>
      <c r="G232" s="4">
        <f t="shared" si="16"/>
        <v>7192.3496246783998</v>
      </c>
      <c r="H232" s="1">
        <v>1061.48</v>
      </c>
      <c r="I232" s="1">
        <f t="shared" si="17"/>
        <v>1273.78</v>
      </c>
      <c r="J232" s="1" t="s">
        <v>1182</v>
      </c>
      <c r="K232" s="3">
        <f t="shared" si="18"/>
        <v>9488.6623564799975</v>
      </c>
      <c r="L232" s="10">
        <f t="shared" si="19"/>
        <v>0.31927156654377398</v>
      </c>
      <c r="M232" s="18" t="str">
        <f>VLOOKUP(A232,Список!A:I,9,0)</f>
        <v>Основной ассортимент</v>
      </c>
      <c r="N232" s="12"/>
      <c r="O232" s="11"/>
    </row>
    <row r="233" spans="1:15" x14ac:dyDescent="0.25">
      <c r="A233" s="6">
        <v>2710</v>
      </c>
      <c r="B233" s="1" t="s">
        <v>237</v>
      </c>
      <c r="C233" s="3">
        <v>495.19722000000002</v>
      </c>
      <c r="D233" s="1" t="s">
        <v>1182</v>
      </c>
      <c r="E233" s="3">
        <f t="shared" si="15"/>
        <v>7765.9601144831995</v>
      </c>
      <c r="F233" s="3">
        <v>7225.0416226415091</v>
      </c>
      <c r="G233" s="4">
        <f t="shared" si="16"/>
        <v>7765.9601144831995</v>
      </c>
      <c r="H233" s="1">
        <v>1138.08</v>
      </c>
      <c r="I233" s="1">
        <f t="shared" si="17"/>
        <v>1365.7</v>
      </c>
      <c r="J233" s="1" t="s">
        <v>1182</v>
      </c>
      <c r="K233" s="3">
        <f t="shared" si="18"/>
        <v>10173.3942912</v>
      </c>
      <c r="L233" s="10">
        <f t="shared" si="19"/>
        <v>0.30999826695311428</v>
      </c>
      <c r="M233" s="18" t="str">
        <f>VLOOKUP(A233,Список!A:I,9,0)</f>
        <v>Основной ассортимент</v>
      </c>
      <c r="N233" s="12"/>
      <c r="O233" s="11"/>
    </row>
    <row r="234" spans="1:15" x14ac:dyDescent="0.25">
      <c r="A234" s="6">
        <v>2700</v>
      </c>
      <c r="B234" s="1" t="s">
        <v>238</v>
      </c>
      <c r="C234" s="3">
        <v>142.444365</v>
      </c>
      <c r="D234" s="1" t="s">
        <v>1182</v>
      </c>
      <c r="E234" s="3">
        <f t="shared" si="15"/>
        <v>2233.8923007743997</v>
      </c>
      <c r="F234" s="3">
        <v>2026.5674418604651</v>
      </c>
      <c r="G234" s="4">
        <f t="shared" si="16"/>
        <v>2233.8923007743997</v>
      </c>
      <c r="H234" s="1">
        <v>328.22</v>
      </c>
      <c r="I234" s="1">
        <f t="shared" si="17"/>
        <v>393.86</v>
      </c>
      <c r="J234" s="1" t="s">
        <v>1182</v>
      </c>
      <c r="K234" s="3">
        <f t="shared" si="18"/>
        <v>2933.9482137599998</v>
      </c>
      <c r="L234" s="10">
        <f t="shared" si="19"/>
        <v>0.3133794376492185</v>
      </c>
      <c r="M234" s="18" t="str">
        <f>VLOOKUP(A234,Список!A:I,9,0)</f>
        <v>Основной ассортимент</v>
      </c>
      <c r="N234" s="12"/>
      <c r="O234" s="11"/>
    </row>
    <row r="235" spans="1:15" x14ac:dyDescent="0.25">
      <c r="A235" s="6">
        <v>2701</v>
      </c>
      <c r="B235" s="1" t="s">
        <v>239</v>
      </c>
      <c r="C235" s="3">
        <v>176.83060396039551</v>
      </c>
      <c r="D235" s="1" t="s">
        <v>1182</v>
      </c>
      <c r="E235" s="3">
        <f t="shared" si="15"/>
        <v>2773.1565564451398</v>
      </c>
      <c r="F235" s="3">
        <v>2288.306051983584</v>
      </c>
      <c r="G235" s="4">
        <f t="shared" si="16"/>
        <v>2773.1565564451398</v>
      </c>
      <c r="H235" s="1">
        <v>407.94</v>
      </c>
      <c r="I235" s="1">
        <f t="shared" si="17"/>
        <v>489.53</v>
      </c>
      <c r="J235" s="1" t="s">
        <v>1182</v>
      </c>
      <c r="K235" s="3">
        <f t="shared" si="18"/>
        <v>3646.6147084799995</v>
      </c>
      <c r="L235" s="10">
        <f t="shared" si="19"/>
        <v>0.31496892954162314</v>
      </c>
      <c r="M235" s="18" t="str">
        <f>VLOOKUP(A235,Список!A:I,9,0)</f>
        <v>Основной ассортимент</v>
      </c>
      <c r="N235" s="12"/>
      <c r="O235" s="11"/>
    </row>
    <row r="236" spans="1:15" x14ac:dyDescent="0.25">
      <c r="A236" s="6">
        <v>2702</v>
      </c>
      <c r="B236" s="1" t="s">
        <v>240</v>
      </c>
      <c r="C236" s="3">
        <v>212.92700495049516</v>
      </c>
      <c r="D236" s="1" t="s">
        <v>1182</v>
      </c>
      <c r="E236" s="3">
        <f t="shared" si="15"/>
        <v>3339.2405307564372</v>
      </c>
      <c r="F236" s="3">
        <v>2699.8995267175574</v>
      </c>
      <c r="G236" s="4">
        <f t="shared" si="16"/>
        <v>3339.2405307564372</v>
      </c>
      <c r="H236" s="1">
        <v>491.67</v>
      </c>
      <c r="I236" s="1">
        <f t="shared" si="17"/>
        <v>590</v>
      </c>
      <c r="J236" s="1" t="s">
        <v>1182</v>
      </c>
      <c r="K236" s="3">
        <f t="shared" si="18"/>
        <v>4395.0374399999992</v>
      </c>
      <c r="L236" s="10">
        <f t="shared" si="19"/>
        <v>0.31617875367737969</v>
      </c>
      <c r="M236" s="18" t="str">
        <f>VLOOKUP(A236,Список!A:I,9,0)</f>
        <v>Основной ассортимент</v>
      </c>
      <c r="N236" s="12"/>
      <c r="O236" s="11"/>
    </row>
    <row r="237" spans="1:15" x14ac:dyDescent="0.25">
      <c r="A237" s="6">
        <v>2703</v>
      </c>
      <c r="B237" s="1" t="s">
        <v>241</v>
      </c>
      <c r="C237" s="3">
        <v>247.38509405940624</v>
      </c>
      <c r="D237" s="1" t="s">
        <v>1182</v>
      </c>
      <c r="E237" s="3">
        <f t="shared" si="15"/>
        <v>3879.6315806922812</v>
      </c>
      <c r="F237" s="3">
        <v>3120.3638234165064</v>
      </c>
      <c r="G237" s="4">
        <f t="shared" si="16"/>
        <v>3879.6315806922812</v>
      </c>
      <c r="H237" s="1">
        <v>571.55999999999995</v>
      </c>
      <c r="I237" s="1">
        <f t="shared" si="17"/>
        <v>685.87</v>
      </c>
      <c r="J237" s="1" t="s">
        <v>1182</v>
      </c>
      <c r="K237" s="3">
        <f t="shared" si="18"/>
        <v>5109.1937779199998</v>
      </c>
      <c r="L237" s="10">
        <f t="shared" si="19"/>
        <v>0.31692756687177903</v>
      </c>
      <c r="M237" s="18" t="str">
        <f>VLOOKUP(A237,Список!A:I,9,0)</f>
        <v>Основной ассортимент</v>
      </c>
      <c r="N237" s="12"/>
      <c r="O237" s="11"/>
    </row>
    <row r="238" spans="1:15" x14ac:dyDescent="0.25">
      <c r="A238" s="6">
        <v>2704</v>
      </c>
      <c r="B238" s="1" t="s">
        <v>242</v>
      </c>
      <c r="C238" s="3">
        <v>281.97167821782205</v>
      </c>
      <c r="D238" s="1" t="s">
        <v>1182</v>
      </c>
      <c r="E238" s="3">
        <f t="shared" si="15"/>
        <v>4422.0377619516867</v>
      </c>
      <c r="F238" s="3">
        <v>3502.5610229508197</v>
      </c>
      <c r="G238" s="4">
        <f t="shared" si="16"/>
        <v>4422.0377619516867</v>
      </c>
      <c r="H238" s="1">
        <v>651.80999999999995</v>
      </c>
      <c r="I238" s="1">
        <f t="shared" si="17"/>
        <v>782.17</v>
      </c>
      <c r="J238" s="1" t="s">
        <v>1182</v>
      </c>
      <c r="K238" s="3">
        <f t="shared" si="18"/>
        <v>5826.5532787199991</v>
      </c>
      <c r="L238" s="10">
        <f t="shared" si="19"/>
        <v>0.31761725981924305</v>
      </c>
      <c r="M238" s="18" t="str">
        <f>VLOOKUP(A238,Список!A:I,9,0)</f>
        <v>Основной ассортимент</v>
      </c>
      <c r="N238" s="12"/>
      <c r="O238" s="11"/>
    </row>
    <row r="239" spans="1:15" x14ac:dyDescent="0.25">
      <c r="A239" s="6">
        <v>2705</v>
      </c>
      <c r="B239" s="1" t="s">
        <v>243</v>
      </c>
      <c r="C239" s="3">
        <v>317.72306999999995</v>
      </c>
      <c r="D239" s="1" t="s">
        <v>1182</v>
      </c>
      <c r="E239" s="3">
        <f t="shared" si="15"/>
        <v>4982.7111086591985</v>
      </c>
      <c r="F239" s="3">
        <v>4042.4065328719721</v>
      </c>
      <c r="G239" s="4">
        <f t="shared" si="16"/>
        <v>4982.7111086591985</v>
      </c>
      <c r="H239" s="1">
        <v>734.7</v>
      </c>
      <c r="I239" s="1">
        <f t="shared" si="17"/>
        <v>881.64</v>
      </c>
      <c r="J239" s="1" t="s">
        <v>1182</v>
      </c>
      <c r="K239" s="3">
        <f t="shared" si="18"/>
        <v>6567.5267942399996</v>
      </c>
      <c r="L239" s="10">
        <f t="shared" si="19"/>
        <v>0.31806292819718784</v>
      </c>
      <c r="M239" s="18" t="str">
        <f>VLOOKUP(A239,Список!A:I,9,0)</f>
        <v>Основной ассортимент</v>
      </c>
      <c r="N239" s="12"/>
      <c r="O239" s="11"/>
    </row>
    <row r="240" spans="1:15" x14ac:dyDescent="0.25">
      <c r="A240" s="6">
        <v>2706</v>
      </c>
      <c r="B240" s="1" t="s">
        <v>244</v>
      </c>
      <c r="C240" s="3">
        <v>352.45003500000001</v>
      </c>
      <c r="D240" s="1" t="s">
        <v>1182</v>
      </c>
      <c r="E240" s="3">
        <f t="shared" si="15"/>
        <v>5527.3188208895999</v>
      </c>
      <c r="F240" s="3">
        <v>4541.6988535031842</v>
      </c>
      <c r="G240" s="4">
        <f t="shared" si="16"/>
        <v>5527.3188208895999</v>
      </c>
      <c r="H240" s="1">
        <v>815.27</v>
      </c>
      <c r="I240" s="1">
        <f t="shared" si="17"/>
        <v>978.32</v>
      </c>
      <c r="J240" s="1" t="s">
        <v>1182</v>
      </c>
      <c r="K240" s="3">
        <f t="shared" si="18"/>
        <v>7287.7169971199992</v>
      </c>
      <c r="L240" s="10">
        <f t="shared" si="19"/>
        <v>0.31849043510521979</v>
      </c>
      <c r="M240" s="18" t="str">
        <f>VLOOKUP(A240,Список!A:I,9,0)</f>
        <v>Основной ассортимент</v>
      </c>
      <c r="N240" s="12"/>
      <c r="O240" s="11"/>
    </row>
    <row r="241" spans="1:15" x14ac:dyDescent="0.25">
      <c r="A241" s="6">
        <v>2707</v>
      </c>
      <c r="B241" s="1" t="s">
        <v>245</v>
      </c>
      <c r="C241" s="3">
        <v>386.97151500000001</v>
      </c>
      <c r="D241" s="1" t="s">
        <v>1182</v>
      </c>
      <c r="E241" s="3">
        <f t="shared" si="15"/>
        <v>6068.7040022783995</v>
      </c>
      <c r="F241" s="3">
        <v>5097.5526461538466</v>
      </c>
      <c r="G241" s="4">
        <f t="shared" si="16"/>
        <v>6068.7040022783995</v>
      </c>
      <c r="H241" s="1">
        <v>895.31</v>
      </c>
      <c r="I241" s="1">
        <f t="shared" si="17"/>
        <v>1074.3699999999999</v>
      </c>
      <c r="J241" s="1" t="s">
        <v>1182</v>
      </c>
      <c r="K241" s="3">
        <f t="shared" si="18"/>
        <v>8003.2141939199983</v>
      </c>
      <c r="L241" s="10">
        <f t="shared" si="19"/>
        <v>0.31876825610794612</v>
      </c>
      <c r="M241" s="18" t="str">
        <f>VLOOKUP(A241,Список!A:I,9,0)</f>
        <v>Основной ассортимент</v>
      </c>
      <c r="N241" s="12"/>
      <c r="O241" s="11"/>
    </row>
    <row r="242" spans="1:15" x14ac:dyDescent="0.25">
      <c r="A242" s="6">
        <v>2741</v>
      </c>
      <c r="B242" s="1" t="s">
        <v>246</v>
      </c>
      <c r="C242" s="3">
        <v>15</v>
      </c>
      <c r="D242" s="1" t="s">
        <v>1182</v>
      </c>
      <c r="E242" s="3">
        <f t="shared" si="15"/>
        <v>235.23839999999996</v>
      </c>
      <c r="F242" s="3">
        <v>140.16142298288506</v>
      </c>
      <c r="G242" s="4">
        <f t="shared" si="16"/>
        <v>235.23839999999996</v>
      </c>
      <c r="H242" s="1">
        <v>30.65</v>
      </c>
      <c r="I242" s="1">
        <f t="shared" si="17"/>
        <v>36.78</v>
      </c>
      <c r="J242" s="1" t="s">
        <v>1182</v>
      </c>
      <c r="K242" s="3">
        <f t="shared" si="18"/>
        <v>273.98216447999994</v>
      </c>
      <c r="L242" s="10">
        <f t="shared" si="19"/>
        <v>0.16469999999999985</v>
      </c>
      <c r="M242" s="18" t="str">
        <f>VLOOKUP(A242,Список!A:I,9,0)</f>
        <v>Основной ассортимент</v>
      </c>
      <c r="N242" s="12"/>
      <c r="O242" s="11"/>
    </row>
    <row r="243" spans="1:15" x14ac:dyDescent="0.25">
      <c r="A243" s="6">
        <v>2730</v>
      </c>
      <c r="B243" s="1" t="s">
        <v>247</v>
      </c>
      <c r="C243" s="3">
        <v>222.23795000000001</v>
      </c>
      <c r="D243" s="1" t="s">
        <v>1182</v>
      </c>
      <c r="E243" s="3">
        <f t="shared" si="15"/>
        <v>3485.2599851520004</v>
      </c>
      <c r="F243" s="3">
        <v>2661.3624588607595</v>
      </c>
      <c r="G243" s="4">
        <f t="shared" si="16"/>
        <v>3485.2599851520004</v>
      </c>
      <c r="H243" s="1">
        <v>496.44</v>
      </c>
      <c r="I243" s="1">
        <f t="shared" si="17"/>
        <v>595.73</v>
      </c>
      <c r="J243" s="1" t="s">
        <v>1182</v>
      </c>
      <c r="K243" s="3">
        <f t="shared" si="18"/>
        <v>4437.72144768</v>
      </c>
      <c r="L243" s="10">
        <f t="shared" si="19"/>
        <v>0.27328275841277327</v>
      </c>
      <c r="M243" s="18" t="str">
        <f>VLOOKUP(A243,Список!A:I,9,0)</f>
        <v>Основной ассортимент</v>
      </c>
      <c r="N243" s="12"/>
      <c r="O243" s="11"/>
    </row>
    <row r="244" spans="1:15" x14ac:dyDescent="0.25">
      <c r="A244" s="6">
        <v>2740</v>
      </c>
      <c r="B244" s="1" t="s">
        <v>248</v>
      </c>
      <c r="C244" s="3">
        <v>8.1370000000000005</v>
      </c>
      <c r="D244" s="1" t="s">
        <v>1182</v>
      </c>
      <c r="E244" s="3">
        <f t="shared" si="15"/>
        <v>127.60899071999999</v>
      </c>
      <c r="F244" s="3">
        <v>123.01928479657387</v>
      </c>
      <c r="G244" s="4">
        <f t="shared" si="16"/>
        <v>127.60899071999999</v>
      </c>
      <c r="H244" s="1">
        <v>18.84</v>
      </c>
      <c r="I244" s="1">
        <f t="shared" si="17"/>
        <v>22.61</v>
      </c>
      <c r="J244" s="1" t="s">
        <v>1182</v>
      </c>
      <c r="K244" s="3">
        <f t="shared" si="18"/>
        <v>168.42677375999997</v>
      </c>
      <c r="L244" s="10">
        <f t="shared" si="19"/>
        <v>0.31986604399655882</v>
      </c>
      <c r="M244" s="18" t="str">
        <f>VLOOKUP(A244,Список!A:I,9,0)</f>
        <v>Основной ассортимент</v>
      </c>
      <c r="N244" s="12"/>
      <c r="O244" s="11"/>
    </row>
    <row r="245" spans="1:15" x14ac:dyDescent="0.25">
      <c r="A245" s="6">
        <v>2720</v>
      </c>
      <c r="B245" s="1" t="s">
        <v>249</v>
      </c>
      <c r="C245" s="3">
        <v>4.4345619999999997</v>
      </c>
      <c r="D245" s="1" t="s">
        <v>1182</v>
      </c>
      <c r="E245" s="3">
        <f t="shared" si="15"/>
        <v>69.545284638719991</v>
      </c>
      <c r="F245" s="3">
        <v>45.692820447661965</v>
      </c>
      <c r="G245" s="4">
        <f t="shared" si="16"/>
        <v>69.545284638719991</v>
      </c>
      <c r="H245" s="1">
        <v>11.17</v>
      </c>
      <c r="I245" s="1">
        <f t="shared" si="17"/>
        <v>13.4</v>
      </c>
      <c r="J245" s="1" t="s">
        <v>1182</v>
      </c>
      <c r="K245" s="3">
        <f t="shared" si="18"/>
        <v>99.819494399999982</v>
      </c>
      <c r="L245" s="10">
        <f t="shared" si="19"/>
        <v>0.43531649799912597</v>
      </c>
      <c r="M245" s="18" t="str">
        <f>VLOOKUP(A245,Список!A:I,9,0)</f>
        <v>Основной ассортимент</v>
      </c>
      <c r="N245" s="12"/>
      <c r="O245" s="11"/>
    </row>
    <row r="246" spans="1:15" x14ac:dyDescent="0.25">
      <c r="A246" s="6">
        <v>2721</v>
      </c>
      <c r="B246" s="1" t="s">
        <v>250</v>
      </c>
      <c r="C246" s="3">
        <v>5.6864240000000006</v>
      </c>
      <c r="D246" s="1" t="s">
        <v>1182</v>
      </c>
      <c r="E246" s="3">
        <f t="shared" si="15"/>
        <v>89.177685565440001</v>
      </c>
      <c r="F246" s="3">
        <v>60.59318273115548</v>
      </c>
      <c r="G246" s="4">
        <f t="shared" si="16"/>
        <v>89.177685565440001</v>
      </c>
      <c r="H246" s="1">
        <v>12.1</v>
      </c>
      <c r="I246" s="1">
        <f t="shared" si="17"/>
        <v>14.52</v>
      </c>
      <c r="J246" s="1" t="s">
        <v>1182</v>
      </c>
      <c r="K246" s="3">
        <f t="shared" si="18"/>
        <v>108.16261631999998</v>
      </c>
      <c r="L246" s="10">
        <f t="shared" si="19"/>
        <v>0.21288880322677284</v>
      </c>
      <c r="M246" s="18" t="str">
        <f>VLOOKUP(A246,Список!A:I,9,0)</f>
        <v>Основной ассортимент</v>
      </c>
      <c r="N246" s="12"/>
      <c r="O246" s="11"/>
    </row>
    <row r="247" spans="1:15" x14ac:dyDescent="0.25">
      <c r="A247" s="6">
        <v>2606</v>
      </c>
      <c r="B247" s="1" t="s">
        <v>251</v>
      </c>
      <c r="C247" s="3">
        <v>11.171379999999999</v>
      </c>
      <c r="D247" s="1" t="s">
        <v>1182</v>
      </c>
      <c r="E247" s="3">
        <f t="shared" si="15"/>
        <v>175.19583713279997</v>
      </c>
      <c r="F247" s="3">
        <v>151.8897213270142</v>
      </c>
      <c r="G247" s="4">
        <f t="shared" si="16"/>
        <v>175.19583713279997</v>
      </c>
      <c r="H247" s="1">
        <v>25.52</v>
      </c>
      <c r="I247" s="1">
        <f t="shared" si="17"/>
        <v>30.62</v>
      </c>
      <c r="J247" s="1" t="s">
        <v>1182</v>
      </c>
      <c r="K247" s="3">
        <f t="shared" si="18"/>
        <v>228.09499391999998</v>
      </c>
      <c r="L247" s="10">
        <f t="shared" si="19"/>
        <v>0.30194300077519531</v>
      </c>
      <c r="M247" s="18" t="str">
        <f>VLOOKUP(A247,Список!A:I,9,0)</f>
        <v>Основной ассортимент</v>
      </c>
      <c r="N247" s="12"/>
      <c r="O247" s="11"/>
    </row>
    <row r="248" spans="1:15" x14ac:dyDescent="0.25">
      <c r="A248" s="6">
        <v>2605</v>
      </c>
      <c r="B248" s="1" t="s">
        <v>252</v>
      </c>
      <c r="C248" s="3">
        <v>11.171379999999999</v>
      </c>
      <c r="D248" s="1" t="s">
        <v>1182</v>
      </c>
      <c r="E248" s="3">
        <f t="shared" si="15"/>
        <v>175.19583713279997</v>
      </c>
      <c r="F248" s="3">
        <v>150.22007179487181</v>
      </c>
      <c r="G248" s="4">
        <f t="shared" si="16"/>
        <v>175.19583713279997</v>
      </c>
      <c r="H248" s="1">
        <v>25.52</v>
      </c>
      <c r="I248" s="1">
        <f t="shared" si="17"/>
        <v>30.62</v>
      </c>
      <c r="J248" s="1" t="s">
        <v>1182</v>
      </c>
      <c r="K248" s="3">
        <f t="shared" si="18"/>
        <v>228.09499391999998</v>
      </c>
      <c r="L248" s="10">
        <f t="shared" si="19"/>
        <v>0.30194300077519531</v>
      </c>
      <c r="M248" s="18" t="str">
        <f>VLOOKUP(A248,Список!A:I,9,0)</f>
        <v>Основной ассортимент</v>
      </c>
      <c r="N248" s="12"/>
      <c r="O248" s="11"/>
    </row>
    <row r="249" spans="1:15" x14ac:dyDescent="0.25">
      <c r="A249" s="6">
        <v>1330</v>
      </c>
      <c r="B249" s="1" t="s">
        <v>253</v>
      </c>
      <c r="C249" s="3">
        <v>1.56464</v>
      </c>
      <c r="D249" s="1" t="s">
        <v>1182</v>
      </c>
      <c r="E249" s="3">
        <f t="shared" si="15"/>
        <v>24.537560678399998</v>
      </c>
      <c r="F249" s="3">
        <v>20.23641676841677</v>
      </c>
      <c r="G249" s="4">
        <f t="shared" si="16"/>
        <v>24.537560678399998</v>
      </c>
      <c r="H249" s="1">
        <v>3.35</v>
      </c>
      <c r="I249" s="1">
        <f t="shared" si="17"/>
        <v>4.0199999999999996</v>
      </c>
      <c r="J249" s="1" t="s">
        <v>1182</v>
      </c>
      <c r="K249" s="3">
        <f t="shared" si="18"/>
        <v>29.945848319999993</v>
      </c>
      <c r="L249" s="10">
        <f t="shared" si="19"/>
        <v>0.22040852847939441</v>
      </c>
      <c r="M249" s="18" t="str">
        <f>VLOOKUP(A249,Список!A:I,9,0)</f>
        <v>Основной ассортимент</v>
      </c>
      <c r="N249" s="12"/>
      <c r="O249" s="11"/>
    </row>
    <row r="250" spans="1:15" x14ac:dyDescent="0.25">
      <c r="A250" s="6">
        <v>2061</v>
      </c>
      <c r="B250" s="1" t="s">
        <v>254</v>
      </c>
      <c r="C250" s="3">
        <v>2.1313599999999999</v>
      </c>
      <c r="D250" s="1" t="s">
        <v>1182</v>
      </c>
      <c r="E250" s="3">
        <f t="shared" si="15"/>
        <v>33.425181081599995</v>
      </c>
      <c r="F250" s="3">
        <v>26.932696734458204</v>
      </c>
      <c r="G250" s="4">
        <f t="shared" si="16"/>
        <v>33.425181081599995</v>
      </c>
      <c r="H250" s="1">
        <v>4.5599999999999996</v>
      </c>
      <c r="I250" s="1">
        <f t="shared" si="17"/>
        <v>5.47</v>
      </c>
      <c r="J250" s="1" t="s">
        <v>1182</v>
      </c>
      <c r="K250" s="3">
        <f t="shared" si="18"/>
        <v>40.747211519999993</v>
      </c>
      <c r="L250" s="10">
        <f t="shared" si="19"/>
        <v>0.21905731551685315</v>
      </c>
      <c r="M250" s="18" t="str">
        <f>VLOOKUP(A250,Список!A:I,9,0)</f>
        <v>Основной ассортимент</v>
      </c>
      <c r="N250" s="12"/>
      <c r="O250" s="11"/>
    </row>
    <row r="251" spans="1:15" x14ac:dyDescent="0.25">
      <c r="A251" s="6">
        <v>4602</v>
      </c>
      <c r="B251" s="1" t="s">
        <v>255</v>
      </c>
      <c r="C251" s="3">
        <v>2.7103999999999999</v>
      </c>
      <c r="D251" s="1" t="s">
        <v>1182</v>
      </c>
      <c r="E251" s="3">
        <f t="shared" si="15"/>
        <v>42.506010623999998</v>
      </c>
      <c r="F251" s="3">
        <v>33.163974089792269</v>
      </c>
      <c r="G251" s="4">
        <f t="shared" si="16"/>
        <v>42.506010623999998</v>
      </c>
      <c r="H251" s="1">
        <v>5.8</v>
      </c>
      <c r="I251" s="1">
        <f t="shared" si="17"/>
        <v>6.96</v>
      </c>
      <c r="J251" s="1" t="s">
        <v>1182</v>
      </c>
      <c r="K251" s="3">
        <f t="shared" si="18"/>
        <v>51.846543359999998</v>
      </c>
      <c r="L251" s="10">
        <f t="shared" si="19"/>
        <v>0.2197461629279811</v>
      </c>
      <c r="M251" s="18" t="str">
        <f>VLOOKUP(A251,Список!A:I,9,0)</f>
        <v>Основной ассортимент</v>
      </c>
      <c r="N251" s="12"/>
      <c r="O251" s="11"/>
    </row>
    <row r="252" spans="1:15" x14ac:dyDescent="0.25">
      <c r="A252" s="6">
        <v>4603</v>
      </c>
      <c r="B252" s="1" t="s">
        <v>256</v>
      </c>
      <c r="C252" s="3">
        <v>3.7576000000000001</v>
      </c>
      <c r="D252" s="1" t="s">
        <v>1182</v>
      </c>
      <c r="E252" s="3">
        <f t="shared" si="15"/>
        <v>58.928787455999995</v>
      </c>
      <c r="F252" s="3">
        <v>45.446509589041099</v>
      </c>
      <c r="G252" s="4">
        <f t="shared" si="16"/>
        <v>58.928787455999995</v>
      </c>
      <c r="H252" s="1">
        <v>8.0399999999999991</v>
      </c>
      <c r="I252" s="1">
        <f t="shared" si="17"/>
        <v>9.65</v>
      </c>
      <c r="J252" s="1" t="s">
        <v>1182</v>
      </c>
      <c r="K252" s="3">
        <f t="shared" si="18"/>
        <v>71.884934399999992</v>
      </c>
      <c r="L252" s="10">
        <f t="shared" si="19"/>
        <v>0.21986108154140926</v>
      </c>
      <c r="M252" s="18" t="str">
        <f>VLOOKUP(A252,Список!A:I,9,0)</f>
        <v>Основной ассортимент</v>
      </c>
      <c r="N252" s="12"/>
      <c r="O252" s="11"/>
    </row>
    <row r="253" spans="1:15" x14ac:dyDescent="0.25">
      <c r="A253" s="6">
        <v>4744</v>
      </c>
      <c r="B253" s="1" t="s">
        <v>257</v>
      </c>
      <c r="C253" s="3">
        <v>1.51536</v>
      </c>
      <c r="D253" s="1" t="s">
        <v>1182</v>
      </c>
      <c r="E253" s="3">
        <f t="shared" si="15"/>
        <v>23.7647241216</v>
      </c>
      <c r="F253" s="3">
        <v>21.009138270326257</v>
      </c>
      <c r="G253" s="4">
        <f t="shared" si="16"/>
        <v>23.7647241216</v>
      </c>
      <c r="H253" s="1">
        <v>3.4</v>
      </c>
      <c r="I253" s="1">
        <f t="shared" si="17"/>
        <v>4.08</v>
      </c>
      <c r="J253" s="1" t="s">
        <v>1182</v>
      </c>
      <c r="K253" s="3">
        <f t="shared" si="18"/>
        <v>30.392801279999997</v>
      </c>
      <c r="L253" s="10">
        <f t="shared" si="19"/>
        <v>0.27890402280646165</v>
      </c>
      <c r="M253" s="18" t="str">
        <f>VLOOKUP(A253,Список!A:I,9,0)</f>
        <v>Основной ассортимент</v>
      </c>
      <c r="N253" s="12"/>
      <c r="O253" s="11"/>
    </row>
    <row r="254" spans="1:15" x14ac:dyDescent="0.25">
      <c r="A254" s="6">
        <v>4743</v>
      </c>
      <c r="B254" s="1" t="s">
        <v>258</v>
      </c>
      <c r="C254" s="3">
        <v>1.51536</v>
      </c>
      <c r="D254" s="1" t="s">
        <v>1182</v>
      </c>
      <c r="E254" s="3">
        <f t="shared" si="15"/>
        <v>23.7647241216</v>
      </c>
      <c r="F254" s="3">
        <v>20.633898932384344</v>
      </c>
      <c r="G254" s="4">
        <f t="shared" si="16"/>
        <v>23.7647241216</v>
      </c>
      <c r="H254" s="1">
        <v>3.4</v>
      </c>
      <c r="I254" s="1">
        <f t="shared" si="17"/>
        <v>4.08</v>
      </c>
      <c r="J254" s="1" t="s">
        <v>1182</v>
      </c>
      <c r="K254" s="3">
        <f t="shared" si="18"/>
        <v>30.392801279999997</v>
      </c>
      <c r="L254" s="10">
        <f t="shared" si="19"/>
        <v>0.27890402280646165</v>
      </c>
      <c r="M254" s="18" t="str">
        <f>VLOOKUP(A254,Список!A:I,9,0)</f>
        <v>Основной ассортимент</v>
      </c>
      <c r="N254" s="12"/>
      <c r="O254" s="11"/>
    </row>
    <row r="255" spans="1:15" x14ac:dyDescent="0.25">
      <c r="A255" s="6">
        <v>4585</v>
      </c>
      <c r="B255" s="1" t="s">
        <v>259</v>
      </c>
      <c r="C255" s="3">
        <v>0.85007999999999995</v>
      </c>
      <c r="D255" s="1" t="s">
        <v>1182</v>
      </c>
      <c r="E255" s="3">
        <f t="shared" si="15"/>
        <v>13.331430604799998</v>
      </c>
      <c r="F255" s="3">
        <v>12.080815871047736</v>
      </c>
      <c r="G255" s="4">
        <f t="shared" si="16"/>
        <v>13.331430604799998</v>
      </c>
      <c r="H255" s="1">
        <v>1.86</v>
      </c>
      <c r="I255" s="1">
        <f t="shared" si="17"/>
        <v>2.23</v>
      </c>
      <c r="J255" s="1" t="s">
        <v>1182</v>
      </c>
      <c r="K255" s="3">
        <f t="shared" si="18"/>
        <v>16.611751679999998</v>
      </c>
      <c r="L255" s="10">
        <f t="shared" si="19"/>
        <v>0.24605919442875956</v>
      </c>
      <c r="M255" s="18" t="str">
        <f>VLOOKUP(A255,Список!A:I,9,0)</f>
        <v>Основной ассортимент</v>
      </c>
      <c r="N255" s="12"/>
      <c r="O255" s="11"/>
    </row>
    <row r="256" spans="1:15" x14ac:dyDescent="0.25">
      <c r="A256" s="6">
        <v>4586</v>
      </c>
      <c r="B256" s="1" t="s">
        <v>260</v>
      </c>
      <c r="C256" s="3">
        <v>1.0225599999999999</v>
      </c>
      <c r="D256" s="1" t="s">
        <v>1182</v>
      </c>
      <c r="E256" s="3">
        <f t="shared" si="15"/>
        <v>16.0363585536</v>
      </c>
      <c r="F256" s="3">
        <v>12.978563071710896</v>
      </c>
      <c r="G256" s="4">
        <f t="shared" si="16"/>
        <v>16.0363585536</v>
      </c>
      <c r="H256" s="1">
        <v>2.2400000000000002</v>
      </c>
      <c r="I256" s="1">
        <f t="shared" si="17"/>
        <v>2.69</v>
      </c>
      <c r="J256" s="1" t="s">
        <v>1182</v>
      </c>
      <c r="K256" s="3">
        <f t="shared" si="18"/>
        <v>20.038391039999997</v>
      </c>
      <c r="L256" s="10">
        <f t="shared" si="19"/>
        <v>0.24955992802378324</v>
      </c>
      <c r="M256" s="18" t="str">
        <f>VLOOKUP(A256,Список!A:I,9,0)</f>
        <v>Основной ассортимент</v>
      </c>
      <c r="N256" s="12"/>
      <c r="O256" s="11"/>
    </row>
    <row r="257" spans="1:15" x14ac:dyDescent="0.25">
      <c r="A257" s="6">
        <v>2599</v>
      </c>
      <c r="B257" s="1" t="s">
        <v>261</v>
      </c>
      <c r="C257" s="3">
        <v>12.84822</v>
      </c>
      <c r="D257" s="1" t="s">
        <v>1182</v>
      </c>
      <c r="E257" s="3">
        <f t="shared" si="15"/>
        <v>201.49298104319999</v>
      </c>
      <c r="F257" s="3">
        <v>122.34025454545454</v>
      </c>
      <c r="G257" s="4">
        <f t="shared" si="16"/>
        <v>122.34025454545454</v>
      </c>
      <c r="H257" s="1">
        <v>28.75</v>
      </c>
      <c r="I257" s="1">
        <f t="shared" si="17"/>
        <v>34.5</v>
      </c>
      <c r="J257" s="1" t="s">
        <v>1182</v>
      </c>
      <c r="K257" s="3">
        <f t="shared" si="18"/>
        <v>256.997952</v>
      </c>
      <c r="L257" s="10">
        <f t="shared" si="19"/>
        <v>0.27546850847821736</v>
      </c>
      <c r="M257" s="18" t="str">
        <f>VLOOKUP(A257,Список!A:I,9,0)</f>
        <v>Вывод из ассортимента</v>
      </c>
      <c r="N257" s="12"/>
      <c r="O257" s="11"/>
    </row>
    <row r="258" spans="1:15" x14ac:dyDescent="0.25">
      <c r="A258" s="6">
        <v>2600</v>
      </c>
      <c r="B258" s="1" t="s">
        <v>262</v>
      </c>
      <c r="C258" s="3">
        <v>15.963970000000002</v>
      </c>
      <c r="D258" s="1" t="s">
        <v>1182</v>
      </c>
      <c r="E258" s="3">
        <f t="shared" si="15"/>
        <v>250.35591736320001</v>
      </c>
      <c r="F258" s="3">
        <v>211.6446</v>
      </c>
      <c r="G258" s="4">
        <f t="shared" si="16"/>
        <v>211.6446</v>
      </c>
      <c r="H258" s="1">
        <v>38.93</v>
      </c>
      <c r="I258" s="1">
        <f t="shared" si="17"/>
        <v>46.72</v>
      </c>
      <c r="J258" s="1" t="s">
        <v>1182</v>
      </c>
      <c r="K258" s="3">
        <f t="shared" si="18"/>
        <v>348.02737151999997</v>
      </c>
      <c r="L258" s="10">
        <f t="shared" si="19"/>
        <v>0.39013039989426179</v>
      </c>
      <c r="M258" s="18" t="str">
        <f>VLOOKUP(A258,Список!A:I,9,0)</f>
        <v>Вывод из ассортимента</v>
      </c>
      <c r="N258" s="12"/>
      <c r="O258" s="11"/>
    </row>
    <row r="259" spans="1:15" x14ac:dyDescent="0.25">
      <c r="A259" s="6">
        <v>2601</v>
      </c>
      <c r="B259" s="1" t="s">
        <v>263</v>
      </c>
      <c r="C259" s="3">
        <v>11.001430000000001</v>
      </c>
      <c r="D259" s="1" t="s">
        <v>1182</v>
      </c>
      <c r="E259" s="3">
        <f t="shared" si="15"/>
        <v>172.5305860608</v>
      </c>
      <c r="F259" s="3">
        <v>120.10880274442536</v>
      </c>
      <c r="G259" s="4">
        <f t="shared" si="16"/>
        <v>172.5305860608</v>
      </c>
      <c r="H259" s="1">
        <v>25.3</v>
      </c>
      <c r="I259" s="1">
        <f t="shared" si="17"/>
        <v>30.36</v>
      </c>
      <c r="J259" s="1" t="s">
        <v>1182</v>
      </c>
      <c r="K259" s="3">
        <f t="shared" si="18"/>
        <v>226.15819775999995</v>
      </c>
      <c r="L259" s="10">
        <f t="shared" si="19"/>
        <v>0.31082959215301975</v>
      </c>
      <c r="M259" s="18" t="str">
        <f>VLOOKUP(A259,Список!A:I,9,0)</f>
        <v>Основной ассортимент</v>
      </c>
      <c r="N259" s="12"/>
      <c r="O259" s="11"/>
    </row>
    <row r="260" spans="1:15" x14ac:dyDescent="0.25">
      <c r="A260" s="6">
        <v>2602</v>
      </c>
      <c r="B260" s="1" t="s">
        <v>264</v>
      </c>
      <c r="C260" s="3">
        <v>14.559049999999999</v>
      </c>
      <c r="D260" s="1" t="s">
        <v>1182</v>
      </c>
      <c r="E260" s="3">
        <f t="shared" si="15"/>
        <v>228.32317516799998</v>
      </c>
      <c r="F260" s="3">
        <v>213.7107348837209</v>
      </c>
      <c r="G260" s="4">
        <f t="shared" si="16"/>
        <v>213.7107348837209</v>
      </c>
      <c r="H260" s="1">
        <v>37.29</v>
      </c>
      <c r="I260" s="1">
        <f t="shared" si="17"/>
        <v>44.75</v>
      </c>
      <c r="J260" s="1" t="s">
        <v>1182</v>
      </c>
      <c r="K260" s="3">
        <f t="shared" si="18"/>
        <v>333.35241599999995</v>
      </c>
      <c r="L260" s="10">
        <f t="shared" si="19"/>
        <v>0.46000254137460894</v>
      </c>
      <c r="M260" s="18" t="str">
        <f>VLOOKUP(A260,Список!A:I,9,0)</f>
        <v>Вывод из ассортимента</v>
      </c>
      <c r="N260" s="12"/>
      <c r="O260" s="11"/>
    </row>
    <row r="261" spans="1:15" x14ac:dyDescent="0.25">
      <c r="A261" s="6">
        <v>3427</v>
      </c>
      <c r="B261" s="1" t="s">
        <v>265</v>
      </c>
      <c r="C261" s="3">
        <v>8.7225599999999996</v>
      </c>
      <c r="D261" s="1" t="s">
        <v>1182</v>
      </c>
      <c r="E261" s="3">
        <f t="shared" si="15"/>
        <v>136.79207055359998</v>
      </c>
      <c r="F261" s="3">
        <v>113.46135535358015</v>
      </c>
      <c r="G261" s="4">
        <f t="shared" si="16"/>
        <v>136.79207055359998</v>
      </c>
      <c r="H261" s="1">
        <v>19.16</v>
      </c>
      <c r="I261" s="1">
        <f t="shared" si="17"/>
        <v>22.99</v>
      </c>
      <c r="J261" s="1" t="s">
        <v>1182</v>
      </c>
      <c r="K261" s="3">
        <f t="shared" si="18"/>
        <v>171.25747583999998</v>
      </c>
      <c r="L261" s="10">
        <f t="shared" si="19"/>
        <v>0.25195470137207421</v>
      </c>
      <c r="M261" s="18" t="str">
        <f>VLOOKUP(A261,Список!A:I,9,0)</f>
        <v>Основной ассортимент</v>
      </c>
      <c r="N261" s="12"/>
      <c r="O261" s="11"/>
    </row>
    <row r="262" spans="1:15" x14ac:dyDescent="0.25">
      <c r="A262" s="6">
        <v>4600</v>
      </c>
      <c r="B262" s="1" t="s">
        <v>266</v>
      </c>
      <c r="C262" s="3">
        <v>9.3016000000000005</v>
      </c>
      <c r="D262" s="1" t="s">
        <v>1182</v>
      </c>
      <c r="E262" s="3">
        <f t="shared" ref="E262:E325" si="20">IF(D262="RUB",C262*1.2,C262*$E$2*1.2)</f>
        <v>145.872900096</v>
      </c>
      <c r="F262" s="3">
        <v>112.71288708487084</v>
      </c>
      <c r="G262" s="4">
        <f t="shared" ref="G262:G325" si="21">IF(M262="Вывод из ассортимента",F262,MAX(E262,F262))</f>
        <v>145.872900096</v>
      </c>
      <c r="H262" s="1">
        <v>19.420000000000002</v>
      </c>
      <c r="I262" s="1">
        <f t="shared" ref="I262:I325" si="22">ROUND(H262*1.2,2)</f>
        <v>23.3</v>
      </c>
      <c r="J262" s="1" t="s">
        <v>1182</v>
      </c>
      <c r="K262" s="3">
        <f t="shared" ref="K262:K325" si="23">IF(J262="RUB",I262*$K$4,I262*$E$2*$K$4)</f>
        <v>173.56673279999998</v>
      </c>
      <c r="L262" s="10">
        <f t="shared" ref="L262:L325" si="24">K262/E262-1</f>
        <v>0.18984905822654152</v>
      </c>
      <c r="M262" s="18" t="str">
        <f>VLOOKUP(A262,Список!A:I,9,0)</f>
        <v>Основной ассортимент</v>
      </c>
      <c r="N262" s="12"/>
      <c r="O262" s="11"/>
    </row>
    <row r="263" spans="1:15" x14ac:dyDescent="0.25">
      <c r="A263" s="6">
        <v>4583</v>
      </c>
      <c r="B263" s="1" t="s">
        <v>267</v>
      </c>
      <c r="C263" s="3">
        <v>7.4289600000000009</v>
      </c>
      <c r="D263" s="1" t="s">
        <v>1182</v>
      </c>
      <c r="E263" s="3">
        <f t="shared" si="20"/>
        <v>116.50511093760001</v>
      </c>
      <c r="F263" s="3">
        <v>104.58504806546436</v>
      </c>
      <c r="G263" s="4">
        <f t="shared" si="21"/>
        <v>116.50511093760001</v>
      </c>
      <c r="H263" s="1">
        <v>16.91</v>
      </c>
      <c r="I263" s="1">
        <f t="shared" si="22"/>
        <v>20.29</v>
      </c>
      <c r="J263" s="1" t="s">
        <v>1182</v>
      </c>
      <c r="K263" s="3">
        <f t="shared" si="23"/>
        <v>151.14459263999998</v>
      </c>
      <c r="L263" s="10">
        <f t="shared" si="24"/>
        <v>0.29732156317977187</v>
      </c>
      <c r="M263" s="18" t="str">
        <f>VLOOKUP(A263,Список!A:I,9,0)</f>
        <v>Основной ассортимент</v>
      </c>
      <c r="N263" s="12"/>
      <c r="O263" s="11"/>
    </row>
    <row r="264" spans="1:15" x14ac:dyDescent="0.25">
      <c r="A264" s="6">
        <v>3428</v>
      </c>
      <c r="B264" s="1" t="s">
        <v>268</v>
      </c>
      <c r="C264" s="3">
        <v>9.535680000000001</v>
      </c>
      <c r="D264" s="1" t="s">
        <v>1182</v>
      </c>
      <c r="E264" s="3">
        <f t="shared" si="20"/>
        <v>149.5438737408</v>
      </c>
      <c r="F264" s="3">
        <v>124.62782318204825</v>
      </c>
      <c r="G264" s="4">
        <f t="shared" si="21"/>
        <v>149.5438737408</v>
      </c>
      <c r="H264" s="1">
        <v>20.45</v>
      </c>
      <c r="I264" s="1">
        <f t="shared" si="22"/>
        <v>24.54</v>
      </c>
      <c r="J264" s="1" t="s">
        <v>1182</v>
      </c>
      <c r="K264" s="3">
        <f t="shared" si="23"/>
        <v>182.80376063999998</v>
      </c>
      <c r="L264" s="10">
        <f t="shared" si="24"/>
        <v>0.22240888956005223</v>
      </c>
      <c r="M264" s="18" t="str">
        <f>VLOOKUP(A264,Список!A:I,9,0)</f>
        <v>Основной ассортимент</v>
      </c>
      <c r="N264" s="12"/>
      <c r="O264" s="11"/>
    </row>
    <row r="265" spans="1:15" x14ac:dyDescent="0.25">
      <c r="A265" s="6">
        <v>4601</v>
      </c>
      <c r="B265" s="1" t="s">
        <v>269</v>
      </c>
      <c r="C265" s="3">
        <v>10.127040000000001</v>
      </c>
      <c r="D265" s="1" t="s">
        <v>1182</v>
      </c>
      <c r="E265" s="3">
        <f t="shared" si="20"/>
        <v>158.81791242240001</v>
      </c>
      <c r="F265" s="3">
        <v>122.69732226895533</v>
      </c>
      <c r="G265" s="4">
        <f t="shared" si="21"/>
        <v>158.81791242240001</v>
      </c>
      <c r="H265" s="1">
        <v>20.98</v>
      </c>
      <c r="I265" s="1">
        <f t="shared" si="22"/>
        <v>25.18</v>
      </c>
      <c r="J265" s="1" t="s">
        <v>1182</v>
      </c>
      <c r="K265" s="3">
        <f t="shared" si="23"/>
        <v>187.57125887999999</v>
      </c>
      <c r="L265" s="10">
        <f t="shared" si="24"/>
        <v>0.18104599172117397</v>
      </c>
      <c r="M265" s="18" t="str">
        <f>VLOOKUP(A265,Список!A:I,9,0)</f>
        <v>Основной ассортимент</v>
      </c>
      <c r="N265" s="12"/>
      <c r="O265" s="11"/>
    </row>
    <row r="266" spans="1:15" x14ac:dyDescent="0.25">
      <c r="A266" s="6">
        <v>4584</v>
      </c>
      <c r="B266" s="1" t="s">
        <v>270</v>
      </c>
      <c r="C266" s="3">
        <v>8.1311999999999998</v>
      </c>
      <c r="D266" s="1" t="s">
        <v>1182</v>
      </c>
      <c r="E266" s="3">
        <f t="shared" si="20"/>
        <v>127.51803187199999</v>
      </c>
      <c r="F266" s="3">
        <v>102.78053287788215</v>
      </c>
      <c r="G266" s="4">
        <f t="shared" si="21"/>
        <v>127.51803187199999</v>
      </c>
      <c r="H266" s="1">
        <v>17.920000000000002</v>
      </c>
      <c r="I266" s="1">
        <f t="shared" si="22"/>
        <v>21.5</v>
      </c>
      <c r="J266" s="1" t="s">
        <v>1182</v>
      </c>
      <c r="K266" s="3">
        <f t="shared" si="23"/>
        <v>160.15814399999999</v>
      </c>
      <c r="L266" s="10">
        <f t="shared" si="24"/>
        <v>0.25596467926013378</v>
      </c>
      <c r="M266" s="18" t="str">
        <f>VLOOKUP(A266,Список!A:I,9,0)</f>
        <v>Основной ассортимент</v>
      </c>
      <c r="N266" s="12"/>
      <c r="O266" s="11"/>
    </row>
    <row r="267" spans="1:15" x14ac:dyDescent="0.25">
      <c r="A267" s="6">
        <v>4591</v>
      </c>
      <c r="B267" s="1" t="s">
        <v>271</v>
      </c>
      <c r="C267" s="3">
        <v>0.85007999999999995</v>
      </c>
      <c r="D267" s="1" t="s">
        <v>1182</v>
      </c>
      <c r="E267" s="3">
        <f t="shared" si="20"/>
        <v>13.331430604799998</v>
      </c>
      <c r="F267" s="3">
        <v>10.887523355576739</v>
      </c>
      <c r="G267" s="4">
        <f t="shared" si="21"/>
        <v>13.331430604799998</v>
      </c>
      <c r="H267" s="1">
        <v>1.88</v>
      </c>
      <c r="I267" s="1">
        <f t="shared" si="22"/>
        <v>2.2599999999999998</v>
      </c>
      <c r="J267" s="1" t="s">
        <v>1182</v>
      </c>
      <c r="K267" s="3">
        <f t="shared" si="23"/>
        <v>16.835228159999996</v>
      </c>
      <c r="L267" s="10">
        <f t="shared" si="24"/>
        <v>0.26282232260493132</v>
      </c>
      <c r="M267" s="18" t="str">
        <f>VLOOKUP(A267,Список!A:I,9,0)</f>
        <v>Основной ассортимент</v>
      </c>
      <c r="N267" s="12"/>
      <c r="O267" s="11"/>
    </row>
    <row r="268" spans="1:15" x14ac:dyDescent="0.25">
      <c r="A268" s="6">
        <v>4587</v>
      </c>
      <c r="B268" s="1" t="s">
        <v>272</v>
      </c>
      <c r="C268" s="3">
        <v>1.4291199999999999</v>
      </c>
      <c r="D268" s="1" t="s">
        <v>1182</v>
      </c>
      <c r="E268" s="3">
        <f t="shared" si="20"/>
        <v>22.412260147199998</v>
      </c>
      <c r="F268" s="3">
        <v>19.851248438772739</v>
      </c>
      <c r="G268" s="4">
        <f t="shared" si="21"/>
        <v>22.412260147199998</v>
      </c>
      <c r="H268" s="1">
        <v>3.42</v>
      </c>
      <c r="I268" s="1">
        <f t="shared" si="22"/>
        <v>4.0999999999999996</v>
      </c>
      <c r="J268" s="1" t="s">
        <v>1182</v>
      </c>
      <c r="K268" s="3">
        <f t="shared" si="23"/>
        <v>30.541785599999994</v>
      </c>
      <c r="L268" s="10">
        <f t="shared" si="24"/>
        <v>0.36272671294223002</v>
      </c>
      <c r="M268" s="18" t="str">
        <f>VLOOKUP(A268,Список!A:I,9,0)</f>
        <v>Основной ассортимент</v>
      </c>
      <c r="N268" s="12"/>
      <c r="O268" s="11"/>
    </row>
    <row r="269" spans="1:15" x14ac:dyDescent="0.25">
      <c r="A269" s="6">
        <v>4589</v>
      </c>
      <c r="B269" s="1" t="s">
        <v>273</v>
      </c>
      <c r="C269" s="3">
        <v>1.46608</v>
      </c>
      <c r="D269" s="1" t="s">
        <v>1182</v>
      </c>
      <c r="E269" s="3">
        <f t="shared" si="20"/>
        <v>22.991887564799999</v>
      </c>
      <c r="F269" s="3">
        <v>17.791499999999999</v>
      </c>
      <c r="G269" s="4">
        <f t="shared" si="21"/>
        <v>22.991887564799999</v>
      </c>
      <c r="H269" s="1">
        <v>3.26</v>
      </c>
      <c r="I269" s="1">
        <f t="shared" si="22"/>
        <v>3.91</v>
      </c>
      <c r="J269" s="1" t="s">
        <v>1182</v>
      </c>
      <c r="K269" s="3">
        <f t="shared" si="23"/>
        <v>29.126434559999996</v>
      </c>
      <c r="L269" s="10">
        <f t="shared" si="24"/>
        <v>0.2668135435992578</v>
      </c>
      <c r="M269" s="18" t="str">
        <f>VLOOKUP(A269,Список!A:I,9,0)</f>
        <v>Основной ассортимент</v>
      </c>
      <c r="N269" s="12"/>
      <c r="O269" s="11"/>
    </row>
    <row r="270" spans="1:15" x14ac:dyDescent="0.25">
      <c r="A270" s="6">
        <v>4588</v>
      </c>
      <c r="B270" s="1" t="s">
        <v>274</v>
      </c>
      <c r="C270" s="3">
        <v>1.4291199999999999</v>
      </c>
      <c r="D270" s="1" t="s">
        <v>1182</v>
      </c>
      <c r="E270" s="3">
        <f t="shared" si="20"/>
        <v>22.412260147199998</v>
      </c>
      <c r="F270" s="3">
        <v>17.797760330578512</v>
      </c>
      <c r="G270" s="4">
        <f t="shared" si="21"/>
        <v>22.412260147199998</v>
      </c>
      <c r="H270" s="1">
        <v>3.42</v>
      </c>
      <c r="I270" s="1">
        <f t="shared" si="22"/>
        <v>4.0999999999999996</v>
      </c>
      <c r="J270" s="1" t="s">
        <v>1182</v>
      </c>
      <c r="K270" s="3">
        <f t="shared" si="23"/>
        <v>30.541785599999994</v>
      </c>
      <c r="L270" s="10">
        <f t="shared" si="24"/>
        <v>0.36272671294223002</v>
      </c>
      <c r="M270" s="18" t="str">
        <f>VLOOKUP(A270,Список!A:I,9,0)</f>
        <v>Основной ассортимент</v>
      </c>
      <c r="N270" s="12"/>
      <c r="O270" s="11"/>
    </row>
    <row r="271" spans="1:15" x14ac:dyDescent="0.25">
      <c r="A271" s="6">
        <v>4590</v>
      </c>
      <c r="B271" s="1" t="s">
        <v>275</v>
      </c>
      <c r="C271" s="3">
        <v>1.46608</v>
      </c>
      <c r="D271" s="1" t="s">
        <v>1182</v>
      </c>
      <c r="E271" s="3">
        <f t="shared" si="20"/>
        <v>22.991887564799999</v>
      </c>
      <c r="F271" s="3">
        <v>17.624639999999999</v>
      </c>
      <c r="G271" s="4">
        <f t="shared" si="21"/>
        <v>22.991887564799999</v>
      </c>
      <c r="H271" s="1">
        <v>3.26</v>
      </c>
      <c r="I271" s="1">
        <f t="shared" si="22"/>
        <v>3.91</v>
      </c>
      <c r="J271" s="1" t="s">
        <v>1182</v>
      </c>
      <c r="K271" s="3">
        <f t="shared" si="23"/>
        <v>29.126434559999996</v>
      </c>
      <c r="L271" s="10">
        <f t="shared" si="24"/>
        <v>0.2668135435992578</v>
      </c>
      <c r="M271" s="18" t="str">
        <f>VLOOKUP(A271,Список!A:I,9,0)</f>
        <v>Основной ассортимент</v>
      </c>
      <c r="N271" s="12"/>
      <c r="O271" s="11"/>
    </row>
    <row r="272" spans="1:15" x14ac:dyDescent="0.25">
      <c r="A272" s="6">
        <v>4745</v>
      </c>
      <c r="B272" s="1" t="s">
        <v>276</v>
      </c>
      <c r="C272" s="3">
        <v>0.59640000000000004</v>
      </c>
      <c r="D272" s="1" t="s">
        <v>1182</v>
      </c>
      <c r="E272" s="3">
        <f t="shared" si="20"/>
        <v>9.3530787839999991</v>
      </c>
      <c r="F272" s="3">
        <v>8.0919222555889228</v>
      </c>
      <c r="G272" s="4">
        <f t="shared" si="21"/>
        <v>9.3530787839999991</v>
      </c>
      <c r="H272" s="1">
        <v>1.26</v>
      </c>
      <c r="I272" s="1">
        <f t="shared" si="22"/>
        <v>1.51</v>
      </c>
      <c r="J272" s="1" t="s">
        <v>1182</v>
      </c>
      <c r="K272" s="3">
        <f t="shared" si="23"/>
        <v>11.24831616</v>
      </c>
      <c r="L272" s="10">
        <f t="shared" si="24"/>
        <v>0.20263246143527835</v>
      </c>
      <c r="M272" s="18" t="str">
        <f>VLOOKUP(A272,Список!A:I,9,0)</f>
        <v>Основной ассортимент</v>
      </c>
      <c r="N272" s="12"/>
      <c r="O272" s="11"/>
    </row>
    <row r="273" spans="1:15" x14ac:dyDescent="0.25">
      <c r="A273" s="6">
        <v>2595</v>
      </c>
      <c r="B273" s="1" t="s">
        <v>277</v>
      </c>
      <c r="C273" s="3">
        <v>15.92998</v>
      </c>
      <c r="D273" s="1" t="s">
        <v>1182</v>
      </c>
      <c r="E273" s="3">
        <f t="shared" si="20"/>
        <v>249.82286714879999</v>
      </c>
      <c r="F273" s="3">
        <v>191.6184894837476</v>
      </c>
      <c r="G273" s="4">
        <f t="shared" si="21"/>
        <v>191.6184894837476</v>
      </c>
      <c r="H273" s="1">
        <v>35.67</v>
      </c>
      <c r="I273" s="1">
        <f t="shared" si="22"/>
        <v>42.8</v>
      </c>
      <c r="J273" s="1" t="s">
        <v>1182</v>
      </c>
      <c r="K273" s="3">
        <f t="shared" si="23"/>
        <v>318.82644479999993</v>
      </c>
      <c r="L273" s="10">
        <f t="shared" si="24"/>
        <v>0.27621001407409151</v>
      </c>
      <c r="M273" s="18" t="str">
        <f>VLOOKUP(A273,Список!A:I,9,0)</f>
        <v>Вывод из ассортимента</v>
      </c>
      <c r="N273" s="12"/>
      <c r="O273" s="11"/>
    </row>
    <row r="274" spans="1:15" x14ac:dyDescent="0.25">
      <c r="A274" s="6">
        <v>2596</v>
      </c>
      <c r="B274" s="1" t="s">
        <v>278</v>
      </c>
      <c r="C274" s="3">
        <v>19.385629999999999</v>
      </c>
      <c r="D274" s="1" t="s">
        <v>1182</v>
      </c>
      <c r="E274" s="3">
        <f t="shared" si="20"/>
        <v>304.01630561279995</v>
      </c>
      <c r="F274" s="3">
        <v>262.48363636363632</v>
      </c>
      <c r="G274" s="4">
        <f t="shared" si="21"/>
        <v>262.48363636363632</v>
      </c>
      <c r="H274" s="1">
        <v>48.58</v>
      </c>
      <c r="I274" s="1">
        <f t="shared" si="22"/>
        <v>58.3</v>
      </c>
      <c r="J274" s="1" t="s">
        <v>1182</v>
      </c>
      <c r="K274" s="3">
        <f t="shared" si="23"/>
        <v>434.28929279999994</v>
      </c>
      <c r="L274" s="10">
        <f t="shared" si="24"/>
        <v>0.42850657935800895</v>
      </c>
      <c r="M274" s="18" t="str">
        <f>VLOOKUP(A274,Список!A:I,9,0)</f>
        <v>Вывод из ассортимента</v>
      </c>
      <c r="N274" s="12"/>
      <c r="O274" s="11"/>
    </row>
    <row r="275" spans="1:15" x14ac:dyDescent="0.25">
      <c r="A275" s="6">
        <v>2597</v>
      </c>
      <c r="B275" s="1" t="s">
        <v>279</v>
      </c>
      <c r="C275" s="3">
        <v>13.550680000000002</v>
      </c>
      <c r="D275" s="1" t="s">
        <v>1182</v>
      </c>
      <c r="E275" s="3">
        <f t="shared" si="20"/>
        <v>212.50935214080002</v>
      </c>
      <c r="F275" s="3">
        <v>150.6910428736964</v>
      </c>
      <c r="G275" s="4">
        <f t="shared" si="21"/>
        <v>150.6910428736964</v>
      </c>
      <c r="H275" s="1">
        <v>30.64</v>
      </c>
      <c r="I275" s="1">
        <f t="shared" si="22"/>
        <v>36.770000000000003</v>
      </c>
      <c r="J275" s="1" t="s">
        <v>1182</v>
      </c>
      <c r="K275" s="3">
        <f t="shared" si="23"/>
        <v>273.90767231999996</v>
      </c>
      <c r="L275" s="10">
        <f t="shared" si="24"/>
        <v>0.28892055601637678</v>
      </c>
      <c r="M275" s="18" t="str">
        <f>VLOOKUP(A275,Список!A:I,9,0)</f>
        <v>Вывод из ассортимента</v>
      </c>
      <c r="N275" s="12"/>
      <c r="O275" s="11"/>
    </row>
    <row r="276" spans="1:15" x14ac:dyDescent="0.25">
      <c r="A276" s="6">
        <v>2598</v>
      </c>
      <c r="B276" s="1" t="s">
        <v>280</v>
      </c>
      <c r="C276" s="3">
        <v>17.992040000000003</v>
      </c>
      <c r="D276" s="1" t="s">
        <v>1182</v>
      </c>
      <c r="E276" s="3">
        <f t="shared" si="20"/>
        <v>282.16124682240002</v>
      </c>
      <c r="F276" s="3">
        <v>231.81549999999999</v>
      </c>
      <c r="G276" s="4">
        <f t="shared" si="21"/>
        <v>231.81549999999999</v>
      </c>
      <c r="H276" s="1">
        <v>44.35</v>
      </c>
      <c r="I276" s="1">
        <f t="shared" si="22"/>
        <v>53.22</v>
      </c>
      <c r="J276" s="1" t="s">
        <v>1182</v>
      </c>
      <c r="K276" s="3">
        <f t="shared" si="23"/>
        <v>396.44727551999995</v>
      </c>
      <c r="L276" s="10">
        <f t="shared" si="24"/>
        <v>0.4050380056958518</v>
      </c>
      <c r="M276" s="18" t="str">
        <f>VLOOKUP(A276,Список!A:I,9,0)</f>
        <v>Вывод из ассортимента</v>
      </c>
      <c r="N276" s="12"/>
      <c r="O276" s="11"/>
    </row>
    <row r="277" spans="1:15" x14ac:dyDescent="0.25">
      <c r="A277" s="6">
        <v>2611</v>
      </c>
      <c r="B277" s="1" t="s">
        <v>281</v>
      </c>
      <c r="C277" s="3">
        <v>11.280045000000001</v>
      </c>
      <c r="D277" s="1" t="s">
        <v>1182</v>
      </c>
      <c r="E277" s="3">
        <f t="shared" si="20"/>
        <v>176.89998251520001</v>
      </c>
      <c r="F277" s="3">
        <v>116.13427004543865</v>
      </c>
      <c r="G277" s="4">
        <f t="shared" si="21"/>
        <v>176.89998251520001</v>
      </c>
      <c r="H277" s="1">
        <v>26.63</v>
      </c>
      <c r="I277" s="1">
        <f t="shared" si="22"/>
        <v>31.96</v>
      </c>
      <c r="J277" s="1" t="s">
        <v>1182</v>
      </c>
      <c r="K277" s="3">
        <f t="shared" si="23"/>
        <v>238.07694336</v>
      </c>
      <c r="L277" s="10">
        <f t="shared" si="24"/>
        <v>0.3458279643387947</v>
      </c>
      <c r="M277" s="18" t="str">
        <f>VLOOKUP(A277,Список!A:I,9,0)</f>
        <v>Основной ассортимент</v>
      </c>
      <c r="N277" s="12"/>
      <c r="O277" s="11"/>
    </row>
    <row r="278" spans="1:15" x14ac:dyDescent="0.25">
      <c r="A278" s="6">
        <v>2607</v>
      </c>
      <c r="B278" s="1" t="s">
        <v>282</v>
      </c>
      <c r="C278" s="3">
        <v>17.822090000000003</v>
      </c>
      <c r="D278" s="1" t="s">
        <v>1182</v>
      </c>
      <c r="E278" s="3">
        <f t="shared" si="20"/>
        <v>279.49599575040003</v>
      </c>
      <c r="F278" s="3">
        <v>212.23541665379267</v>
      </c>
      <c r="G278" s="4">
        <f t="shared" si="21"/>
        <v>212.23541665379267</v>
      </c>
      <c r="H278" s="1">
        <v>44.4</v>
      </c>
      <c r="I278" s="1">
        <f t="shared" si="22"/>
        <v>53.28</v>
      </c>
      <c r="J278" s="1" t="s">
        <v>1182</v>
      </c>
      <c r="K278" s="3">
        <f t="shared" si="23"/>
        <v>396.89422847999998</v>
      </c>
      <c r="L278" s="10">
        <f t="shared" si="24"/>
        <v>0.42003547283174969</v>
      </c>
      <c r="M278" s="18" t="str">
        <f>VLOOKUP(A278,Список!A:I,9,0)</f>
        <v>Вывод из ассортимента</v>
      </c>
      <c r="N278" s="12"/>
      <c r="O278" s="11"/>
    </row>
    <row r="279" spans="1:15" x14ac:dyDescent="0.25">
      <c r="A279" s="6">
        <v>2608</v>
      </c>
      <c r="B279" s="1" t="s">
        <v>283</v>
      </c>
      <c r="C279" s="3">
        <v>21.9802</v>
      </c>
      <c r="D279" s="1" t="s">
        <v>1182</v>
      </c>
      <c r="E279" s="3">
        <f t="shared" si="20"/>
        <v>344.705805312</v>
      </c>
      <c r="F279" s="3">
        <v>261.51341538461537</v>
      </c>
      <c r="G279" s="4">
        <f t="shared" si="21"/>
        <v>261.51341538461537</v>
      </c>
      <c r="H279" s="1">
        <v>56.95</v>
      </c>
      <c r="I279" s="1">
        <f t="shared" si="22"/>
        <v>68.34</v>
      </c>
      <c r="J279" s="1" t="s">
        <v>1182</v>
      </c>
      <c r="K279" s="3">
        <f t="shared" si="23"/>
        <v>509.07942143999998</v>
      </c>
      <c r="L279" s="10">
        <f t="shared" si="24"/>
        <v>0.47685189397730676</v>
      </c>
      <c r="M279" s="18" t="str">
        <f>VLOOKUP(A279,Список!A:I,9,0)</f>
        <v>Вывод из ассортимента</v>
      </c>
      <c r="N279" s="12"/>
      <c r="O279" s="11"/>
    </row>
    <row r="280" spans="1:15" x14ac:dyDescent="0.25">
      <c r="A280" s="6">
        <v>2609</v>
      </c>
      <c r="B280" s="1" t="s">
        <v>284</v>
      </c>
      <c r="C280" s="3">
        <v>17.380220000000001</v>
      </c>
      <c r="D280" s="1" t="s">
        <v>1182</v>
      </c>
      <c r="E280" s="3">
        <f t="shared" si="20"/>
        <v>272.56634296319999</v>
      </c>
      <c r="F280" s="3">
        <v>205.30084813164211</v>
      </c>
      <c r="G280" s="4">
        <f t="shared" si="21"/>
        <v>205.30084813164211</v>
      </c>
      <c r="H280" s="1">
        <v>43.17</v>
      </c>
      <c r="I280" s="1">
        <f t="shared" si="22"/>
        <v>51.8</v>
      </c>
      <c r="J280" s="1" t="s">
        <v>1182</v>
      </c>
      <c r="K280" s="3">
        <f t="shared" si="23"/>
        <v>385.86938879999991</v>
      </c>
      <c r="L280" s="10">
        <f t="shared" si="24"/>
        <v>0.41568978988758465</v>
      </c>
      <c r="M280" s="18" t="str">
        <f>VLOOKUP(A280,Список!A:I,9,0)</f>
        <v>Вывод из ассортимента</v>
      </c>
      <c r="N280" s="12"/>
      <c r="O280" s="11"/>
    </row>
    <row r="281" spans="1:15" x14ac:dyDescent="0.25">
      <c r="A281" s="6">
        <v>2610</v>
      </c>
      <c r="B281" s="1" t="s">
        <v>285</v>
      </c>
      <c r="C281" s="3">
        <v>20.49597</v>
      </c>
      <c r="D281" s="1" t="s">
        <v>1182</v>
      </c>
      <c r="E281" s="3">
        <f t="shared" si="20"/>
        <v>321.4292792832</v>
      </c>
      <c r="F281" s="3">
        <v>241.4495942834458</v>
      </c>
      <c r="G281" s="4">
        <f t="shared" si="21"/>
        <v>241.4495942834458</v>
      </c>
      <c r="H281" s="1">
        <v>53.03</v>
      </c>
      <c r="I281" s="1">
        <f t="shared" si="22"/>
        <v>63.64</v>
      </c>
      <c r="J281" s="1" t="s">
        <v>1182</v>
      </c>
      <c r="K281" s="3">
        <f t="shared" si="23"/>
        <v>474.06810623999996</v>
      </c>
      <c r="L281" s="10">
        <f t="shared" si="24"/>
        <v>0.47487530475503226</v>
      </c>
      <c r="M281" s="18" t="str">
        <f>VLOOKUP(A281,Список!A:I,9,0)</f>
        <v>Вывод из ассортимента</v>
      </c>
      <c r="N281" s="12"/>
      <c r="O281" s="11"/>
    </row>
    <row r="282" spans="1:15" x14ac:dyDescent="0.25">
      <c r="A282" s="6">
        <v>3828</v>
      </c>
      <c r="B282" s="1" t="s">
        <v>286</v>
      </c>
      <c r="C282" s="3">
        <v>0.57499999999999996</v>
      </c>
      <c r="D282" s="1" t="s">
        <v>1172</v>
      </c>
      <c r="E282" s="3">
        <f t="shared" si="20"/>
        <v>0.69</v>
      </c>
      <c r="F282" s="3">
        <v>0.69131663470757421</v>
      </c>
      <c r="G282" s="4">
        <f t="shared" si="21"/>
        <v>0.69131663470757421</v>
      </c>
      <c r="H282" s="1">
        <v>1.49</v>
      </c>
      <c r="I282" s="1">
        <f t="shared" si="22"/>
        <v>1.79</v>
      </c>
      <c r="J282" s="1" t="s">
        <v>1172</v>
      </c>
      <c r="K282" s="3">
        <f t="shared" si="23"/>
        <v>1.0203</v>
      </c>
      <c r="L282" s="10">
        <f t="shared" si="24"/>
        <v>0.47869565217391319</v>
      </c>
      <c r="M282" s="18" t="str">
        <f>VLOOKUP(A282,Список!A:I,9,0)</f>
        <v>Основной ассортимент</v>
      </c>
      <c r="N282" s="12"/>
      <c r="O282" s="11"/>
    </row>
    <row r="283" spans="1:15" x14ac:dyDescent="0.25">
      <c r="A283" s="6">
        <v>3824</v>
      </c>
      <c r="B283" s="1" t="s">
        <v>287</v>
      </c>
      <c r="C283" s="3">
        <v>0.68333333333333335</v>
      </c>
      <c r="D283" s="1" t="s">
        <v>1172</v>
      </c>
      <c r="E283" s="3">
        <f t="shared" si="20"/>
        <v>0.82</v>
      </c>
      <c r="F283" s="3">
        <v>0.81997827425699177</v>
      </c>
      <c r="G283" s="4">
        <f t="shared" si="21"/>
        <v>0.82</v>
      </c>
      <c r="H283" s="1">
        <v>1.74</v>
      </c>
      <c r="I283" s="1">
        <f t="shared" si="22"/>
        <v>2.09</v>
      </c>
      <c r="J283" s="1" t="s">
        <v>1172</v>
      </c>
      <c r="K283" s="3">
        <f t="shared" si="23"/>
        <v>1.1912999999999998</v>
      </c>
      <c r="L283" s="10">
        <f t="shared" si="24"/>
        <v>0.45280487804878033</v>
      </c>
      <c r="M283" s="18" t="str">
        <f>VLOOKUP(A283,Список!A:I,9,0)</f>
        <v>Основной ассортимент</v>
      </c>
      <c r="N283" s="12"/>
      <c r="O283" s="11"/>
    </row>
    <row r="284" spans="1:15" x14ac:dyDescent="0.25">
      <c r="A284" s="6">
        <v>3825</v>
      </c>
      <c r="B284" s="1" t="s">
        <v>288</v>
      </c>
      <c r="C284" s="3">
        <v>1.0833333333333335</v>
      </c>
      <c r="D284" s="1" t="s">
        <v>1172</v>
      </c>
      <c r="E284" s="3">
        <f t="shared" si="20"/>
        <v>1.3</v>
      </c>
      <c r="F284" s="3">
        <v>1.2998110043089162</v>
      </c>
      <c r="G284" s="4">
        <f t="shared" si="21"/>
        <v>1.3</v>
      </c>
      <c r="H284" s="1">
        <v>2.75</v>
      </c>
      <c r="I284" s="1">
        <f t="shared" si="22"/>
        <v>3.3</v>
      </c>
      <c r="J284" s="1" t="s">
        <v>1172</v>
      </c>
      <c r="K284" s="3">
        <f t="shared" si="23"/>
        <v>1.8809999999999998</v>
      </c>
      <c r="L284" s="10">
        <f t="shared" si="24"/>
        <v>0.44692307692307676</v>
      </c>
      <c r="M284" s="18" t="str">
        <f>VLOOKUP(A284,Список!A:I,9,0)</f>
        <v>Основной ассортимент</v>
      </c>
      <c r="N284" s="12"/>
      <c r="O284" s="11"/>
    </row>
    <row r="285" spans="1:15" x14ac:dyDescent="0.25">
      <c r="A285" s="6">
        <v>3826</v>
      </c>
      <c r="B285" s="1" t="s">
        <v>289</v>
      </c>
      <c r="C285" s="3">
        <v>1.6</v>
      </c>
      <c r="D285" s="1" t="s">
        <v>1172</v>
      </c>
      <c r="E285" s="3">
        <f t="shared" si="20"/>
        <v>1.92</v>
      </c>
      <c r="F285" s="3">
        <v>1.9448941592198701</v>
      </c>
      <c r="G285" s="4">
        <f t="shared" si="21"/>
        <v>1.9448941592198701</v>
      </c>
      <c r="H285" s="1">
        <v>4.49</v>
      </c>
      <c r="I285" s="1">
        <f t="shared" si="22"/>
        <v>5.39</v>
      </c>
      <c r="J285" s="1" t="s">
        <v>1172</v>
      </c>
      <c r="K285" s="3">
        <f t="shared" si="23"/>
        <v>3.0722999999999994</v>
      </c>
      <c r="L285" s="10">
        <f t="shared" si="24"/>
        <v>0.60015624999999972</v>
      </c>
      <c r="M285" s="18" t="str">
        <f>VLOOKUP(A285,Список!A:I,9,0)</f>
        <v>Основной ассортимент</v>
      </c>
      <c r="N285" s="12"/>
      <c r="O285" s="11"/>
    </row>
    <row r="286" spans="1:15" x14ac:dyDescent="0.25">
      <c r="A286" s="6">
        <v>3827</v>
      </c>
      <c r="B286" s="1" t="s">
        <v>290</v>
      </c>
      <c r="C286" s="3">
        <v>1.8666666666666669</v>
      </c>
      <c r="D286" s="1" t="s">
        <v>1172</v>
      </c>
      <c r="E286" s="3">
        <f t="shared" si="20"/>
        <v>2.2400000000000002</v>
      </c>
      <c r="F286" s="3">
        <v>2.2351515057193994</v>
      </c>
      <c r="G286" s="4">
        <f t="shared" si="21"/>
        <v>2.2400000000000002</v>
      </c>
      <c r="H286" s="1">
        <v>6.38</v>
      </c>
      <c r="I286" s="1">
        <f t="shared" si="22"/>
        <v>7.66</v>
      </c>
      <c r="J286" s="1" t="s">
        <v>1172</v>
      </c>
      <c r="K286" s="3">
        <f t="shared" si="23"/>
        <v>4.3662000000000001</v>
      </c>
      <c r="L286" s="10">
        <f t="shared" si="24"/>
        <v>0.9491964285714285</v>
      </c>
      <c r="M286" s="18" t="str">
        <f>VLOOKUP(A286,Список!A:I,9,0)</f>
        <v>Основной ассортимент</v>
      </c>
      <c r="N286" s="12"/>
      <c r="O286" s="11"/>
    </row>
    <row r="287" spans="1:15" x14ac:dyDescent="0.25">
      <c r="A287" s="6">
        <v>3829</v>
      </c>
      <c r="B287" s="1" t="s">
        <v>291</v>
      </c>
      <c r="C287" s="3">
        <v>1.4</v>
      </c>
      <c r="D287" s="1" t="s">
        <v>1172</v>
      </c>
      <c r="E287" s="3">
        <f t="shared" si="20"/>
        <v>1.68</v>
      </c>
      <c r="F287" s="3">
        <v>1.5923933642205947</v>
      </c>
      <c r="G287" s="4">
        <f t="shared" si="21"/>
        <v>1.68</v>
      </c>
      <c r="H287" s="1">
        <v>3.46</v>
      </c>
      <c r="I287" s="1">
        <f t="shared" si="22"/>
        <v>4.1500000000000004</v>
      </c>
      <c r="J287" s="1" t="s">
        <v>1172</v>
      </c>
      <c r="K287" s="3">
        <f t="shared" si="23"/>
        <v>2.3654999999999999</v>
      </c>
      <c r="L287" s="10">
        <f t="shared" si="24"/>
        <v>0.40803571428571428</v>
      </c>
      <c r="M287" s="18" t="str">
        <f>VLOOKUP(A287,Список!A:I,9,0)</f>
        <v>Основной ассортимент</v>
      </c>
      <c r="N287" s="12"/>
      <c r="O287" s="11"/>
    </row>
    <row r="288" spans="1:15" x14ac:dyDescent="0.25">
      <c r="A288" s="6">
        <v>3667</v>
      </c>
      <c r="B288" s="1" t="s">
        <v>292</v>
      </c>
      <c r="C288" s="3">
        <v>1.6500000000000001</v>
      </c>
      <c r="D288" s="1" t="s">
        <v>1172</v>
      </c>
      <c r="E288" s="3">
        <f t="shared" si="20"/>
        <v>1.98</v>
      </c>
      <c r="F288" s="3">
        <v>1.979992748125956</v>
      </c>
      <c r="G288" s="4">
        <f t="shared" si="21"/>
        <v>1.98</v>
      </c>
      <c r="H288" s="1">
        <v>4.92</v>
      </c>
      <c r="I288" s="1">
        <f t="shared" si="22"/>
        <v>5.9</v>
      </c>
      <c r="J288" s="1" t="s">
        <v>1172</v>
      </c>
      <c r="K288" s="3">
        <f t="shared" si="23"/>
        <v>3.363</v>
      </c>
      <c r="L288" s="10">
        <f t="shared" si="24"/>
        <v>0.69848484848484849</v>
      </c>
      <c r="M288" s="18" t="str">
        <f>VLOOKUP(A288,Список!A:I,9,0)</f>
        <v>Основной ассортимент</v>
      </c>
      <c r="N288" s="12"/>
      <c r="O288" s="11"/>
    </row>
    <row r="289" spans="1:15" x14ac:dyDescent="0.25">
      <c r="A289" s="6">
        <v>3668</v>
      </c>
      <c r="B289" s="1" t="s">
        <v>293</v>
      </c>
      <c r="C289" s="3">
        <v>2.041666666666667</v>
      </c>
      <c r="D289" s="1" t="s">
        <v>1172</v>
      </c>
      <c r="E289" s="3">
        <f t="shared" si="20"/>
        <v>2.4500000000000002</v>
      </c>
      <c r="F289" s="3">
        <v>2.4333252431715922</v>
      </c>
      <c r="G289" s="4">
        <f t="shared" si="21"/>
        <v>2.4500000000000002</v>
      </c>
      <c r="H289" s="1">
        <v>5.93</v>
      </c>
      <c r="I289" s="1">
        <f t="shared" si="22"/>
        <v>7.12</v>
      </c>
      <c r="J289" s="1" t="s">
        <v>1172</v>
      </c>
      <c r="K289" s="3">
        <f t="shared" si="23"/>
        <v>4.0583999999999998</v>
      </c>
      <c r="L289" s="10">
        <f t="shared" si="24"/>
        <v>0.65648979591836709</v>
      </c>
      <c r="M289" s="18" t="str">
        <f>VLOOKUP(A289,Список!A:I,9,0)</f>
        <v>Основной ассортимент</v>
      </c>
      <c r="N289" s="12"/>
      <c r="O289" s="11"/>
    </row>
    <row r="290" spans="1:15" x14ac:dyDescent="0.25">
      <c r="A290" s="6">
        <v>3669</v>
      </c>
      <c r="B290" s="1" t="s">
        <v>294</v>
      </c>
      <c r="C290" s="3">
        <v>2.6333333333333337</v>
      </c>
      <c r="D290" s="1" t="s">
        <v>1172</v>
      </c>
      <c r="E290" s="3">
        <f t="shared" si="20"/>
        <v>3.1600000000000006</v>
      </c>
      <c r="F290" s="3">
        <v>3.125510336604604</v>
      </c>
      <c r="G290" s="4">
        <f t="shared" si="21"/>
        <v>3.1600000000000006</v>
      </c>
      <c r="H290" s="1">
        <v>7.86</v>
      </c>
      <c r="I290" s="1">
        <f t="shared" si="22"/>
        <v>9.43</v>
      </c>
      <c r="J290" s="1" t="s">
        <v>1172</v>
      </c>
      <c r="K290" s="3">
        <f t="shared" si="23"/>
        <v>5.3750999999999998</v>
      </c>
      <c r="L290" s="10">
        <f t="shared" si="24"/>
        <v>0.70098101265822743</v>
      </c>
      <c r="M290" s="18" t="str">
        <f>VLOOKUP(A290,Список!A:I,9,0)</f>
        <v>Основной ассортимент</v>
      </c>
      <c r="N290" s="12"/>
      <c r="O290" s="11"/>
    </row>
    <row r="291" spans="1:15" x14ac:dyDescent="0.25">
      <c r="A291" s="6">
        <v>3670</v>
      </c>
      <c r="B291" s="1" t="s">
        <v>295</v>
      </c>
      <c r="C291" s="3">
        <v>3.8916666666666666</v>
      </c>
      <c r="D291" s="1" t="s">
        <v>1172</v>
      </c>
      <c r="E291" s="3">
        <f t="shared" si="20"/>
        <v>4.67</v>
      </c>
      <c r="F291" s="3">
        <v>4.5474903248340901</v>
      </c>
      <c r="G291" s="4">
        <f t="shared" si="21"/>
        <v>4.67</v>
      </c>
      <c r="H291" s="1">
        <v>9.1999999999999993</v>
      </c>
      <c r="I291" s="1">
        <f t="shared" si="22"/>
        <v>11.04</v>
      </c>
      <c r="J291" s="1" t="s">
        <v>1172</v>
      </c>
      <c r="K291" s="3">
        <f t="shared" si="23"/>
        <v>6.2927999999999988</v>
      </c>
      <c r="L291" s="10">
        <f t="shared" si="24"/>
        <v>0.34749464668094188</v>
      </c>
      <c r="M291" s="18" t="str">
        <f>VLOOKUP(A291,Список!A:I,9,0)</f>
        <v>Основной ассортимент</v>
      </c>
      <c r="N291" s="12"/>
      <c r="O291" s="11"/>
    </row>
    <row r="292" spans="1:15" x14ac:dyDescent="0.25">
      <c r="A292" s="6">
        <v>3671</v>
      </c>
      <c r="B292" s="1" t="s">
        <v>296</v>
      </c>
      <c r="C292" s="3">
        <v>5.7666666666666666</v>
      </c>
      <c r="D292" s="1" t="s">
        <v>1172</v>
      </c>
      <c r="E292" s="3">
        <f t="shared" si="20"/>
        <v>6.92</v>
      </c>
      <c r="F292" s="3">
        <v>6.7187081180811807</v>
      </c>
      <c r="G292" s="4">
        <f t="shared" si="21"/>
        <v>6.92</v>
      </c>
      <c r="H292" s="1">
        <v>13.3</v>
      </c>
      <c r="I292" s="1">
        <f t="shared" si="22"/>
        <v>15.96</v>
      </c>
      <c r="J292" s="1" t="s">
        <v>1172</v>
      </c>
      <c r="K292" s="3">
        <f t="shared" si="23"/>
        <v>9.0971999999999991</v>
      </c>
      <c r="L292" s="10">
        <f t="shared" si="24"/>
        <v>0.31462427745664723</v>
      </c>
      <c r="M292" s="18" t="str">
        <f>VLOOKUP(A292,Список!A:I,9,0)</f>
        <v>Основной ассортимент</v>
      </c>
      <c r="N292" s="12"/>
      <c r="O292" s="11"/>
    </row>
    <row r="293" spans="1:15" x14ac:dyDescent="0.25">
      <c r="A293" s="6">
        <v>4746</v>
      </c>
      <c r="B293" s="1" t="s">
        <v>297</v>
      </c>
      <c r="C293" s="3">
        <v>6.2166666666666668</v>
      </c>
      <c r="D293" s="1" t="s">
        <v>1172</v>
      </c>
      <c r="E293" s="3">
        <f t="shared" si="20"/>
        <v>7.46</v>
      </c>
      <c r="F293" s="3">
        <v>6.7794361120051487</v>
      </c>
      <c r="G293" s="4">
        <f t="shared" si="21"/>
        <v>7.46</v>
      </c>
      <c r="H293" s="1">
        <v>15.02</v>
      </c>
      <c r="I293" s="1">
        <f t="shared" si="22"/>
        <v>18.02</v>
      </c>
      <c r="J293" s="1" t="s">
        <v>1172</v>
      </c>
      <c r="K293" s="3">
        <f t="shared" si="23"/>
        <v>10.271399999999998</v>
      </c>
      <c r="L293" s="10">
        <f t="shared" si="24"/>
        <v>0.37686327077747972</v>
      </c>
      <c r="M293" s="18" t="str">
        <f>VLOOKUP(A293,Список!A:I,9,0)</f>
        <v>Основной ассортимент</v>
      </c>
      <c r="N293" s="12"/>
      <c r="O293" s="11"/>
    </row>
    <row r="294" spans="1:15" x14ac:dyDescent="0.25">
      <c r="A294" s="6">
        <v>4747</v>
      </c>
      <c r="B294" s="1" t="s">
        <v>298</v>
      </c>
      <c r="C294" s="3">
        <v>18.333333333333336</v>
      </c>
      <c r="D294" s="1" t="s">
        <v>1172</v>
      </c>
      <c r="E294" s="3">
        <f t="shared" si="20"/>
        <v>22.000000000000004</v>
      </c>
      <c r="F294" s="3">
        <v>21.966334237429582</v>
      </c>
      <c r="G294" s="4">
        <f t="shared" si="21"/>
        <v>22.000000000000004</v>
      </c>
      <c r="H294" s="1">
        <v>39.15</v>
      </c>
      <c r="I294" s="1">
        <f t="shared" si="22"/>
        <v>46.98</v>
      </c>
      <c r="J294" s="1" t="s">
        <v>1172</v>
      </c>
      <c r="K294" s="3">
        <f t="shared" si="23"/>
        <v>26.778599999999997</v>
      </c>
      <c r="L294" s="10">
        <f t="shared" si="24"/>
        <v>0.21720909090909069</v>
      </c>
      <c r="M294" s="18" t="str">
        <f>VLOOKUP(A294,Список!A:I,9,0)</f>
        <v>Основной ассортимент</v>
      </c>
      <c r="N294" s="12"/>
      <c r="O294" s="11"/>
    </row>
    <row r="295" spans="1:15" x14ac:dyDescent="0.25">
      <c r="A295" s="6">
        <v>3900</v>
      </c>
      <c r="B295" s="1" t="s">
        <v>299</v>
      </c>
      <c r="C295" s="3">
        <v>132.5</v>
      </c>
      <c r="D295" s="1" t="s">
        <v>1172</v>
      </c>
      <c r="E295" s="3">
        <f t="shared" si="20"/>
        <v>159</v>
      </c>
      <c r="F295" s="3">
        <v>158.42868220455168</v>
      </c>
      <c r="G295" s="4">
        <f t="shared" si="21"/>
        <v>159</v>
      </c>
      <c r="H295" s="1">
        <v>339.03</v>
      </c>
      <c r="I295" s="1">
        <f t="shared" si="22"/>
        <v>406.84</v>
      </c>
      <c r="J295" s="1" t="s">
        <v>1172</v>
      </c>
      <c r="K295" s="3">
        <f t="shared" si="23"/>
        <v>231.89879999999997</v>
      </c>
      <c r="L295" s="10">
        <f t="shared" si="24"/>
        <v>0.45848301886792431</v>
      </c>
      <c r="M295" s="18" t="str">
        <f>VLOOKUP(A295,Список!A:I,9,0)</f>
        <v>Основной ассортимент</v>
      </c>
      <c r="N295" s="12"/>
      <c r="O295" s="11"/>
    </row>
    <row r="296" spans="1:15" x14ac:dyDescent="0.25">
      <c r="A296" s="6">
        <v>3897</v>
      </c>
      <c r="B296" s="1" t="s">
        <v>300</v>
      </c>
      <c r="C296" s="3">
        <v>11.916666666666668</v>
      </c>
      <c r="D296" s="1" t="s">
        <v>1172</v>
      </c>
      <c r="E296" s="3">
        <f t="shared" si="20"/>
        <v>14.3</v>
      </c>
      <c r="F296" s="3">
        <v>14.314671527777776</v>
      </c>
      <c r="G296" s="4">
        <f t="shared" si="21"/>
        <v>14.314671527777776</v>
      </c>
      <c r="H296" s="1">
        <v>25.68</v>
      </c>
      <c r="I296" s="1">
        <f t="shared" si="22"/>
        <v>30.82</v>
      </c>
      <c r="J296" s="1" t="s">
        <v>1172</v>
      </c>
      <c r="K296" s="3">
        <f t="shared" si="23"/>
        <v>17.567399999999999</v>
      </c>
      <c r="L296" s="10">
        <f t="shared" si="24"/>
        <v>0.22848951048951038</v>
      </c>
      <c r="M296" s="18" t="str">
        <f>VLOOKUP(A296,Список!A:I,9,0)</f>
        <v>Основной ассортимент</v>
      </c>
      <c r="N296" s="12"/>
      <c r="O296" s="11"/>
    </row>
    <row r="297" spans="1:15" x14ac:dyDescent="0.25">
      <c r="A297" s="6">
        <v>3898</v>
      </c>
      <c r="B297" s="1" t="s">
        <v>301</v>
      </c>
      <c r="C297" s="3">
        <v>9.6666666666666661</v>
      </c>
      <c r="D297" s="1" t="s">
        <v>1172</v>
      </c>
      <c r="E297" s="3">
        <f t="shared" si="20"/>
        <v>11.6</v>
      </c>
      <c r="F297" s="3">
        <v>11.125324881141047</v>
      </c>
      <c r="G297" s="4">
        <f t="shared" si="21"/>
        <v>11.6</v>
      </c>
      <c r="H297" s="1">
        <v>20.94</v>
      </c>
      <c r="I297" s="1">
        <f t="shared" si="22"/>
        <v>25.13</v>
      </c>
      <c r="J297" s="1" t="s">
        <v>1172</v>
      </c>
      <c r="K297" s="3">
        <f t="shared" si="23"/>
        <v>14.324099999999998</v>
      </c>
      <c r="L297" s="10">
        <f t="shared" si="24"/>
        <v>0.23483620689655149</v>
      </c>
      <c r="M297" s="18" t="str">
        <f>VLOOKUP(A297,Список!A:I,9,0)</f>
        <v>Основной ассортимент</v>
      </c>
      <c r="N297" s="12"/>
      <c r="O297" s="11"/>
    </row>
    <row r="298" spans="1:15" x14ac:dyDescent="0.25">
      <c r="A298" s="6">
        <v>3899</v>
      </c>
      <c r="B298" s="1" t="s">
        <v>302</v>
      </c>
      <c r="C298" s="3">
        <v>9.7249999999999996</v>
      </c>
      <c r="D298" s="1" t="s">
        <v>1172</v>
      </c>
      <c r="E298" s="3">
        <f t="shared" si="20"/>
        <v>11.67</v>
      </c>
      <c r="F298" s="3">
        <v>11.303541182945045</v>
      </c>
      <c r="G298" s="4">
        <f t="shared" si="21"/>
        <v>11.67</v>
      </c>
      <c r="H298" s="1">
        <v>20.92</v>
      </c>
      <c r="I298" s="1">
        <f t="shared" si="22"/>
        <v>25.1</v>
      </c>
      <c r="J298" s="1" t="s">
        <v>1172</v>
      </c>
      <c r="K298" s="3">
        <f t="shared" si="23"/>
        <v>14.307</v>
      </c>
      <c r="L298" s="10">
        <f t="shared" si="24"/>
        <v>0.22596401028277646</v>
      </c>
      <c r="M298" s="18" t="str">
        <f>VLOOKUP(A298,Список!A:I,9,0)</f>
        <v>Основной ассортимент</v>
      </c>
      <c r="N298" s="12"/>
      <c r="O298" s="11"/>
    </row>
    <row r="299" spans="1:15" x14ac:dyDescent="0.25">
      <c r="A299" s="6">
        <v>1308</v>
      </c>
      <c r="B299" s="1" t="s">
        <v>303</v>
      </c>
      <c r="C299" s="3">
        <v>2.308068</v>
      </c>
      <c r="D299" s="1" t="s">
        <v>1182</v>
      </c>
      <c r="E299" s="3">
        <f t="shared" si="20"/>
        <v>36.196414894079993</v>
      </c>
      <c r="F299" s="3">
        <v>27.198912411886123</v>
      </c>
      <c r="G299" s="4">
        <f t="shared" si="21"/>
        <v>36.196414894079993</v>
      </c>
      <c r="H299" s="1">
        <v>5.17</v>
      </c>
      <c r="I299" s="1">
        <f t="shared" si="22"/>
        <v>6.2</v>
      </c>
      <c r="J299" s="1" t="s">
        <v>1182</v>
      </c>
      <c r="K299" s="3">
        <f t="shared" si="23"/>
        <v>46.185139199999995</v>
      </c>
      <c r="L299" s="10">
        <f t="shared" si="24"/>
        <v>0.27595894055114512</v>
      </c>
      <c r="M299" s="18" t="str">
        <f>VLOOKUP(A299,Список!A:I,9,0)</f>
        <v>Основной ассортимент</v>
      </c>
      <c r="N299" s="12"/>
      <c r="O299" s="11"/>
    </row>
    <row r="300" spans="1:15" x14ac:dyDescent="0.25">
      <c r="A300" s="6">
        <v>1309</v>
      </c>
      <c r="B300" s="1" t="s">
        <v>304</v>
      </c>
      <c r="C300" s="3">
        <v>2.308068</v>
      </c>
      <c r="D300" s="1" t="s">
        <v>1182</v>
      </c>
      <c r="E300" s="3">
        <f t="shared" si="20"/>
        <v>36.196414894079993</v>
      </c>
      <c r="F300" s="3">
        <v>27.941518021978023</v>
      </c>
      <c r="G300" s="4">
        <f t="shared" si="21"/>
        <v>36.196414894079993</v>
      </c>
      <c r="H300" s="1">
        <v>5.17</v>
      </c>
      <c r="I300" s="1">
        <f t="shared" si="22"/>
        <v>6.2</v>
      </c>
      <c r="J300" s="1" t="s">
        <v>1182</v>
      </c>
      <c r="K300" s="3">
        <f t="shared" si="23"/>
        <v>46.185139199999995</v>
      </c>
      <c r="L300" s="10">
        <f t="shared" si="24"/>
        <v>0.27595894055114512</v>
      </c>
      <c r="M300" s="18" t="str">
        <f>VLOOKUP(A300,Список!A:I,9,0)</f>
        <v>Основной ассортимент</v>
      </c>
      <c r="N300" s="12"/>
      <c r="O300" s="11"/>
    </row>
    <row r="301" spans="1:15" x14ac:dyDescent="0.25">
      <c r="A301" s="6">
        <v>1302</v>
      </c>
      <c r="B301" s="1" t="s">
        <v>305</v>
      </c>
      <c r="C301" s="3">
        <v>3.0362084999999999</v>
      </c>
      <c r="D301" s="1" t="s">
        <v>1182</v>
      </c>
      <c r="E301" s="3">
        <f t="shared" si="20"/>
        <v>47.615521973759989</v>
      </c>
      <c r="F301" s="3">
        <v>36.633272847317741</v>
      </c>
      <c r="G301" s="4">
        <f t="shared" si="21"/>
        <v>47.615521973759989</v>
      </c>
      <c r="H301" s="1">
        <v>7.08</v>
      </c>
      <c r="I301" s="1">
        <f t="shared" si="22"/>
        <v>8.5</v>
      </c>
      <c r="J301" s="1" t="s">
        <v>1182</v>
      </c>
      <c r="K301" s="3">
        <f t="shared" si="23"/>
        <v>63.318335999999995</v>
      </c>
      <c r="L301" s="10">
        <f t="shared" si="24"/>
        <v>0.32978351124436966</v>
      </c>
      <c r="M301" s="18" t="str">
        <f>VLOOKUP(A301,Список!A:I,9,0)</f>
        <v>Основной ассортимент</v>
      </c>
      <c r="N301" s="12"/>
      <c r="O301" s="11"/>
    </row>
    <row r="302" spans="1:15" x14ac:dyDescent="0.25">
      <c r="A302" s="6">
        <v>1304</v>
      </c>
      <c r="B302" s="1" t="s">
        <v>306</v>
      </c>
      <c r="C302" s="3">
        <v>5.3305380000000007</v>
      </c>
      <c r="D302" s="1" t="s">
        <v>1182</v>
      </c>
      <c r="E302" s="3">
        <f t="shared" si="20"/>
        <v>83.596482017279996</v>
      </c>
      <c r="F302" s="3">
        <v>59.097868269230773</v>
      </c>
      <c r="G302" s="4">
        <f t="shared" si="21"/>
        <v>83.596482017279996</v>
      </c>
      <c r="H302" s="1">
        <v>13.54</v>
      </c>
      <c r="I302" s="1">
        <f t="shared" si="22"/>
        <v>16.25</v>
      </c>
      <c r="J302" s="1" t="s">
        <v>1182</v>
      </c>
      <c r="K302" s="3">
        <f t="shared" si="23"/>
        <v>121.04975999999999</v>
      </c>
      <c r="L302" s="10">
        <f t="shared" si="24"/>
        <v>0.44802457087821157</v>
      </c>
      <c r="M302" s="18" t="str">
        <f>VLOOKUP(A302,Список!A:I,9,0)</f>
        <v>Основной ассортимент</v>
      </c>
      <c r="N302" s="12"/>
      <c r="O302" s="11"/>
    </row>
    <row r="303" spans="1:15" x14ac:dyDescent="0.25">
      <c r="A303" s="6">
        <v>286</v>
      </c>
      <c r="B303" s="1" t="s">
        <v>307</v>
      </c>
      <c r="C303" s="3">
        <v>6.3776055000000005</v>
      </c>
      <c r="D303" s="1" t="s">
        <v>1182</v>
      </c>
      <c r="E303" s="3">
        <f t="shared" si="20"/>
        <v>100.01718091008</v>
      </c>
      <c r="F303" s="3">
        <v>90.506941286113701</v>
      </c>
      <c r="G303" s="4">
        <f t="shared" si="21"/>
        <v>100.01718091008</v>
      </c>
      <c r="H303" s="1">
        <v>16.239999999999998</v>
      </c>
      <c r="I303" s="1">
        <f t="shared" si="22"/>
        <v>19.489999999999998</v>
      </c>
      <c r="J303" s="1" t="s">
        <v>1182</v>
      </c>
      <c r="K303" s="3">
        <f t="shared" si="23"/>
        <v>145.18521983999997</v>
      </c>
      <c r="L303" s="10">
        <f t="shared" si="24"/>
        <v>0.45160279982824258</v>
      </c>
      <c r="M303" s="18" t="str">
        <f>VLOOKUP(A303,Список!A:I,9,0)</f>
        <v>Основной ассортимент</v>
      </c>
      <c r="N303" s="12"/>
      <c r="O303" s="11"/>
    </row>
    <row r="304" spans="1:15" x14ac:dyDescent="0.25">
      <c r="A304" s="6">
        <v>168</v>
      </c>
      <c r="B304" s="1" t="s">
        <v>308</v>
      </c>
      <c r="C304" s="3">
        <v>7.9025205000000005</v>
      </c>
      <c r="D304" s="1" t="s">
        <v>1182</v>
      </c>
      <c r="E304" s="3">
        <f t="shared" si="20"/>
        <v>123.93175189248001</v>
      </c>
      <c r="F304" s="3">
        <v>111.4668991735537</v>
      </c>
      <c r="G304" s="4">
        <f t="shared" si="21"/>
        <v>123.93175189248001</v>
      </c>
      <c r="H304" s="1">
        <v>19.89</v>
      </c>
      <c r="I304" s="1">
        <f t="shared" si="22"/>
        <v>23.87</v>
      </c>
      <c r="J304" s="1" t="s">
        <v>1182</v>
      </c>
      <c r="K304" s="3">
        <f t="shared" si="23"/>
        <v>177.81278591999998</v>
      </c>
      <c r="L304" s="10">
        <f t="shared" si="24"/>
        <v>0.43476375670268719</v>
      </c>
      <c r="M304" s="18" t="str">
        <f>VLOOKUP(A304,Список!A:I,9,0)</f>
        <v>Основной ассортимент</v>
      </c>
      <c r="N304" s="12"/>
      <c r="O304" s="11"/>
    </row>
    <row r="305" spans="1:15" x14ac:dyDescent="0.25">
      <c r="A305" s="6">
        <v>492</v>
      </c>
      <c r="B305" s="1" t="s">
        <v>309</v>
      </c>
      <c r="C305" s="3">
        <v>9.7399890000000013</v>
      </c>
      <c r="D305" s="1" t="s">
        <v>1182</v>
      </c>
      <c r="E305" s="3">
        <f t="shared" si="20"/>
        <v>152.74796189183999</v>
      </c>
      <c r="F305" s="3">
        <v>101.52479032258064</v>
      </c>
      <c r="G305" s="4">
        <f t="shared" si="21"/>
        <v>152.74796189183999</v>
      </c>
      <c r="H305" s="1">
        <v>24.5</v>
      </c>
      <c r="I305" s="1">
        <f t="shared" si="22"/>
        <v>29.4</v>
      </c>
      <c r="J305" s="1" t="s">
        <v>1182</v>
      </c>
      <c r="K305" s="3">
        <f t="shared" si="23"/>
        <v>219.00695039999997</v>
      </c>
      <c r="L305" s="10">
        <f t="shared" si="24"/>
        <v>0.4337798533448034</v>
      </c>
      <c r="M305" s="18" t="str">
        <f>VLOOKUP(A305,Список!A:I,9,0)</f>
        <v>Основной ассортимент</v>
      </c>
      <c r="N305" s="12"/>
      <c r="O305" s="11"/>
    </row>
    <row r="306" spans="1:15" x14ac:dyDescent="0.25">
      <c r="A306" s="6">
        <v>466</v>
      </c>
      <c r="B306" s="1" t="s">
        <v>310</v>
      </c>
      <c r="C306" s="3">
        <v>10.815</v>
      </c>
      <c r="D306" s="1" t="s">
        <v>1182</v>
      </c>
      <c r="E306" s="3">
        <f t="shared" si="20"/>
        <v>169.60688639999998</v>
      </c>
      <c r="F306" s="3">
        <v>127.96208239700374</v>
      </c>
      <c r="G306" s="4">
        <f t="shared" si="21"/>
        <v>169.60688639999998</v>
      </c>
      <c r="H306" s="1">
        <v>27.83</v>
      </c>
      <c r="I306" s="1">
        <f t="shared" si="22"/>
        <v>33.4</v>
      </c>
      <c r="J306" s="1" t="s">
        <v>1182</v>
      </c>
      <c r="K306" s="3">
        <f t="shared" si="23"/>
        <v>248.80381439999996</v>
      </c>
      <c r="L306" s="10">
        <f t="shared" si="24"/>
        <v>0.46694405917706883</v>
      </c>
      <c r="M306" s="18" t="str">
        <f>VLOOKUP(A306,Список!A:I,9,0)</f>
        <v>Основной ассортимент</v>
      </c>
      <c r="N306" s="12"/>
      <c r="O306" s="11"/>
    </row>
    <row r="307" spans="1:15" x14ac:dyDescent="0.25">
      <c r="A307" s="6">
        <v>162</v>
      </c>
      <c r="B307" s="1" t="s">
        <v>311</v>
      </c>
      <c r="C307" s="3">
        <v>3.8825849999999997</v>
      </c>
      <c r="D307" s="1" t="s">
        <v>1182</v>
      </c>
      <c r="E307" s="3">
        <f t="shared" si="20"/>
        <v>60.888872217599989</v>
      </c>
      <c r="F307" s="3">
        <v>49.173933147632312</v>
      </c>
      <c r="G307" s="4">
        <f t="shared" si="21"/>
        <v>60.888872217599989</v>
      </c>
      <c r="H307" s="1">
        <v>9.39</v>
      </c>
      <c r="I307" s="1">
        <f t="shared" si="22"/>
        <v>11.27</v>
      </c>
      <c r="J307" s="1" t="s">
        <v>1182</v>
      </c>
      <c r="K307" s="3">
        <f t="shared" si="23"/>
        <v>83.952664319999982</v>
      </c>
      <c r="L307" s="10">
        <f t="shared" si="24"/>
        <v>0.37878501050202384</v>
      </c>
      <c r="M307" s="18" t="str">
        <f>VLOOKUP(A307,Список!A:I,9,0)</f>
        <v>Основной ассортимент</v>
      </c>
      <c r="N307" s="12"/>
      <c r="O307" s="11"/>
    </row>
    <row r="308" spans="1:15" x14ac:dyDescent="0.25">
      <c r="A308" s="6">
        <v>161</v>
      </c>
      <c r="B308" s="1" t="s">
        <v>312</v>
      </c>
      <c r="C308" s="3">
        <v>3.6046395000000002</v>
      </c>
      <c r="D308" s="1" t="s">
        <v>1182</v>
      </c>
      <c r="E308" s="3">
        <f t="shared" si="20"/>
        <v>56.529975237119999</v>
      </c>
      <c r="F308" s="3">
        <v>41.483887892044194</v>
      </c>
      <c r="G308" s="4">
        <f t="shared" si="21"/>
        <v>56.529975237119999</v>
      </c>
      <c r="H308" s="1">
        <v>8.2899999999999991</v>
      </c>
      <c r="I308" s="1">
        <f t="shared" si="22"/>
        <v>9.9499999999999993</v>
      </c>
      <c r="J308" s="1" t="s">
        <v>1182</v>
      </c>
      <c r="K308" s="3">
        <f t="shared" si="23"/>
        <v>74.119699199999999</v>
      </c>
      <c r="L308" s="10">
        <f t="shared" si="24"/>
        <v>0.31115746803529176</v>
      </c>
      <c r="M308" s="18" t="str">
        <f>VLOOKUP(A308,Список!A:I,9,0)</f>
        <v>Основной ассортимент</v>
      </c>
      <c r="N308" s="12"/>
      <c r="O308" s="11"/>
    </row>
    <row r="309" spans="1:15" x14ac:dyDescent="0.25">
      <c r="A309" s="6">
        <v>163</v>
      </c>
      <c r="B309" s="1" t="s">
        <v>313</v>
      </c>
      <c r="C309" s="3">
        <v>6.0315254999999999</v>
      </c>
      <c r="D309" s="1" t="s">
        <v>1182</v>
      </c>
      <c r="E309" s="3">
        <f t="shared" si="20"/>
        <v>94.589760545279987</v>
      </c>
      <c r="F309" s="3">
        <v>78.223806354009071</v>
      </c>
      <c r="G309" s="4">
        <f t="shared" si="21"/>
        <v>94.589760545279987</v>
      </c>
      <c r="H309" s="1">
        <v>15.12</v>
      </c>
      <c r="I309" s="1">
        <f t="shared" si="22"/>
        <v>18.14</v>
      </c>
      <c r="J309" s="1" t="s">
        <v>1182</v>
      </c>
      <c r="K309" s="3">
        <f t="shared" si="23"/>
        <v>135.12877823999997</v>
      </c>
      <c r="L309" s="10">
        <f t="shared" si="24"/>
        <v>0.42857723141517012</v>
      </c>
      <c r="M309" s="18" t="str">
        <f>VLOOKUP(A309,Список!A:I,9,0)</f>
        <v>Основной ассортимент</v>
      </c>
      <c r="N309" s="12"/>
      <c r="O309" s="11"/>
    </row>
    <row r="310" spans="1:15" x14ac:dyDescent="0.25">
      <c r="A310" s="6">
        <v>490</v>
      </c>
      <c r="B310" s="1" t="s">
        <v>314</v>
      </c>
      <c r="C310" s="3">
        <v>8.3535060000000012</v>
      </c>
      <c r="D310" s="1" t="s">
        <v>1182</v>
      </c>
      <c r="E310" s="3">
        <f t="shared" si="20"/>
        <v>131.00435905536003</v>
      </c>
      <c r="F310" s="3">
        <v>102.10808556149733</v>
      </c>
      <c r="G310" s="4">
        <f t="shared" si="21"/>
        <v>131.00435905536003</v>
      </c>
      <c r="H310" s="1">
        <v>21.08</v>
      </c>
      <c r="I310" s="1">
        <f t="shared" si="22"/>
        <v>25.3</v>
      </c>
      <c r="J310" s="1" t="s">
        <v>1182</v>
      </c>
      <c r="K310" s="3">
        <f t="shared" si="23"/>
        <v>188.4651648</v>
      </c>
      <c r="L310" s="10">
        <f t="shared" si="24"/>
        <v>0.43861750982162429</v>
      </c>
      <c r="M310" s="18" t="str">
        <f>VLOOKUP(A310,Список!A:I,9,0)</f>
        <v>Основной ассортимент</v>
      </c>
      <c r="N310" s="12"/>
      <c r="O310" s="11"/>
    </row>
    <row r="311" spans="1:15" x14ac:dyDescent="0.25">
      <c r="A311" s="6">
        <v>289</v>
      </c>
      <c r="B311" s="1" t="s">
        <v>315</v>
      </c>
      <c r="C311" s="3">
        <v>4.8526905000000005</v>
      </c>
      <c r="D311" s="1" t="s">
        <v>1182</v>
      </c>
      <c r="E311" s="3">
        <f t="shared" si="20"/>
        <v>76.102609927679993</v>
      </c>
      <c r="F311" s="3">
        <v>62.567026178010472</v>
      </c>
      <c r="G311" s="4">
        <f t="shared" si="21"/>
        <v>76.102609927679993</v>
      </c>
      <c r="H311" s="1">
        <v>12.42</v>
      </c>
      <c r="I311" s="1">
        <f t="shared" si="22"/>
        <v>14.9</v>
      </c>
      <c r="J311" s="1" t="s">
        <v>1182</v>
      </c>
      <c r="K311" s="3">
        <f t="shared" si="23"/>
        <v>110.99331839999999</v>
      </c>
      <c r="L311" s="10">
        <f t="shared" si="24"/>
        <v>0.4584692759614486</v>
      </c>
      <c r="M311" s="18" t="str">
        <f>VLOOKUP(A311,Список!A:I,9,0)</f>
        <v>Основной ассортимент</v>
      </c>
      <c r="N311" s="12"/>
      <c r="O311" s="11"/>
    </row>
    <row r="312" spans="1:15" x14ac:dyDescent="0.25">
      <c r="A312" s="6">
        <v>464</v>
      </c>
      <c r="B312" s="1" t="s">
        <v>316</v>
      </c>
      <c r="C312" s="3">
        <v>4.9219065000000004</v>
      </c>
      <c r="D312" s="1" t="s">
        <v>1182</v>
      </c>
      <c r="E312" s="3">
        <f t="shared" si="20"/>
        <v>77.188094000640007</v>
      </c>
      <c r="F312" s="3">
        <v>69.714817900598064</v>
      </c>
      <c r="G312" s="4">
        <f t="shared" si="21"/>
        <v>77.188094000640007</v>
      </c>
      <c r="H312" s="1">
        <v>12.33</v>
      </c>
      <c r="I312" s="1">
        <f t="shared" si="22"/>
        <v>14.8</v>
      </c>
      <c r="J312" s="1" t="s">
        <v>1182</v>
      </c>
      <c r="K312" s="3">
        <f t="shared" si="23"/>
        <v>110.24839679999999</v>
      </c>
      <c r="L312" s="10">
        <f t="shared" si="24"/>
        <v>0.42830831914421763</v>
      </c>
      <c r="M312" s="18" t="str">
        <f>VLOOKUP(A312,Список!A:I,9,0)</f>
        <v>Основной ассортимент</v>
      </c>
      <c r="N312" s="12"/>
      <c r="O312" s="11"/>
    </row>
    <row r="313" spans="1:15" x14ac:dyDescent="0.25">
      <c r="A313" s="6">
        <v>290</v>
      </c>
      <c r="B313" s="1" t="s">
        <v>317</v>
      </c>
      <c r="C313" s="3">
        <v>5.4767159999999997</v>
      </c>
      <c r="D313" s="1" t="s">
        <v>1182</v>
      </c>
      <c r="E313" s="3">
        <f t="shared" si="20"/>
        <v>85.88892727295999</v>
      </c>
      <c r="F313" s="3">
        <v>69.356320804971887</v>
      </c>
      <c r="G313" s="4">
        <f t="shared" si="21"/>
        <v>85.88892727295999</v>
      </c>
      <c r="H313" s="1">
        <v>13.69</v>
      </c>
      <c r="I313" s="1">
        <f t="shared" si="22"/>
        <v>16.43</v>
      </c>
      <c r="J313" s="1" t="s">
        <v>1182</v>
      </c>
      <c r="K313" s="3">
        <f t="shared" si="23"/>
        <v>122.39061887999999</v>
      </c>
      <c r="L313" s="10">
        <f t="shared" si="24"/>
        <v>0.42498716384052049</v>
      </c>
      <c r="M313" s="18" t="str">
        <f>VLOOKUP(A313,Список!A:I,9,0)</f>
        <v>Основной ассортимент</v>
      </c>
      <c r="N313" s="12"/>
      <c r="O313" s="11"/>
    </row>
    <row r="314" spans="1:15" x14ac:dyDescent="0.25">
      <c r="A314" s="6">
        <v>167</v>
      </c>
      <c r="B314" s="1" t="s">
        <v>318</v>
      </c>
      <c r="C314" s="3">
        <v>5.7535800000000004</v>
      </c>
      <c r="D314" s="1" t="s">
        <v>1182</v>
      </c>
      <c r="E314" s="3">
        <f t="shared" si="20"/>
        <v>90.230863564799989</v>
      </c>
      <c r="F314" s="3">
        <v>74.370265831593599</v>
      </c>
      <c r="G314" s="4">
        <f t="shared" si="21"/>
        <v>90.230863564799989</v>
      </c>
      <c r="H314" s="1">
        <v>14.25</v>
      </c>
      <c r="I314" s="1">
        <f t="shared" si="22"/>
        <v>17.100000000000001</v>
      </c>
      <c r="J314" s="1" t="s">
        <v>1182</v>
      </c>
      <c r="K314" s="3">
        <f t="shared" si="23"/>
        <v>127.38159359999999</v>
      </c>
      <c r="L314" s="10">
        <f t="shared" si="24"/>
        <v>0.41172974043986521</v>
      </c>
      <c r="M314" s="18" t="str">
        <f>VLOOKUP(A314,Список!A:I,9,0)</f>
        <v>Основной ассортимент</v>
      </c>
      <c r="N314" s="12"/>
      <c r="O314" s="11"/>
    </row>
    <row r="315" spans="1:15" x14ac:dyDescent="0.25">
      <c r="A315" s="6">
        <v>165</v>
      </c>
      <c r="B315" s="1" t="s">
        <v>319</v>
      </c>
      <c r="C315" s="3">
        <v>10.016853000000001</v>
      </c>
      <c r="D315" s="1" t="s">
        <v>1182</v>
      </c>
      <c r="E315" s="3">
        <f t="shared" si="20"/>
        <v>157.08989818367999</v>
      </c>
      <c r="F315" s="3">
        <v>139.41834813084111</v>
      </c>
      <c r="G315" s="4">
        <f t="shared" si="21"/>
        <v>157.08989818367999</v>
      </c>
      <c r="H315" s="1">
        <v>24.9</v>
      </c>
      <c r="I315" s="1">
        <f t="shared" si="22"/>
        <v>29.88</v>
      </c>
      <c r="J315" s="1" t="s">
        <v>1182</v>
      </c>
      <c r="K315" s="3">
        <f t="shared" si="23"/>
        <v>222.58257407999994</v>
      </c>
      <c r="L315" s="10">
        <f t="shared" si="24"/>
        <v>0.41691207807482011</v>
      </c>
      <c r="M315" s="18" t="str">
        <f>VLOOKUP(A315,Список!A:I,9,0)</f>
        <v>Основной ассортимент</v>
      </c>
      <c r="N315" s="12"/>
      <c r="O315" s="11"/>
    </row>
    <row r="316" spans="1:15" x14ac:dyDescent="0.25">
      <c r="A316" s="6">
        <v>173</v>
      </c>
      <c r="B316" s="1" t="s">
        <v>320</v>
      </c>
      <c r="C316" s="3">
        <v>6.1353494999999993</v>
      </c>
      <c r="D316" s="1" t="s">
        <v>1182</v>
      </c>
      <c r="E316" s="3">
        <f t="shared" si="20"/>
        <v>96.217986654719994</v>
      </c>
      <c r="F316" s="3">
        <v>80.181010125074451</v>
      </c>
      <c r="G316" s="4">
        <f t="shared" si="21"/>
        <v>96.217986654719994</v>
      </c>
      <c r="H316" s="1">
        <v>15.67</v>
      </c>
      <c r="I316" s="1">
        <f t="shared" si="22"/>
        <v>18.8</v>
      </c>
      <c r="J316" s="1" t="s">
        <v>1182</v>
      </c>
      <c r="K316" s="3">
        <f t="shared" si="23"/>
        <v>140.04526079999999</v>
      </c>
      <c r="L316" s="10">
        <f t="shared" si="24"/>
        <v>0.45549980486034247</v>
      </c>
      <c r="M316" s="18" t="str">
        <f>VLOOKUP(A316,Список!A:I,9,0)</f>
        <v>Основной ассортимент</v>
      </c>
      <c r="N316" s="12"/>
      <c r="O316" s="11"/>
    </row>
    <row r="317" spans="1:15" x14ac:dyDescent="0.25">
      <c r="A317" s="6">
        <v>172</v>
      </c>
      <c r="B317" s="1" t="s">
        <v>321</v>
      </c>
      <c r="C317" s="3">
        <v>5.9969175000000003</v>
      </c>
      <c r="D317" s="1" t="s">
        <v>1182</v>
      </c>
      <c r="E317" s="3">
        <f t="shared" si="20"/>
        <v>94.047018508799994</v>
      </c>
      <c r="F317" s="3">
        <v>86.079344965314263</v>
      </c>
      <c r="G317" s="4">
        <f t="shared" si="21"/>
        <v>94.047018508799994</v>
      </c>
      <c r="H317" s="1">
        <v>15.12</v>
      </c>
      <c r="I317" s="1">
        <f t="shared" si="22"/>
        <v>18.14</v>
      </c>
      <c r="J317" s="1" t="s">
        <v>1182</v>
      </c>
      <c r="K317" s="3">
        <f t="shared" si="23"/>
        <v>135.12877823999997</v>
      </c>
      <c r="L317" s="10">
        <f t="shared" si="24"/>
        <v>0.4368215003791529</v>
      </c>
      <c r="M317" s="18" t="str">
        <f>VLOOKUP(A317,Список!A:I,9,0)</f>
        <v>Основной ассортимент</v>
      </c>
      <c r="N317" s="12"/>
      <c r="O317" s="11"/>
    </row>
    <row r="318" spans="1:15" x14ac:dyDescent="0.25">
      <c r="A318" s="6">
        <v>288</v>
      </c>
      <c r="B318" s="1" t="s">
        <v>322</v>
      </c>
      <c r="C318" s="3">
        <v>7.4180085</v>
      </c>
      <c r="D318" s="1" t="s">
        <v>1182</v>
      </c>
      <c r="E318" s="3">
        <f t="shared" si="20"/>
        <v>116.33336338175999</v>
      </c>
      <c r="F318" s="3">
        <v>86.31659310344827</v>
      </c>
      <c r="G318" s="4">
        <f t="shared" si="21"/>
        <v>116.33336338175999</v>
      </c>
      <c r="H318" s="1">
        <v>19.09</v>
      </c>
      <c r="I318" s="1">
        <f t="shared" si="22"/>
        <v>22.91</v>
      </c>
      <c r="J318" s="1" t="s">
        <v>1182</v>
      </c>
      <c r="K318" s="3">
        <f t="shared" si="23"/>
        <v>170.66153855999997</v>
      </c>
      <c r="L318" s="10">
        <f t="shared" si="24"/>
        <v>0.46700425053435812</v>
      </c>
      <c r="M318" s="18" t="str">
        <f>VLOOKUP(A318,Список!A:I,9,0)</f>
        <v>Основной ассортимент</v>
      </c>
      <c r="N318" s="12"/>
      <c r="O318" s="11"/>
    </row>
    <row r="319" spans="1:15" x14ac:dyDescent="0.25">
      <c r="A319" s="6">
        <v>287</v>
      </c>
      <c r="B319" s="1" t="s">
        <v>323</v>
      </c>
      <c r="C319" s="3">
        <v>7.2092790000000004</v>
      </c>
      <c r="D319" s="1" t="s">
        <v>1182</v>
      </c>
      <c r="E319" s="3">
        <f t="shared" si="20"/>
        <v>113.05995047424</v>
      </c>
      <c r="F319" s="3">
        <v>91.426211624441123</v>
      </c>
      <c r="G319" s="4">
        <f t="shared" si="21"/>
        <v>113.05995047424</v>
      </c>
      <c r="H319" s="1">
        <v>17.98</v>
      </c>
      <c r="I319" s="1">
        <f t="shared" si="22"/>
        <v>21.58</v>
      </c>
      <c r="J319" s="1" t="s">
        <v>1182</v>
      </c>
      <c r="K319" s="3">
        <f t="shared" si="23"/>
        <v>160.75408127999998</v>
      </c>
      <c r="L319" s="10">
        <f t="shared" si="24"/>
        <v>0.4218481487538488</v>
      </c>
      <c r="M319" s="18" t="str">
        <f>VLOOKUP(A319,Список!A:I,9,0)</f>
        <v>Основной ассортимент</v>
      </c>
      <c r="N319" s="12"/>
      <c r="O319" s="11"/>
    </row>
    <row r="320" spans="1:15" x14ac:dyDescent="0.25">
      <c r="A320" s="6">
        <v>160</v>
      </c>
      <c r="B320" s="1" t="s">
        <v>324</v>
      </c>
      <c r="C320" s="3">
        <v>8.3188980000000008</v>
      </c>
      <c r="D320" s="1" t="s">
        <v>1182</v>
      </c>
      <c r="E320" s="3">
        <f t="shared" si="20"/>
        <v>130.46161701888002</v>
      </c>
      <c r="F320" s="3">
        <v>104.02876190476191</v>
      </c>
      <c r="G320" s="4">
        <f t="shared" si="21"/>
        <v>130.46161701888002</v>
      </c>
      <c r="H320" s="1">
        <v>21.08</v>
      </c>
      <c r="I320" s="1">
        <f t="shared" si="22"/>
        <v>25.3</v>
      </c>
      <c r="J320" s="1" t="s">
        <v>1182</v>
      </c>
      <c r="K320" s="3">
        <f t="shared" si="23"/>
        <v>188.4651648</v>
      </c>
      <c r="L320" s="10">
        <f t="shared" si="24"/>
        <v>0.44460239805801183</v>
      </c>
      <c r="M320" s="18" t="str">
        <f>VLOOKUP(A320,Список!A:I,9,0)</f>
        <v>Основной ассортимент</v>
      </c>
      <c r="N320" s="12"/>
      <c r="O320" s="11"/>
    </row>
    <row r="321" spans="1:15" x14ac:dyDescent="0.25">
      <c r="A321" s="6">
        <v>465</v>
      </c>
      <c r="B321" s="1" t="s">
        <v>325</v>
      </c>
      <c r="C321" s="3">
        <v>10.0871505</v>
      </c>
      <c r="D321" s="1" t="s">
        <v>1182</v>
      </c>
      <c r="E321" s="3">
        <f t="shared" si="20"/>
        <v>158.19234294527999</v>
      </c>
      <c r="F321" s="3">
        <v>108.49337837837838</v>
      </c>
      <c r="G321" s="4">
        <f t="shared" si="21"/>
        <v>158.19234294527999</v>
      </c>
      <c r="H321" s="1">
        <v>25.46</v>
      </c>
      <c r="I321" s="1">
        <f t="shared" si="22"/>
        <v>30.55</v>
      </c>
      <c r="J321" s="1" t="s">
        <v>1182</v>
      </c>
      <c r="K321" s="3">
        <f t="shared" si="23"/>
        <v>227.5735488</v>
      </c>
      <c r="L321" s="10">
        <f t="shared" si="24"/>
        <v>0.43858763681576884</v>
      </c>
      <c r="M321" s="18" t="str">
        <f>VLOOKUP(A321,Список!A:I,9,0)</f>
        <v>Основной ассортимент</v>
      </c>
      <c r="N321" s="12"/>
      <c r="O321" s="11"/>
    </row>
    <row r="322" spans="1:15" x14ac:dyDescent="0.25">
      <c r="A322" s="6">
        <v>164</v>
      </c>
      <c r="B322" s="1" t="s">
        <v>326</v>
      </c>
      <c r="C322" s="3">
        <v>8.3881139999999998</v>
      </c>
      <c r="D322" s="1" t="s">
        <v>1182</v>
      </c>
      <c r="E322" s="3">
        <f t="shared" si="20"/>
        <v>131.54710109183998</v>
      </c>
      <c r="F322" s="3">
        <v>92.359955719557206</v>
      </c>
      <c r="G322" s="4">
        <f t="shared" si="21"/>
        <v>131.54710109183998</v>
      </c>
      <c r="H322" s="1">
        <v>21.24</v>
      </c>
      <c r="I322" s="1">
        <f t="shared" si="22"/>
        <v>25.49</v>
      </c>
      <c r="J322" s="1" t="s">
        <v>1182</v>
      </c>
      <c r="K322" s="3">
        <f t="shared" si="23"/>
        <v>189.88051583999996</v>
      </c>
      <c r="L322" s="10">
        <f t="shared" si="24"/>
        <v>0.44344127893350027</v>
      </c>
      <c r="M322" s="18" t="str">
        <f>VLOOKUP(A322,Список!A:I,9,0)</f>
        <v>Основной ассортимент</v>
      </c>
      <c r="N322" s="12"/>
      <c r="O322" s="11"/>
    </row>
    <row r="323" spans="1:15" x14ac:dyDescent="0.25">
      <c r="A323" s="6">
        <v>306</v>
      </c>
      <c r="B323" s="1" t="s">
        <v>327</v>
      </c>
      <c r="C323" s="3">
        <v>7.9728179999999993</v>
      </c>
      <c r="D323" s="1" t="s">
        <v>1182</v>
      </c>
      <c r="E323" s="3">
        <f t="shared" si="20"/>
        <v>125.03419665407998</v>
      </c>
      <c r="F323" s="3">
        <v>111.18378039215686</v>
      </c>
      <c r="G323" s="4">
        <f t="shared" si="21"/>
        <v>125.03419665407998</v>
      </c>
      <c r="H323" s="1">
        <v>20.21</v>
      </c>
      <c r="I323" s="1">
        <f t="shared" si="22"/>
        <v>24.25</v>
      </c>
      <c r="J323" s="1" t="s">
        <v>1182</v>
      </c>
      <c r="K323" s="3">
        <f t="shared" si="23"/>
        <v>180.64348799999996</v>
      </c>
      <c r="L323" s="10">
        <f t="shared" si="24"/>
        <v>0.44475265834489131</v>
      </c>
      <c r="M323" s="18" t="str">
        <f>VLOOKUP(A323,Список!A:I,9,0)</f>
        <v>Основной ассортимент</v>
      </c>
      <c r="N323" s="12"/>
      <c r="O323" s="11"/>
    </row>
    <row r="324" spans="1:15" x14ac:dyDescent="0.25">
      <c r="A324" s="6">
        <v>291</v>
      </c>
      <c r="B324" s="1" t="s">
        <v>328</v>
      </c>
      <c r="C324" s="3">
        <v>10.606270499999999</v>
      </c>
      <c r="D324" s="1" t="s">
        <v>1182</v>
      </c>
      <c r="E324" s="3">
        <f t="shared" si="20"/>
        <v>166.33347349247995</v>
      </c>
      <c r="F324" s="3">
        <v>125.64120916030535</v>
      </c>
      <c r="G324" s="4">
        <f t="shared" si="21"/>
        <v>166.33347349247995</v>
      </c>
      <c r="H324" s="1">
        <v>26.65</v>
      </c>
      <c r="I324" s="1">
        <f t="shared" si="22"/>
        <v>31.98</v>
      </c>
      <c r="J324" s="1" t="s">
        <v>1182</v>
      </c>
      <c r="K324" s="3">
        <f t="shared" si="23"/>
        <v>238.22592767999998</v>
      </c>
      <c r="L324" s="10">
        <f t="shared" si="24"/>
        <v>0.43221879924710604</v>
      </c>
      <c r="M324" s="18" t="str">
        <f>VLOOKUP(A324,Список!A:I,9,0)</f>
        <v>Основной ассортимент</v>
      </c>
      <c r="N324" s="12"/>
      <c r="O324" s="11"/>
    </row>
    <row r="325" spans="1:15" x14ac:dyDescent="0.25">
      <c r="A325" s="6">
        <v>292</v>
      </c>
      <c r="B325" s="1" t="s">
        <v>329</v>
      </c>
      <c r="C325" s="3">
        <v>10.5370545</v>
      </c>
      <c r="D325" s="1" t="s">
        <v>1182</v>
      </c>
      <c r="E325" s="3">
        <f t="shared" si="20"/>
        <v>165.24798941952</v>
      </c>
      <c r="F325" s="3">
        <v>123.29444660194174</v>
      </c>
      <c r="G325" s="4">
        <f t="shared" si="21"/>
        <v>165.24798941952</v>
      </c>
      <c r="H325" s="1">
        <v>26.26</v>
      </c>
      <c r="I325" s="1">
        <f t="shared" si="22"/>
        <v>31.51</v>
      </c>
      <c r="J325" s="1" t="s">
        <v>1182</v>
      </c>
      <c r="K325" s="3">
        <f t="shared" si="23"/>
        <v>234.72479615999998</v>
      </c>
      <c r="L325" s="10">
        <f t="shared" si="24"/>
        <v>0.42043964942954393</v>
      </c>
      <c r="M325" s="18" t="str">
        <f>VLOOKUP(A325,Список!A:I,9,0)</f>
        <v>Основной ассортимент</v>
      </c>
      <c r="N325" s="12"/>
      <c r="O325" s="11"/>
    </row>
    <row r="326" spans="1:15" x14ac:dyDescent="0.25">
      <c r="A326" s="6">
        <v>307</v>
      </c>
      <c r="B326" s="1" t="s">
        <v>330</v>
      </c>
      <c r="C326" s="3">
        <v>11.958145500000001</v>
      </c>
      <c r="D326" s="1" t="s">
        <v>1182</v>
      </c>
      <c r="E326" s="3">
        <f t="shared" ref="E326:E389" si="25">IF(D326="RUB",C326*1.2,C326*$E$2*1.2)</f>
        <v>187.53433429248</v>
      </c>
      <c r="F326" s="3">
        <v>161.10672108843536</v>
      </c>
      <c r="G326" s="4">
        <f t="shared" ref="G326:G389" si="26">IF(M326="Вывод из ассортимента",F326,MAX(E326,F326))</f>
        <v>187.53433429248</v>
      </c>
      <c r="H326" s="1">
        <v>29.84</v>
      </c>
      <c r="I326" s="1">
        <f t="shared" ref="I326:I389" si="27">ROUND(H326*1.2,2)</f>
        <v>35.81</v>
      </c>
      <c r="J326" s="1" t="s">
        <v>1182</v>
      </c>
      <c r="K326" s="3">
        <f t="shared" ref="K326:K389" si="28">IF(J326="RUB",I326*$K$4,I326*$E$2*$K$4)</f>
        <v>266.75642496</v>
      </c>
      <c r="L326" s="10">
        <f t="shared" ref="L326:L389" si="29">K326/E326-1</f>
        <v>0.42244046119024059</v>
      </c>
      <c r="M326" s="18" t="str">
        <f>VLOOKUP(A326,Список!A:I,9,0)</f>
        <v>Основной ассортимент</v>
      </c>
      <c r="N326" s="12"/>
      <c r="O326" s="11"/>
    </row>
    <row r="327" spans="1:15" x14ac:dyDescent="0.25">
      <c r="A327" s="6">
        <v>171</v>
      </c>
      <c r="B327" s="1" t="s">
        <v>331</v>
      </c>
      <c r="C327" s="3">
        <v>13.206196500000001</v>
      </c>
      <c r="D327" s="1" t="s">
        <v>1182</v>
      </c>
      <c r="E327" s="3">
        <f t="shared" si="25"/>
        <v>207.10696898303999</v>
      </c>
      <c r="F327" s="3">
        <v>186.5222345013477</v>
      </c>
      <c r="G327" s="4">
        <f t="shared" si="26"/>
        <v>207.10696898303999</v>
      </c>
      <c r="H327" s="1">
        <v>33.26</v>
      </c>
      <c r="I327" s="1">
        <f t="shared" si="27"/>
        <v>39.909999999999997</v>
      </c>
      <c r="J327" s="1" t="s">
        <v>1182</v>
      </c>
      <c r="K327" s="3">
        <f t="shared" si="28"/>
        <v>297.29821055999992</v>
      </c>
      <c r="L327" s="10">
        <f t="shared" si="29"/>
        <v>0.43548144236684605</v>
      </c>
      <c r="M327" s="18" t="str">
        <f>VLOOKUP(A327,Список!A:I,9,0)</f>
        <v>Основной ассортимент</v>
      </c>
      <c r="N327" s="12"/>
      <c r="O327" s="11"/>
    </row>
    <row r="328" spans="1:15" x14ac:dyDescent="0.25">
      <c r="A328" s="6">
        <v>473</v>
      </c>
      <c r="B328" s="1" t="s">
        <v>332</v>
      </c>
      <c r="C328" s="3">
        <v>11.5082415</v>
      </c>
      <c r="D328" s="1" t="s">
        <v>1182</v>
      </c>
      <c r="E328" s="3">
        <f t="shared" si="25"/>
        <v>180.47868781823999</v>
      </c>
      <c r="F328" s="3">
        <v>128.30677516059956</v>
      </c>
      <c r="G328" s="4">
        <f t="shared" si="26"/>
        <v>180.47868781823999</v>
      </c>
      <c r="H328" s="1">
        <v>28.8</v>
      </c>
      <c r="I328" s="1">
        <f t="shared" si="27"/>
        <v>34.56</v>
      </c>
      <c r="J328" s="1" t="s">
        <v>1182</v>
      </c>
      <c r="K328" s="3">
        <f t="shared" si="28"/>
        <v>257.44490495999997</v>
      </c>
      <c r="L328" s="10">
        <f t="shared" si="29"/>
        <v>0.42645598808471297</v>
      </c>
      <c r="M328" s="18" t="str">
        <f>VLOOKUP(A328,Список!A:I,9,0)</f>
        <v>Основной ассортимент</v>
      </c>
      <c r="N328" s="12"/>
      <c r="O328" s="11"/>
    </row>
    <row r="329" spans="1:15" x14ac:dyDescent="0.25">
      <c r="A329" s="6">
        <v>472</v>
      </c>
      <c r="B329" s="1" t="s">
        <v>333</v>
      </c>
      <c r="C329" s="3">
        <v>11.16108</v>
      </c>
      <c r="D329" s="1" t="s">
        <v>1182</v>
      </c>
      <c r="E329" s="3">
        <f t="shared" si="25"/>
        <v>175.03430676479999</v>
      </c>
      <c r="F329" s="3">
        <v>156.82515489989461</v>
      </c>
      <c r="G329" s="4">
        <f t="shared" si="26"/>
        <v>175.03430676479999</v>
      </c>
      <c r="H329" s="1">
        <v>28.08</v>
      </c>
      <c r="I329" s="1">
        <f t="shared" si="27"/>
        <v>33.700000000000003</v>
      </c>
      <c r="J329" s="1" t="s">
        <v>1182</v>
      </c>
      <c r="K329" s="3">
        <f t="shared" si="28"/>
        <v>251.03857919999999</v>
      </c>
      <c r="L329" s="10">
        <f t="shared" si="29"/>
        <v>0.4342250033150914</v>
      </c>
      <c r="M329" s="18" t="str">
        <f>VLOOKUP(A329,Список!A:I,9,0)</f>
        <v>Основной ассортимент</v>
      </c>
      <c r="N329" s="12"/>
      <c r="O329" s="11"/>
    </row>
    <row r="330" spans="1:15" x14ac:dyDescent="0.25">
      <c r="A330" s="6">
        <v>275</v>
      </c>
      <c r="B330" s="1" t="s">
        <v>334</v>
      </c>
      <c r="C330" s="3">
        <v>4.7142584999999997</v>
      </c>
      <c r="D330" s="1" t="s">
        <v>1182</v>
      </c>
      <c r="E330" s="3">
        <f t="shared" si="25"/>
        <v>73.931641781759993</v>
      </c>
      <c r="F330" s="3">
        <v>63.585862552594669</v>
      </c>
      <c r="G330" s="4">
        <f t="shared" si="26"/>
        <v>73.931641781759993</v>
      </c>
      <c r="H330" s="1">
        <v>11.93</v>
      </c>
      <c r="I330" s="1">
        <f t="shared" si="27"/>
        <v>14.32</v>
      </c>
      <c r="J330" s="1" t="s">
        <v>1182</v>
      </c>
      <c r="K330" s="3">
        <f t="shared" si="28"/>
        <v>106.67277311999999</v>
      </c>
      <c r="L330" s="10">
        <f t="shared" si="29"/>
        <v>0.4428568140673661</v>
      </c>
      <c r="M330" s="18" t="str">
        <f>VLOOKUP(A330,Список!A:I,9,0)</f>
        <v>Основной ассортимент</v>
      </c>
      <c r="N330" s="12"/>
      <c r="O330" s="11"/>
    </row>
    <row r="331" spans="1:15" x14ac:dyDescent="0.25">
      <c r="A331" s="6">
        <v>285</v>
      </c>
      <c r="B331" s="1" t="s">
        <v>335</v>
      </c>
      <c r="C331" s="3">
        <v>4.4363130000000002</v>
      </c>
      <c r="D331" s="1" t="s">
        <v>1182</v>
      </c>
      <c r="E331" s="3">
        <f t="shared" si="25"/>
        <v>69.572744801279995</v>
      </c>
      <c r="F331" s="3">
        <v>51.439497594869046</v>
      </c>
      <c r="G331" s="4">
        <f t="shared" si="26"/>
        <v>69.572744801279995</v>
      </c>
      <c r="H331" s="1">
        <v>10.94</v>
      </c>
      <c r="I331" s="1">
        <f t="shared" si="27"/>
        <v>13.13</v>
      </c>
      <c r="J331" s="1" t="s">
        <v>1182</v>
      </c>
      <c r="K331" s="3">
        <f t="shared" si="28"/>
        <v>97.808206079999991</v>
      </c>
      <c r="L331" s="10">
        <f t="shared" si="29"/>
        <v>0.40584084125714304</v>
      </c>
      <c r="M331" s="18" t="str">
        <f>VLOOKUP(A331,Список!A:I,9,0)</f>
        <v>Основной ассортимент</v>
      </c>
      <c r="N331" s="12"/>
      <c r="O331" s="11"/>
    </row>
    <row r="332" spans="1:15" x14ac:dyDescent="0.25">
      <c r="A332" s="6">
        <v>159</v>
      </c>
      <c r="B332" s="1" t="s">
        <v>336</v>
      </c>
      <c r="C332" s="3">
        <v>5.6843640000000004</v>
      </c>
      <c r="D332" s="1" t="s">
        <v>1182</v>
      </c>
      <c r="E332" s="3">
        <f t="shared" si="25"/>
        <v>89.145379491839989</v>
      </c>
      <c r="F332" s="3">
        <v>68.800440651667955</v>
      </c>
      <c r="G332" s="4">
        <f t="shared" si="26"/>
        <v>89.145379491839989</v>
      </c>
      <c r="H332" s="1">
        <v>14.5</v>
      </c>
      <c r="I332" s="1">
        <f t="shared" si="27"/>
        <v>17.399999999999999</v>
      </c>
      <c r="J332" s="1" t="s">
        <v>1182</v>
      </c>
      <c r="K332" s="3">
        <f t="shared" si="28"/>
        <v>129.61635839999997</v>
      </c>
      <c r="L332" s="10">
        <f t="shared" si="29"/>
        <v>0.45398852008773516</v>
      </c>
      <c r="M332" s="18" t="str">
        <f>VLOOKUP(A332,Список!A:I,9,0)</f>
        <v>Основной ассортимент</v>
      </c>
      <c r="N332" s="12"/>
      <c r="O332" s="11"/>
    </row>
    <row r="333" spans="1:15" x14ac:dyDescent="0.25">
      <c r="A333" s="6">
        <v>543</v>
      </c>
      <c r="B333" s="1" t="s">
        <v>337</v>
      </c>
      <c r="C333" s="3">
        <v>7.9025205000000005</v>
      </c>
      <c r="D333" s="1" t="s">
        <v>1182</v>
      </c>
      <c r="E333" s="3">
        <f t="shared" si="25"/>
        <v>123.93175189248001</v>
      </c>
      <c r="F333" s="3">
        <v>66.017629160063379</v>
      </c>
      <c r="G333" s="4">
        <f t="shared" si="26"/>
        <v>123.93175189248001</v>
      </c>
      <c r="H333" s="1">
        <v>19.809999999999999</v>
      </c>
      <c r="I333" s="1">
        <f t="shared" si="27"/>
        <v>23.77</v>
      </c>
      <c r="J333" s="1" t="s">
        <v>1182</v>
      </c>
      <c r="K333" s="3">
        <f t="shared" si="28"/>
        <v>177.06786431999998</v>
      </c>
      <c r="L333" s="10">
        <f t="shared" si="29"/>
        <v>0.42875301620539896</v>
      </c>
      <c r="M333" s="18" t="str">
        <f>VLOOKUP(A333,Список!A:I,9,0)</f>
        <v>Основной ассортимент</v>
      </c>
      <c r="N333" s="12"/>
      <c r="O333" s="11"/>
    </row>
    <row r="334" spans="1:15" x14ac:dyDescent="0.25">
      <c r="A334" s="6">
        <v>469</v>
      </c>
      <c r="B334" s="1" t="s">
        <v>338</v>
      </c>
      <c r="C334" s="3">
        <v>5.6151479999999996</v>
      </c>
      <c r="D334" s="1" t="s">
        <v>1182</v>
      </c>
      <c r="E334" s="3">
        <f t="shared" si="25"/>
        <v>88.059895418879975</v>
      </c>
      <c r="F334" s="3">
        <v>73.941418132611631</v>
      </c>
      <c r="G334" s="4">
        <f t="shared" si="26"/>
        <v>88.059895418879975</v>
      </c>
      <c r="H334" s="1">
        <v>14.41</v>
      </c>
      <c r="I334" s="1">
        <f t="shared" si="27"/>
        <v>17.29</v>
      </c>
      <c r="J334" s="1" t="s">
        <v>1182</v>
      </c>
      <c r="K334" s="3">
        <f t="shared" si="28"/>
        <v>128.79694463999996</v>
      </c>
      <c r="L334" s="10">
        <f t="shared" si="29"/>
        <v>0.46260615036326747</v>
      </c>
      <c r="M334" s="18" t="str">
        <f>VLOOKUP(A334,Список!A:I,9,0)</f>
        <v>Основной ассортимент</v>
      </c>
      <c r="N334" s="12"/>
      <c r="O334" s="11"/>
    </row>
    <row r="335" spans="1:15" x14ac:dyDescent="0.25">
      <c r="A335" s="6">
        <v>467</v>
      </c>
      <c r="B335" s="1" t="s">
        <v>339</v>
      </c>
      <c r="C335" s="3">
        <v>5.1998519999999999</v>
      </c>
      <c r="D335" s="1" t="s">
        <v>1182</v>
      </c>
      <c r="E335" s="3">
        <f t="shared" si="25"/>
        <v>81.546990981120004</v>
      </c>
      <c r="F335" s="3">
        <v>58.999810169491525</v>
      </c>
      <c r="G335" s="4">
        <f t="shared" si="26"/>
        <v>81.546990981120004</v>
      </c>
      <c r="H335" s="1">
        <v>13.13</v>
      </c>
      <c r="I335" s="1">
        <f t="shared" si="27"/>
        <v>15.76</v>
      </c>
      <c r="J335" s="1" t="s">
        <v>1182</v>
      </c>
      <c r="K335" s="3">
        <f t="shared" si="28"/>
        <v>117.39964415999998</v>
      </c>
      <c r="L335" s="10">
        <f t="shared" si="29"/>
        <v>0.43965635945023029</v>
      </c>
      <c r="M335" s="18" t="str">
        <f>VLOOKUP(A335,Список!A:I,9,0)</f>
        <v>Основной ассортимент</v>
      </c>
      <c r="N335" s="12"/>
      <c r="O335" s="11"/>
    </row>
    <row r="336" spans="1:15" x14ac:dyDescent="0.25">
      <c r="A336" s="6">
        <v>174</v>
      </c>
      <c r="B336" s="1" t="s">
        <v>340</v>
      </c>
      <c r="C336" s="3">
        <v>6.342997500000001</v>
      </c>
      <c r="D336" s="1" t="s">
        <v>1182</v>
      </c>
      <c r="E336" s="3">
        <f t="shared" si="25"/>
        <v>99.474438873600022</v>
      </c>
      <c r="F336" s="3">
        <v>89.164955223880597</v>
      </c>
      <c r="G336" s="4">
        <f t="shared" si="26"/>
        <v>99.474438873600022</v>
      </c>
      <c r="H336" s="1">
        <v>15.91</v>
      </c>
      <c r="I336" s="1">
        <f t="shared" si="27"/>
        <v>19.09</v>
      </c>
      <c r="J336" s="1" t="s">
        <v>1182</v>
      </c>
      <c r="K336" s="3">
        <f t="shared" si="28"/>
        <v>142.20553343999998</v>
      </c>
      <c r="L336" s="10">
        <f t="shared" si="29"/>
        <v>0.42956859119052093</v>
      </c>
      <c r="M336" s="18" t="str">
        <f>VLOOKUP(A336,Список!A:I,9,0)</f>
        <v>Основной ассортимент</v>
      </c>
      <c r="N336" s="12"/>
      <c r="O336" s="11"/>
    </row>
    <row r="337" spans="1:15" x14ac:dyDescent="0.25">
      <c r="A337" s="6">
        <v>470</v>
      </c>
      <c r="B337" s="1" t="s">
        <v>341</v>
      </c>
      <c r="C337" s="3">
        <v>6.2737815000000001</v>
      </c>
      <c r="D337" s="1" t="s">
        <v>1182</v>
      </c>
      <c r="E337" s="3">
        <f t="shared" si="25"/>
        <v>98.388954800640008</v>
      </c>
      <c r="F337" s="3">
        <v>89.784000000000006</v>
      </c>
      <c r="G337" s="4">
        <f t="shared" si="26"/>
        <v>98.388954800640008</v>
      </c>
      <c r="H337" s="1">
        <v>15.52</v>
      </c>
      <c r="I337" s="1">
        <f t="shared" si="27"/>
        <v>18.62</v>
      </c>
      <c r="J337" s="1" t="s">
        <v>1182</v>
      </c>
      <c r="K337" s="3">
        <f t="shared" si="28"/>
        <v>138.70440191999998</v>
      </c>
      <c r="L337" s="10">
        <f t="shared" si="29"/>
        <v>0.40975582270437672</v>
      </c>
      <c r="M337" s="18" t="str">
        <f>VLOOKUP(A337,Список!A:I,9,0)</f>
        <v>Основной ассортимент</v>
      </c>
      <c r="N337" s="12"/>
      <c r="O337" s="11"/>
    </row>
    <row r="338" spans="1:15" x14ac:dyDescent="0.25">
      <c r="A338" s="6">
        <v>169</v>
      </c>
      <c r="B338" s="1" t="s">
        <v>342</v>
      </c>
      <c r="C338" s="3">
        <v>9.0121395</v>
      </c>
      <c r="D338" s="1" t="s">
        <v>1182</v>
      </c>
      <c r="E338" s="3">
        <f t="shared" si="25"/>
        <v>141.33341843711997</v>
      </c>
      <c r="F338" s="3">
        <v>122.8060606060606</v>
      </c>
      <c r="G338" s="4">
        <f t="shared" si="26"/>
        <v>141.33341843711997</v>
      </c>
      <c r="H338" s="1">
        <v>22.67</v>
      </c>
      <c r="I338" s="1">
        <f t="shared" si="27"/>
        <v>27.2</v>
      </c>
      <c r="J338" s="1" t="s">
        <v>1182</v>
      </c>
      <c r="K338" s="3">
        <f t="shared" si="28"/>
        <v>202.61867519999998</v>
      </c>
      <c r="L338" s="10">
        <f t="shared" si="29"/>
        <v>0.43362183863221393</v>
      </c>
      <c r="M338" s="18" t="str">
        <f>VLOOKUP(A338,Список!A:I,9,0)</f>
        <v>Основной ассортимент</v>
      </c>
      <c r="N338" s="12"/>
      <c r="O338" s="11"/>
    </row>
    <row r="339" spans="1:15" x14ac:dyDescent="0.25">
      <c r="A339" s="6">
        <v>182</v>
      </c>
      <c r="B339" s="1" t="s">
        <v>343</v>
      </c>
      <c r="C339" s="3">
        <v>7.1054550000000001</v>
      </c>
      <c r="D339" s="1" t="s">
        <v>1182</v>
      </c>
      <c r="E339" s="3">
        <f t="shared" si="25"/>
        <v>111.43172436479999</v>
      </c>
      <c r="F339" s="3">
        <v>99.297650958052827</v>
      </c>
      <c r="G339" s="4">
        <f t="shared" si="26"/>
        <v>111.43172436479999</v>
      </c>
      <c r="H339" s="1">
        <v>17.82</v>
      </c>
      <c r="I339" s="1">
        <f t="shared" si="27"/>
        <v>21.38</v>
      </c>
      <c r="J339" s="1" t="s">
        <v>1182</v>
      </c>
      <c r="K339" s="3">
        <f t="shared" si="28"/>
        <v>159.26423807999998</v>
      </c>
      <c r="L339" s="10">
        <f t="shared" si="29"/>
        <v>0.42925400273451864</v>
      </c>
      <c r="M339" s="18" t="str">
        <f>VLOOKUP(A339,Список!A:I,9,0)</f>
        <v>Основной ассортимент</v>
      </c>
      <c r="N339" s="12"/>
      <c r="O339" s="11"/>
    </row>
    <row r="340" spans="1:15" x14ac:dyDescent="0.25">
      <c r="A340" s="6">
        <v>471</v>
      </c>
      <c r="B340" s="1" t="s">
        <v>344</v>
      </c>
      <c r="C340" s="3">
        <v>6.8978070000000002</v>
      </c>
      <c r="D340" s="1" t="s">
        <v>1182</v>
      </c>
      <c r="E340" s="3">
        <f t="shared" si="25"/>
        <v>108.17527214592</v>
      </c>
      <c r="F340" s="3">
        <v>94.790210526315789</v>
      </c>
      <c r="G340" s="4">
        <f t="shared" si="26"/>
        <v>108.17527214592</v>
      </c>
      <c r="H340" s="1">
        <v>17.5</v>
      </c>
      <c r="I340" s="1">
        <f t="shared" si="27"/>
        <v>21</v>
      </c>
      <c r="J340" s="1" t="s">
        <v>1182</v>
      </c>
      <c r="K340" s="3">
        <f t="shared" si="28"/>
        <v>156.43353599999998</v>
      </c>
      <c r="L340" s="10">
        <f t="shared" si="29"/>
        <v>0.4461117859632775</v>
      </c>
      <c r="M340" s="18" t="str">
        <f>VLOOKUP(A340,Список!A:I,9,0)</f>
        <v>Основной ассортимент</v>
      </c>
      <c r="N340" s="12"/>
      <c r="O340" s="11"/>
    </row>
    <row r="341" spans="1:15" x14ac:dyDescent="0.25">
      <c r="A341" s="6">
        <v>3893</v>
      </c>
      <c r="B341" s="1" t="s">
        <v>345</v>
      </c>
      <c r="C341" s="3">
        <v>29.891736228433441</v>
      </c>
      <c r="D341" s="1" t="s">
        <v>1172</v>
      </c>
      <c r="E341" s="3">
        <f t="shared" si="25"/>
        <v>35.870083474120129</v>
      </c>
      <c r="F341" s="3">
        <v>33.25110215923673</v>
      </c>
      <c r="G341" s="4">
        <f t="shared" si="26"/>
        <v>35.870083474120129</v>
      </c>
      <c r="H341" s="1">
        <v>55.21</v>
      </c>
      <c r="I341" s="1">
        <f t="shared" si="27"/>
        <v>66.25</v>
      </c>
      <c r="J341" s="1" t="s">
        <v>1172</v>
      </c>
      <c r="K341" s="3">
        <f t="shared" si="28"/>
        <v>37.762499999999996</v>
      </c>
      <c r="L341" s="10">
        <f t="shared" si="29"/>
        <v>5.275751664322792E-2</v>
      </c>
      <c r="M341" s="18" t="str">
        <f>VLOOKUP(A341,Список!A:I,9,0)</f>
        <v>Основной ассортимент</v>
      </c>
      <c r="N341" s="12"/>
      <c r="O341" s="11"/>
    </row>
    <row r="342" spans="1:15" x14ac:dyDescent="0.25">
      <c r="A342" s="6">
        <v>3895</v>
      </c>
      <c r="B342" s="1" t="s">
        <v>346</v>
      </c>
      <c r="C342" s="3">
        <v>46.028941656102219</v>
      </c>
      <c r="D342" s="1" t="s">
        <v>1172</v>
      </c>
      <c r="E342" s="3">
        <f t="shared" si="25"/>
        <v>55.234729987322659</v>
      </c>
      <c r="F342" s="3">
        <v>51.964479933864418</v>
      </c>
      <c r="G342" s="4">
        <f t="shared" si="26"/>
        <v>55.234729987322659</v>
      </c>
      <c r="H342" s="1">
        <v>85.76</v>
      </c>
      <c r="I342" s="1">
        <f t="shared" si="27"/>
        <v>102.91</v>
      </c>
      <c r="J342" s="1" t="s">
        <v>1172</v>
      </c>
      <c r="K342" s="3">
        <f t="shared" si="28"/>
        <v>58.658699999999996</v>
      </c>
      <c r="L342" s="10">
        <f t="shared" si="29"/>
        <v>6.1989440583183786E-2</v>
      </c>
      <c r="M342" s="18" t="str">
        <f>VLOOKUP(A342,Список!A:I,9,0)</f>
        <v>Основной ассортимент</v>
      </c>
      <c r="N342" s="12"/>
      <c r="O342" s="11"/>
    </row>
    <row r="343" spans="1:15" x14ac:dyDescent="0.25">
      <c r="A343" s="6">
        <v>3430</v>
      </c>
      <c r="B343" s="1" t="s">
        <v>347</v>
      </c>
      <c r="C343" s="3">
        <v>74.382769716261208</v>
      </c>
      <c r="D343" s="1" t="s">
        <v>1172</v>
      </c>
      <c r="E343" s="3">
        <f t="shared" si="25"/>
        <v>89.259323659513441</v>
      </c>
      <c r="F343" s="3">
        <v>82.078082198473282</v>
      </c>
      <c r="G343" s="4">
        <f t="shared" si="26"/>
        <v>89.259323659513441</v>
      </c>
      <c r="H343" s="1">
        <v>139.84</v>
      </c>
      <c r="I343" s="1">
        <f t="shared" si="27"/>
        <v>167.81</v>
      </c>
      <c r="J343" s="1" t="s">
        <v>1172</v>
      </c>
      <c r="K343" s="3">
        <f t="shared" si="28"/>
        <v>95.651699999999991</v>
      </c>
      <c r="L343" s="10">
        <f t="shared" si="29"/>
        <v>7.1615782849428378E-2</v>
      </c>
      <c r="M343" s="18" t="str">
        <f>VLOOKUP(A343,Список!A:I,9,0)</f>
        <v>Основной ассортимент</v>
      </c>
      <c r="N343" s="12"/>
      <c r="O343" s="11"/>
    </row>
    <row r="344" spans="1:15" x14ac:dyDescent="0.25">
      <c r="A344" s="6">
        <v>3431</v>
      </c>
      <c r="B344" s="1" t="s">
        <v>348</v>
      </c>
      <c r="C344" s="3">
        <v>116.05791500865678</v>
      </c>
      <c r="D344" s="1" t="s">
        <v>1172</v>
      </c>
      <c r="E344" s="3">
        <f t="shared" si="25"/>
        <v>139.26949801038813</v>
      </c>
      <c r="F344" s="3">
        <v>120.85611161825727</v>
      </c>
      <c r="G344" s="4">
        <f t="shared" si="26"/>
        <v>139.26949801038813</v>
      </c>
      <c r="H344" s="1">
        <v>218.31</v>
      </c>
      <c r="I344" s="1">
        <f t="shared" si="27"/>
        <v>261.97000000000003</v>
      </c>
      <c r="J344" s="1" t="s">
        <v>1172</v>
      </c>
      <c r="K344" s="3">
        <f t="shared" si="28"/>
        <v>149.3229</v>
      </c>
      <c r="L344" s="10">
        <f t="shared" si="29"/>
        <v>7.2186674995137645E-2</v>
      </c>
      <c r="M344" s="18" t="str">
        <f>VLOOKUP(A344,Список!A:I,9,0)</f>
        <v>Основной ассортимент</v>
      </c>
      <c r="N344" s="12"/>
      <c r="O344" s="11"/>
    </row>
    <row r="345" spans="1:15" x14ac:dyDescent="0.25">
      <c r="A345" s="6">
        <v>3432</v>
      </c>
      <c r="B345" s="1" t="s">
        <v>349</v>
      </c>
      <c r="C345" s="3">
        <v>180.39012993506788</v>
      </c>
      <c r="D345" s="1" t="s">
        <v>1172</v>
      </c>
      <c r="E345" s="3">
        <f t="shared" si="25"/>
        <v>216.46815592208145</v>
      </c>
      <c r="F345" s="3">
        <v>197.37609141940658</v>
      </c>
      <c r="G345" s="4">
        <f t="shared" si="26"/>
        <v>216.46815592208145</v>
      </c>
      <c r="H345" s="1">
        <v>348.6</v>
      </c>
      <c r="I345" s="1">
        <f t="shared" si="27"/>
        <v>418.32</v>
      </c>
      <c r="J345" s="1" t="s">
        <v>1172</v>
      </c>
      <c r="K345" s="3">
        <f t="shared" si="28"/>
        <v>238.44239999999996</v>
      </c>
      <c r="L345" s="10">
        <f t="shared" si="29"/>
        <v>0.10151259423962666</v>
      </c>
      <c r="M345" s="18" t="str">
        <f>VLOOKUP(A345,Список!A:I,9,0)</f>
        <v>Основной ассортимент</v>
      </c>
      <c r="N345" s="12"/>
      <c r="O345" s="11"/>
    </row>
    <row r="346" spans="1:15" x14ac:dyDescent="0.25">
      <c r="A346" s="6">
        <v>3433</v>
      </c>
      <c r="B346" s="1" t="s">
        <v>350</v>
      </c>
      <c r="C346" s="3">
        <v>281.69712293534559</v>
      </c>
      <c r="D346" s="1" t="s">
        <v>1172</v>
      </c>
      <c r="E346" s="3">
        <f t="shared" si="25"/>
        <v>338.03654752241471</v>
      </c>
      <c r="F346" s="3">
        <v>294.12574867724868</v>
      </c>
      <c r="G346" s="4">
        <f t="shared" si="26"/>
        <v>338.03654752241471</v>
      </c>
      <c r="H346" s="1">
        <v>551.47</v>
      </c>
      <c r="I346" s="1">
        <f t="shared" si="27"/>
        <v>661.76</v>
      </c>
      <c r="J346" s="1" t="s">
        <v>1172</v>
      </c>
      <c r="K346" s="3">
        <f t="shared" si="28"/>
        <v>377.20319999999998</v>
      </c>
      <c r="L346" s="10">
        <f t="shared" si="29"/>
        <v>0.11586514169740236</v>
      </c>
      <c r="M346" s="18" t="str">
        <f>VLOOKUP(A346,Список!A:I,9,0)</f>
        <v>Основной ассортимент</v>
      </c>
      <c r="N346" s="12"/>
      <c r="O346" s="11"/>
    </row>
    <row r="347" spans="1:15" x14ac:dyDescent="0.25">
      <c r="A347" s="6">
        <v>3435</v>
      </c>
      <c r="B347" s="1" t="s">
        <v>351</v>
      </c>
      <c r="C347" s="3">
        <v>28.114005646904516</v>
      </c>
      <c r="D347" s="1" t="s">
        <v>1172</v>
      </c>
      <c r="E347" s="3">
        <f t="shared" si="25"/>
        <v>33.73680677628542</v>
      </c>
      <c r="F347" s="3">
        <v>30.791971736352014</v>
      </c>
      <c r="G347" s="4">
        <f t="shared" si="26"/>
        <v>33.73680677628542</v>
      </c>
      <c r="H347" s="1">
        <v>50.91</v>
      </c>
      <c r="I347" s="1">
        <f t="shared" si="27"/>
        <v>61.09</v>
      </c>
      <c r="J347" s="1" t="s">
        <v>1172</v>
      </c>
      <c r="K347" s="3">
        <f t="shared" si="28"/>
        <v>34.821300000000001</v>
      </c>
      <c r="L347" s="10">
        <f t="shared" si="29"/>
        <v>3.2145698640243081E-2</v>
      </c>
      <c r="M347" s="18" t="str">
        <f>VLOOKUP(A347,Список!A:I,9,0)</f>
        <v>Основной ассортимент</v>
      </c>
      <c r="N347" s="12"/>
      <c r="O347" s="11"/>
    </row>
    <row r="348" spans="1:15" x14ac:dyDescent="0.25">
      <c r="A348" s="6">
        <v>3436</v>
      </c>
      <c r="B348" s="1" t="s">
        <v>352</v>
      </c>
      <c r="C348" s="3">
        <v>46.759283448912406</v>
      </c>
      <c r="D348" s="1" t="s">
        <v>1172</v>
      </c>
      <c r="E348" s="3">
        <f t="shared" si="25"/>
        <v>56.111140138694886</v>
      </c>
      <c r="F348" s="3">
        <v>53.682353474320244</v>
      </c>
      <c r="G348" s="4">
        <f t="shared" si="26"/>
        <v>56.111140138694886</v>
      </c>
      <c r="H348" s="1">
        <v>85.48</v>
      </c>
      <c r="I348" s="1">
        <f t="shared" si="27"/>
        <v>102.58</v>
      </c>
      <c r="J348" s="1" t="s">
        <v>1172</v>
      </c>
      <c r="K348" s="3">
        <f t="shared" si="28"/>
        <v>58.470599999999997</v>
      </c>
      <c r="L348" s="10">
        <f t="shared" si="29"/>
        <v>4.2049757953109168E-2</v>
      </c>
      <c r="M348" s="18" t="str">
        <f>VLOOKUP(A348,Список!A:I,9,0)</f>
        <v>Основной ассортимент</v>
      </c>
      <c r="N348" s="12"/>
      <c r="O348" s="11"/>
    </row>
    <row r="349" spans="1:15" x14ac:dyDescent="0.25">
      <c r="A349" s="6">
        <v>3437</v>
      </c>
      <c r="B349" s="1" t="s">
        <v>353</v>
      </c>
      <c r="C349" s="3">
        <v>75.728179952670473</v>
      </c>
      <c r="D349" s="1" t="s">
        <v>1172</v>
      </c>
      <c r="E349" s="3">
        <f t="shared" si="25"/>
        <v>90.873815943204562</v>
      </c>
      <c r="F349" s="3">
        <v>84.018101399524681</v>
      </c>
      <c r="G349" s="4">
        <f t="shared" si="26"/>
        <v>90.873815943204562</v>
      </c>
      <c r="H349" s="1">
        <v>139.88</v>
      </c>
      <c r="I349" s="1">
        <f t="shared" si="27"/>
        <v>167.86</v>
      </c>
      <c r="J349" s="1" t="s">
        <v>1172</v>
      </c>
      <c r="K349" s="3">
        <f t="shared" si="28"/>
        <v>95.680199999999999</v>
      </c>
      <c r="L349" s="10">
        <f t="shared" si="29"/>
        <v>5.2890747537215566E-2</v>
      </c>
      <c r="M349" s="18" t="str">
        <f>VLOOKUP(A349,Список!A:I,9,0)</f>
        <v>Основной ассортимент</v>
      </c>
      <c r="N349" s="12"/>
      <c r="O349" s="11"/>
    </row>
    <row r="350" spans="1:15" x14ac:dyDescent="0.25">
      <c r="A350" s="6">
        <v>3438</v>
      </c>
      <c r="B350" s="1" t="s">
        <v>354</v>
      </c>
      <c r="C350" s="3">
        <v>121.06985957566117</v>
      </c>
      <c r="D350" s="1" t="s">
        <v>1172</v>
      </c>
      <c r="E350" s="3">
        <f t="shared" si="25"/>
        <v>145.2838314907934</v>
      </c>
      <c r="F350" s="3">
        <v>130.02251700909397</v>
      </c>
      <c r="G350" s="4">
        <f t="shared" si="26"/>
        <v>145.2838314907934</v>
      </c>
      <c r="H350" s="1">
        <v>224.86</v>
      </c>
      <c r="I350" s="1">
        <f t="shared" si="27"/>
        <v>269.83</v>
      </c>
      <c r="J350" s="1" t="s">
        <v>1172</v>
      </c>
      <c r="K350" s="3">
        <f t="shared" si="28"/>
        <v>153.80309999999997</v>
      </c>
      <c r="L350" s="10">
        <f t="shared" si="29"/>
        <v>5.863879291858054E-2</v>
      </c>
      <c r="M350" s="18" t="str">
        <f>VLOOKUP(A350,Список!A:I,9,0)</f>
        <v>Основной ассортимент</v>
      </c>
      <c r="N350" s="12"/>
      <c r="O350" s="11"/>
    </row>
    <row r="351" spans="1:15" x14ac:dyDescent="0.25">
      <c r="A351" s="6">
        <v>3439</v>
      </c>
      <c r="B351" s="1" t="s">
        <v>355</v>
      </c>
      <c r="C351" s="3">
        <v>188.77937971911055</v>
      </c>
      <c r="D351" s="1" t="s">
        <v>1172</v>
      </c>
      <c r="E351" s="3">
        <f t="shared" si="25"/>
        <v>226.53525566293266</v>
      </c>
      <c r="F351" s="3">
        <v>201.5361125</v>
      </c>
      <c r="G351" s="4">
        <f t="shared" si="26"/>
        <v>226.53525566293266</v>
      </c>
      <c r="H351" s="1">
        <v>359.13</v>
      </c>
      <c r="I351" s="1">
        <f t="shared" si="27"/>
        <v>430.96</v>
      </c>
      <c r="J351" s="1" t="s">
        <v>1172</v>
      </c>
      <c r="K351" s="3">
        <f t="shared" si="28"/>
        <v>245.64719999999997</v>
      </c>
      <c r="L351" s="10">
        <f t="shared" si="29"/>
        <v>8.4366313230751278E-2</v>
      </c>
      <c r="M351" s="18" t="str">
        <f>VLOOKUP(A351,Список!A:I,9,0)</f>
        <v>Основной ассортимент</v>
      </c>
      <c r="N351" s="12"/>
      <c r="O351" s="11"/>
    </row>
    <row r="352" spans="1:15" x14ac:dyDescent="0.25">
      <c r="A352" s="6">
        <v>3440</v>
      </c>
      <c r="B352" s="1" t="s">
        <v>356</v>
      </c>
      <c r="C352" s="3">
        <v>297.83748168581718</v>
      </c>
      <c r="D352" s="1" t="s">
        <v>1172</v>
      </c>
      <c r="E352" s="3">
        <f t="shared" si="25"/>
        <v>357.40497802298063</v>
      </c>
      <c r="F352" s="3">
        <v>258.64436567164176</v>
      </c>
      <c r="G352" s="4">
        <f t="shared" si="26"/>
        <v>357.40497802298063</v>
      </c>
      <c r="H352" s="1">
        <v>569.49</v>
      </c>
      <c r="I352" s="1">
        <f t="shared" si="27"/>
        <v>683.39</v>
      </c>
      <c r="J352" s="1" t="s">
        <v>1172</v>
      </c>
      <c r="K352" s="3">
        <f t="shared" si="28"/>
        <v>389.53229999999996</v>
      </c>
      <c r="L352" s="10">
        <f t="shared" si="29"/>
        <v>8.9890527420000366E-2</v>
      </c>
      <c r="M352" s="18" t="str">
        <f>VLOOKUP(A352,Список!A:I,9,0)</f>
        <v>Основной ассортимент</v>
      </c>
      <c r="N352" s="12"/>
      <c r="O352" s="11"/>
    </row>
    <row r="353" spans="1:15" x14ac:dyDescent="0.25">
      <c r="A353" s="6">
        <v>3441</v>
      </c>
      <c r="B353" s="1" t="s">
        <v>357</v>
      </c>
      <c r="C353" s="3">
        <v>421.42872821903376</v>
      </c>
      <c r="D353" s="1" t="s">
        <v>1172</v>
      </c>
      <c r="E353" s="3">
        <f t="shared" si="25"/>
        <v>505.71447386284046</v>
      </c>
      <c r="F353" s="3">
        <v>464.86611561691109</v>
      </c>
      <c r="G353" s="4">
        <f t="shared" si="26"/>
        <v>505.71447386284046</v>
      </c>
      <c r="H353" s="1">
        <v>846.47</v>
      </c>
      <c r="I353" s="1">
        <f t="shared" si="27"/>
        <v>1015.76</v>
      </c>
      <c r="J353" s="1" t="s">
        <v>1172</v>
      </c>
      <c r="K353" s="3">
        <f t="shared" si="28"/>
        <v>578.9831999999999</v>
      </c>
      <c r="L353" s="10">
        <f t="shared" si="29"/>
        <v>0.14488160795063831</v>
      </c>
      <c r="M353" s="18" t="str">
        <f>VLOOKUP(A353,Список!A:I,9,0)</f>
        <v>Основной ассортимент</v>
      </c>
      <c r="N353" s="12"/>
      <c r="O353" s="11"/>
    </row>
    <row r="354" spans="1:15" x14ac:dyDescent="0.25">
      <c r="A354" s="6">
        <v>3442</v>
      </c>
      <c r="B354" s="1" t="s">
        <v>358</v>
      </c>
      <c r="C354" s="3">
        <v>655.17103844733947</v>
      </c>
      <c r="D354" s="1" t="s">
        <v>1172</v>
      </c>
      <c r="E354" s="3">
        <f t="shared" si="25"/>
        <v>786.20524613680732</v>
      </c>
      <c r="F354" s="3">
        <v>559.52586717267548</v>
      </c>
      <c r="G354" s="4">
        <f t="shared" si="26"/>
        <v>786.20524613680732</v>
      </c>
      <c r="H354" s="1">
        <v>1231.0999999999999</v>
      </c>
      <c r="I354" s="1">
        <f t="shared" si="27"/>
        <v>1477.32</v>
      </c>
      <c r="J354" s="1" t="s">
        <v>1172</v>
      </c>
      <c r="K354" s="3">
        <f t="shared" si="28"/>
        <v>842.0723999999999</v>
      </c>
      <c r="L354" s="10">
        <f t="shared" si="29"/>
        <v>7.1059248380379136E-2</v>
      </c>
      <c r="M354" s="18" t="str">
        <f>VLOOKUP(A354,Список!A:I,9,0)</f>
        <v>Основной ассортимент</v>
      </c>
      <c r="N354" s="12"/>
      <c r="O354" s="11"/>
    </row>
    <row r="355" spans="1:15" x14ac:dyDescent="0.25">
      <c r="A355" s="6">
        <v>3443</v>
      </c>
      <c r="B355" s="1" t="s">
        <v>359</v>
      </c>
      <c r="C355" s="3">
        <v>1001.445121086022</v>
      </c>
      <c r="D355" s="1" t="s">
        <v>1172</v>
      </c>
      <c r="E355" s="3">
        <f t="shared" si="25"/>
        <v>1201.7341453032263</v>
      </c>
      <c r="F355" s="3">
        <v>1070.9968421052631</v>
      </c>
      <c r="G355" s="4">
        <f t="shared" si="26"/>
        <v>1201.7341453032263</v>
      </c>
      <c r="H355" s="1">
        <v>1969.85</v>
      </c>
      <c r="I355" s="1">
        <f t="shared" si="27"/>
        <v>2363.8200000000002</v>
      </c>
      <c r="J355" s="1" t="s">
        <v>1172</v>
      </c>
      <c r="K355" s="3">
        <f t="shared" si="28"/>
        <v>1347.3774000000001</v>
      </c>
      <c r="L355" s="10">
        <f t="shared" si="29"/>
        <v>0.12119423856432454</v>
      </c>
      <c r="M355" s="18" t="str">
        <f>VLOOKUP(A355,Список!A:I,9,0)</f>
        <v>Основной ассортимент</v>
      </c>
      <c r="N355" s="12"/>
      <c r="O355" s="11"/>
    </row>
    <row r="356" spans="1:15" x14ac:dyDescent="0.25">
      <c r="A356" s="6">
        <v>3450</v>
      </c>
      <c r="B356" s="1" t="s">
        <v>360</v>
      </c>
      <c r="C356" s="3">
        <v>34.039756147089236</v>
      </c>
      <c r="D356" s="1" t="s">
        <v>1172</v>
      </c>
      <c r="E356" s="3">
        <f t="shared" si="25"/>
        <v>40.847707376507081</v>
      </c>
      <c r="F356" s="3">
        <v>36.446952372644802</v>
      </c>
      <c r="G356" s="4">
        <f t="shared" si="26"/>
        <v>40.847707376507081</v>
      </c>
      <c r="H356" s="1">
        <v>63.56</v>
      </c>
      <c r="I356" s="1">
        <f t="shared" si="27"/>
        <v>76.27</v>
      </c>
      <c r="J356" s="1" t="s">
        <v>1172</v>
      </c>
      <c r="K356" s="3">
        <f t="shared" si="28"/>
        <v>43.473899999999993</v>
      </c>
      <c r="L356" s="10">
        <f t="shared" si="29"/>
        <v>6.4292289388151236E-2</v>
      </c>
      <c r="M356" s="18" t="str">
        <f>VLOOKUP(A356,Список!A:I,9,0)</f>
        <v>Основной ассортимент</v>
      </c>
      <c r="N356" s="12"/>
      <c r="O356" s="11"/>
    </row>
    <row r="357" spans="1:15" x14ac:dyDescent="0.25">
      <c r="A357" s="6">
        <v>3451</v>
      </c>
      <c r="B357" s="1" t="s">
        <v>361</v>
      </c>
      <c r="C357" s="3">
        <v>51.476602280342078</v>
      </c>
      <c r="D357" s="1" t="s">
        <v>1172</v>
      </c>
      <c r="E357" s="3">
        <f t="shared" si="25"/>
        <v>61.771922736410488</v>
      </c>
      <c r="F357" s="3">
        <v>54.524855898654003</v>
      </c>
      <c r="G357" s="4">
        <f t="shared" si="26"/>
        <v>61.771922736410488</v>
      </c>
      <c r="H357" s="1">
        <v>99.19</v>
      </c>
      <c r="I357" s="1">
        <f t="shared" si="27"/>
        <v>119.03</v>
      </c>
      <c r="J357" s="1" t="s">
        <v>1172</v>
      </c>
      <c r="K357" s="3">
        <f t="shared" si="28"/>
        <v>67.847099999999998</v>
      </c>
      <c r="L357" s="10">
        <f t="shared" si="29"/>
        <v>9.8348521374559628E-2</v>
      </c>
      <c r="M357" s="18" t="str">
        <f>VLOOKUP(A357,Список!A:I,9,0)</f>
        <v>Основной ассортимент</v>
      </c>
      <c r="N357" s="12"/>
      <c r="O357" s="11"/>
    </row>
    <row r="358" spans="1:15" x14ac:dyDescent="0.25">
      <c r="A358" s="6">
        <v>3452</v>
      </c>
      <c r="B358" s="1" t="s">
        <v>362</v>
      </c>
      <c r="C358" s="3">
        <v>86.361124886060963</v>
      </c>
      <c r="D358" s="1" t="s">
        <v>1172</v>
      </c>
      <c r="E358" s="3">
        <f t="shared" si="25"/>
        <v>103.63334986327315</v>
      </c>
      <c r="F358" s="3">
        <v>93.233015764806126</v>
      </c>
      <c r="G358" s="4">
        <f t="shared" si="26"/>
        <v>103.63334986327315</v>
      </c>
      <c r="H358" s="1">
        <v>167.81</v>
      </c>
      <c r="I358" s="1">
        <f t="shared" si="27"/>
        <v>201.37</v>
      </c>
      <c r="J358" s="1" t="s">
        <v>1172</v>
      </c>
      <c r="K358" s="3">
        <f t="shared" si="28"/>
        <v>114.78089999999999</v>
      </c>
      <c r="L358" s="10">
        <f t="shared" si="29"/>
        <v>0.10756720834976541</v>
      </c>
      <c r="M358" s="18" t="str">
        <f>VLOOKUP(A358,Список!A:I,9,0)</f>
        <v>Основной ассортимент</v>
      </c>
      <c r="N358" s="12"/>
      <c r="O358" s="11"/>
    </row>
    <row r="359" spans="1:15" x14ac:dyDescent="0.25">
      <c r="A359" s="6">
        <v>3453</v>
      </c>
      <c r="B359" s="1" t="s">
        <v>363</v>
      </c>
      <c r="C359" s="3">
        <v>133.84133199673212</v>
      </c>
      <c r="D359" s="1" t="s">
        <v>1172</v>
      </c>
      <c r="E359" s="3">
        <f t="shared" si="25"/>
        <v>160.60959839607855</v>
      </c>
      <c r="F359" s="3">
        <v>149.54515395348838</v>
      </c>
      <c r="G359" s="4">
        <f t="shared" si="26"/>
        <v>160.60959839607855</v>
      </c>
      <c r="H359" s="1">
        <v>254.28</v>
      </c>
      <c r="I359" s="1">
        <f t="shared" si="27"/>
        <v>305.14</v>
      </c>
      <c r="J359" s="1" t="s">
        <v>1172</v>
      </c>
      <c r="K359" s="3">
        <f t="shared" si="28"/>
        <v>173.92979999999997</v>
      </c>
      <c r="L359" s="10">
        <f t="shared" si="29"/>
        <v>8.2935277448814348E-2</v>
      </c>
      <c r="M359" s="18" t="str">
        <f>VLOOKUP(A359,Список!A:I,9,0)</f>
        <v>Основной ассортимент</v>
      </c>
      <c r="N359" s="12"/>
      <c r="O359" s="11"/>
    </row>
    <row r="360" spans="1:15" x14ac:dyDescent="0.25">
      <c r="A360" s="6">
        <v>3454</v>
      </c>
      <c r="B360" s="1" t="s">
        <v>364</v>
      </c>
      <c r="C360" s="3">
        <v>207.24937118380518</v>
      </c>
      <c r="D360" s="1" t="s">
        <v>1172</v>
      </c>
      <c r="E360" s="3">
        <f t="shared" si="25"/>
        <v>248.6992454205662</v>
      </c>
      <c r="F360" s="3">
        <v>235.28359715639812</v>
      </c>
      <c r="G360" s="4">
        <f t="shared" si="26"/>
        <v>248.6992454205662</v>
      </c>
      <c r="H360" s="1">
        <v>397.81</v>
      </c>
      <c r="I360" s="1">
        <f t="shared" si="27"/>
        <v>477.37</v>
      </c>
      <c r="J360" s="1" t="s">
        <v>1172</v>
      </c>
      <c r="K360" s="3">
        <f t="shared" si="28"/>
        <v>272.10089999999997</v>
      </c>
      <c r="L360" s="10">
        <f t="shared" si="29"/>
        <v>9.4096202583405786E-2</v>
      </c>
      <c r="M360" s="18" t="str">
        <f>VLOOKUP(A360,Список!A:I,9,0)</f>
        <v>Основной ассортимент</v>
      </c>
      <c r="N360" s="12"/>
      <c r="O360" s="11"/>
    </row>
    <row r="361" spans="1:15" x14ac:dyDescent="0.25">
      <c r="A361" s="6">
        <v>3455</v>
      </c>
      <c r="B361" s="1" t="s">
        <v>365</v>
      </c>
      <c r="C361" s="3">
        <v>333.21704657254054</v>
      </c>
      <c r="D361" s="1" t="s">
        <v>1172</v>
      </c>
      <c r="E361" s="3">
        <f t="shared" si="25"/>
        <v>399.86045588704866</v>
      </c>
      <c r="F361" s="3">
        <v>369.47029896907219</v>
      </c>
      <c r="G361" s="4">
        <f t="shared" si="26"/>
        <v>399.86045588704866</v>
      </c>
      <c r="H361" s="1">
        <v>642.07000000000005</v>
      </c>
      <c r="I361" s="1">
        <f t="shared" si="27"/>
        <v>770.48</v>
      </c>
      <c r="J361" s="1" t="s">
        <v>1172</v>
      </c>
      <c r="K361" s="3">
        <f t="shared" si="28"/>
        <v>439.17359999999996</v>
      </c>
      <c r="L361" s="10">
        <f t="shared" si="29"/>
        <v>9.831715923431128E-2</v>
      </c>
      <c r="M361" s="18" t="str">
        <f>VLOOKUP(A361,Список!A:I,9,0)</f>
        <v>Основной ассортимент</v>
      </c>
      <c r="N361" s="12"/>
      <c r="O361" s="11"/>
    </row>
    <row r="362" spans="1:15" x14ac:dyDescent="0.25">
      <c r="A362" s="6">
        <v>3456</v>
      </c>
      <c r="B362" s="1" t="s">
        <v>366</v>
      </c>
      <c r="C362" s="3">
        <v>482.83818280290558</v>
      </c>
      <c r="D362" s="1" t="s">
        <v>1172</v>
      </c>
      <c r="E362" s="3">
        <f t="shared" si="25"/>
        <v>579.40581936348667</v>
      </c>
      <c r="F362" s="3">
        <v>477.60399999999998</v>
      </c>
      <c r="G362" s="4">
        <f t="shared" si="26"/>
        <v>579.40581936348667</v>
      </c>
      <c r="H362" s="1">
        <v>1013.54</v>
      </c>
      <c r="I362" s="1">
        <f t="shared" si="27"/>
        <v>1216.25</v>
      </c>
      <c r="J362" s="1" t="s">
        <v>1172</v>
      </c>
      <c r="K362" s="3">
        <f t="shared" si="28"/>
        <v>693.26249999999993</v>
      </c>
      <c r="L362" s="10">
        <f t="shared" si="29"/>
        <v>0.19650593216614887</v>
      </c>
      <c r="M362" s="18" t="str">
        <f>VLOOKUP(A362,Список!A:I,9,0)</f>
        <v>Основной ассортимент</v>
      </c>
      <c r="N362" s="12"/>
      <c r="O362" s="11"/>
    </row>
    <row r="363" spans="1:15" x14ac:dyDescent="0.25">
      <c r="A363" s="6">
        <v>3457</v>
      </c>
      <c r="B363" s="1" t="s">
        <v>367</v>
      </c>
      <c r="C363" s="3">
        <v>696.3691507303671</v>
      </c>
      <c r="D363" s="1" t="s">
        <v>1172</v>
      </c>
      <c r="E363" s="3">
        <f t="shared" si="25"/>
        <v>835.64298087644045</v>
      </c>
      <c r="F363" s="3">
        <v>736.33027358490563</v>
      </c>
      <c r="G363" s="4">
        <f t="shared" si="26"/>
        <v>835.64298087644045</v>
      </c>
      <c r="H363" s="1">
        <v>1531.84</v>
      </c>
      <c r="I363" s="1">
        <f t="shared" si="27"/>
        <v>1838.21</v>
      </c>
      <c r="J363" s="1" t="s">
        <v>1172</v>
      </c>
      <c r="K363" s="3">
        <f t="shared" si="28"/>
        <v>1047.7796999999998</v>
      </c>
      <c r="L363" s="10">
        <f t="shared" si="29"/>
        <v>0.25386046909777882</v>
      </c>
      <c r="M363" s="18" t="str">
        <f>VLOOKUP(A363,Список!A:I,9,0)</f>
        <v>Основной ассортимент</v>
      </c>
      <c r="N363" s="12"/>
      <c r="O363" s="11"/>
    </row>
    <row r="364" spans="1:15" x14ac:dyDescent="0.25">
      <c r="A364" s="6">
        <v>3458</v>
      </c>
      <c r="B364" s="1" t="s">
        <v>368</v>
      </c>
      <c r="C364" s="3">
        <v>1057.929195023853</v>
      </c>
      <c r="D364" s="1" t="s">
        <v>1172</v>
      </c>
      <c r="E364" s="3">
        <f t="shared" si="25"/>
        <v>1269.5150340286236</v>
      </c>
      <c r="F364" s="3">
        <v>1062.1422857142857</v>
      </c>
      <c r="G364" s="4">
        <f t="shared" si="26"/>
        <v>1269.5150340286236</v>
      </c>
      <c r="H364" s="1">
        <v>2323.5100000000002</v>
      </c>
      <c r="I364" s="1">
        <f t="shared" si="27"/>
        <v>2788.21</v>
      </c>
      <c r="J364" s="1" t="s">
        <v>1172</v>
      </c>
      <c r="K364" s="3">
        <f t="shared" si="28"/>
        <v>1589.2796999999998</v>
      </c>
      <c r="L364" s="10">
        <f t="shared" si="29"/>
        <v>0.25187938496218432</v>
      </c>
      <c r="M364" s="18" t="str">
        <f>VLOOKUP(A364,Список!A:I,9,0)</f>
        <v>Основной ассортимент</v>
      </c>
      <c r="N364" s="12"/>
      <c r="O364" s="11"/>
    </row>
    <row r="365" spans="1:15" x14ac:dyDescent="0.25">
      <c r="A365" s="6">
        <v>3647</v>
      </c>
      <c r="B365" s="1" t="s">
        <v>369</v>
      </c>
      <c r="C365" s="3">
        <v>3.7253700000000003</v>
      </c>
      <c r="D365" s="1" t="s">
        <v>1182</v>
      </c>
      <c r="E365" s="3">
        <f t="shared" si="25"/>
        <v>58.423338547200004</v>
      </c>
      <c r="F365" s="3">
        <v>49.029185501066095</v>
      </c>
      <c r="G365" s="4">
        <f t="shared" si="26"/>
        <v>58.423338547200004</v>
      </c>
      <c r="H365" s="1">
        <v>8.08</v>
      </c>
      <c r="I365" s="1">
        <f t="shared" si="27"/>
        <v>9.6999999999999993</v>
      </c>
      <c r="J365" s="1" t="s">
        <v>1182</v>
      </c>
      <c r="K365" s="3">
        <f t="shared" si="28"/>
        <v>72.257395199999991</v>
      </c>
      <c r="L365" s="10">
        <f t="shared" si="29"/>
        <v>0.23678990274791478</v>
      </c>
      <c r="M365" s="18" t="str">
        <f>VLOOKUP(A365,Список!A:I,9,0)</f>
        <v>Основной ассортимент</v>
      </c>
      <c r="N365" s="12"/>
      <c r="O365" s="11"/>
    </row>
    <row r="366" spans="1:15" x14ac:dyDescent="0.25">
      <c r="A366" s="6">
        <v>3653</v>
      </c>
      <c r="B366" s="1" t="s">
        <v>370</v>
      </c>
      <c r="C366" s="3">
        <v>4.6508550000000008</v>
      </c>
      <c r="D366" s="1" t="s">
        <v>1182</v>
      </c>
      <c r="E366" s="3">
        <f t="shared" si="25"/>
        <v>72.937312588800012</v>
      </c>
      <c r="F366" s="3">
        <v>63.496073949579831</v>
      </c>
      <c r="G366" s="4">
        <f t="shared" si="26"/>
        <v>72.937312588800012</v>
      </c>
      <c r="H366" s="1">
        <v>9.92</v>
      </c>
      <c r="I366" s="1">
        <f t="shared" si="27"/>
        <v>11.9</v>
      </c>
      <c r="J366" s="1" t="s">
        <v>1182</v>
      </c>
      <c r="K366" s="3">
        <f t="shared" si="28"/>
        <v>88.6456704</v>
      </c>
      <c r="L366" s="10">
        <f t="shared" si="29"/>
        <v>0.21536792697256724</v>
      </c>
      <c r="M366" s="18" t="str">
        <f>VLOOKUP(A366,Список!A:I,9,0)</f>
        <v>Основной ассортимент</v>
      </c>
      <c r="N366" s="12"/>
      <c r="O366" s="11"/>
    </row>
    <row r="367" spans="1:15" x14ac:dyDescent="0.25">
      <c r="A367" s="6">
        <v>3655</v>
      </c>
      <c r="B367" s="1" t="s">
        <v>371</v>
      </c>
      <c r="C367" s="3">
        <v>6.9469949999999994</v>
      </c>
      <c r="D367" s="1" t="s">
        <v>1182</v>
      </c>
      <c r="E367" s="3">
        <f t="shared" si="25"/>
        <v>108.94666590719999</v>
      </c>
      <c r="F367" s="3">
        <v>93.711612104052364</v>
      </c>
      <c r="G367" s="4">
        <f t="shared" si="26"/>
        <v>108.94666590719999</v>
      </c>
      <c r="H367" s="1">
        <v>14.8</v>
      </c>
      <c r="I367" s="1">
        <f t="shared" si="27"/>
        <v>17.760000000000002</v>
      </c>
      <c r="J367" s="1" t="s">
        <v>1182</v>
      </c>
      <c r="K367" s="3">
        <f t="shared" si="28"/>
        <v>132.29807615999999</v>
      </c>
      <c r="L367" s="10">
        <f t="shared" si="29"/>
        <v>0.21433799794011676</v>
      </c>
      <c r="M367" s="18" t="str">
        <f>VLOOKUP(A367,Список!A:I,9,0)</f>
        <v>Основной ассортимент</v>
      </c>
      <c r="N367" s="12"/>
      <c r="O367" s="11"/>
    </row>
    <row r="368" spans="1:15" x14ac:dyDescent="0.25">
      <c r="A368" s="6">
        <v>3654</v>
      </c>
      <c r="B368" s="1" t="s">
        <v>372</v>
      </c>
      <c r="C368" s="3">
        <v>4.8382950000000005</v>
      </c>
      <c r="D368" s="1" t="s">
        <v>1182</v>
      </c>
      <c r="E368" s="3">
        <f t="shared" si="25"/>
        <v>75.876851635199998</v>
      </c>
      <c r="F368" s="3">
        <v>63.241835068054442</v>
      </c>
      <c r="G368" s="4">
        <f t="shared" si="26"/>
        <v>75.876851635199998</v>
      </c>
      <c r="H368" s="1">
        <v>12.88</v>
      </c>
      <c r="I368" s="1">
        <f t="shared" si="27"/>
        <v>15.46</v>
      </c>
      <c r="J368" s="1" t="s">
        <v>1182</v>
      </c>
      <c r="K368" s="3">
        <f t="shared" si="28"/>
        <v>115.16487935999999</v>
      </c>
      <c r="L368" s="10">
        <f t="shared" si="29"/>
        <v>0.51778674099036937</v>
      </c>
      <c r="M368" s="18" t="str">
        <f>VLOOKUP(A368,Список!A:I,9,0)</f>
        <v>Основной ассортимент</v>
      </c>
      <c r="N368" s="12"/>
      <c r="O368" s="11"/>
    </row>
    <row r="369" spans="1:15" x14ac:dyDescent="0.25">
      <c r="A369" s="6">
        <v>3648</v>
      </c>
      <c r="B369" s="1" t="s">
        <v>373</v>
      </c>
      <c r="C369" s="3">
        <v>5.2717499999999999</v>
      </c>
      <c r="D369" s="1" t="s">
        <v>1182</v>
      </c>
      <c r="E369" s="3">
        <f t="shared" si="25"/>
        <v>82.674535679999991</v>
      </c>
      <c r="F369" s="3">
        <v>71.773297339188844</v>
      </c>
      <c r="G369" s="4">
        <f t="shared" si="26"/>
        <v>82.674535679999991</v>
      </c>
      <c r="H369" s="1">
        <v>11.27</v>
      </c>
      <c r="I369" s="1">
        <f t="shared" si="27"/>
        <v>13.52</v>
      </c>
      <c r="J369" s="1" t="s">
        <v>1182</v>
      </c>
      <c r="K369" s="3">
        <f t="shared" si="28"/>
        <v>100.71340031999998</v>
      </c>
      <c r="L369" s="10">
        <f t="shared" si="29"/>
        <v>0.21819130269834486</v>
      </c>
      <c r="M369" s="18" t="str">
        <f>VLOOKUP(A369,Список!A:I,9,0)</f>
        <v>Основной ассортимент</v>
      </c>
      <c r="N369" s="12"/>
      <c r="O369" s="11"/>
    </row>
    <row r="370" spans="1:15" x14ac:dyDescent="0.25">
      <c r="A370" s="6">
        <v>3649</v>
      </c>
      <c r="B370" s="1" t="s">
        <v>374</v>
      </c>
      <c r="C370" s="3">
        <v>7.1344349999999999</v>
      </c>
      <c r="D370" s="1" t="s">
        <v>1182</v>
      </c>
      <c r="E370" s="3">
        <f t="shared" si="25"/>
        <v>111.88620495359999</v>
      </c>
      <c r="F370" s="3">
        <v>100.12375167785234</v>
      </c>
      <c r="G370" s="4">
        <f t="shared" si="26"/>
        <v>111.88620495359999</v>
      </c>
      <c r="H370" s="1">
        <v>15.44</v>
      </c>
      <c r="I370" s="1">
        <f t="shared" si="27"/>
        <v>18.53</v>
      </c>
      <c r="J370" s="1" t="s">
        <v>1182</v>
      </c>
      <c r="K370" s="3">
        <f t="shared" si="28"/>
        <v>138.03397247999999</v>
      </c>
      <c r="L370" s="10">
        <f t="shared" si="29"/>
        <v>0.23369965526352132</v>
      </c>
      <c r="M370" s="18" t="str">
        <f>VLOOKUP(A370,Список!A:I,9,0)</f>
        <v>Основной ассортимент</v>
      </c>
      <c r="N370" s="12"/>
      <c r="O370" s="11"/>
    </row>
    <row r="371" spans="1:15" x14ac:dyDescent="0.25">
      <c r="A371" s="6">
        <v>3656</v>
      </c>
      <c r="B371" s="1" t="s">
        <v>375</v>
      </c>
      <c r="C371" s="3">
        <v>6.8298450000000006</v>
      </c>
      <c r="D371" s="1" t="s">
        <v>1182</v>
      </c>
      <c r="E371" s="3">
        <f t="shared" si="25"/>
        <v>107.1094540032</v>
      </c>
      <c r="F371" s="3">
        <v>87.761706067415716</v>
      </c>
      <c r="G371" s="4">
        <f t="shared" si="26"/>
        <v>107.1094540032</v>
      </c>
      <c r="H371" s="1">
        <v>16.66</v>
      </c>
      <c r="I371" s="1">
        <f t="shared" si="27"/>
        <v>19.989999999999998</v>
      </c>
      <c r="J371" s="1" t="s">
        <v>1182</v>
      </c>
      <c r="K371" s="3">
        <f t="shared" si="28"/>
        <v>148.90982783999996</v>
      </c>
      <c r="L371" s="10">
        <f t="shared" si="29"/>
        <v>0.39025849049282924</v>
      </c>
      <c r="M371" s="18" t="str">
        <f>VLOOKUP(A371,Список!A:I,9,0)</f>
        <v>Основной ассортимент</v>
      </c>
      <c r="N371" s="12"/>
      <c r="O371" s="11"/>
    </row>
    <row r="372" spans="1:15" x14ac:dyDescent="0.25">
      <c r="A372" s="6">
        <v>3650</v>
      </c>
      <c r="B372" s="1" t="s">
        <v>376</v>
      </c>
      <c r="C372" s="3">
        <v>12.417899999999999</v>
      </c>
      <c r="D372" s="1" t="s">
        <v>1182</v>
      </c>
      <c r="E372" s="3">
        <f t="shared" si="25"/>
        <v>194.74446182399996</v>
      </c>
      <c r="F372" s="3">
        <v>165.91805958291954</v>
      </c>
      <c r="G372" s="4">
        <f t="shared" si="26"/>
        <v>194.74446182399996</v>
      </c>
      <c r="H372" s="1">
        <v>30.6</v>
      </c>
      <c r="I372" s="1">
        <f t="shared" si="27"/>
        <v>36.72</v>
      </c>
      <c r="J372" s="1" t="s">
        <v>1182</v>
      </c>
      <c r="K372" s="3">
        <f t="shared" si="28"/>
        <v>273.53521151999996</v>
      </c>
      <c r="L372" s="10">
        <f t="shared" si="29"/>
        <v>0.40458531635783834</v>
      </c>
      <c r="M372" s="18" t="str">
        <f>VLOOKUP(A372,Список!A:I,9,0)</f>
        <v>Основной ассортимент</v>
      </c>
      <c r="N372" s="12"/>
      <c r="O372" s="11"/>
    </row>
    <row r="373" spans="1:15" x14ac:dyDescent="0.25">
      <c r="A373" s="6">
        <v>3651</v>
      </c>
      <c r="B373" s="1" t="s">
        <v>377</v>
      </c>
      <c r="C373" s="3">
        <v>20.489534999999997</v>
      </c>
      <c r="D373" s="1" t="s">
        <v>1182</v>
      </c>
      <c r="E373" s="3">
        <f t="shared" si="25"/>
        <v>321.32836200959991</v>
      </c>
      <c r="F373" s="3">
        <v>254.26090243902436</v>
      </c>
      <c r="G373" s="4">
        <f t="shared" si="26"/>
        <v>321.32836200959991</v>
      </c>
      <c r="H373" s="1">
        <v>50.34</v>
      </c>
      <c r="I373" s="1">
        <f t="shared" si="27"/>
        <v>60.41</v>
      </c>
      <c r="J373" s="1" t="s">
        <v>1182</v>
      </c>
      <c r="K373" s="3">
        <f t="shared" si="28"/>
        <v>450.00713855999993</v>
      </c>
      <c r="L373" s="10">
        <f t="shared" si="29"/>
        <v>0.40045881958765794</v>
      </c>
      <c r="M373" s="18" t="str">
        <f>VLOOKUP(A373,Список!A:I,9,0)</f>
        <v>Основной ассортимент</v>
      </c>
      <c r="N373" s="12"/>
      <c r="O373" s="11"/>
    </row>
    <row r="374" spans="1:15" x14ac:dyDescent="0.25">
      <c r="A374" s="6">
        <v>3652</v>
      </c>
      <c r="B374" s="1" t="s">
        <v>378</v>
      </c>
      <c r="C374" s="3">
        <v>31.665645000000001</v>
      </c>
      <c r="D374" s="1" t="s">
        <v>1182</v>
      </c>
      <c r="E374" s="3">
        <f t="shared" si="25"/>
        <v>496.59837765119994</v>
      </c>
      <c r="F374" s="3">
        <v>392.28043943661976</v>
      </c>
      <c r="G374" s="4">
        <f t="shared" si="26"/>
        <v>496.59837765119994</v>
      </c>
      <c r="H374" s="1">
        <v>78.760000000000005</v>
      </c>
      <c r="I374" s="1">
        <f t="shared" si="27"/>
        <v>94.51</v>
      </c>
      <c r="J374" s="1" t="s">
        <v>1182</v>
      </c>
      <c r="K374" s="3">
        <f t="shared" si="28"/>
        <v>704.02540415999999</v>
      </c>
      <c r="L374" s="10">
        <f t="shared" si="29"/>
        <v>0.41769573934148529</v>
      </c>
      <c r="M374" s="18" t="str">
        <f>VLOOKUP(A374,Список!A:I,9,0)</f>
        <v>Основной ассортимент</v>
      </c>
      <c r="N374" s="12"/>
      <c r="O374" s="11"/>
    </row>
    <row r="375" spans="1:15" x14ac:dyDescent="0.25">
      <c r="A375" s="6">
        <v>3657</v>
      </c>
      <c r="B375" s="1" t="s">
        <v>379</v>
      </c>
      <c r="C375" s="3">
        <v>4.02996</v>
      </c>
      <c r="D375" s="1" t="s">
        <v>1182</v>
      </c>
      <c r="E375" s="3">
        <f t="shared" si="25"/>
        <v>63.200089497599997</v>
      </c>
      <c r="F375" s="3">
        <v>55.303827179890021</v>
      </c>
      <c r="G375" s="4">
        <f t="shared" si="26"/>
        <v>63.200089497599997</v>
      </c>
      <c r="H375" s="1">
        <v>8.92</v>
      </c>
      <c r="I375" s="1">
        <f t="shared" si="27"/>
        <v>10.7</v>
      </c>
      <c r="J375" s="1" t="s">
        <v>1182</v>
      </c>
      <c r="K375" s="3">
        <f t="shared" si="28"/>
        <v>79.706611199999983</v>
      </c>
      <c r="L375" s="10">
        <f t="shared" si="29"/>
        <v>0.26117877100517117</v>
      </c>
      <c r="M375" s="18" t="str">
        <f>VLOOKUP(A375,Список!A:I,9,0)</f>
        <v>Основной ассортимент</v>
      </c>
      <c r="N375" s="12"/>
      <c r="O375" s="11"/>
    </row>
    <row r="376" spans="1:15" x14ac:dyDescent="0.25">
      <c r="A376" s="6">
        <v>3663</v>
      </c>
      <c r="B376" s="1" t="s">
        <v>380</v>
      </c>
      <c r="C376" s="3">
        <v>4.7797200000000002</v>
      </c>
      <c r="D376" s="1" t="s">
        <v>1182</v>
      </c>
      <c r="E376" s="3">
        <f t="shared" si="25"/>
        <v>74.958245683199991</v>
      </c>
      <c r="F376" s="3">
        <v>63.787961004143305</v>
      </c>
      <c r="G376" s="4">
        <f t="shared" si="26"/>
        <v>74.958245683199991</v>
      </c>
      <c r="H376" s="1">
        <v>10.210000000000001</v>
      </c>
      <c r="I376" s="1">
        <f t="shared" si="27"/>
        <v>12.25</v>
      </c>
      <c r="J376" s="1" t="s">
        <v>1182</v>
      </c>
      <c r="K376" s="3">
        <f t="shared" si="28"/>
        <v>91.252895999999978</v>
      </c>
      <c r="L376" s="10">
        <f t="shared" si="29"/>
        <v>0.21738302662080611</v>
      </c>
      <c r="M376" s="18" t="str">
        <f>VLOOKUP(A376,Список!A:I,9,0)</f>
        <v>Основной ассортимент</v>
      </c>
      <c r="N376" s="12"/>
      <c r="O376" s="11"/>
    </row>
    <row r="377" spans="1:15" x14ac:dyDescent="0.25">
      <c r="A377" s="6">
        <v>3665</v>
      </c>
      <c r="B377" s="1" t="s">
        <v>381</v>
      </c>
      <c r="C377" s="3">
        <v>7.2633000000000001</v>
      </c>
      <c r="D377" s="1" t="s">
        <v>1182</v>
      </c>
      <c r="E377" s="3">
        <f t="shared" si="25"/>
        <v>113.90713804799999</v>
      </c>
      <c r="F377" s="3">
        <v>96.566778376049967</v>
      </c>
      <c r="G377" s="4">
        <f t="shared" si="26"/>
        <v>113.90713804799999</v>
      </c>
      <c r="H377" s="1">
        <v>17.059999999999999</v>
      </c>
      <c r="I377" s="1">
        <f t="shared" si="27"/>
        <v>20.47</v>
      </c>
      <c r="J377" s="1" t="s">
        <v>1182</v>
      </c>
      <c r="K377" s="3">
        <f t="shared" si="28"/>
        <v>152.48545151999997</v>
      </c>
      <c r="L377" s="10">
        <f t="shared" si="29"/>
        <v>0.33868214172621247</v>
      </c>
      <c r="M377" s="18" t="str">
        <f>VLOOKUP(A377,Список!A:I,9,0)</f>
        <v>Основной ассортимент</v>
      </c>
      <c r="N377" s="12"/>
      <c r="O377" s="11"/>
    </row>
    <row r="378" spans="1:15" x14ac:dyDescent="0.25">
      <c r="A378" s="6">
        <v>3664</v>
      </c>
      <c r="B378" s="1" t="s">
        <v>382</v>
      </c>
      <c r="C378" s="3">
        <v>5.2717499999999999</v>
      </c>
      <c r="D378" s="1" t="s">
        <v>1182</v>
      </c>
      <c r="E378" s="3">
        <f t="shared" si="25"/>
        <v>82.674535679999991</v>
      </c>
      <c r="F378" s="3">
        <v>71.242811594202891</v>
      </c>
      <c r="G378" s="4">
        <f t="shared" si="26"/>
        <v>82.674535679999991</v>
      </c>
      <c r="H378" s="1">
        <v>14.67</v>
      </c>
      <c r="I378" s="1">
        <f t="shared" si="27"/>
        <v>17.600000000000001</v>
      </c>
      <c r="J378" s="1" t="s">
        <v>1182</v>
      </c>
      <c r="K378" s="3">
        <f t="shared" si="28"/>
        <v>131.10620159999999</v>
      </c>
      <c r="L378" s="10">
        <f t="shared" si="29"/>
        <v>0.58581116327595217</v>
      </c>
      <c r="M378" s="18" t="str">
        <f>VLOOKUP(A378,Список!A:I,9,0)</f>
        <v>Основной ассортимент</v>
      </c>
      <c r="N378" s="12"/>
      <c r="O378" s="11"/>
    </row>
    <row r="379" spans="1:15" x14ac:dyDescent="0.25">
      <c r="A379" s="6">
        <v>3658</v>
      </c>
      <c r="B379" s="1" t="s">
        <v>383</v>
      </c>
      <c r="C379" s="3">
        <v>5.5880549999999998</v>
      </c>
      <c r="D379" s="1" t="s">
        <v>1182</v>
      </c>
      <c r="E379" s="3">
        <f t="shared" si="25"/>
        <v>87.635007820799999</v>
      </c>
      <c r="F379" s="3">
        <v>75.536375510204081</v>
      </c>
      <c r="G379" s="4">
        <f t="shared" si="26"/>
        <v>87.635007820799999</v>
      </c>
      <c r="H379" s="1">
        <v>12.24</v>
      </c>
      <c r="I379" s="1">
        <f t="shared" si="27"/>
        <v>14.69</v>
      </c>
      <c r="J379" s="1" t="s">
        <v>1182</v>
      </c>
      <c r="K379" s="3">
        <f t="shared" si="28"/>
        <v>109.42898303999999</v>
      </c>
      <c r="L379" s="10">
        <f t="shared" si="29"/>
        <v>0.24869028669188098</v>
      </c>
      <c r="M379" s="18" t="str">
        <f>VLOOKUP(A379,Список!A:I,9,0)</f>
        <v>Основной ассортимент</v>
      </c>
      <c r="N379" s="12"/>
      <c r="O379" s="11"/>
    </row>
    <row r="380" spans="1:15" x14ac:dyDescent="0.25">
      <c r="A380" s="6">
        <v>3659</v>
      </c>
      <c r="B380" s="1" t="s">
        <v>384</v>
      </c>
      <c r="C380" s="3">
        <v>7.4507400000000006</v>
      </c>
      <c r="D380" s="1" t="s">
        <v>1182</v>
      </c>
      <c r="E380" s="3">
        <f t="shared" si="25"/>
        <v>116.84667709440001</v>
      </c>
      <c r="F380" s="3">
        <v>100.65242624889153</v>
      </c>
      <c r="G380" s="4">
        <f t="shared" si="26"/>
        <v>116.84667709440001</v>
      </c>
      <c r="H380" s="1">
        <v>17</v>
      </c>
      <c r="I380" s="1">
        <f t="shared" si="27"/>
        <v>20.399999999999999</v>
      </c>
      <c r="J380" s="1" t="s">
        <v>1182</v>
      </c>
      <c r="K380" s="3">
        <f t="shared" si="28"/>
        <v>151.96400639999996</v>
      </c>
      <c r="L380" s="10">
        <f t="shared" si="29"/>
        <v>0.30054195959059049</v>
      </c>
      <c r="M380" s="18" t="str">
        <f>VLOOKUP(A380,Список!A:I,9,0)</f>
        <v>Основной ассортимент</v>
      </c>
      <c r="N380" s="12"/>
      <c r="O380" s="11"/>
    </row>
    <row r="381" spans="1:15" x14ac:dyDescent="0.25">
      <c r="A381" s="6">
        <v>3666</v>
      </c>
      <c r="B381" s="1" t="s">
        <v>385</v>
      </c>
      <c r="C381" s="3">
        <v>7.1344349999999999</v>
      </c>
      <c r="D381" s="1" t="s">
        <v>1182</v>
      </c>
      <c r="E381" s="3">
        <f t="shared" si="25"/>
        <v>111.88620495359999</v>
      </c>
      <c r="F381" s="3">
        <v>100.84611794228357</v>
      </c>
      <c r="G381" s="4">
        <f t="shared" si="26"/>
        <v>111.88620495359999</v>
      </c>
      <c r="H381" s="1">
        <v>18.649999999999999</v>
      </c>
      <c r="I381" s="1">
        <f t="shared" si="27"/>
        <v>22.38</v>
      </c>
      <c r="J381" s="1" t="s">
        <v>1182</v>
      </c>
      <c r="K381" s="3">
        <f t="shared" si="28"/>
        <v>166.71345407999996</v>
      </c>
      <c r="L381" s="10">
        <f t="shared" si="29"/>
        <v>0.49002689070683236</v>
      </c>
      <c r="M381" s="18" t="str">
        <f>VLOOKUP(A381,Список!A:I,9,0)</f>
        <v>Основной ассортимент</v>
      </c>
      <c r="N381" s="12"/>
      <c r="O381" s="11"/>
    </row>
    <row r="382" spans="1:15" x14ac:dyDescent="0.25">
      <c r="A382" s="6">
        <v>3660</v>
      </c>
      <c r="B382" s="1" t="s">
        <v>386</v>
      </c>
      <c r="C382" s="3">
        <v>13.659690000000001</v>
      </c>
      <c r="D382" s="1" t="s">
        <v>1182</v>
      </c>
      <c r="E382" s="3">
        <f t="shared" si="25"/>
        <v>214.2189080064</v>
      </c>
      <c r="F382" s="3">
        <v>182.14751077460687</v>
      </c>
      <c r="G382" s="4">
        <f t="shared" si="26"/>
        <v>214.2189080064</v>
      </c>
      <c r="H382" s="1">
        <v>31.25</v>
      </c>
      <c r="I382" s="1">
        <f t="shared" si="27"/>
        <v>37.5</v>
      </c>
      <c r="J382" s="1" t="s">
        <v>1182</v>
      </c>
      <c r="K382" s="3">
        <f t="shared" si="28"/>
        <v>279.34559999999999</v>
      </c>
      <c r="L382" s="10">
        <f t="shared" si="29"/>
        <v>0.30401934450928247</v>
      </c>
      <c r="M382" s="18" t="str">
        <f>VLOOKUP(A382,Список!A:I,9,0)</f>
        <v>Основной ассортимент</v>
      </c>
      <c r="N382" s="12"/>
      <c r="O382" s="11"/>
    </row>
    <row r="383" spans="1:15" x14ac:dyDescent="0.25">
      <c r="A383" s="6">
        <v>3661</v>
      </c>
      <c r="B383" s="1" t="s">
        <v>387</v>
      </c>
      <c r="C383" s="3">
        <v>21.731325000000002</v>
      </c>
      <c r="D383" s="1" t="s">
        <v>1182</v>
      </c>
      <c r="E383" s="3">
        <f t="shared" si="25"/>
        <v>340.80280819199999</v>
      </c>
      <c r="F383" s="3">
        <v>277.40775544041452</v>
      </c>
      <c r="G383" s="4">
        <f t="shared" si="26"/>
        <v>340.80280819199999</v>
      </c>
      <c r="H383" s="1">
        <v>53.57</v>
      </c>
      <c r="I383" s="1">
        <f t="shared" si="27"/>
        <v>64.28</v>
      </c>
      <c r="J383" s="1" t="s">
        <v>1182</v>
      </c>
      <c r="K383" s="3">
        <f t="shared" si="28"/>
        <v>478.83560447999997</v>
      </c>
      <c r="L383" s="10">
        <f t="shared" si="29"/>
        <v>0.40502247331904528</v>
      </c>
      <c r="M383" s="18" t="str">
        <f>VLOOKUP(A383,Список!A:I,9,0)</f>
        <v>Основной ассортимент</v>
      </c>
      <c r="N383" s="12"/>
      <c r="O383" s="11"/>
    </row>
    <row r="384" spans="1:15" x14ac:dyDescent="0.25">
      <c r="A384" s="6">
        <v>3662</v>
      </c>
      <c r="B384" s="1" t="s">
        <v>388</v>
      </c>
      <c r="C384" s="3">
        <v>34.711545000000001</v>
      </c>
      <c r="D384" s="1" t="s">
        <v>1182</v>
      </c>
      <c r="E384" s="3">
        <f t="shared" si="25"/>
        <v>544.36588715519997</v>
      </c>
      <c r="F384" s="3">
        <v>460.51115151515148</v>
      </c>
      <c r="G384" s="4">
        <f t="shared" si="26"/>
        <v>544.36588715519997</v>
      </c>
      <c r="H384" s="1">
        <v>82.72</v>
      </c>
      <c r="I384" s="1">
        <f t="shared" si="27"/>
        <v>99.26</v>
      </c>
      <c r="J384" s="1" t="s">
        <v>1182</v>
      </c>
      <c r="K384" s="3">
        <f t="shared" si="28"/>
        <v>739.40918016000001</v>
      </c>
      <c r="L384" s="10">
        <f t="shared" si="29"/>
        <v>0.3582944809860813</v>
      </c>
      <c r="M384" s="18" t="str">
        <f>VLOOKUP(A384,Список!A:I,9,0)</f>
        <v>Основной ассортимент</v>
      </c>
      <c r="N384" s="12"/>
      <c r="O384" s="11"/>
    </row>
    <row r="385" spans="1:15" x14ac:dyDescent="0.25">
      <c r="A385" s="6">
        <v>3625</v>
      </c>
      <c r="B385" s="1" t="s">
        <v>389</v>
      </c>
      <c r="C385" s="3">
        <v>7.4817600000000013</v>
      </c>
      <c r="D385" s="1" t="s">
        <v>1182</v>
      </c>
      <c r="E385" s="3">
        <f t="shared" si="25"/>
        <v>117.3331501056</v>
      </c>
      <c r="F385" s="3">
        <v>98.128964230171064</v>
      </c>
      <c r="G385" s="4">
        <f t="shared" si="26"/>
        <v>117.3331501056</v>
      </c>
      <c r="H385" s="1">
        <v>16.14</v>
      </c>
      <c r="I385" s="1">
        <f t="shared" si="27"/>
        <v>19.37</v>
      </c>
      <c r="J385" s="1" t="s">
        <v>1182</v>
      </c>
      <c r="K385" s="3">
        <f t="shared" si="28"/>
        <v>144.29131391999999</v>
      </c>
      <c r="L385" s="10">
        <f t="shared" si="29"/>
        <v>0.22975743675284965</v>
      </c>
      <c r="M385" s="18" t="str">
        <f>VLOOKUP(A385,Список!A:I,9,0)</f>
        <v>Основной ассортимент</v>
      </c>
      <c r="N385" s="12"/>
      <c r="O385" s="11"/>
    </row>
    <row r="386" spans="1:15" x14ac:dyDescent="0.25">
      <c r="A386" s="6">
        <v>3626</v>
      </c>
      <c r="B386" s="1" t="s">
        <v>390</v>
      </c>
      <c r="C386" s="3">
        <v>8.6327999999999996</v>
      </c>
      <c r="D386" s="1" t="s">
        <v>1182</v>
      </c>
      <c r="E386" s="3">
        <f t="shared" si="25"/>
        <v>135.38440396799999</v>
      </c>
      <c r="F386" s="3">
        <v>123.28218082191781</v>
      </c>
      <c r="G386" s="4">
        <f t="shared" si="26"/>
        <v>135.38440396799999</v>
      </c>
      <c r="H386" s="1">
        <v>18.23</v>
      </c>
      <c r="I386" s="1">
        <f t="shared" si="27"/>
        <v>21.88</v>
      </c>
      <c r="J386" s="1" t="s">
        <v>1182</v>
      </c>
      <c r="K386" s="3">
        <f t="shared" si="28"/>
        <v>162.98884607999997</v>
      </c>
      <c r="L386" s="10">
        <f t="shared" si="29"/>
        <v>0.20389676582337124</v>
      </c>
      <c r="M386" s="18" t="str">
        <f>VLOOKUP(A386,Список!A:I,9,0)</f>
        <v>Основной ассортимент</v>
      </c>
      <c r="N386" s="12"/>
      <c r="O386" s="11"/>
    </row>
    <row r="387" spans="1:15" x14ac:dyDescent="0.25">
      <c r="A387" s="6">
        <v>3627</v>
      </c>
      <c r="B387" s="1" t="s">
        <v>391</v>
      </c>
      <c r="C387" s="3">
        <v>10.32339</v>
      </c>
      <c r="D387" s="1" t="s">
        <v>1182</v>
      </c>
      <c r="E387" s="3">
        <f t="shared" si="25"/>
        <v>161.89718307839999</v>
      </c>
      <c r="F387" s="3">
        <v>147.37241739130437</v>
      </c>
      <c r="G387" s="4">
        <f t="shared" si="26"/>
        <v>161.89718307839999</v>
      </c>
      <c r="H387" s="1">
        <v>22.08</v>
      </c>
      <c r="I387" s="1">
        <f t="shared" si="27"/>
        <v>26.5</v>
      </c>
      <c r="J387" s="1" t="s">
        <v>1182</v>
      </c>
      <c r="K387" s="3">
        <f t="shared" si="28"/>
        <v>197.40422399999997</v>
      </c>
      <c r="L387" s="10">
        <f t="shared" si="29"/>
        <v>0.21931846031197111</v>
      </c>
      <c r="M387" s="18" t="str">
        <f>VLOOKUP(A387,Список!A:I,9,0)</f>
        <v>Основной ассортимент</v>
      </c>
      <c r="N387" s="12"/>
      <c r="O387" s="11"/>
    </row>
    <row r="388" spans="1:15" x14ac:dyDescent="0.25">
      <c r="A388" s="6">
        <v>3675</v>
      </c>
      <c r="B388" s="1" t="s">
        <v>392</v>
      </c>
      <c r="C388" s="3">
        <v>8.2005000000000008E-2</v>
      </c>
      <c r="D388" s="1" t="s">
        <v>1182</v>
      </c>
      <c r="E388" s="3">
        <f t="shared" si="25"/>
        <v>1.2860483327999999</v>
      </c>
      <c r="F388" s="3">
        <v>1.0841390356487404</v>
      </c>
      <c r="G388" s="4">
        <f t="shared" si="26"/>
        <v>1.2860483327999999</v>
      </c>
      <c r="H388" s="1">
        <v>0.19</v>
      </c>
      <c r="I388" s="1">
        <f t="shared" si="27"/>
        <v>0.23</v>
      </c>
      <c r="J388" s="1" t="s">
        <v>1182</v>
      </c>
      <c r="K388" s="3">
        <f t="shared" si="28"/>
        <v>1.7133196799999999</v>
      </c>
      <c r="L388" s="10">
        <f t="shared" si="29"/>
        <v>0.33223583927809286</v>
      </c>
      <c r="M388" s="18" t="str">
        <f>VLOOKUP(A388,Список!A:I,9,0)</f>
        <v>Основной ассортимент</v>
      </c>
      <c r="N388" s="12"/>
      <c r="O388" s="11"/>
    </row>
    <row r="389" spans="1:15" x14ac:dyDescent="0.25">
      <c r="A389" s="6">
        <v>3676</v>
      </c>
      <c r="B389" s="1" t="s">
        <v>393</v>
      </c>
      <c r="C389" s="3">
        <v>0.14058000000000001</v>
      </c>
      <c r="D389" s="1" t="s">
        <v>1182</v>
      </c>
      <c r="E389" s="3">
        <f t="shared" si="25"/>
        <v>2.2046542848000001</v>
      </c>
      <c r="F389" s="3">
        <v>1.9420086302552089</v>
      </c>
      <c r="G389" s="4">
        <f t="shared" si="26"/>
        <v>2.2046542848000001</v>
      </c>
      <c r="H389" s="1">
        <v>0.35</v>
      </c>
      <c r="I389" s="1">
        <f t="shared" si="27"/>
        <v>0.42</v>
      </c>
      <c r="J389" s="1" t="s">
        <v>1182</v>
      </c>
      <c r="K389" s="3">
        <f t="shared" si="28"/>
        <v>3.1286707199999997</v>
      </c>
      <c r="L389" s="10">
        <f t="shared" si="29"/>
        <v>0.41912078531796815</v>
      </c>
      <c r="M389" s="18" t="str">
        <f>VLOOKUP(A389,Список!A:I,9,0)</f>
        <v>Основной ассортимент</v>
      </c>
      <c r="N389" s="12"/>
      <c r="O389" s="11"/>
    </row>
    <row r="390" spans="1:15" x14ac:dyDescent="0.25">
      <c r="A390" s="6">
        <v>3677</v>
      </c>
      <c r="B390" s="1" t="s">
        <v>394</v>
      </c>
      <c r="C390" s="3">
        <v>0.24601499999999998</v>
      </c>
      <c r="D390" s="1" t="s">
        <v>1182</v>
      </c>
      <c r="E390" s="3">
        <f t="shared" ref="E390:E453" si="30">IF(D390="RUB",C390*1.2,C390*$E$2*1.2)</f>
        <v>3.8581449983999994</v>
      </c>
      <c r="F390" s="3">
        <v>3.4403206568712186</v>
      </c>
      <c r="G390" s="4">
        <f t="shared" ref="G390:G453" si="31">IF(M390="Вывод из ассортимента",F390,MAX(E390,F390))</f>
        <v>3.8581449983999994</v>
      </c>
      <c r="H390" s="1">
        <v>0.63</v>
      </c>
      <c r="I390" s="1">
        <f t="shared" ref="I390:I453" si="32">ROUND(H390*1.2,2)</f>
        <v>0.76</v>
      </c>
      <c r="J390" s="1" t="s">
        <v>1182</v>
      </c>
      <c r="K390" s="3">
        <f t="shared" ref="K390:K453" si="33">IF(J390="RUB",I390*$K$4,I390*$E$2*$K$4)</f>
        <v>5.6614041599999991</v>
      </c>
      <c r="L390" s="10">
        <f t="shared" ref="L390:L453" si="34">K390/E390-1</f>
        <v>0.46739019978456597</v>
      </c>
      <c r="M390" s="18" t="str">
        <f>VLOOKUP(A390,Список!A:I,9,0)</f>
        <v>Основной ассортимент</v>
      </c>
      <c r="N390" s="12"/>
      <c r="O390" s="11"/>
    </row>
    <row r="391" spans="1:15" x14ac:dyDescent="0.25">
      <c r="A391" s="6">
        <v>3678</v>
      </c>
      <c r="B391" s="1" t="s">
        <v>395</v>
      </c>
      <c r="C391" s="3">
        <v>0.52717500000000006</v>
      </c>
      <c r="D391" s="1" t="s">
        <v>1182</v>
      </c>
      <c r="E391" s="3">
        <f t="shared" si="30"/>
        <v>8.2674535680000005</v>
      </c>
      <c r="F391" s="3">
        <v>7.2280468521229864</v>
      </c>
      <c r="G391" s="4">
        <f t="shared" si="31"/>
        <v>8.2674535680000005</v>
      </c>
      <c r="H391" s="1">
        <v>1.1399999999999999</v>
      </c>
      <c r="I391" s="1">
        <f t="shared" si="32"/>
        <v>1.37</v>
      </c>
      <c r="J391" s="1" t="s">
        <v>1182</v>
      </c>
      <c r="K391" s="3">
        <f t="shared" si="33"/>
        <v>10.20542592</v>
      </c>
      <c r="L391" s="10">
        <f t="shared" si="34"/>
        <v>0.23440982595912163</v>
      </c>
      <c r="M391" s="18" t="str">
        <f>VLOOKUP(A391,Список!A:I,9,0)</f>
        <v>Основной ассортимент</v>
      </c>
      <c r="N391" s="12"/>
      <c r="O391" s="11"/>
    </row>
    <row r="392" spans="1:15" x14ac:dyDescent="0.25">
      <c r="A392" s="6">
        <v>3679</v>
      </c>
      <c r="B392" s="1" t="s">
        <v>396</v>
      </c>
      <c r="C392" s="3">
        <v>0.64432500000000015</v>
      </c>
      <c r="D392" s="1" t="s">
        <v>1182</v>
      </c>
      <c r="E392" s="3">
        <f t="shared" si="30"/>
        <v>10.104665472000001</v>
      </c>
      <c r="F392" s="3">
        <v>8.1547936507936498</v>
      </c>
      <c r="G392" s="4">
        <f t="shared" si="31"/>
        <v>10.104665472000001</v>
      </c>
      <c r="H392" s="1">
        <v>1.78</v>
      </c>
      <c r="I392" s="1">
        <f t="shared" si="32"/>
        <v>2.14</v>
      </c>
      <c r="J392" s="1" t="s">
        <v>1182</v>
      </c>
      <c r="K392" s="3">
        <f t="shared" si="33"/>
        <v>15.941322239999998</v>
      </c>
      <c r="L392" s="10">
        <f t="shared" si="34"/>
        <v>0.57761998991192298</v>
      </c>
      <c r="M392" s="18" t="str">
        <f>VLOOKUP(A392,Список!A:I,9,0)</f>
        <v>Основной ассортимент</v>
      </c>
      <c r="N392" s="12"/>
      <c r="O392" s="11"/>
    </row>
    <row r="393" spans="1:15" x14ac:dyDescent="0.25">
      <c r="A393" s="6">
        <v>3680</v>
      </c>
      <c r="B393" s="1" t="s">
        <v>397</v>
      </c>
      <c r="C393" s="3">
        <v>1.1246400000000001</v>
      </c>
      <c r="D393" s="1" t="s">
        <v>1182</v>
      </c>
      <c r="E393" s="3">
        <f t="shared" si="30"/>
        <v>17.637234278400001</v>
      </c>
      <c r="F393" s="3">
        <v>15.335251264755481</v>
      </c>
      <c r="G393" s="4">
        <f t="shared" si="31"/>
        <v>17.637234278400001</v>
      </c>
      <c r="H393" s="1">
        <v>3.69</v>
      </c>
      <c r="I393" s="1">
        <f t="shared" si="32"/>
        <v>4.43</v>
      </c>
      <c r="J393" s="1" t="s">
        <v>1182</v>
      </c>
      <c r="K393" s="3">
        <f t="shared" si="33"/>
        <v>33.000026879999993</v>
      </c>
      <c r="L393" s="10">
        <f t="shared" si="34"/>
        <v>0.87104317826148758</v>
      </c>
      <c r="M393" s="18" t="str">
        <f>VLOOKUP(A393,Список!A:I,9,0)</f>
        <v>Основной ассортимент</v>
      </c>
      <c r="N393" s="12"/>
      <c r="O393" s="11"/>
    </row>
    <row r="394" spans="1:15" x14ac:dyDescent="0.25">
      <c r="A394" s="6">
        <v>3684</v>
      </c>
      <c r="B394" s="1" t="s">
        <v>398</v>
      </c>
      <c r="C394" s="3">
        <v>0.11715</v>
      </c>
      <c r="D394" s="1" t="s">
        <v>1182</v>
      </c>
      <c r="E394" s="3">
        <f t="shared" si="30"/>
        <v>1.8372119039999999</v>
      </c>
      <c r="F394" s="3">
        <v>1.7589335111703901</v>
      </c>
      <c r="G394" s="4">
        <f t="shared" si="31"/>
        <v>1.8372119039999999</v>
      </c>
      <c r="H394" s="1">
        <v>0.28999999999999998</v>
      </c>
      <c r="I394" s="1">
        <f t="shared" si="32"/>
        <v>0.35</v>
      </c>
      <c r="J394" s="1" t="s">
        <v>1182</v>
      </c>
      <c r="K394" s="3">
        <f t="shared" si="33"/>
        <v>2.6072255999999996</v>
      </c>
      <c r="L394" s="10">
        <f t="shared" si="34"/>
        <v>0.41912078531796837</v>
      </c>
      <c r="M394" s="18" t="str">
        <f>VLOOKUP(A394,Список!A:I,9,0)</f>
        <v>Основной ассортимент</v>
      </c>
      <c r="N394" s="12"/>
      <c r="O394" s="11"/>
    </row>
    <row r="395" spans="1:15" x14ac:dyDescent="0.25">
      <c r="A395" s="6">
        <v>3685</v>
      </c>
      <c r="B395" s="1" t="s">
        <v>399</v>
      </c>
      <c r="C395" s="3">
        <v>0.14058000000000001</v>
      </c>
      <c r="D395" s="1" t="s">
        <v>1182</v>
      </c>
      <c r="E395" s="3">
        <f t="shared" si="30"/>
        <v>2.2046542848000001</v>
      </c>
      <c r="F395" s="3">
        <v>1.6322512676056335</v>
      </c>
      <c r="G395" s="4">
        <f t="shared" si="31"/>
        <v>2.2046542848000001</v>
      </c>
      <c r="H395" s="1">
        <v>0.33</v>
      </c>
      <c r="I395" s="1">
        <f t="shared" si="32"/>
        <v>0.4</v>
      </c>
      <c r="J395" s="1" t="s">
        <v>1182</v>
      </c>
      <c r="K395" s="3">
        <f t="shared" si="33"/>
        <v>2.9796863999999998</v>
      </c>
      <c r="L395" s="10">
        <f t="shared" si="34"/>
        <v>0.35154360506473159</v>
      </c>
      <c r="M395" s="18" t="str">
        <f>VLOOKUP(A395,Список!A:I,9,0)</f>
        <v>Основной ассортимент</v>
      </c>
      <c r="N395" s="12"/>
      <c r="O395" s="11"/>
    </row>
    <row r="396" spans="1:15" x14ac:dyDescent="0.25">
      <c r="A396" s="6">
        <v>3634</v>
      </c>
      <c r="B396" s="1" t="s">
        <v>400</v>
      </c>
      <c r="C396" s="3">
        <v>36.338272117900452</v>
      </c>
      <c r="D396" s="1" t="s">
        <v>1172</v>
      </c>
      <c r="E396" s="3">
        <f t="shared" si="30"/>
        <v>43.605926541480542</v>
      </c>
      <c r="F396" s="3">
        <v>40.468139037433147</v>
      </c>
      <c r="G396" s="4">
        <f t="shared" si="31"/>
        <v>43.605926541480542</v>
      </c>
      <c r="H396" s="1">
        <v>79.56</v>
      </c>
      <c r="I396" s="1">
        <f t="shared" si="32"/>
        <v>95.47</v>
      </c>
      <c r="J396" s="1" t="s">
        <v>1172</v>
      </c>
      <c r="K396" s="3">
        <f t="shared" si="33"/>
        <v>54.417899999999996</v>
      </c>
      <c r="L396" s="10">
        <f t="shared" si="34"/>
        <v>0.24794733918185319</v>
      </c>
      <c r="M396" s="18" t="str">
        <f>VLOOKUP(A396,Список!A:I,9,0)</f>
        <v>Основной ассортимент</v>
      </c>
      <c r="N396" s="12"/>
      <c r="O396" s="11"/>
    </row>
    <row r="397" spans="1:15" x14ac:dyDescent="0.25">
      <c r="A397" s="6">
        <v>3635</v>
      </c>
      <c r="B397" s="1" t="s">
        <v>401</v>
      </c>
      <c r="C397" s="3">
        <v>66.270273511025138</v>
      </c>
      <c r="D397" s="1" t="s">
        <v>1172</v>
      </c>
      <c r="E397" s="3">
        <f t="shared" si="30"/>
        <v>79.524328213230163</v>
      </c>
      <c r="F397" s="3">
        <v>73.897946611909646</v>
      </c>
      <c r="G397" s="4">
        <f t="shared" si="31"/>
        <v>79.524328213230163</v>
      </c>
      <c r="H397" s="1">
        <v>145.1</v>
      </c>
      <c r="I397" s="1">
        <f t="shared" si="32"/>
        <v>174.12</v>
      </c>
      <c r="J397" s="1" t="s">
        <v>1172</v>
      </c>
      <c r="K397" s="3">
        <f t="shared" si="33"/>
        <v>99.24839999999999</v>
      </c>
      <c r="L397" s="10">
        <f t="shared" si="34"/>
        <v>0.24802563228051766</v>
      </c>
      <c r="M397" s="18" t="str">
        <f>VLOOKUP(A397,Список!A:I,9,0)</f>
        <v>Основной ассортимент</v>
      </c>
      <c r="N397" s="12"/>
      <c r="O397" s="11"/>
    </row>
    <row r="398" spans="1:15" x14ac:dyDescent="0.25">
      <c r="A398" s="6">
        <v>3636</v>
      </c>
      <c r="B398" s="1" t="s">
        <v>402</v>
      </c>
      <c r="C398" s="3">
        <v>126.12345489402315</v>
      </c>
      <c r="D398" s="1" t="s">
        <v>1172</v>
      </c>
      <c r="E398" s="3">
        <f t="shared" si="30"/>
        <v>151.34814587282779</v>
      </c>
      <c r="F398" s="3">
        <v>139.12780110497238</v>
      </c>
      <c r="G398" s="4">
        <f t="shared" si="31"/>
        <v>151.34814587282779</v>
      </c>
      <c r="H398" s="1">
        <v>276.14</v>
      </c>
      <c r="I398" s="1">
        <f t="shared" si="32"/>
        <v>331.37</v>
      </c>
      <c r="J398" s="1" t="s">
        <v>1172</v>
      </c>
      <c r="K398" s="3">
        <f t="shared" si="33"/>
        <v>188.8809</v>
      </c>
      <c r="L398" s="10">
        <f t="shared" si="34"/>
        <v>0.24798952052382317</v>
      </c>
      <c r="M398" s="18" t="str">
        <f>VLOOKUP(A398,Список!A:I,9,0)</f>
        <v>Основной ассортимент</v>
      </c>
      <c r="N398" s="12"/>
      <c r="O398" s="11"/>
    </row>
    <row r="399" spans="1:15" x14ac:dyDescent="0.25">
      <c r="A399" s="6">
        <v>3637</v>
      </c>
      <c r="B399" s="1" t="s">
        <v>403</v>
      </c>
      <c r="C399" s="3">
        <v>258.25278859252359</v>
      </c>
      <c r="D399" s="1" t="s">
        <v>1172</v>
      </c>
      <c r="E399" s="3">
        <f t="shared" si="30"/>
        <v>309.90334631102832</v>
      </c>
      <c r="F399" s="3">
        <v>275.97910182767623</v>
      </c>
      <c r="G399" s="4">
        <f t="shared" si="31"/>
        <v>309.90334631102832</v>
      </c>
      <c r="H399" s="1">
        <v>565.44000000000005</v>
      </c>
      <c r="I399" s="1">
        <f t="shared" si="32"/>
        <v>678.53</v>
      </c>
      <c r="J399" s="1" t="s">
        <v>1172</v>
      </c>
      <c r="K399" s="3">
        <f t="shared" si="33"/>
        <v>386.76209999999998</v>
      </c>
      <c r="L399" s="10">
        <f t="shared" si="34"/>
        <v>0.24800878920434077</v>
      </c>
      <c r="M399" s="18" t="str">
        <f>VLOOKUP(A399,Список!A:I,9,0)</f>
        <v>Основной ассортимент</v>
      </c>
      <c r="N399" s="12"/>
      <c r="O399" s="11"/>
    </row>
    <row r="400" spans="1:15" x14ac:dyDescent="0.25">
      <c r="A400" s="6">
        <v>3538</v>
      </c>
      <c r="B400" s="1" t="s">
        <v>404</v>
      </c>
      <c r="C400" s="3">
        <v>0.35145000000000004</v>
      </c>
      <c r="D400" s="1" t="s">
        <v>1182</v>
      </c>
      <c r="E400" s="3">
        <f t="shared" si="30"/>
        <v>5.5116357120000004</v>
      </c>
      <c r="F400" s="3">
        <v>4.8817013922227561</v>
      </c>
      <c r="G400" s="4">
        <f t="shared" si="31"/>
        <v>5.5116357120000004</v>
      </c>
      <c r="H400" s="1">
        <v>1.07</v>
      </c>
      <c r="I400" s="1">
        <f t="shared" si="32"/>
        <v>1.28</v>
      </c>
      <c r="J400" s="1" t="s">
        <v>1182</v>
      </c>
      <c r="K400" s="3">
        <f t="shared" si="33"/>
        <v>9.5349964799999984</v>
      </c>
      <c r="L400" s="10">
        <f t="shared" si="34"/>
        <v>0.72997581448285631</v>
      </c>
      <c r="M400" s="18" t="str">
        <f>VLOOKUP(A400,Список!A:I,9,0)</f>
        <v>Основной ассортимент</v>
      </c>
      <c r="N400" s="12"/>
      <c r="O400" s="11"/>
    </row>
    <row r="401" spans="1:15" x14ac:dyDescent="0.25">
      <c r="A401" s="6">
        <v>3539</v>
      </c>
      <c r="B401" s="1" t="s">
        <v>405</v>
      </c>
      <c r="C401" s="3">
        <v>0.48031499999999994</v>
      </c>
      <c r="D401" s="1" t="s">
        <v>1182</v>
      </c>
      <c r="E401" s="3">
        <f t="shared" si="30"/>
        <v>7.5325688063999987</v>
      </c>
      <c r="F401" s="3">
        <v>7.1254649446494467</v>
      </c>
      <c r="G401" s="4">
        <f t="shared" si="31"/>
        <v>7.5325688063999987</v>
      </c>
      <c r="H401" s="1">
        <v>1.48</v>
      </c>
      <c r="I401" s="1">
        <f t="shared" si="32"/>
        <v>1.78</v>
      </c>
      <c r="J401" s="1" t="s">
        <v>1182</v>
      </c>
      <c r="K401" s="3">
        <f t="shared" si="33"/>
        <v>13.259604479999998</v>
      </c>
      <c r="L401" s="10">
        <f t="shared" si="34"/>
        <v>0.76030313440138242</v>
      </c>
      <c r="M401" s="18" t="str">
        <f>VLOOKUP(A401,Список!A:I,9,0)</f>
        <v>Основной ассортимент</v>
      </c>
      <c r="N401" s="12"/>
      <c r="O401" s="11"/>
    </row>
    <row r="402" spans="1:15" x14ac:dyDescent="0.25">
      <c r="A402" s="6">
        <v>3540</v>
      </c>
      <c r="B402" s="1" t="s">
        <v>406</v>
      </c>
      <c r="C402" s="3">
        <v>0.8434799999999999</v>
      </c>
      <c r="D402" s="1" t="s">
        <v>1182</v>
      </c>
      <c r="E402" s="3">
        <f t="shared" si="30"/>
        <v>13.227925708799999</v>
      </c>
      <c r="F402" s="3">
        <v>11.801917525773197</v>
      </c>
      <c r="G402" s="4">
        <f t="shared" si="31"/>
        <v>13.227925708799999</v>
      </c>
      <c r="H402" s="1">
        <v>2.79</v>
      </c>
      <c r="I402" s="1">
        <f t="shared" si="32"/>
        <v>3.35</v>
      </c>
      <c r="J402" s="1" t="s">
        <v>1182</v>
      </c>
      <c r="K402" s="3">
        <f t="shared" si="33"/>
        <v>24.954873599999996</v>
      </c>
      <c r="L402" s="10">
        <f t="shared" si="34"/>
        <v>0.88652961540285458</v>
      </c>
      <c r="M402" s="18" t="str">
        <f>VLOOKUP(A402,Список!A:I,9,0)</f>
        <v>Основной ассортимент</v>
      </c>
      <c r="N402" s="12"/>
      <c r="O402" s="11"/>
    </row>
    <row r="403" spans="1:15" x14ac:dyDescent="0.25">
      <c r="A403" s="6">
        <v>3486</v>
      </c>
      <c r="B403" s="1" t="s">
        <v>407</v>
      </c>
      <c r="C403" s="3">
        <v>0.11</v>
      </c>
      <c r="D403" s="1" t="s">
        <v>1182</v>
      </c>
      <c r="E403" s="3">
        <f t="shared" si="30"/>
        <v>1.7250816</v>
      </c>
      <c r="F403" s="3">
        <v>2.0308677701320437</v>
      </c>
      <c r="G403" s="4">
        <f t="shared" si="31"/>
        <v>2.0308677701320437</v>
      </c>
      <c r="H403" s="1">
        <v>0.26</v>
      </c>
      <c r="I403" s="1">
        <f t="shared" si="32"/>
        <v>0.31</v>
      </c>
      <c r="J403" s="1" t="s">
        <v>1182</v>
      </c>
      <c r="K403" s="3">
        <f t="shared" si="33"/>
        <v>2.3092569599999999</v>
      </c>
      <c r="L403" s="10">
        <f t="shared" si="34"/>
        <v>0.33863636363636362</v>
      </c>
      <c r="M403" s="18" t="str">
        <f>VLOOKUP(A403,Список!A:I,9,0)</f>
        <v>Основной ассортимент</v>
      </c>
      <c r="N403" s="12"/>
      <c r="O403" s="11"/>
    </row>
    <row r="404" spans="1:15" x14ac:dyDescent="0.25">
      <c r="A404" s="6">
        <v>3487</v>
      </c>
      <c r="B404" s="1" t="s">
        <v>408</v>
      </c>
      <c r="C404" s="3">
        <v>0.16</v>
      </c>
      <c r="D404" s="1" t="s">
        <v>1182</v>
      </c>
      <c r="E404" s="3">
        <f t="shared" si="30"/>
        <v>2.5092095999999997</v>
      </c>
      <c r="F404" s="3">
        <v>3.4335287587204903</v>
      </c>
      <c r="G404" s="4">
        <f t="shared" si="31"/>
        <v>3.4335287587204903</v>
      </c>
      <c r="H404" s="1">
        <v>0.45</v>
      </c>
      <c r="I404" s="1">
        <f t="shared" si="32"/>
        <v>0.54</v>
      </c>
      <c r="J404" s="1" t="s">
        <v>1182</v>
      </c>
      <c r="K404" s="3">
        <f t="shared" si="33"/>
        <v>4.0225766399999996</v>
      </c>
      <c r="L404" s="10">
        <f t="shared" si="34"/>
        <v>0.60312500000000013</v>
      </c>
      <c r="M404" s="18" t="str">
        <f>VLOOKUP(A404,Список!A:I,9,0)</f>
        <v>Основной ассортимент</v>
      </c>
      <c r="N404" s="12"/>
      <c r="O404" s="11"/>
    </row>
    <row r="405" spans="1:15" x14ac:dyDescent="0.25">
      <c r="A405" s="6">
        <v>3488</v>
      </c>
      <c r="B405" s="1" t="s">
        <v>409</v>
      </c>
      <c r="C405" s="3">
        <v>0.39831000000000005</v>
      </c>
      <c r="D405" s="1" t="s">
        <v>1182</v>
      </c>
      <c r="E405" s="3">
        <f t="shared" si="30"/>
        <v>6.2465204736000013</v>
      </c>
      <c r="F405" s="3">
        <v>5.4922165755521535</v>
      </c>
      <c r="G405" s="4">
        <f t="shared" si="31"/>
        <v>6.2465204736000013</v>
      </c>
      <c r="H405" s="1">
        <v>0.94</v>
      </c>
      <c r="I405" s="1">
        <f t="shared" si="32"/>
        <v>1.1299999999999999</v>
      </c>
      <c r="J405" s="1" t="s">
        <v>1182</v>
      </c>
      <c r="K405" s="3">
        <f t="shared" si="33"/>
        <v>8.4176140799999981</v>
      </c>
      <c r="L405" s="10">
        <f t="shared" si="34"/>
        <v>0.34756847681454084</v>
      </c>
      <c r="M405" s="18" t="str">
        <f>VLOOKUP(A405,Список!A:I,9,0)</f>
        <v>Основной ассортимент</v>
      </c>
      <c r="N405" s="12"/>
      <c r="O405" s="11"/>
    </row>
    <row r="406" spans="1:15" x14ac:dyDescent="0.25">
      <c r="A406" s="6">
        <v>3489</v>
      </c>
      <c r="B406" s="1" t="s">
        <v>410</v>
      </c>
      <c r="C406" s="3">
        <v>0.60918000000000005</v>
      </c>
      <c r="D406" s="1" t="s">
        <v>1182</v>
      </c>
      <c r="E406" s="3">
        <f t="shared" si="30"/>
        <v>9.5535019008000006</v>
      </c>
      <c r="F406" s="3">
        <v>8.1642078200321375</v>
      </c>
      <c r="G406" s="4">
        <f t="shared" si="31"/>
        <v>9.5535019008000006</v>
      </c>
      <c r="H406" s="1">
        <v>1.41</v>
      </c>
      <c r="I406" s="1">
        <f t="shared" si="32"/>
        <v>1.69</v>
      </c>
      <c r="J406" s="1" t="s">
        <v>1182</v>
      </c>
      <c r="K406" s="3">
        <f t="shared" si="33"/>
        <v>12.589175039999997</v>
      </c>
      <c r="L406" s="10">
        <f t="shared" si="34"/>
        <v>0.3177550149381132</v>
      </c>
      <c r="M406" s="18" t="str">
        <f>VLOOKUP(A406,Список!A:I,9,0)</f>
        <v>Основной ассортимент</v>
      </c>
      <c r="N406" s="12"/>
      <c r="O406" s="11"/>
    </row>
    <row r="407" spans="1:15" x14ac:dyDescent="0.25">
      <c r="A407" s="6">
        <v>3490</v>
      </c>
      <c r="B407" s="1" t="s">
        <v>411</v>
      </c>
      <c r="C407" s="3">
        <v>1.0777800000000002</v>
      </c>
      <c r="D407" s="1" t="s">
        <v>1182</v>
      </c>
      <c r="E407" s="3">
        <f t="shared" si="30"/>
        <v>16.902349516800001</v>
      </c>
      <c r="F407" s="3">
        <v>15.154174694630099</v>
      </c>
      <c r="G407" s="4">
        <f t="shared" si="31"/>
        <v>16.902349516800001</v>
      </c>
      <c r="H407" s="1">
        <v>2.4500000000000002</v>
      </c>
      <c r="I407" s="1">
        <f t="shared" si="32"/>
        <v>2.94</v>
      </c>
      <c r="J407" s="1" t="s">
        <v>1182</v>
      </c>
      <c r="K407" s="3">
        <f t="shared" si="33"/>
        <v>21.900695039999999</v>
      </c>
      <c r="L407" s="10">
        <f t="shared" si="34"/>
        <v>0.29571897789901458</v>
      </c>
      <c r="M407" s="18" t="str">
        <f>VLOOKUP(A407,Список!A:I,9,0)</f>
        <v>Основной ассортимент</v>
      </c>
      <c r="N407" s="12"/>
      <c r="O407" s="11"/>
    </row>
    <row r="408" spans="1:15" x14ac:dyDescent="0.25">
      <c r="A408" s="6">
        <v>3491</v>
      </c>
      <c r="B408" s="1" t="s">
        <v>412</v>
      </c>
      <c r="C408" s="3">
        <v>1.8626850000000001</v>
      </c>
      <c r="D408" s="1" t="s">
        <v>1182</v>
      </c>
      <c r="E408" s="3">
        <f t="shared" si="30"/>
        <v>29.211669273600002</v>
      </c>
      <c r="F408" s="3">
        <v>25.384688030160223</v>
      </c>
      <c r="G408" s="4">
        <f t="shared" si="31"/>
        <v>29.211669273600002</v>
      </c>
      <c r="H408" s="1">
        <v>4.24</v>
      </c>
      <c r="I408" s="1">
        <f t="shared" si="32"/>
        <v>5.09</v>
      </c>
      <c r="J408" s="1" t="s">
        <v>1182</v>
      </c>
      <c r="K408" s="3">
        <f t="shared" si="33"/>
        <v>37.916509439999992</v>
      </c>
      <c r="L408" s="10">
        <f t="shared" si="34"/>
        <v>0.29799187731688348</v>
      </c>
      <c r="M408" s="18" t="str">
        <f>VLOOKUP(A408,Список!A:I,9,0)</f>
        <v>Основной ассортимент</v>
      </c>
      <c r="N408" s="12"/>
      <c r="O408" s="11"/>
    </row>
    <row r="409" spans="1:15" x14ac:dyDescent="0.25">
      <c r="A409" s="6">
        <v>3492</v>
      </c>
      <c r="B409" s="1" t="s">
        <v>413</v>
      </c>
      <c r="C409" s="3">
        <v>2.4250049999999996</v>
      </c>
      <c r="D409" s="1" t="s">
        <v>1182</v>
      </c>
      <c r="E409" s="3">
        <f t="shared" si="30"/>
        <v>38.030286412799995</v>
      </c>
      <c r="F409" s="3">
        <v>32.845778591033849</v>
      </c>
      <c r="G409" s="4">
        <f t="shared" si="31"/>
        <v>38.030286412799995</v>
      </c>
      <c r="H409" s="1">
        <v>7.57</v>
      </c>
      <c r="I409" s="1">
        <f t="shared" si="32"/>
        <v>9.08</v>
      </c>
      <c r="J409" s="1" t="s">
        <v>1182</v>
      </c>
      <c r="K409" s="3">
        <f t="shared" si="33"/>
        <v>67.638881279999993</v>
      </c>
      <c r="L409" s="10">
        <f t="shared" si="34"/>
        <v>0.77855303391127029</v>
      </c>
      <c r="M409" s="18" t="str">
        <f>VLOOKUP(A409,Список!A:I,9,0)</f>
        <v>Основной ассортимент</v>
      </c>
      <c r="N409" s="12"/>
      <c r="O409" s="11"/>
    </row>
    <row r="410" spans="1:15" x14ac:dyDescent="0.25">
      <c r="A410" s="6">
        <v>3493</v>
      </c>
      <c r="B410" s="1" t="s">
        <v>414</v>
      </c>
      <c r="C410" s="3">
        <v>3.9948150000000004</v>
      </c>
      <c r="D410" s="1" t="s">
        <v>1182</v>
      </c>
      <c r="E410" s="3">
        <f t="shared" si="30"/>
        <v>62.648925926400004</v>
      </c>
      <c r="F410" s="3">
        <v>55.010069999999992</v>
      </c>
      <c r="G410" s="4">
        <f t="shared" si="31"/>
        <v>62.648925926400004</v>
      </c>
      <c r="H410" s="1">
        <v>11.06</v>
      </c>
      <c r="I410" s="1">
        <f t="shared" si="32"/>
        <v>13.27</v>
      </c>
      <c r="J410" s="1" t="s">
        <v>1182</v>
      </c>
      <c r="K410" s="3">
        <f t="shared" si="33"/>
        <v>98.851096319999982</v>
      </c>
      <c r="L410" s="10">
        <f t="shared" si="34"/>
        <v>0.57785779817087857</v>
      </c>
      <c r="M410" s="18" t="str">
        <f>VLOOKUP(A410,Список!A:I,9,0)</f>
        <v>Основной ассортимент</v>
      </c>
      <c r="N410" s="12"/>
      <c r="O410" s="11"/>
    </row>
    <row r="411" spans="1:15" x14ac:dyDescent="0.25">
      <c r="A411" s="6">
        <v>3494</v>
      </c>
      <c r="B411" s="1" t="s">
        <v>415</v>
      </c>
      <c r="C411" s="3">
        <v>5.8457850000000002</v>
      </c>
      <c r="D411" s="1" t="s">
        <v>1182</v>
      </c>
      <c r="E411" s="3">
        <f t="shared" si="30"/>
        <v>91.676874009599999</v>
      </c>
      <c r="F411" s="3">
        <v>79.494101313320826</v>
      </c>
      <c r="G411" s="4">
        <f t="shared" si="31"/>
        <v>91.676874009599999</v>
      </c>
      <c r="H411" s="1">
        <v>20.309999999999999</v>
      </c>
      <c r="I411" s="1">
        <f t="shared" si="32"/>
        <v>24.37</v>
      </c>
      <c r="J411" s="1" t="s">
        <v>1182</v>
      </c>
      <c r="K411" s="3">
        <f t="shared" si="33"/>
        <v>181.53739391999997</v>
      </c>
      <c r="L411" s="10">
        <f t="shared" si="34"/>
        <v>0.98018743419403864</v>
      </c>
      <c r="M411" s="18" t="str">
        <f>VLOOKUP(A411,Список!A:I,9,0)</f>
        <v>Основной ассортимент</v>
      </c>
      <c r="N411" s="12"/>
      <c r="O411" s="11"/>
    </row>
    <row r="412" spans="1:15" x14ac:dyDescent="0.25">
      <c r="A412" s="6">
        <v>3572</v>
      </c>
      <c r="B412" s="1" t="s">
        <v>416</v>
      </c>
      <c r="C412" s="3">
        <v>1.628385</v>
      </c>
      <c r="D412" s="1" t="s">
        <v>1182</v>
      </c>
      <c r="E412" s="3">
        <f t="shared" si="30"/>
        <v>25.537245465599998</v>
      </c>
      <c r="F412" s="3">
        <v>22.389490129243004</v>
      </c>
      <c r="G412" s="4">
        <f t="shared" si="31"/>
        <v>25.537245465599998</v>
      </c>
      <c r="H412" s="1">
        <v>3.64</v>
      </c>
      <c r="I412" s="1">
        <f t="shared" si="32"/>
        <v>4.37</v>
      </c>
      <c r="J412" s="1" t="s">
        <v>1182</v>
      </c>
      <c r="K412" s="3">
        <f t="shared" si="33"/>
        <v>32.553073919999996</v>
      </c>
      <c r="L412" s="10">
        <f t="shared" si="34"/>
        <v>0.27472925628767153</v>
      </c>
      <c r="M412" s="18" t="str">
        <f>VLOOKUP(A412,Список!A:I,9,0)</f>
        <v>Основной ассортимент</v>
      </c>
      <c r="N412" s="12"/>
      <c r="O412" s="11"/>
    </row>
    <row r="413" spans="1:15" x14ac:dyDescent="0.25">
      <c r="A413" s="6">
        <v>3585</v>
      </c>
      <c r="B413" s="1" t="s">
        <v>417</v>
      </c>
      <c r="C413" s="3">
        <v>1.9446899999999998</v>
      </c>
      <c r="D413" s="1" t="s">
        <v>1182</v>
      </c>
      <c r="E413" s="3">
        <f t="shared" si="30"/>
        <v>30.497717606399995</v>
      </c>
      <c r="F413" s="3">
        <v>28.056761959417909</v>
      </c>
      <c r="G413" s="4">
        <f t="shared" si="31"/>
        <v>30.497717606399995</v>
      </c>
      <c r="H413" s="1">
        <v>4.67</v>
      </c>
      <c r="I413" s="1">
        <f t="shared" si="32"/>
        <v>5.6</v>
      </c>
      <c r="J413" s="1" t="s">
        <v>1182</v>
      </c>
      <c r="K413" s="3">
        <f t="shared" si="33"/>
        <v>41.715609599999993</v>
      </c>
      <c r="L413" s="10">
        <f t="shared" si="34"/>
        <v>0.36782726295707802</v>
      </c>
      <c r="M413" s="18" t="str">
        <f>VLOOKUP(A413,Список!A:I,9,0)</f>
        <v>Основной ассортимент</v>
      </c>
      <c r="N413" s="12"/>
      <c r="O413" s="11"/>
    </row>
    <row r="414" spans="1:15" x14ac:dyDescent="0.25">
      <c r="A414" s="6">
        <v>3573</v>
      </c>
      <c r="B414" s="1" t="s">
        <v>418</v>
      </c>
      <c r="C414" s="3">
        <v>2.3547149999999997</v>
      </c>
      <c r="D414" s="1" t="s">
        <v>1182</v>
      </c>
      <c r="E414" s="3">
        <f t="shared" si="30"/>
        <v>36.927959270399995</v>
      </c>
      <c r="F414" s="3">
        <v>33.561431221020094</v>
      </c>
      <c r="G414" s="4">
        <f t="shared" si="31"/>
        <v>36.927959270399995</v>
      </c>
      <c r="H414" s="1">
        <v>5.39</v>
      </c>
      <c r="I414" s="1">
        <f t="shared" si="32"/>
        <v>6.47</v>
      </c>
      <c r="J414" s="1" t="s">
        <v>1182</v>
      </c>
      <c r="K414" s="3">
        <f t="shared" si="33"/>
        <v>48.196427519999993</v>
      </c>
      <c r="L414" s="10">
        <f t="shared" si="34"/>
        <v>0.30514733205504707</v>
      </c>
      <c r="M414" s="18" t="str">
        <f>VLOOKUP(A414,Список!A:I,9,0)</f>
        <v>Основной ассортимент</v>
      </c>
      <c r="N414" s="12"/>
      <c r="O414" s="11"/>
    </row>
    <row r="415" spans="1:15" x14ac:dyDescent="0.25">
      <c r="A415" s="6">
        <v>3586</v>
      </c>
      <c r="B415" s="1" t="s">
        <v>419</v>
      </c>
      <c r="C415" s="3">
        <v>2.8818899999999998</v>
      </c>
      <c r="D415" s="1" t="s">
        <v>1182</v>
      </c>
      <c r="E415" s="3">
        <f t="shared" si="30"/>
        <v>45.195412838399996</v>
      </c>
      <c r="F415" s="3">
        <v>40.137300906056268</v>
      </c>
      <c r="G415" s="4">
        <f t="shared" si="31"/>
        <v>45.195412838399996</v>
      </c>
      <c r="H415" s="1">
        <v>7.49</v>
      </c>
      <c r="I415" s="1">
        <f t="shared" si="32"/>
        <v>8.99</v>
      </c>
      <c r="J415" s="1" t="s">
        <v>1182</v>
      </c>
      <c r="K415" s="3">
        <f t="shared" si="33"/>
        <v>66.96845184</v>
      </c>
      <c r="L415" s="10">
        <f t="shared" si="34"/>
        <v>0.48175329384535859</v>
      </c>
      <c r="M415" s="18" t="str">
        <f>VLOOKUP(A415,Список!A:I,9,0)</f>
        <v>Основной ассортимент</v>
      </c>
      <c r="N415" s="12"/>
      <c r="O415" s="11"/>
    </row>
    <row r="416" spans="1:15" x14ac:dyDescent="0.25">
      <c r="A416" s="6">
        <v>3889</v>
      </c>
      <c r="B416" s="1" t="s">
        <v>420</v>
      </c>
      <c r="C416" s="3">
        <v>4.0768199999999997</v>
      </c>
      <c r="D416" s="1" t="s">
        <v>1182</v>
      </c>
      <c r="E416" s="3">
        <f t="shared" si="30"/>
        <v>63.93497425919999</v>
      </c>
      <c r="F416" s="3">
        <v>53.245076612903226</v>
      </c>
      <c r="G416" s="4">
        <f t="shared" si="31"/>
        <v>63.93497425919999</v>
      </c>
      <c r="H416" s="1">
        <v>9.3800000000000008</v>
      </c>
      <c r="I416" s="1">
        <f t="shared" si="32"/>
        <v>11.26</v>
      </c>
      <c r="J416" s="1" t="s">
        <v>1182</v>
      </c>
      <c r="K416" s="3">
        <f t="shared" si="33"/>
        <v>83.878172159999991</v>
      </c>
      <c r="L416" s="10">
        <f t="shared" si="34"/>
        <v>0.31192939595076563</v>
      </c>
      <c r="M416" s="18" t="str">
        <f>VLOOKUP(A416,Список!A:I,9,0)</f>
        <v>Основной ассортимент</v>
      </c>
      <c r="N416" s="12"/>
      <c r="O416" s="11"/>
    </row>
    <row r="417" spans="1:15" x14ac:dyDescent="0.25">
      <c r="A417" s="6">
        <v>3891</v>
      </c>
      <c r="B417" s="1" t="s">
        <v>421</v>
      </c>
      <c r="C417" s="3">
        <v>5.5411950000000001</v>
      </c>
      <c r="D417" s="1" t="s">
        <v>1182</v>
      </c>
      <c r="E417" s="3">
        <f t="shared" si="30"/>
        <v>86.900123059199984</v>
      </c>
      <c r="F417" s="3">
        <v>74.878229508196711</v>
      </c>
      <c r="G417" s="4">
        <f t="shared" si="31"/>
        <v>86.900123059199984</v>
      </c>
      <c r="H417" s="1">
        <v>14.57</v>
      </c>
      <c r="I417" s="1">
        <f t="shared" si="32"/>
        <v>17.48</v>
      </c>
      <c r="J417" s="1" t="s">
        <v>1182</v>
      </c>
      <c r="K417" s="3">
        <f t="shared" si="33"/>
        <v>130.21229567999998</v>
      </c>
      <c r="L417" s="10">
        <f t="shared" si="34"/>
        <v>0.49841324840580414</v>
      </c>
      <c r="M417" s="18" t="str">
        <f>VLOOKUP(A417,Список!A:I,9,0)</f>
        <v>Основной ассортимент</v>
      </c>
      <c r="N417" s="12"/>
      <c r="O417" s="11"/>
    </row>
    <row r="418" spans="1:15" x14ac:dyDescent="0.25">
      <c r="A418" s="6">
        <v>3574</v>
      </c>
      <c r="B418" s="1" t="s">
        <v>422</v>
      </c>
      <c r="C418" s="3">
        <v>1.75725</v>
      </c>
      <c r="D418" s="1" t="s">
        <v>1182</v>
      </c>
      <c r="E418" s="3">
        <f t="shared" si="30"/>
        <v>27.558178559999998</v>
      </c>
      <c r="F418" s="3">
        <v>23.598494050452164</v>
      </c>
      <c r="G418" s="4">
        <f t="shared" si="31"/>
        <v>27.558178559999998</v>
      </c>
      <c r="H418" s="1">
        <v>3.94</v>
      </c>
      <c r="I418" s="1">
        <f t="shared" si="32"/>
        <v>4.7300000000000004</v>
      </c>
      <c r="J418" s="1" t="s">
        <v>1182</v>
      </c>
      <c r="K418" s="3">
        <f t="shared" si="33"/>
        <v>35.234791679999994</v>
      </c>
      <c r="L418" s="10">
        <f t="shared" si="34"/>
        <v>0.27856025039123611</v>
      </c>
      <c r="M418" s="18" t="str">
        <f>VLOOKUP(A418,Список!A:I,9,0)</f>
        <v>Основной ассортимент</v>
      </c>
      <c r="N418" s="12"/>
      <c r="O418" s="11"/>
    </row>
    <row r="419" spans="1:15" x14ac:dyDescent="0.25">
      <c r="A419" s="6">
        <v>3587</v>
      </c>
      <c r="B419" s="1" t="s">
        <v>423</v>
      </c>
      <c r="C419" s="3">
        <v>2.3547149999999997</v>
      </c>
      <c r="D419" s="1" t="s">
        <v>1182</v>
      </c>
      <c r="E419" s="3">
        <f t="shared" si="30"/>
        <v>36.927959270399995</v>
      </c>
      <c r="F419" s="3">
        <v>34.138400140154168</v>
      </c>
      <c r="G419" s="4">
        <f t="shared" si="31"/>
        <v>36.927959270399995</v>
      </c>
      <c r="H419" s="1">
        <v>5.31</v>
      </c>
      <c r="I419" s="1">
        <f t="shared" si="32"/>
        <v>6.37</v>
      </c>
      <c r="J419" s="1" t="s">
        <v>1182</v>
      </c>
      <c r="K419" s="3">
        <f t="shared" si="33"/>
        <v>47.451505919999995</v>
      </c>
      <c r="L419" s="10">
        <f t="shared" si="34"/>
        <v>0.28497503944214064</v>
      </c>
      <c r="M419" s="18" t="str">
        <f>VLOOKUP(A419,Список!A:I,9,0)</f>
        <v>Основной ассортимент</v>
      </c>
      <c r="N419" s="12"/>
      <c r="O419" s="11"/>
    </row>
    <row r="420" spans="1:15" x14ac:dyDescent="0.25">
      <c r="A420" s="6">
        <v>3575</v>
      </c>
      <c r="B420" s="1" t="s">
        <v>424</v>
      </c>
      <c r="C420" s="3">
        <v>2.3547149999999997</v>
      </c>
      <c r="D420" s="1" t="s">
        <v>1182</v>
      </c>
      <c r="E420" s="3">
        <f t="shared" si="30"/>
        <v>36.927959270399995</v>
      </c>
      <c r="F420" s="3">
        <v>33.792800521937686</v>
      </c>
      <c r="G420" s="4">
        <f t="shared" si="31"/>
        <v>36.927959270399995</v>
      </c>
      <c r="H420" s="1">
        <v>5.03</v>
      </c>
      <c r="I420" s="1">
        <f t="shared" si="32"/>
        <v>6.04</v>
      </c>
      <c r="J420" s="1" t="s">
        <v>1182</v>
      </c>
      <c r="K420" s="3">
        <f t="shared" si="33"/>
        <v>44.99326464</v>
      </c>
      <c r="L420" s="10">
        <f t="shared" si="34"/>
        <v>0.21840647381954947</v>
      </c>
      <c r="M420" s="18" t="str">
        <f>VLOOKUP(A420,Список!A:I,9,0)</f>
        <v>Основной ассортимент</v>
      </c>
      <c r="N420" s="12"/>
      <c r="O420" s="11"/>
    </row>
    <row r="421" spans="1:15" x14ac:dyDescent="0.25">
      <c r="A421" s="6">
        <v>3588</v>
      </c>
      <c r="B421" s="1" t="s">
        <v>425</v>
      </c>
      <c r="C421" s="3">
        <v>2.9170350000000003</v>
      </c>
      <c r="D421" s="1" t="s">
        <v>1182</v>
      </c>
      <c r="E421" s="3">
        <f t="shared" si="30"/>
        <v>45.746576409599996</v>
      </c>
      <c r="F421" s="3">
        <v>42.092264595514436</v>
      </c>
      <c r="G421" s="4">
        <f t="shared" si="31"/>
        <v>45.746576409599996</v>
      </c>
      <c r="H421" s="1">
        <v>6.94</v>
      </c>
      <c r="I421" s="1">
        <f t="shared" si="32"/>
        <v>8.33</v>
      </c>
      <c r="J421" s="1" t="s">
        <v>1182</v>
      </c>
      <c r="K421" s="3">
        <f t="shared" si="33"/>
        <v>62.051969279999987</v>
      </c>
      <c r="L421" s="10">
        <f t="shared" si="34"/>
        <v>0.35642870243243552</v>
      </c>
      <c r="M421" s="18" t="str">
        <f>VLOOKUP(A421,Список!A:I,9,0)</f>
        <v>Основной ассортимент</v>
      </c>
      <c r="N421" s="12"/>
      <c r="O421" s="11"/>
    </row>
    <row r="422" spans="1:15" x14ac:dyDescent="0.25">
      <c r="A422" s="6">
        <v>3577</v>
      </c>
      <c r="B422" s="1" t="s">
        <v>426</v>
      </c>
      <c r="C422" s="3">
        <v>4.2056849999999999</v>
      </c>
      <c r="D422" s="1" t="s">
        <v>1182</v>
      </c>
      <c r="E422" s="3">
        <f t="shared" si="30"/>
        <v>65.955907353599997</v>
      </c>
      <c r="F422" s="3">
        <v>54.114196431080515</v>
      </c>
      <c r="G422" s="4">
        <f t="shared" si="31"/>
        <v>65.955907353599997</v>
      </c>
      <c r="H422" s="1">
        <v>8.94</v>
      </c>
      <c r="I422" s="1">
        <f t="shared" si="32"/>
        <v>10.73</v>
      </c>
      <c r="J422" s="1" t="s">
        <v>1182</v>
      </c>
      <c r="K422" s="3">
        <f t="shared" si="33"/>
        <v>79.93008768</v>
      </c>
      <c r="L422" s="10">
        <f t="shared" si="34"/>
        <v>0.21187155005664948</v>
      </c>
      <c r="M422" s="18" t="str">
        <f>VLOOKUP(A422,Список!A:I,9,0)</f>
        <v>Основной ассортимент</v>
      </c>
      <c r="N422" s="12"/>
      <c r="O422" s="11"/>
    </row>
    <row r="423" spans="1:15" x14ac:dyDescent="0.25">
      <c r="A423" s="6">
        <v>3590</v>
      </c>
      <c r="B423" s="1" t="s">
        <v>427</v>
      </c>
      <c r="C423" s="3">
        <v>5.6349149999999995</v>
      </c>
      <c r="D423" s="1" t="s">
        <v>1182</v>
      </c>
      <c r="E423" s="3">
        <f t="shared" si="30"/>
        <v>88.369892582399999</v>
      </c>
      <c r="F423" s="3">
        <v>77.056654788418712</v>
      </c>
      <c r="G423" s="4">
        <f t="shared" si="31"/>
        <v>88.369892582399999</v>
      </c>
      <c r="H423" s="1">
        <v>12.02</v>
      </c>
      <c r="I423" s="1">
        <f t="shared" si="32"/>
        <v>14.42</v>
      </c>
      <c r="J423" s="1" t="s">
        <v>1182</v>
      </c>
      <c r="K423" s="3">
        <f t="shared" si="33"/>
        <v>107.41769471999999</v>
      </c>
      <c r="L423" s="10">
        <f t="shared" si="34"/>
        <v>0.21554628596882108</v>
      </c>
      <c r="M423" s="18" t="str">
        <f>VLOOKUP(A423,Список!A:I,9,0)</f>
        <v>Основной ассортимент</v>
      </c>
      <c r="N423" s="12"/>
      <c r="O423" s="11"/>
    </row>
    <row r="424" spans="1:15" x14ac:dyDescent="0.25">
      <c r="A424" s="6">
        <v>3890</v>
      </c>
      <c r="B424" s="1" t="s">
        <v>428</v>
      </c>
      <c r="C424" s="3">
        <v>2.27271</v>
      </c>
      <c r="D424" s="1" t="s">
        <v>1182</v>
      </c>
      <c r="E424" s="3">
        <f t="shared" si="30"/>
        <v>35.641910937599995</v>
      </c>
      <c r="F424" s="3">
        <v>32.125242798353909</v>
      </c>
      <c r="G424" s="4">
        <f t="shared" si="31"/>
        <v>35.641910937599995</v>
      </c>
      <c r="H424" s="1">
        <v>5.99</v>
      </c>
      <c r="I424" s="1">
        <f t="shared" si="32"/>
        <v>7.19</v>
      </c>
      <c r="J424" s="1" t="s">
        <v>1182</v>
      </c>
      <c r="K424" s="3">
        <f t="shared" si="33"/>
        <v>53.559863039999996</v>
      </c>
      <c r="L424" s="10">
        <f t="shared" si="34"/>
        <v>0.50272142068279724</v>
      </c>
      <c r="M424" s="18" t="str">
        <f>VLOOKUP(A424,Список!A:I,9,0)</f>
        <v>Основной ассортимент</v>
      </c>
      <c r="N424" s="12"/>
      <c r="O424" s="11"/>
    </row>
    <row r="425" spans="1:15" x14ac:dyDescent="0.25">
      <c r="A425" s="6">
        <v>3892</v>
      </c>
      <c r="B425" s="1" t="s">
        <v>429</v>
      </c>
      <c r="C425" s="3">
        <v>2.6241600000000003</v>
      </c>
      <c r="D425" s="1" t="s">
        <v>1182</v>
      </c>
      <c r="E425" s="3">
        <f t="shared" si="30"/>
        <v>41.153546649599996</v>
      </c>
      <c r="F425" s="3">
        <v>33.717077821011671</v>
      </c>
      <c r="G425" s="4">
        <f t="shared" si="31"/>
        <v>41.153546649599996</v>
      </c>
      <c r="H425" s="1">
        <v>7.28</v>
      </c>
      <c r="I425" s="1">
        <f t="shared" si="32"/>
        <v>8.74</v>
      </c>
      <c r="J425" s="1" t="s">
        <v>1182</v>
      </c>
      <c r="K425" s="3">
        <f t="shared" si="33"/>
        <v>65.106147839999991</v>
      </c>
      <c r="L425" s="10">
        <f t="shared" si="34"/>
        <v>0.5820300591427352</v>
      </c>
      <c r="M425" s="18" t="str">
        <f>VLOOKUP(A425,Список!A:I,9,0)</f>
        <v>Основной ассортимент</v>
      </c>
      <c r="N425" s="12"/>
      <c r="O425" s="11"/>
    </row>
    <row r="426" spans="1:15" x14ac:dyDescent="0.25">
      <c r="A426" s="6">
        <v>3576</v>
      </c>
      <c r="B426" s="1" t="s">
        <v>430</v>
      </c>
      <c r="C426" s="3">
        <v>2.6241600000000003</v>
      </c>
      <c r="D426" s="1" t="s">
        <v>1182</v>
      </c>
      <c r="E426" s="3">
        <f t="shared" si="30"/>
        <v>41.153546649599996</v>
      </c>
      <c r="F426" s="3">
        <v>32.925192178017532</v>
      </c>
      <c r="G426" s="4">
        <f t="shared" si="31"/>
        <v>41.153546649599996</v>
      </c>
      <c r="H426" s="1">
        <v>5.58</v>
      </c>
      <c r="I426" s="1">
        <f t="shared" si="32"/>
        <v>6.7</v>
      </c>
      <c r="J426" s="1" t="s">
        <v>1182</v>
      </c>
      <c r="K426" s="3">
        <f t="shared" si="33"/>
        <v>49.909747199999991</v>
      </c>
      <c r="L426" s="10">
        <f t="shared" si="34"/>
        <v>0.21276903847326367</v>
      </c>
      <c r="M426" s="18" t="str">
        <f>VLOOKUP(A426,Список!A:I,9,0)</f>
        <v>Основной ассортимент</v>
      </c>
      <c r="N426" s="12"/>
      <c r="O426" s="11"/>
    </row>
    <row r="427" spans="1:15" x14ac:dyDescent="0.25">
      <c r="A427" s="6">
        <v>3589</v>
      </c>
      <c r="B427" s="1" t="s">
        <v>431</v>
      </c>
      <c r="C427" s="3">
        <v>3.1981950000000001</v>
      </c>
      <c r="D427" s="1" t="s">
        <v>1182</v>
      </c>
      <c r="E427" s="3">
        <f t="shared" si="30"/>
        <v>50.155884979199996</v>
      </c>
      <c r="F427" s="3">
        <v>41.334069373487495</v>
      </c>
      <c r="G427" s="4">
        <f t="shared" si="31"/>
        <v>50.155884979199996</v>
      </c>
      <c r="H427" s="1">
        <v>8.18</v>
      </c>
      <c r="I427" s="1">
        <f t="shared" si="32"/>
        <v>9.82</v>
      </c>
      <c r="J427" s="1" t="s">
        <v>1182</v>
      </c>
      <c r="K427" s="3">
        <f t="shared" si="33"/>
        <v>73.151301119999985</v>
      </c>
      <c r="L427" s="10">
        <f t="shared" si="34"/>
        <v>0.45847892326765538</v>
      </c>
      <c r="M427" s="18" t="str">
        <f>VLOOKUP(A427,Список!A:I,9,0)</f>
        <v>Основной ассортимент</v>
      </c>
      <c r="N427" s="12"/>
      <c r="O427" s="11"/>
    </row>
    <row r="428" spans="1:15" x14ac:dyDescent="0.25">
      <c r="A428" s="6">
        <v>3578</v>
      </c>
      <c r="B428" s="1" t="s">
        <v>432</v>
      </c>
      <c r="C428" s="3">
        <v>6.7712700000000003</v>
      </c>
      <c r="D428" s="1" t="s">
        <v>1182</v>
      </c>
      <c r="E428" s="3">
        <f t="shared" si="30"/>
        <v>106.19084805120001</v>
      </c>
      <c r="F428" s="3">
        <v>100.89994871794872</v>
      </c>
      <c r="G428" s="4">
        <f t="shared" si="31"/>
        <v>106.19084805120001</v>
      </c>
      <c r="H428" s="1">
        <v>14.46</v>
      </c>
      <c r="I428" s="1">
        <f t="shared" si="32"/>
        <v>17.350000000000001</v>
      </c>
      <c r="J428" s="1" t="s">
        <v>1182</v>
      </c>
      <c r="K428" s="3">
        <f t="shared" si="33"/>
        <v>129.2438976</v>
      </c>
      <c r="L428" s="10">
        <f t="shared" si="34"/>
        <v>0.21709073777888044</v>
      </c>
      <c r="M428" s="18" t="str">
        <f>VLOOKUP(A428,Список!A:I,9,0)</f>
        <v>Основной ассортимент</v>
      </c>
      <c r="N428" s="12"/>
      <c r="O428" s="11"/>
    </row>
    <row r="429" spans="1:15" x14ac:dyDescent="0.25">
      <c r="A429" s="6">
        <v>3591</v>
      </c>
      <c r="B429" s="1" t="s">
        <v>433</v>
      </c>
      <c r="C429" s="3">
        <v>7.3687350000000009</v>
      </c>
      <c r="D429" s="1" t="s">
        <v>1182</v>
      </c>
      <c r="E429" s="3">
        <f t="shared" si="30"/>
        <v>115.5606287616</v>
      </c>
      <c r="F429" s="3">
        <v>97.101555811277336</v>
      </c>
      <c r="G429" s="4">
        <f t="shared" si="31"/>
        <v>115.5606287616</v>
      </c>
      <c r="H429" s="1">
        <v>15.72</v>
      </c>
      <c r="I429" s="1">
        <f t="shared" si="32"/>
        <v>18.86</v>
      </c>
      <c r="J429" s="1" t="s">
        <v>1182</v>
      </c>
      <c r="K429" s="3">
        <f t="shared" si="33"/>
        <v>140.49221375999997</v>
      </c>
      <c r="L429" s="10">
        <f t="shared" si="34"/>
        <v>0.21574462916633563</v>
      </c>
      <c r="M429" s="18" t="str">
        <f>VLOOKUP(A429,Список!A:I,9,0)</f>
        <v>Основной ассортимент</v>
      </c>
      <c r="N429" s="12"/>
      <c r="O429" s="11"/>
    </row>
    <row r="430" spans="1:15" x14ac:dyDescent="0.25">
      <c r="A430" s="6">
        <v>3579</v>
      </c>
      <c r="B430" s="1" t="s">
        <v>434</v>
      </c>
      <c r="C430" s="3">
        <v>10.168620000000001</v>
      </c>
      <c r="D430" s="1" t="s">
        <v>1182</v>
      </c>
      <c r="E430" s="3">
        <f t="shared" si="30"/>
        <v>159.46999326720001</v>
      </c>
      <c r="F430" s="3">
        <v>131.11072295514512</v>
      </c>
      <c r="G430" s="4">
        <f t="shared" si="31"/>
        <v>159.46999326720001</v>
      </c>
      <c r="H430" s="1">
        <v>22.39</v>
      </c>
      <c r="I430" s="1">
        <f t="shared" si="32"/>
        <v>26.87</v>
      </c>
      <c r="J430" s="1" t="s">
        <v>1182</v>
      </c>
      <c r="K430" s="3">
        <f t="shared" si="33"/>
        <v>200.16043391999997</v>
      </c>
      <c r="L430" s="10">
        <f t="shared" si="34"/>
        <v>0.25516048392013846</v>
      </c>
      <c r="M430" s="18" t="str">
        <f>VLOOKUP(A430,Список!A:I,9,0)</f>
        <v>Основной ассортимент</v>
      </c>
      <c r="N430" s="12"/>
      <c r="O430" s="11"/>
    </row>
    <row r="431" spans="1:15" x14ac:dyDescent="0.25">
      <c r="A431" s="6">
        <v>3592</v>
      </c>
      <c r="B431" s="1" t="s">
        <v>435</v>
      </c>
      <c r="C431" s="3">
        <v>11.90244</v>
      </c>
      <c r="D431" s="1" t="s">
        <v>1182</v>
      </c>
      <c r="E431" s="3">
        <f t="shared" si="30"/>
        <v>186.66072944639998</v>
      </c>
      <c r="F431" s="3">
        <v>159.27897639411563</v>
      </c>
      <c r="G431" s="4">
        <f t="shared" si="31"/>
        <v>186.66072944639998</v>
      </c>
      <c r="H431" s="1">
        <v>27.01</v>
      </c>
      <c r="I431" s="1">
        <f t="shared" si="32"/>
        <v>32.409999999999997</v>
      </c>
      <c r="J431" s="1" t="s">
        <v>1182</v>
      </c>
      <c r="K431" s="3">
        <f t="shared" si="33"/>
        <v>241.42909055999993</v>
      </c>
      <c r="L431" s="10">
        <f t="shared" si="34"/>
        <v>0.2934112669335025</v>
      </c>
      <c r="M431" s="18" t="str">
        <f>VLOOKUP(A431,Список!A:I,9,0)</f>
        <v>Основной ассортимент</v>
      </c>
      <c r="N431" s="12"/>
      <c r="O431" s="11"/>
    </row>
    <row r="432" spans="1:15" x14ac:dyDescent="0.25">
      <c r="A432" s="6">
        <v>3580</v>
      </c>
      <c r="B432" s="1" t="s">
        <v>436</v>
      </c>
      <c r="C432" s="3">
        <v>14.749185000000001</v>
      </c>
      <c r="D432" s="1" t="s">
        <v>1182</v>
      </c>
      <c r="E432" s="3">
        <f t="shared" si="30"/>
        <v>231.30497871360001</v>
      </c>
      <c r="F432" s="3">
        <v>197.37632164948454</v>
      </c>
      <c r="G432" s="4">
        <f t="shared" si="31"/>
        <v>231.30497871360001</v>
      </c>
      <c r="H432" s="1">
        <v>38.520000000000003</v>
      </c>
      <c r="I432" s="1">
        <f t="shared" si="32"/>
        <v>46.22</v>
      </c>
      <c r="J432" s="1" t="s">
        <v>1182</v>
      </c>
      <c r="K432" s="3">
        <f t="shared" si="33"/>
        <v>344.30276351999998</v>
      </c>
      <c r="L432" s="10">
        <f t="shared" si="34"/>
        <v>0.48852292516501739</v>
      </c>
      <c r="M432" s="18" t="str">
        <f>VLOOKUP(A432,Список!A:I,9,0)</f>
        <v>Основной ассортимент</v>
      </c>
      <c r="N432" s="12"/>
      <c r="O432" s="11"/>
    </row>
    <row r="433" spans="1:15" x14ac:dyDescent="0.25">
      <c r="A433" s="6">
        <v>3593</v>
      </c>
      <c r="B433" s="1" t="s">
        <v>437</v>
      </c>
      <c r="C433" s="3">
        <v>15.51066</v>
      </c>
      <c r="D433" s="1" t="s">
        <v>1182</v>
      </c>
      <c r="E433" s="3">
        <f t="shared" si="30"/>
        <v>243.24685608959996</v>
      </c>
      <c r="F433" s="3">
        <v>209.48326530612243</v>
      </c>
      <c r="G433" s="4">
        <f t="shared" si="31"/>
        <v>243.24685608959996</v>
      </c>
      <c r="H433" s="1">
        <v>38.549999999999997</v>
      </c>
      <c r="I433" s="1">
        <f t="shared" si="32"/>
        <v>46.26</v>
      </c>
      <c r="J433" s="1" t="s">
        <v>1182</v>
      </c>
      <c r="K433" s="3">
        <f t="shared" si="33"/>
        <v>344.60073215999995</v>
      </c>
      <c r="L433" s="10">
        <f t="shared" si="34"/>
        <v>0.41667085733295695</v>
      </c>
      <c r="M433" s="18" t="str">
        <f>VLOOKUP(A433,Список!A:I,9,0)</f>
        <v>Основной ассортимент</v>
      </c>
      <c r="N433" s="12"/>
      <c r="O433" s="11"/>
    </row>
    <row r="434" spans="1:15" x14ac:dyDescent="0.25">
      <c r="A434" s="6">
        <v>3581</v>
      </c>
      <c r="B434" s="1" t="s">
        <v>438</v>
      </c>
      <c r="C434" s="3">
        <v>19.329749999999997</v>
      </c>
      <c r="D434" s="1" t="s">
        <v>1182</v>
      </c>
      <c r="E434" s="3">
        <f t="shared" si="30"/>
        <v>303.13996415999992</v>
      </c>
      <c r="F434" s="3">
        <v>227.82</v>
      </c>
      <c r="G434" s="4">
        <f t="shared" si="31"/>
        <v>303.13996415999992</v>
      </c>
      <c r="H434" s="1">
        <v>55.56</v>
      </c>
      <c r="I434" s="1">
        <f t="shared" si="32"/>
        <v>66.67</v>
      </c>
      <c r="J434" s="1" t="s">
        <v>1182</v>
      </c>
      <c r="K434" s="3">
        <f t="shared" si="33"/>
        <v>496.63923071999994</v>
      </c>
      <c r="L434" s="10">
        <f t="shared" si="34"/>
        <v>0.63831658453937612</v>
      </c>
      <c r="M434" s="18" t="str">
        <f>VLOOKUP(A434,Список!A:I,9,0)</f>
        <v>Основной ассортимент</v>
      </c>
      <c r="N434" s="12"/>
      <c r="O434" s="11"/>
    </row>
    <row r="435" spans="1:15" x14ac:dyDescent="0.25">
      <c r="A435" s="6">
        <v>3594</v>
      </c>
      <c r="B435" s="1" t="s">
        <v>439</v>
      </c>
      <c r="C435" s="3">
        <v>25.409835000000001</v>
      </c>
      <c r="D435" s="1" t="s">
        <v>1182</v>
      </c>
      <c r="E435" s="3">
        <f t="shared" si="30"/>
        <v>398.49126197759995</v>
      </c>
      <c r="F435" s="3">
        <v>336.78947727272725</v>
      </c>
      <c r="G435" s="4">
        <f t="shared" si="31"/>
        <v>398.49126197759995</v>
      </c>
      <c r="H435" s="1">
        <v>55.73</v>
      </c>
      <c r="I435" s="1">
        <f t="shared" si="32"/>
        <v>66.88</v>
      </c>
      <c r="J435" s="1" t="s">
        <v>1182</v>
      </c>
      <c r="K435" s="3">
        <f t="shared" si="33"/>
        <v>498.20356607999986</v>
      </c>
      <c r="L435" s="10">
        <f t="shared" si="34"/>
        <v>0.25022456855780439</v>
      </c>
      <c r="M435" s="18" t="str">
        <f>VLOOKUP(A435,Список!A:I,9,0)</f>
        <v>Основной ассортимент</v>
      </c>
      <c r="N435" s="12"/>
      <c r="O435" s="11"/>
    </row>
    <row r="436" spans="1:15" x14ac:dyDescent="0.25">
      <c r="A436" s="6">
        <v>3517</v>
      </c>
      <c r="B436" s="1" t="s">
        <v>440</v>
      </c>
      <c r="C436" s="3">
        <v>0.22258500000000003</v>
      </c>
      <c r="D436" s="1" t="s">
        <v>1182</v>
      </c>
      <c r="E436" s="3">
        <f t="shared" si="30"/>
        <v>3.4907026176000002</v>
      </c>
      <c r="F436" s="3">
        <v>3.1936396008608887</v>
      </c>
      <c r="G436" s="4">
        <f t="shared" si="31"/>
        <v>3.4907026176000002</v>
      </c>
      <c r="H436" s="1">
        <v>0.51</v>
      </c>
      <c r="I436" s="1">
        <f t="shared" si="32"/>
        <v>0.61</v>
      </c>
      <c r="J436" s="1" t="s">
        <v>1182</v>
      </c>
      <c r="K436" s="3">
        <f t="shared" si="33"/>
        <v>4.5440217599999997</v>
      </c>
      <c r="L436" s="10">
        <f t="shared" si="34"/>
        <v>0.30174989329918889</v>
      </c>
      <c r="M436" s="18" t="str">
        <f>VLOOKUP(A436,Список!A:I,9,0)</f>
        <v>Основной ассортимент</v>
      </c>
      <c r="N436" s="12"/>
      <c r="O436" s="11"/>
    </row>
    <row r="437" spans="1:15" x14ac:dyDescent="0.25">
      <c r="A437" s="6">
        <v>3518</v>
      </c>
      <c r="B437" s="1" t="s">
        <v>441</v>
      </c>
      <c r="C437" s="3">
        <v>0.30459000000000003</v>
      </c>
      <c r="D437" s="1" t="s">
        <v>1182</v>
      </c>
      <c r="E437" s="3">
        <f t="shared" si="30"/>
        <v>4.7767509504000003</v>
      </c>
      <c r="F437" s="3">
        <v>4.4073149643705456</v>
      </c>
      <c r="G437" s="4">
        <f t="shared" si="31"/>
        <v>4.7767509504000003</v>
      </c>
      <c r="H437" s="1">
        <v>0.79</v>
      </c>
      <c r="I437" s="1">
        <f t="shared" si="32"/>
        <v>0.95</v>
      </c>
      <c r="J437" s="1" t="s">
        <v>1182</v>
      </c>
      <c r="K437" s="3">
        <f t="shared" si="33"/>
        <v>7.0767551999999991</v>
      </c>
      <c r="L437" s="10">
        <f t="shared" si="34"/>
        <v>0.4814997209363403</v>
      </c>
      <c r="M437" s="18" t="str">
        <f>VLOOKUP(A437,Список!A:I,9,0)</f>
        <v>Основной ассортимент</v>
      </c>
      <c r="N437" s="12"/>
      <c r="O437" s="11"/>
    </row>
    <row r="438" spans="1:15" x14ac:dyDescent="0.25">
      <c r="A438" s="6">
        <v>3519</v>
      </c>
      <c r="B438" s="1" t="s">
        <v>442</v>
      </c>
      <c r="C438" s="3">
        <v>0.33973500000000001</v>
      </c>
      <c r="D438" s="1" t="s">
        <v>1182</v>
      </c>
      <c r="E438" s="3">
        <f t="shared" si="30"/>
        <v>5.3279145215999995</v>
      </c>
      <c r="F438" s="3">
        <v>4.8780194506056995</v>
      </c>
      <c r="G438" s="4">
        <f t="shared" si="31"/>
        <v>5.3279145215999995</v>
      </c>
      <c r="H438" s="1">
        <v>0.74</v>
      </c>
      <c r="I438" s="1">
        <f t="shared" si="32"/>
        <v>0.89</v>
      </c>
      <c r="J438" s="1" t="s">
        <v>1182</v>
      </c>
      <c r="K438" s="3">
        <f t="shared" si="33"/>
        <v>6.6298022399999992</v>
      </c>
      <c r="L438" s="10">
        <f t="shared" si="34"/>
        <v>0.24435221569752885</v>
      </c>
      <c r="M438" s="18" t="str">
        <f>VLOOKUP(A438,Список!A:I,9,0)</f>
        <v>Основной ассортимент</v>
      </c>
      <c r="N438" s="12"/>
      <c r="O438" s="11"/>
    </row>
    <row r="439" spans="1:15" x14ac:dyDescent="0.25">
      <c r="A439" s="6">
        <v>3520</v>
      </c>
      <c r="B439" s="1" t="s">
        <v>443</v>
      </c>
      <c r="C439" s="3">
        <v>0.48031499999999994</v>
      </c>
      <c r="D439" s="1" t="s">
        <v>1182</v>
      </c>
      <c r="E439" s="3">
        <f t="shared" si="30"/>
        <v>7.5325688063999987</v>
      </c>
      <c r="F439" s="3">
        <v>6.6639070620605318</v>
      </c>
      <c r="G439" s="4">
        <f t="shared" si="31"/>
        <v>7.5325688063999987</v>
      </c>
      <c r="H439" s="1">
        <v>1.23</v>
      </c>
      <c r="I439" s="1">
        <f t="shared" si="32"/>
        <v>1.48</v>
      </c>
      <c r="J439" s="1" t="s">
        <v>1182</v>
      </c>
      <c r="K439" s="3">
        <f t="shared" si="33"/>
        <v>11.024839679999998</v>
      </c>
      <c r="L439" s="10">
        <f t="shared" si="34"/>
        <v>0.46362283085058764</v>
      </c>
      <c r="M439" s="18" t="str">
        <f>VLOOKUP(A439,Список!A:I,9,0)</f>
        <v>Основной ассортимент</v>
      </c>
      <c r="N439" s="12"/>
      <c r="O439" s="11"/>
    </row>
    <row r="440" spans="1:15" x14ac:dyDescent="0.25">
      <c r="A440" s="6">
        <v>3521</v>
      </c>
      <c r="B440" s="1" t="s">
        <v>444</v>
      </c>
      <c r="C440" s="3">
        <v>0.51546000000000003</v>
      </c>
      <c r="D440" s="1" t="s">
        <v>1182</v>
      </c>
      <c r="E440" s="3">
        <f t="shared" si="30"/>
        <v>8.0837323775999987</v>
      </c>
      <c r="F440" s="3">
        <v>7.5094811585175956</v>
      </c>
      <c r="G440" s="4">
        <f t="shared" si="31"/>
        <v>8.0837323775999987</v>
      </c>
      <c r="H440" s="1">
        <v>1.42</v>
      </c>
      <c r="I440" s="1">
        <f t="shared" si="32"/>
        <v>1.7</v>
      </c>
      <c r="J440" s="1" t="s">
        <v>1182</v>
      </c>
      <c r="K440" s="3">
        <f t="shared" si="33"/>
        <v>12.663667199999999</v>
      </c>
      <c r="L440" s="10">
        <f t="shared" si="34"/>
        <v>0.56656190587048472</v>
      </c>
      <c r="M440" s="18" t="str">
        <f>VLOOKUP(A440,Список!A:I,9,0)</f>
        <v>Основной ассортимент</v>
      </c>
      <c r="N440" s="12"/>
      <c r="O440" s="11"/>
    </row>
    <row r="441" spans="1:15" x14ac:dyDescent="0.25">
      <c r="A441" s="6">
        <v>3522</v>
      </c>
      <c r="B441" s="1" t="s">
        <v>445</v>
      </c>
      <c r="C441" s="3">
        <v>0.55060500000000001</v>
      </c>
      <c r="D441" s="1" t="s">
        <v>1182</v>
      </c>
      <c r="E441" s="3">
        <f t="shared" si="30"/>
        <v>8.6348959487999988</v>
      </c>
      <c r="F441" s="3">
        <v>7.8594908579465539</v>
      </c>
      <c r="G441" s="4">
        <f t="shared" si="31"/>
        <v>8.6348959487999988</v>
      </c>
      <c r="H441" s="1">
        <v>1.54</v>
      </c>
      <c r="I441" s="1">
        <f t="shared" si="32"/>
        <v>1.85</v>
      </c>
      <c r="J441" s="1" t="s">
        <v>1182</v>
      </c>
      <c r="K441" s="3">
        <f t="shared" si="33"/>
        <v>13.781049599999999</v>
      </c>
      <c r="L441" s="10">
        <f t="shared" si="34"/>
        <v>0.59597170385303455</v>
      </c>
      <c r="M441" s="18" t="str">
        <f>VLOOKUP(A441,Список!A:I,9,0)</f>
        <v>Основной ассортимент</v>
      </c>
      <c r="N441" s="12"/>
      <c r="O441" s="11"/>
    </row>
    <row r="442" spans="1:15" x14ac:dyDescent="0.25">
      <c r="A442" s="6">
        <v>3523</v>
      </c>
      <c r="B442" s="1" t="s">
        <v>446</v>
      </c>
      <c r="C442" s="3">
        <v>0.74975999999999998</v>
      </c>
      <c r="D442" s="1" t="s">
        <v>1182</v>
      </c>
      <c r="E442" s="3">
        <f t="shared" si="30"/>
        <v>11.758156185599999</v>
      </c>
      <c r="F442" s="3">
        <v>9.4628047058823519</v>
      </c>
      <c r="G442" s="4">
        <f t="shared" si="31"/>
        <v>11.758156185599999</v>
      </c>
      <c r="H442" s="1">
        <v>2.04</v>
      </c>
      <c r="I442" s="1">
        <f t="shared" si="32"/>
        <v>2.4500000000000002</v>
      </c>
      <c r="J442" s="1" t="s">
        <v>1182</v>
      </c>
      <c r="K442" s="3">
        <f t="shared" si="33"/>
        <v>18.250579199999997</v>
      </c>
      <c r="L442" s="10">
        <f t="shared" si="34"/>
        <v>0.55216335894152779</v>
      </c>
      <c r="M442" s="18" t="str">
        <f>VLOOKUP(A442,Список!A:I,9,0)</f>
        <v>Основной ассортимент</v>
      </c>
      <c r="N442" s="12"/>
      <c r="O442" s="11"/>
    </row>
    <row r="443" spans="1:15" x14ac:dyDescent="0.25">
      <c r="A443" s="6">
        <v>3524</v>
      </c>
      <c r="B443" s="1" t="s">
        <v>447</v>
      </c>
      <c r="C443" s="3">
        <v>0.79662000000000011</v>
      </c>
      <c r="D443" s="1" t="s">
        <v>1182</v>
      </c>
      <c r="E443" s="3">
        <f t="shared" si="30"/>
        <v>12.493040947200003</v>
      </c>
      <c r="F443" s="3">
        <v>11.008667634252539</v>
      </c>
      <c r="G443" s="4">
        <f t="shared" si="31"/>
        <v>12.493040947200003</v>
      </c>
      <c r="H443" s="1">
        <v>2.1</v>
      </c>
      <c r="I443" s="1">
        <f t="shared" si="32"/>
        <v>2.52</v>
      </c>
      <c r="J443" s="1" t="s">
        <v>1182</v>
      </c>
      <c r="K443" s="3">
        <f t="shared" si="33"/>
        <v>18.772024319999996</v>
      </c>
      <c r="L443" s="10">
        <f t="shared" si="34"/>
        <v>0.50259847857196593</v>
      </c>
      <c r="M443" s="18" t="str">
        <f>VLOOKUP(A443,Список!A:I,9,0)</f>
        <v>Основной ассортимент</v>
      </c>
      <c r="N443" s="12"/>
      <c r="O443" s="11"/>
    </row>
    <row r="444" spans="1:15" x14ac:dyDescent="0.25">
      <c r="A444" s="6">
        <v>3525</v>
      </c>
      <c r="B444" s="1" t="s">
        <v>448</v>
      </c>
      <c r="C444" s="3">
        <v>0.91376999999999997</v>
      </c>
      <c r="D444" s="1" t="s">
        <v>1182</v>
      </c>
      <c r="E444" s="3">
        <f t="shared" si="30"/>
        <v>14.330252851199999</v>
      </c>
      <c r="F444" s="3">
        <v>12.989811175337186</v>
      </c>
      <c r="G444" s="4">
        <f t="shared" si="31"/>
        <v>14.330252851199999</v>
      </c>
      <c r="H444" s="1">
        <v>2.39</v>
      </c>
      <c r="I444" s="1">
        <f t="shared" si="32"/>
        <v>2.87</v>
      </c>
      <c r="J444" s="1" t="s">
        <v>1182</v>
      </c>
      <c r="K444" s="3">
        <f t="shared" si="33"/>
        <v>21.379249919999996</v>
      </c>
      <c r="L444" s="10">
        <f t="shared" si="34"/>
        <v>0.49189621020606911</v>
      </c>
      <c r="M444" s="18" t="str">
        <f>VLOOKUP(A444,Список!A:I,9,0)</f>
        <v>Основной ассортимент</v>
      </c>
      <c r="N444" s="12"/>
      <c r="O444" s="11"/>
    </row>
    <row r="445" spans="1:15" x14ac:dyDescent="0.25">
      <c r="A445" s="6">
        <v>3526</v>
      </c>
      <c r="B445" s="1" t="s">
        <v>449</v>
      </c>
      <c r="C445" s="3">
        <v>1.3120800000000001</v>
      </c>
      <c r="D445" s="1" t="s">
        <v>1182</v>
      </c>
      <c r="E445" s="3">
        <f t="shared" si="30"/>
        <v>20.576773324799998</v>
      </c>
      <c r="F445" s="3">
        <v>18.36494862772695</v>
      </c>
      <c r="G445" s="4">
        <f t="shared" si="31"/>
        <v>20.576773324799998</v>
      </c>
      <c r="H445" s="1">
        <v>3.05</v>
      </c>
      <c r="I445" s="1">
        <f t="shared" si="32"/>
        <v>3.66</v>
      </c>
      <c r="J445" s="1" t="s">
        <v>1182</v>
      </c>
      <c r="K445" s="3">
        <f t="shared" si="33"/>
        <v>27.264130559999998</v>
      </c>
      <c r="L445" s="10">
        <f t="shared" si="34"/>
        <v>0.32499542710810325</v>
      </c>
      <c r="M445" s="18" t="str">
        <f>VLOOKUP(A445,Список!A:I,9,0)</f>
        <v>Основной ассортимент</v>
      </c>
      <c r="N445" s="12"/>
      <c r="O445" s="11"/>
    </row>
    <row r="446" spans="1:15" x14ac:dyDescent="0.25">
      <c r="A446" s="6">
        <v>3527</v>
      </c>
      <c r="B446" s="1" t="s">
        <v>450</v>
      </c>
      <c r="C446" s="3">
        <v>1.4058000000000002</v>
      </c>
      <c r="D446" s="1" t="s">
        <v>1182</v>
      </c>
      <c r="E446" s="3">
        <f t="shared" si="30"/>
        <v>22.046542848000001</v>
      </c>
      <c r="F446" s="3">
        <v>19.899308767471407</v>
      </c>
      <c r="G446" s="4">
        <f t="shared" si="31"/>
        <v>22.046542848000001</v>
      </c>
      <c r="H446" s="1">
        <v>3.59</v>
      </c>
      <c r="I446" s="1">
        <f t="shared" si="32"/>
        <v>4.3099999999999996</v>
      </c>
      <c r="J446" s="1" t="s">
        <v>1182</v>
      </c>
      <c r="K446" s="3">
        <f t="shared" si="33"/>
        <v>32.106120959999998</v>
      </c>
      <c r="L446" s="10">
        <f t="shared" si="34"/>
        <v>0.45628823445724831</v>
      </c>
      <c r="M446" s="18" t="str">
        <f>VLOOKUP(A446,Список!A:I,9,0)</f>
        <v>Основной ассортимент</v>
      </c>
      <c r="N446" s="12"/>
      <c r="O446" s="11"/>
    </row>
    <row r="447" spans="1:15" x14ac:dyDescent="0.25">
      <c r="A447" s="6">
        <v>3528</v>
      </c>
      <c r="B447" s="1" t="s">
        <v>451</v>
      </c>
      <c r="C447" s="3">
        <v>1.5346650000000002</v>
      </c>
      <c r="D447" s="1" t="s">
        <v>1182</v>
      </c>
      <c r="E447" s="3">
        <f t="shared" si="30"/>
        <v>24.067475942400002</v>
      </c>
      <c r="F447" s="3">
        <v>21.56270924369748</v>
      </c>
      <c r="G447" s="4">
        <f t="shared" si="31"/>
        <v>24.067475942400002</v>
      </c>
      <c r="H447" s="1">
        <v>4.29</v>
      </c>
      <c r="I447" s="1">
        <f t="shared" si="32"/>
        <v>5.15</v>
      </c>
      <c r="J447" s="1" t="s">
        <v>1182</v>
      </c>
      <c r="K447" s="3">
        <f t="shared" si="33"/>
        <v>38.363462399999996</v>
      </c>
      <c r="L447" s="10">
        <f t="shared" si="34"/>
        <v>0.59399608383588576</v>
      </c>
      <c r="M447" s="18" t="str">
        <f>VLOOKUP(A447,Список!A:I,9,0)</f>
        <v>Основной ассортимент</v>
      </c>
      <c r="N447" s="12"/>
      <c r="O447" s="11"/>
    </row>
    <row r="448" spans="1:15" x14ac:dyDescent="0.25">
      <c r="A448" s="6">
        <v>3603</v>
      </c>
      <c r="B448" s="1" t="s">
        <v>452</v>
      </c>
      <c r="C448" s="3">
        <v>2.4835800000000003</v>
      </c>
      <c r="D448" s="1" t="s">
        <v>1182</v>
      </c>
      <c r="E448" s="3">
        <f t="shared" si="30"/>
        <v>38.94889236480001</v>
      </c>
      <c r="F448" s="3">
        <v>33.263020005480954</v>
      </c>
      <c r="G448" s="4">
        <f t="shared" si="31"/>
        <v>38.94889236480001</v>
      </c>
      <c r="H448" s="1">
        <v>6.28</v>
      </c>
      <c r="I448" s="1">
        <f t="shared" si="32"/>
        <v>7.54</v>
      </c>
      <c r="J448" s="1" t="s">
        <v>1182</v>
      </c>
      <c r="K448" s="3">
        <f t="shared" si="33"/>
        <v>56.167088639999996</v>
      </c>
      <c r="L448" s="10">
        <f t="shared" si="34"/>
        <v>0.44207152578133124</v>
      </c>
      <c r="M448" s="18" t="str">
        <f>VLOOKUP(A448,Список!A:I,9,0)</f>
        <v>Основной ассортимент</v>
      </c>
      <c r="N448" s="12"/>
      <c r="O448" s="11"/>
    </row>
    <row r="449" spans="1:15" x14ac:dyDescent="0.25">
      <c r="A449" s="6">
        <v>3604</v>
      </c>
      <c r="B449" s="1" t="s">
        <v>453</v>
      </c>
      <c r="C449" s="3">
        <v>3.7253700000000003</v>
      </c>
      <c r="D449" s="1" t="s">
        <v>1182</v>
      </c>
      <c r="E449" s="3">
        <f t="shared" si="30"/>
        <v>58.423338547200004</v>
      </c>
      <c r="F449" s="3">
        <v>47.897511811023612</v>
      </c>
      <c r="G449" s="4">
        <f t="shared" si="31"/>
        <v>58.423338547200004</v>
      </c>
      <c r="H449" s="1">
        <v>9.19</v>
      </c>
      <c r="I449" s="1">
        <f t="shared" si="32"/>
        <v>11.03</v>
      </c>
      <c r="J449" s="1" t="s">
        <v>1182</v>
      </c>
      <c r="K449" s="3">
        <f t="shared" si="33"/>
        <v>82.164852479999979</v>
      </c>
      <c r="L449" s="10">
        <f t="shared" si="34"/>
        <v>0.40637037394943287</v>
      </c>
      <c r="M449" s="18" t="str">
        <f>VLOOKUP(A449,Список!A:I,9,0)</f>
        <v>Основной ассортимент</v>
      </c>
      <c r="N449" s="12"/>
      <c r="O449" s="11"/>
    </row>
    <row r="450" spans="1:15" x14ac:dyDescent="0.25">
      <c r="A450" s="6">
        <v>3605</v>
      </c>
      <c r="B450" s="1" t="s">
        <v>454</v>
      </c>
      <c r="C450" s="3">
        <v>3.7253700000000003</v>
      </c>
      <c r="D450" s="1" t="s">
        <v>1182</v>
      </c>
      <c r="E450" s="3">
        <f t="shared" si="30"/>
        <v>58.423338547200004</v>
      </c>
      <c r="F450" s="3">
        <v>53.630731218697832</v>
      </c>
      <c r="G450" s="4">
        <f t="shared" si="31"/>
        <v>58.423338547200004</v>
      </c>
      <c r="H450" s="1">
        <v>10.45</v>
      </c>
      <c r="I450" s="1">
        <f t="shared" si="32"/>
        <v>12.54</v>
      </c>
      <c r="J450" s="1" t="s">
        <v>1182</v>
      </c>
      <c r="K450" s="3">
        <f t="shared" si="33"/>
        <v>93.413168639999981</v>
      </c>
      <c r="L450" s="10">
        <f t="shared" si="34"/>
        <v>0.59890158561431428</v>
      </c>
      <c r="M450" s="18" t="str">
        <f>VLOOKUP(A450,Список!A:I,9,0)</f>
        <v>Основной ассортимент</v>
      </c>
      <c r="N450" s="12"/>
      <c r="O450" s="11"/>
    </row>
    <row r="451" spans="1:15" x14ac:dyDescent="0.25">
      <c r="A451" s="6">
        <v>3546</v>
      </c>
      <c r="B451" s="1" t="s">
        <v>455</v>
      </c>
      <c r="C451" s="3">
        <v>4.8734400000000004</v>
      </c>
      <c r="D451" s="1" t="s">
        <v>1182</v>
      </c>
      <c r="E451" s="3">
        <f t="shared" si="30"/>
        <v>76.428015206400005</v>
      </c>
      <c r="F451" s="3">
        <v>62.999566230677765</v>
      </c>
      <c r="G451" s="4">
        <f t="shared" si="31"/>
        <v>76.428015206400005</v>
      </c>
      <c r="H451" s="1">
        <v>10.43</v>
      </c>
      <c r="I451" s="1">
        <f t="shared" si="32"/>
        <v>12.52</v>
      </c>
      <c r="J451" s="1" t="s">
        <v>1182</v>
      </c>
      <c r="K451" s="3">
        <f t="shared" si="33"/>
        <v>93.264184319999984</v>
      </c>
      <c r="L451" s="10">
        <f t="shared" si="34"/>
        <v>0.22028792803440655</v>
      </c>
      <c r="M451" s="18" t="str">
        <f>VLOOKUP(A451,Список!A:I,9,0)</f>
        <v>Основной ассортимент</v>
      </c>
      <c r="N451" s="12"/>
      <c r="O451" s="11"/>
    </row>
    <row r="452" spans="1:15" x14ac:dyDescent="0.25">
      <c r="A452" s="6">
        <v>3547</v>
      </c>
      <c r="B452" s="1" t="s">
        <v>456</v>
      </c>
      <c r="C452" s="3">
        <v>5.7754950000000003</v>
      </c>
      <c r="D452" s="1" t="s">
        <v>1182</v>
      </c>
      <c r="E452" s="3">
        <f t="shared" si="30"/>
        <v>90.574546867199999</v>
      </c>
      <c r="F452" s="3">
        <v>78.203723342939483</v>
      </c>
      <c r="G452" s="4">
        <f t="shared" si="31"/>
        <v>90.574546867199999</v>
      </c>
      <c r="H452" s="1">
        <v>12.3</v>
      </c>
      <c r="I452" s="1">
        <f t="shared" si="32"/>
        <v>14.76</v>
      </c>
      <c r="J452" s="1" t="s">
        <v>1182</v>
      </c>
      <c r="K452" s="3">
        <f t="shared" si="33"/>
        <v>109.95042815999999</v>
      </c>
      <c r="L452" s="10">
        <f t="shared" si="34"/>
        <v>0.21392192357538176</v>
      </c>
      <c r="M452" s="18" t="str">
        <f>VLOOKUP(A452,Список!A:I,9,0)</f>
        <v>Основной ассортимент</v>
      </c>
      <c r="N452" s="12"/>
      <c r="O452" s="11"/>
    </row>
    <row r="453" spans="1:15" x14ac:dyDescent="0.25">
      <c r="A453" s="6">
        <v>3694</v>
      </c>
      <c r="B453" s="1" t="s">
        <v>457</v>
      </c>
      <c r="C453" s="3">
        <v>0.58574999999999999</v>
      </c>
      <c r="D453" s="1" t="s">
        <v>1182</v>
      </c>
      <c r="E453" s="3">
        <f t="shared" si="30"/>
        <v>9.1860595199999988</v>
      </c>
      <c r="F453" s="3">
        <v>8.2088200141442709</v>
      </c>
      <c r="G453" s="4">
        <f t="shared" si="31"/>
        <v>9.1860595199999988</v>
      </c>
      <c r="H453" s="1">
        <v>1.25</v>
      </c>
      <c r="I453" s="1">
        <f t="shared" si="32"/>
        <v>1.5</v>
      </c>
      <c r="J453" s="1" t="s">
        <v>1182</v>
      </c>
      <c r="K453" s="3">
        <f t="shared" si="33"/>
        <v>11.173824</v>
      </c>
      <c r="L453" s="10">
        <f t="shared" si="34"/>
        <v>0.2163892445582587</v>
      </c>
      <c r="M453" s="18" t="str">
        <f>VLOOKUP(A453,Список!A:I,9,0)</f>
        <v>Основной ассортимент</v>
      </c>
      <c r="N453" s="12"/>
      <c r="O453" s="11"/>
    </row>
    <row r="454" spans="1:15" x14ac:dyDescent="0.25">
      <c r="A454" s="6">
        <v>3695</v>
      </c>
      <c r="B454" s="1" t="s">
        <v>458</v>
      </c>
      <c r="C454" s="3">
        <v>0.77319000000000004</v>
      </c>
      <c r="D454" s="1" t="s">
        <v>1182</v>
      </c>
      <c r="E454" s="3">
        <f t="shared" ref="E454:E517" si="35">IF(D454="RUB",C454*1.2,C454*$E$2*1.2)</f>
        <v>12.125598566400001</v>
      </c>
      <c r="F454" s="3">
        <v>10.891927413127412</v>
      </c>
      <c r="G454" s="4">
        <f t="shared" ref="G454:G517" si="36">IF(M454="Вывод из ассортимента",F454,MAX(E454,F454))</f>
        <v>12.125598566400001</v>
      </c>
      <c r="H454" s="1">
        <v>1.94</v>
      </c>
      <c r="I454" s="1">
        <f t="shared" ref="I454:I517" si="37">ROUND(H454*1.2,2)</f>
        <v>2.33</v>
      </c>
      <c r="J454" s="1" t="s">
        <v>1182</v>
      </c>
      <c r="K454" s="3">
        <f t="shared" ref="K454:K517" si="38">IF(J454="RUB",I454*$K$4,I454*$E$2*$K$4)</f>
        <v>17.356673279999999</v>
      </c>
      <c r="L454" s="10">
        <f t="shared" ref="L454:L517" si="39">K454/E454-1</f>
        <v>0.43140754536401116</v>
      </c>
      <c r="M454" s="18" t="str">
        <f>VLOOKUP(A454,Список!A:I,9,0)</f>
        <v>Основной ассортимент</v>
      </c>
      <c r="N454" s="12"/>
      <c r="O454" s="11"/>
    </row>
    <row r="455" spans="1:15" x14ac:dyDescent="0.25">
      <c r="A455" s="6">
        <v>3696</v>
      </c>
      <c r="B455" s="1" t="s">
        <v>459</v>
      </c>
      <c r="C455" s="3">
        <v>1.1246400000000001</v>
      </c>
      <c r="D455" s="1" t="s">
        <v>1182</v>
      </c>
      <c r="E455" s="3">
        <f t="shared" si="35"/>
        <v>17.637234278400001</v>
      </c>
      <c r="F455" s="3">
        <v>14.796128395061729</v>
      </c>
      <c r="G455" s="4">
        <f t="shared" si="36"/>
        <v>17.637234278400001</v>
      </c>
      <c r="H455" s="1">
        <v>2.66</v>
      </c>
      <c r="I455" s="1">
        <f t="shared" si="37"/>
        <v>3.19</v>
      </c>
      <c r="J455" s="1" t="s">
        <v>1182</v>
      </c>
      <c r="K455" s="3">
        <f t="shared" si="38"/>
        <v>23.762999039999997</v>
      </c>
      <c r="L455" s="10">
        <f t="shared" si="39"/>
        <v>0.34732003129890421</v>
      </c>
      <c r="M455" s="18" t="str">
        <f>VLOOKUP(A455,Список!A:I,9,0)</f>
        <v>Основной ассортимент</v>
      </c>
      <c r="N455" s="12"/>
      <c r="O455" s="11"/>
    </row>
    <row r="456" spans="1:15" x14ac:dyDescent="0.25">
      <c r="A456" s="6">
        <v>3687</v>
      </c>
      <c r="B456" s="1" t="s">
        <v>460</v>
      </c>
      <c r="C456" s="3">
        <v>1.2183600000000001</v>
      </c>
      <c r="D456" s="1" t="s">
        <v>1182</v>
      </c>
      <c r="E456" s="3">
        <f t="shared" si="35"/>
        <v>19.107003801600001</v>
      </c>
      <c r="F456" s="3">
        <v>17.589262948207171</v>
      </c>
      <c r="G456" s="4">
        <f t="shared" si="36"/>
        <v>19.107003801600001</v>
      </c>
      <c r="H456" s="1">
        <v>2.63</v>
      </c>
      <c r="I456" s="1">
        <f t="shared" si="37"/>
        <v>3.16</v>
      </c>
      <c r="J456" s="1" t="s">
        <v>1182</v>
      </c>
      <c r="K456" s="3">
        <f t="shared" si="38"/>
        <v>23.539522559999995</v>
      </c>
      <c r="L456" s="10">
        <f t="shared" si="39"/>
        <v>0.23198397846285124</v>
      </c>
      <c r="M456" s="18" t="str">
        <f>VLOOKUP(A456,Список!A:I,9,0)</f>
        <v>Основной ассортимент</v>
      </c>
      <c r="N456" s="12"/>
      <c r="O456" s="11"/>
    </row>
    <row r="457" spans="1:15" x14ac:dyDescent="0.25">
      <c r="A457" s="6">
        <v>3688</v>
      </c>
      <c r="B457" s="1" t="s">
        <v>461</v>
      </c>
      <c r="C457" s="3">
        <v>1.8509700000000002</v>
      </c>
      <c r="D457" s="1" t="s">
        <v>1182</v>
      </c>
      <c r="E457" s="3">
        <f t="shared" si="35"/>
        <v>29.027948083200002</v>
      </c>
      <c r="F457" s="3">
        <v>24.777460506706408</v>
      </c>
      <c r="G457" s="4">
        <f t="shared" si="36"/>
        <v>29.027948083200002</v>
      </c>
      <c r="H457" s="1">
        <v>3.99</v>
      </c>
      <c r="I457" s="1">
        <f t="shared" si="37"/>
        <v>4.79</v>
      </c>
      <c r="J457" s="1" t="s">
        <v>1182</v>
      </c>
      <c r="K457" s="3">
        <f t="shared" si="38"/>
        <v>35.681744639999991</v>
      </c>
      <c r="L457" s="10">
        <f t="shared" si="39"/>
        <v>0.22922035473292346</v>
      </c>
      <c r="M457" s="18" t="str">
        <f>VLOOKUP(A457,Список!A:I,9,0)</f>
        <v>Основной ассортимент</v>
      </c>
      <c r="N457" s="12"/>
      <c r="O457" s="11"/>
    </row>
    <row r="458" spans="1:15" x14ac:dyDescent="0.25">
      <c r="A458" s="6">
        <v>3689</v>
      </c>
      <c r="B458" s="1" t="s">
        <v>462</v>
      </c>
      <c r="C458" s="3">
        <v>2.92875</v>
      </c>
      <c r="D458" s="1" t="s">
        <v>1182</v>
      </c>
      <c r="E458" s="3">
        <f t="shared" si="35"/>
        <v>45.930297599999996</v>
      </c>
      <c r="F458" s="3">
        <v>41.149653543307089</v>
      </c>
      <c r="G458" s="4">
        <f t="shared" si="36"/>
        <v>45.930297599999996</v>
      </c>
      <c r="H458" s="1">
        <v>6.94</v>
      </c>
      <c r="I458" s="1">
        <f t="shared" si="37"/>
        <v>8.33</v>
      </c>
      <c r="J458" s="1" t="s">
        <v>1182</v>
      </c>
      <c r="K458" s="3">
        <f t="shared" si="38"/>
        <v>62.051969279999987</v>
      </c>
      <c r="L458" s="10">
        <f t="shared" si="39"/>
        <v>0.35100298762270588</v>
      </c>
      <c r="M458" s="18" t="str">
        <f>VLOOKUP(A458,Список!A:I,9,0)</f>
        <v>Основной ассортимент</v>
      </c>
      <c r="N458" s="12"/>
      <c r="O458" s="11"/>
    </row>
    <row r="459" spans="1:15" x14ac:dyDescent="0.25">
      <c r="A459" s="6">
        <v>3691</v>
      </c>
      <c r="B459" s="1" t="s">
        <v>463</v>
      </c>
      <c r="C459" s="3">
        <v>1.1246400000000001</v>
      </c>
      <c r="D459" s="1" t="s">
        <v>1182</v>
      </c>
      <c r="E459" s="3">
        <f t="shared" si="35"/>
        <v>17.637234278400001</v>
      </c>
      <c r="F459" s="3">
        <v>16.581202020202017</v>
      </c>
      <c r="G459" s="4">
        <f t="shared" si="36"/>
        <v>17.637234278400001</v>
      </c>
      <c r="H459" s="1">
        <v>2.5099999999999998</v>
      </c>
      <c r="I459" s="1">
        <f t="shared" si="37"/>
        <v>3.01</v>
      </c>
      <c r="J459" s="1" t="s">
        <v>1182</v>
      </c>
      <c r="K459" s="3">
        <f t="shared" si="38"/>
        <v>22.422140159999994</v>
      </c>
      <c r="L459" s="10">
        <f t="shared" si="39"/>
        <v>0.27129570351401289</v>
      </c>
      <c r="M459" s="18" t="str">
        <f>VLOOKUP(A459,Список!A:I,9,0)</f>
        <v>Основной ассортимент</v>
      </c>
      <c r="N459" s="12"/>
      <c r="O459" s="11"/>
    </row>
    <row r="460" spans="1:15" x14ac:dyDescent="0.25">
      <c r="A460" s="6">
        <v>3485</v>
      </c>
      <c r="B460" s="1" t="s">
        <v>464</v>
      </c>
      <c r="C460" s="3">
        <v>15.042060000000001</v>
      </c>
      <c r="D460" s="1" t="s">
        <v>1182</v>
      </c>
      <c r="E460" s="3">
        <f t="shared" si="35"/>
        <v>235.89800847359999</v>
      </c>
      <c r="F460" s="3">
        <v>368.11888524590159</v>
      </c>
      <c r="G460" s="4">
        <f t="shared" si="36"/>
        <v>368.11888524590159</v>
      </c>
      <c r="H460" s="1">
        <v>64.459999999999994</v>
      </c>
      <c r="I460" s="1">
        <f t="shared" si="37"/>
        <v>77.349999999999994</v>
      </c>
      <c r="J460" s="1" t="s">
        <v>1182</v>
      </c>
      <c r="K460" s="3">
        <f t="shared" si="38"/>
        <v>576.19685759999982</v>
      </c>
      <c r="L460" s="10">
        <f t="shared" si="39"/>
        <v>1.4425677068167517</v>
      </c>
      <c r="M460" s="18" t="str">
        <f>VLOOKUP(A460,Список!A:I,9,0)</f>
        <v>Основной ассортимент</v>
      </c>
      <c r="N460" s="12"/>
      <c r="O460" s="11"/>
    </row>
    <row r="461" spans="1:15" x14ac:dyDescent="0.25">
      <c r="A461" s="6">
        <v>3477</v>
      </c>
      <c r="B461" s="1" t="s">
        <v>465</v>
      </c>
      <c r="C461" s="3">
        <v>0.2</v>
      </c>
      <c r="D461" s="1" t="s">
        <v>1182</v>
      </c>
      <c r="E461" s="3">
        <f t="shared" si="35"/>
        <v>3.1365120000000002</v>
      </c>
      <c r="F461" s="3">
        <v>4.2299300715439641</v>
      </c>
      <c r="G461" s="4">
        <f t="shared" si="36"/>
        <v>4.2299300715439641</v>
      </c>
      <c r="H461" s="1">
        <v>0.57999999999999996</v>
      </c>
      <c r="I461" s="1">
        <f t="shared" si="37"/>
        <v>0.7</v>
      </c>
      <c r="J461" s="1" t="s">
        <v>1182</v>
      </c>
      <c r="K461" s="3">
        <f t="shared" si="38"/>
        <v>5.2144511999999992</v>
      </c>
      <c r="L461" s="10">
        <f t="shared" si="39"/>
        <v>0.66249999999999964</v>
      </c>
      <c r="M461" s="18" t="str">
        <f>VLOOKUP(A461,Список!A:I,9,0)</f>
        <v>Основной ассортимент</v>
      </c>
      <c r="N461" s="12"/>
      <c r="O461" s="11"/>
    </row>
    <row r="462" spans="1:15" x14ac:dyDescent="0.25">
      <c r="A462" s="6">
        <v>3478</v>
      </c>
      <c r="B462" s="1" t="s">
        <v>466</v>
      </c>
      <c r="C462" s="3">
        <v>0.41002499999999997</v>
      </c>
      <c r="D462" s="1" t="s">
        <v>1182</v>
      </c>
      <c r="E462" s="3">
        <f t="shared" si="35"/>
        <v>6.4302416639999995</v>
      </c>
      <c r="F462" s="3">
        <v>5.8285310302282545</v>
      </c>
      <c r="G462" s="4">
        <f t="shared" si="36"/>
        <v>6.4302416639999995</v>
      </c>
      <c r="H462" s="1">
        <v>1.07</v>
      </c>
      <c r="I462" s="1">
        <f t="shared" si="37"/>
        <v>1.28</v>
      </c>
      <c r="J462" s="1" t="s">
        <v>1182</v>
      </c>
      <c r="K462" s="3">
        <f t="shared" si="38"/>
        <v>9.5349964799999984</v>
      </c>
      <c r="L462" s="10">
        <f t="shared" si="39"/>
        <v>0.48283641241387709</v>
      </c>
      <c r="M462" s="18" t="str">
        <f>VLOOKUP(A462,Список!A:I,9,0)</f>
        <v>Основной ассортимент</v>
      </c>
      <c r="N462" s="12"/>
      <c r="O462" s="11"/>
    </row>
    <row r="463" spans="1:15" x14ac:dyDescent="0.25">
      <c r="A463" s="6">
        <v>3479</v>
      </c>
      <c r="B463" s="1" t="s">
        <v>467</v>
      </c>
      <c r="C463" s="3">
        <v>0.8434799999999999</v>
      </c>
      <c r="D463" s="1" t="s">
        <v>1182</v>
      </c>
      <c r="E463" s="3">
        <f t="shared" si="35"/>
        <v>13.227925708799999</v>
      </c>
      <c r="F463" s="3">
        <v>10.99729781420765</v>
      </c>
      <c r="G463" s="4">
        <f t="shared" si="36"/>
        <v>13.227925708799999</v>
      </c>
      <c r="H463" s="1">
        <v>1.82</v>
      </c>
      <c r="I463" s="1">
        <f t="shared" si="37"/>
        <v>2.1800000000000002</v>
      </c>
      <c r="J463" s="1" t="s">
        <v>1182</v>
      </c>
      <c r="K463" s="3">
        <f t="shared" si="38"/>
        <v>16.239290879999999</v>
      </c>
      <c r="L463" s="10">
        <f t="shared" si="39"/>
        <v>0.22765210793379809</v>
      </c>
      <c r="M463" s="18" t="str">
        <f>VLOOKUP(A463,Список!A:I,9,0)</f>
        <v>Основной ассортимент</v>
      </c>
      <c r="N463" s="12"/>
      <c r="O463" s="11"/>
    </row>
    <row r="464" spans="1:15" x14ac:dyDescent="0.25">
      <c r="A464" s="6">
        <v>3480</v>
      </c>
      <c r="B464" s="1" t="s">
        <v>468</v>
      </c>
      <c r="C464" s="3">
        <v>1.42923</v>
      </c>
      <c r="D464" s="1" t="s">
        <v>1182</v>
      </c>
      <c r="E464" s="3">
        <f t="shared" si="35"/>
        <v>22.413985228799998</v>
      </c>
      <c r="F464" s="3">
        <v>19.019968478082419</v>
      </c>
      <c r="G464" s="4">
        <f t="shared" si="36"/>
        <v>22.413985228799998</v>
      </c>
      <c r="H464" s="1">
        <v>3.12</v>
      </c>
      <c r="I464" s="1">
        <f t="shared" si="37"/>
        <v>3.74</v>
      </c>
      <c r="J464" s="1" t="s">
        <v>1182</v>
      </c>
      <c r="K464" s="3">
        <f t="shared" si="38"/>
        <v>27.860067839999999</v>
      </c>
      <c r="L464" s="10">
        <f t="shared" si="39"/>
        <v>0.24297698760871245</v>
      </c>
      <c r="M464" s="18" t="str">
        <f>VLOOKUP(A464,Список!A:I,9,0)</f>
        <v>Основной ассортимент</v>
      </c>
      <c r="N464" s="12"/>
      <c r="O464" s="11"/>
    </row>
    <row r="465" spans="1:15" x14ac:dyDescent="0.25">
      <c r="A465" s="6">
        <v>3481</v>
      </c>
      <c r="B465" s="1" t="s">
        <v>469</v>
      </c>
      <c r="C465" s="3">
        <v>2.4835800000000003</v>
      </c>
      <c r="D465" s="1" t="s">
        <v>1182</v>
      </c>
      <c r="E465" s="3">
        <f t="shared" si="35"/>
        <v>38.94889236480001</v>
      </c>
      <c r="F465" s="3">
        <v>33.69190990990991</v>
      </c>
      <c r="G465" s="4">
        <f t="shared" si="36"/>
        <v>38.94889236480001</v>
      </c>
      <c r="H465" s="1">
        <v>5.9</v>
      </c>
      <c r="I465" s="1">
        <f t="shared" si="37"/>
        <v>7.08</v>
      </c>
      <c r="J465" s="1" t="s">
        <v>1182</v>
      </c>
      <c r="K465" s="3">
        <f t="shared" si="38"/>
        <v>52.740449279999993</v>
      </c>
      <c r="L465" s="10">
        <f t="shared" si="39"/>
        <v>0.35409368733843838</v>
      </c>
      <c r="M465" s="18" t="str">
        <f>VLOOKUP(A465,Список!A:I,9,0)</f>
        <v>Основной ассортимент</v>
      </c>
      <c r="N465" s="12"/>
      <c r="O465" s="11"/>
    </row>
    <row r="466" spans="1:15" x14ac:dyDescent="0.25">
      <c r="A466" s="6">
        <v>3482</v>
      </c>
      <c r="B466" s="1" t="s">
        <v>470</v>
      </c>
      <c r="C466" s="3">
        <v>4.3814099999999998</v>
      </c>
      <c r="D466" s="1" t="s">
        <v>1182</v>
      </c>
      <c r="E466" s="3">
        <f t="shared" si="35"/>
        <v>68.71172520959999</v>
      </c>
      <c r="F466" s="3">
        <v>67.368208695652172</v>
      </c>
      <c r="G466" s="4">
        <f t="shared" si="36"/>
        <v>68.71172520959999</v>
      </c>
      <c r="H466" s="1">
        <v>11.07</v>
      </c>
      <c r="I466" s="1">
        <f t="shared" si="37"/>
        <v>13.28</v>
      </c>
      <c r="J466" s="1" t="s">
        <v>1182</v>
      </c>
      <c r="K466" s="3">
        <f t="shared" si="38"/>
        <v>98.925588479999988</v>
      </c>
      <c r="L466" s="10">
        <f t="shared" si="39"/>
        <v>0.43971917715986408</v>
      </c>
      <c r="M466" s="18" t="str">
        <f>VLOOKUP(A466,Список!A:I,9,0)</f>
        <v>Основной ассортимент</v>
      </c>
      <c r="N466" s="12"/>
      <c r="O466" s="11"/>
    </row>
    <row r="467" spans="1:15" x14ac:dyDescent="0.25">
      <c r="A467" s="6">
        <v>3483</v>
      </c>
      <c r="B467" s="1" t="s">
        <v>471</v>
      </c>
      <c r="C467" s="3">
        <v>5.9043600000000005</v>
      </c>
      <c r="D467" s="1" t="s">
        <v>1182</v>
      </c>
      <c r="E467" s="3">
        <f t="shared" si="35"/>
        <v>92.595479961600006</v>
      </c>
      <c r="F467" s="3">
        <v>101.18819999999999</v>
      </c>
      <c r="G467" s="4">
        <f t="shared" si="36"/>
        <v>101.18819999999999</v>
      </c>
      <c r="H467" s="1">
        <v>14.05</v>
      </c>
      <c r="I467" s="1">
        <f t="shared" si="37"/>
        <v>16.86</v>
      </c>
      <c r="J467" s="1" t="s">
        <v>1182</v>
      </c>
      <c r="K467" s="3">
        <f t="shared" si="38"/>
        <v>125.59378175999997</v>
      </c>
      <c r="L467" s="10">
        <f t="shared" si="39"/>
        <v>0.35637054651139111</v>
      </c>
      <c r="M467" s="18" t="str">
        <f>VLOOKUP(A467,Список!A:I,9,0)</f>
        <v>Основной ассортимент</v>
      </c>
      <c r="N467" s="12"/>
      <c r="O467" s="11"/>
    </row>
    <row r="468" spans="1:15" x14ac:dyDescent="0.25">
      <c r="A468" s="6">
        <v>3484</v>
      </c>
      <c r="B468" s="1" t="s">
        <v>472</v>
      </c>
      <c r="C468" s="3">
        <v>10.719225000000002</v>
      </c>
      <c r="D468" s="1" t="s">
        <v>1182</v>
      </c>
      <c r="E468" s="3">
        <f t="shared" si="35"/>
        <v>168.104889216</v>
      </c>
      <c r="F468" s="3">
        <v>148.23469565217391</v>
      </c>
      <c r="G468" s="4">
        <f t="shared" si="36"/>
        <v>168.104889216</v>
      </c>
      <c r="H468" s="1">
        <v>29.65</v>
      </c>
      <c r="I468" s="1">
        <f t="shared" si="37"/>
        <v>35.58</v>
      </c>
      <c r="J468" s="1" t="s">
        <v>1182</v>
      </c>
      <c r="K468" s="3">
        <f t="shared" si="38"/>
        <v>265.04310527999996</v>
      </c>
      <c r="L468" s="10">
        <f t="shared" si="39"/>
        <v>0.57665316289190649</v>
      </c>
      <c r="M468" s="18" t="str">
        <f>VLOOKUP(A468,Список!A:I,9,0)</f>
        <v>Основной ассортимент</v>
      </c>
      <c r="N468" s="12"/>
      <c r="O468" s="11"/>
    </row>
    <row r="469" spans="1:15" x14ac:dyDescent="0.25">
      <c r="A469" s="6">
        <v>3496</v>
      </c>
      <c r="B469" s="1" t="s">
        <v>473</v>
      </c>
      <c r="C469" s="3">
        <v>0.58574999999999999</v>
      </c>
      <c r="D469" s="1" t="s">
        <v>1182</v>
      </c>
      <c r="E469" s="3">
        <f t="shared" si="35"/>
        <v>9.1860595199999988</v>
      </c>
      <c r="F469" s="3">
        <v>8.5311512467956181</v>
      </c>
      <c r="G469" s="4">
        <f t="shared" si="36"/>
        <v>9.1860595199999988</v>
      </c>
      <c r="H469" s="1">
        <v>1.26</v>
      </c>
      <c r="I469" s="1">
        <f t="shared" si="37"/>
        <v>1.51</v>
      </c>
      <c r="J469" s="1" t="s">
        <v>1182</v>
      </c>
      <c r="K469" s="3">
        <f t="shared" si="38"/>
        <v>11.24831616</v>
      </c>
      <c r="L469" s="10">
        <f t="shared" si="39"/>
        <v>0.22449850618864708</v>
      </c>
      <c r="M469" s="18" t="str">
        <f>VLOOKUP(A469,Список!A:I,9,0)</f>
        <v>Основной ассортимент</v>
      </c>
      <c r="N469" s="12"/>
      <c r="O469" s="11"/>
    </row>
    <row r="470" spans="1:15" x14ac:dyDescent="0.25">
      <c r="A470" s="6">
        <v>3497</v>
      </c>
      <c r="B470" s="1" t="s">
        <v>474</v>
      </c>
      <c r="C470" s="3">
        <v>0.43345499999999998</v>
      </c>
      <c r="D470" s="1" t="s">
        <v>1182</v>
      </c>
      <c r="E470" s="3">
        <f t="shared" si="35"/>
        <v>6.7976840447999987</v>
      </c>
      <c r="F470" s="3">
        <v>5.6096570545829039</v>
      </c>
      <c r="G470" s="4">
        <f t="shared" si="36"/>
        <v>6.7976840447999987</v>
      </c>
      <c r="H470" s="1">
        <v>0.95</v>
      </c>
      <c r="I470" s="1">
        <f t="shared" si="37"/>
        <v>1.1399999999999999</v>
      </c>
      <c r="J470" s="1" t="s">
        <v>1182</v>
      </c>
      <c r="K470" s="3">
        <f t="shared" si="38"/>
        <v>8.4921062399999983</v>
      </c>
      <c r="L470" s="10">
        <f t="shared" si="39"/>
        <v>0.24926462954631967</v>
      </c>
      <c r="M470" s="18" t="str">
        <f>VLOOKUP(A470,Список!A:I,9,0)</f>
        <v>Основной ассортимент</v>
      </c>
      <c r="N470" s="12"/>
      <c r="O470" s="11"/>
    </row>
    <row r="471" spans="1:15" x14ac:dyDescent="0.25">
      <c r="A471" s="6">
        <v>3499</v>
      </c>
      <c r="B471" s="1" t="s">
        <v>475</v>
      </c>
      <c r="C471" s="3">
        <v>0.63261000000000012</v>
      </c>
      <c r="D471" s="1" t="s">
        <v>1182</v>
      </c>
      <c r="E471" s="3">
        <f t="shared" si="35"/>
        <v>9.9209442816000006</v>
      </c>
      <c r="F471" s="3">
        <v>8.0829421487603295</v>
      </c>
      <c r="G471" s="4">
        <f t="shared" si="36"/>
        <v>9.9209442816000006</v>
      </c>
      <c r="H471" s="1">
        <v>1.46</v>
      </c>
      <c r="I471" s="1">
        <f t="shared" si="37"/>
        <v>1.75</v>
      </c>
      <c r="J471" s="1" t="s">
        <v>1182</v>
      </c>
      <c r="K471" s="3">
        <f t="shared" si="38"/>
        <v>13.036128</v>
      </c>
      <c r="L471" s="10">
        <f t="shared" si="39"/>
        <v>0.31400072714626703</v>
      </c>
      <c r="M471" s="18" t="str">
        <f>VLOOKUP(A471,Список!A:I,9,0)</f>
        <v>Основной ассортимент</v>
      </c>
      <c r="N471" s="12"/>
      <c r="O471" s="11"/>
    </row>
    <row r="472" spans="1:15" x14ac:dyDescent="0.25">
      <c r="A472" s="6">
        <v>3500</v>
      </c>
      <c r="B472" s="1" t="s">
        <v>476</v>
      </c>
      <c r="C472" s="3">
        <v>0.85519499999999993</v>
      </c>
      <c r="D472" s="1" t="s">
        <v>1182</v>
      </c>
      <c r="E472" s="3">
        <f t="shared" si="35"/>
        <v>13.411646899199999</v>
      </c>
      <c r="F472" s="3">
        <v>11.605845739910313</v>
      </c>
      <c r="G472" s="4">
        <f t="shared" si="36"/>
        <v>13.411646899199999</v>
      </c>
      <c r="H472" s="1">
        <v>2.0099999999999998</v>
      </c>
      <c r="I472" s="1">
        <f t="shared" si="37"/>
        <v>2.41</v>
      </c>
      <c r="J472" s="1" t="s">
        <v>1182</v>
      </c>
      <c r="K472" s="3">
        <f t="shared" si="38"/>
        <v>17.95261056</v>
      </c>
      <c r="L472" s="10">
        <f t="shared" si="39"/>
        <v>0.3385835978928784</v>
      </c>
      <c r="M472" s="18" t="str">
        <f>VLOOKUP(A472,Список!A:I,9,0)</f>
        <v>Основной ассортимент</v>
      </c>
      <c r="N472" s="12"/>
      <c r="O472" s="11"/>
    </row>
    <row r="473" spans="1:15" x14ac:dyDescent="0.25">
      <c r="A473" s="6">
        <v>3501</v>
      </c>
      <c r="B473" s="1" t="s">
        <v>477</v>
      </c>
      <c r="C473" s="3">
        <v>0.63261000000000012</v>
      </c>
      <c r="D473" s="1" t="s">
        <v>1182</v>
      </c>
      <c r="E473" s="3">
        <f t="shared" si="35"/>
        <v>9.9209442816000006</v>
      </c>
      <c r="F473" s="3">
        <v>8.6907004183202829</v>
      </c>
      <c r="G473" s="4">
        <f t="shared" si="36"/>
        <v>9.9209442816000006</v>
      </c>
      <c r="H473" s="1">
        <v>1.52</v>
      </c>
      <c r="I473" s="1">
        <f t="shared" si="37"/>
        <v>1.82</v>
      </c>
      <c r="J473" s="1" t="s">
        <v>1182</v>
      </c>
      <c r="K473" s="3">
        <f t="shared" si="38"/>
        <v>13.557573119999997</v>
      </c>
      <c r="L473" s="10">
        <f t="shared" si="39"/>
        <v>0.36656075623211737</v>
      </c>
      <c r="M473" s="18" t="str">
        <f>VLOOKUP(A473,Список!A:I,9,0)</f>
        <v>Основной ассортимент</v>
      </c>
      <c r="N473" s="12"/>
      <c r="O473" s="11"/>
    </row>
    <row r="474" spans="1:15" x14ac:dyDescent="0.25">
      <c r="A474" s="6">
        <v>3502</v>
      </c>
      <c r="B474" s="1" t="s">
        <v>478</v>
      </c>
      <c r="C474" s="3">
        <v>1.0192049999999999</v>
      </c>
      <c r="D474" s="1" t="s">
        <v>1182</v>
      </c>
      <c r="E474" s="3">
        <f t="shared" si="35"/>
        <v>15.983743564799997</v>
      </c>
      <c r="F474" s="3">
        <v>14.14303086779266</v>
      </c>
      <c r="G474" s="4">
        <f t="shared" si="36"/>
        <v>15.983743564799997</v>
      </c>
      <c r="H474" s="1">
        <v>2.23</v>
      </c>
      <c r="I474" s="1">
        <f t="shared" si="37"/>
        <v>2.68</v>
      </c>
      <c r="J474" s="1" t="s">
        <v>1182</v>
      </c>
      <c r="K474" s="3">
        <f t="shared" si="38"/>
        <v>19.963898879999999</v>
      </c>
      <c r="L474" s="10">
        <f t="shared" si="39"/>
        <v>0.2490127108874074</v>
      </c>
      <c r="M474" s="18" t="str">
        <f>VLOOKUP(A474,Список!A:I,9,0)</f>
        <v>Основной ассортимент</v>
      </c>
      <c r="N474" s="12"/>
      <c r="O474" s="11"/>
    </row>
    <row r="475" spans="1:15" x14ac:dyDescent="0.25">
      <c r="A475" s="6">
        <v>3503</v>
      </c>
      <c r="B475" s="1" t="s">
        <v>479</v>
      </c>
      <c r="C475" s="3">
        <v>0.89034000000000013</v>
      </c>
      <c r="D475" s="1" t="s">
        <v>1182</v>
      </c>
      <c r="E475" s="3">
        <f t="shared" si="35"/>
        <v>13.962810470400001</v>
      </c>
      <c r="F475" s="3">
        <v>12.965762643965949</v>
      </c>
      <c r="G475" s="4">
        <f t="shared" si="36"/>
        <v>13.962810470400001</v>
      </c>
      <c r="H475" s="1">
        <v>1.91</v>
      </c>
      <c r="I475" s="1">
        <f t="shared" si="37"/>
        <v>2.29</v>
      </c>
      <c r="J475" s="1" t="s">
        <v>1182</v>
      </c>
      <c r="K475" s="3">
        <f t="shared" si="38"/>
        <v>17.058704639999998</v>
      </c>
      <c r="L475" s="10">
        <f t="shared" si="39"/>
        <v>0.22172428510456665</v>
      </c>
      <c r="M475" s="18" t="str">
        <f>VLOOKUP(A475,Список!A:I,9,0)</f>
        <v>Основной ассортимент</v>
      </c>
      <c r="N475" s="12"/>
      <c r="O475" s="11"/>
    </row>
    <row r="476" spans="1:15" x14ac:dyDescent="0.25">
      <c r="A476" s="6">
        <v>3504</v>
      </c>
      <c r="B476" s="1" t="s">
        <v>480</v>
      </c>
      <c r="C476" s="3">
        <v>0.714615</v>
      </c>
      <c r="D476" s="1" t="s">
        <v>1182</v>
      </c>
      <c r="E476" s="3">
        <f t="shared" si="35"/>
        <v>11.206992614399999</v>
      </c>
      <c r="F476" s="3">
        <v>9.6747168808152395</v>
      </c>
      <c r="G476" s="4">
        <f t="shared" si="36"/>
        <v>11.206992614399999</v>
      </c>
      <c r="H476" s="1">
        <v>1.71</v>
      </c>
      <c r="I476" s="1">
        <f t="shared" si="37"/>
        <v>2.0499999999999998</v>
      </c>
      <c r="J476" s="1" t="s">
        <v>1182</v>
      </c>
      <c r="K476" s="3">
        <f t="shared" si="38"/>
        <v>15.270892799999997</v>
      </c>
      <c r="L476" s="10">
        <f t="shared" si="39"/>
        <v>0.3626218313357541</v>
      </c>
      <c r="M476" s="18" t="str">
        <f>VLOOKUP(A476,Список!A:I,9,0)</f>
        <v>Основной ассортимент</v>
      </c>
      <c r="N476" s="12"/>
      <c r="O476" s="11"/>
    </row>
    <row r="477" spans="1:15" x14ac:dyDescent="0.25">
      <c r="A477" s="6">
        <v>3505</v>
      </c>
      <c r="B477" s="1" t="s">
        <v>481</v>
      </c>
      <c r="C477" s="3">
        <v>0.98405999999999993</v>
      </c>
      <c r="D477" s="1" t="s">
        <v>1182</v>
      </c>
      <c r="E477" s="3">
        <f t="shared" si="35"/>
        <v>15.432579993599997</v>
      </c>
      <c r="F477" s="3">
        <v>13.973953530751707</v>
      </c>
      <c r="G477" s="4">
        <f t="shared" si="36"/>
        <v>15.432579993599997</v>
      </c>
      <c r="H477" s="1">
        <v>2.67</v>
      </c>
      <c r="I477" s="1">
        <f t="shared" si="37"/>
        <v>3.2</v>
      </c>
      <c r="J477" s="1" t="s">
        <v>1182</v>
      </c>
      <c r="K477" s="3">
        <f t="shared" si="38"/>
        <v>23.837491199999999</v>
      </c>
      <c r="L477" s="10">
        <f t="shared" si="39"/>
        <v>0.54462126293112223</v>
      </c>
      <c r="M477" s="18" t="str">
        <f>VLOOKUP(A477,Список!A:I,9,0)</f>
        <v>Основной ассортимент</v>
      </c>
      <c r="N477" s="12"/>
      <c r="O477" s="11"/>
    </row>
    <row r="478" spans="1:15" x14ac:dyDescent="0.25">
      <c r="A478" s="6">
        <v>3506</v>
      </c>
      <c r="B478" s="1" t="s">
        <v>482</v>
      </c>
      <c r="C478" s="3">
        <v>1.042635</v>
      </c>
      <c r="D478" s="1" t="s">
        <v>1182</v>
      </c>
      <c r="E478" s="3">
        <f t="shared" si="35"/>
        <v>16.351185945599997</v>
      </c>
      <c r="F478" s="3">
        <v>14.783371214698878</v>
      </c>
      <c r="G478" s="4">
        <f t="shared" si="36"/>
        <v>16.351185945599997</v>
      </c>
      <c r="H478" s="1">
        <v>2.66</v>
      </c>
      <c r="I478" s="1">
        <f t="shared" si="37"/>
        <v>3.19</v>
      </c>
      <c r="J478" s="1" t="s">
        <v>1182</v>
      </c>
      <c r="K478" s="3">
        <f t="shared" si="38"/>
        <v>23.762999039999997</v>
      </c>
      <c r="L478" s="10">
        <f t="shared" si="39"/>
        <v>0.45328902252466108</v>
      </c>
      <c r="M478" s="18" t="str">
        <f>VLOOKUP(A478,Список!A:I,9,0)</f>
        <v>Основной ассортимент</v>
      </c>
      <c r="N478" s="12"/>
      <c r="O478" s="11"/>
    </row>
    <row r="479" spans="1:15" x14ac:dyDescent="0.25">
      <c r="A479" s="6">
        <v>3507</v>
      </c>
      <c r="B479" s="1" t="s">
        <v>483</v>
      </c>
      <c r="C479" s="3">
        <v>1.2183600000000001</v>
      </c>
      <c r="D479" s="1" t="s">
        <v>1182</v>
      </c>
      <c r="E479" s="3">
        <f t="shared" si="35"/>
        <v>19.107003801600001</v>
      </c>
      <c r="F479" s="3">
        <v>16.371497695852533</v>
      </c>
      <c r="G479" s="4">
        <f t="shared" si="36"/>
        <v>19.107003801600001</v>
      </c>
      <c r="H479" s="1">
        <v>2.99</v>
      </c>
      <c r="I479" s="1">
        <f t="shared" si="37"/>
        <v>3.59</v>
      </c>
      <c r="J479" s="1" t="s">
        <v>1182</v>
      </c>
      <c r="K479" s="3">
        <f t="shared" si="38"/>
        <v>26.742685439999995</v>
      </c>
      <c r="L479" s="10">
        <f t="shared" si="39"/>
        <v>0.39962736793722686</v>
      </c>
      <c r="M479" s="18" t="str">
        <f>VLOOKUP(A479,Список!A:I,9,0)</f>
        <v>Основной ассортимент</v>
      </c>
      <c r="N479" s="12"/>
      <c r="O479" s="11"/>
    </row>
    <row r="480" spans="1:15" x14ac:dyDescent="0.25">
      <c r="A480" s="6">
        <v>3508</v>
      </c>
      <c r="B480" s="1" t="s">
        <v>484</v>
      </c>
      <c r="C480" s="3">
        <v>1.5112350000000001</v>
      </c>
      <c r="D480" s="1" t="s">
        <v>1182</v>
      </c>
      <c r="E480" s="3">
        <f t="shared" si="35"/>
        <v>23.700033561600002</v>
      </c>
      <c r="F480" s="3">
        <v>20.454602901665769</v>
      </c>
      <c r="G480" s="4">
        <f t="shared" si="36"/>
        <v>23.700033561600002</v>
      </c>
      <c r="H480" s="1">
        <v>3.71</v>
      </c>
      <c r="I480" s="1">
        <f t="shared" si="37"/>
        <v>4.45</v>
      </c>
      <c r="J480" s="1" t="s">
        <v>1182</v>
      </c>
      <c r="K480" s="3">
        <f t="shared" si="38"/>
        <v>33.149011199999997</v>
      </c>
      <c r="L480" s="10">
        <f t="shared" si="39"/>
        <v>0.39869047500885024</v>
      </c>
      <c r="M480" s="18" t="str">
        <f>VLOOKUP(A480,Список!A:I,9,0)</f>
        <v>Основной ассортимент</v>
      </c>
      <c r="N480" s="12"/>
      <c r="O480" s="11"/>
    </row>
    <row r="481" spans="1:15" x14ac:dyDescent="0.25">
      <c r="A481" s="6">
        <v>3509</v>
      </c>
      <c r="B481" s="1" t="s">
        <v>485</v>
      </c>
      <c r="C481" s="3">
        <v>1.6049550000000001</v>
      </c>
      <c r="D481" s="1" t="s">
        <v>1182</v>
      </c>
      <c r="E481" s="3">
        <f t="shared" si="35"/>
        <v>25.169803084800002</v>
      </c>
      <c r="F481" s="3">
        <v>22.660187234042553</v>
      </c>
      <c r="G481" s="4">
        <f t="shared" si="36"/>
        <v>25.169803084800002</v>
      </c>
      <c r="H481" s="1">
        <v>3.75</v>
      </c>
      <c r="I481" s="1">
        <f t="shared" si="37"/>
        <v>4.5</v>
      </c>
      <c r="J481" s="1" t="s">
        <v>1182</v>
      </c>
      <c r="K481" s="3">
        <f t="shared" si="38"/>
        <v>33.521471999999996</v>
      </c>
      <c r="L481" s="10">
        <f t="shared" si="39"/>
        <v>0.3318130414871443</v>
      </c>
      <c r="M481" s="18" t="str">
        <f>VLOOKUP(A481,Список!A:I,9,0)</f>
        <v>Основной ассортимент</v>
      </c>
      <c r="N481" s="12"/>
      <c r="O481" s="11"/>
    </row>
    <row r="482" spans="1:15" x14ac:dyDescent="0.25">
      <c r="A482" s="6">
        <v>3510</v>
      </c>
      <c r="B482" s="1" t="s">
        <v>486</v>
      </c>
      <c r="C482" s="3">
        <v>1.8041100000000001</v>
      </c>
      <c r="D482" s="1" t="s">
        <v>1182</v>
      </c>
      <c r="E482" s="3">
        <f t="shared" si="35"/>
        <v>28.293063321599998</v>
      </c>
      <c r="F482" s="3">
        <v>24.150846184578505</v>
      </c>
      <c r="G482" s="4">
        <f t="shared" si="36"/>
        <v>28.293063321599998</v>
      </c>
      <c r="H482" s="1">
        <v>3.86</v>
      </c>
      <c r="I482" s="1">
        <f t="shared" si="37"/>
        <v>4.63</v>
      </c>
      <c r="J482" s="1" t="s">
        <v>1182</v>
      </c>
      <c r="K482" s="3">
        <f t="shared" si="38"/>
        <v>34.489870079999996</v>
      </c>
      <c r="L482" s="10">
        <f t="shared" si="39"/>
        <v>0.21902212171098201</v>
      </c>
      <c r="M482" s="18" t="str">
        <f>VLOOKUP(A482,Список!A:I,9,0)</f>
        <v>Основной ассортимент</v>
      </c>
      <c r="N482" s="12"/>
      <c r="O482" s="11"/>
    </row>
    <row r="483" spans="1:15" x14ac:dyDescent="0.25">
      <c r="A483" s="6">
        <v>3511</v>
      </c>
      <c r="B483" s="1" t="s">
        <v>487</v>
      </c>
      <c r="C483" s="3">
        <v>2.08527</v>
      </c>
      <c r="D483" s="1" t="s">
        <v>1182</v>
      </c>
      <c r="E483" s="3">
        <f t="shared" si="35"/>
        <v>32.702371891199995</v>
      </c>
      <c r="F483" s="3">
        <v>28.211999999999996</v>
      </c>
      <c r="G483" s="4">
        <f t="shared" si="36"/>
        <v>32.702371891199995</v>
      </c>
      <c r="H483" s="1">
        <v>4.45</v>
      </c>
      <c r="I483" s="1">
        <f t="shared" si="37"/>
        <v>5.34</v>
      </c>
      <c r="J483" s="1" t="s">
        <v>1182</v>
      </c>
      <c r="K483" s="3">
        <f t="shared" si="38"/>
        <v>39.778813439999993</v>
      </c>
      <c r="L483" s="10">
        <f t="shared" si="39"/>
        <v>0.2163892445582587</v>
      </c>
      <c r="M483" s="18" t="str">
        <f>VLOOKUP(A483,Список!A:I,9,0)</f>
        <v>Основной ассортимент</v>
      </c>
      <c r="N483" s="12"/>
      <c r="O483" s="11"/>
    </row>
    <row r="484" spans="1:15" x14ac:dyDescent="0.25">
      <c r="A484" s="6">
        <v>3512</v>
      </c>
      <c r="B484" s="1" t="s">
        <v>488</v>
      </c>
      <c r="C484" s="3">
        <v>2.5421550000000002</v>
      </c>
      <c r="D484" s="1" t="s">
        <v>1182</v>
      </c>
      <c r="E484" s="3">
        <f t="shared" si="35"/>
        <v>39.867498316800003</v>
      </c>
      <c r="F484" s="3">
        <v>36.518215384615388</v>
      </c>
      <c r="G484" s="4">
        <f t="shared" si="36"/>
        <v>39.867498316800003</v>
      </c>
      <c r="H484" s="1">
        <v>5.94</v>
      </c>
      <c r="I484" s="1">
        <f t="shared" si="37"/>
        <v>7.13</v>
      </c>
      <c r="J484" s="1" t="s">
        <v>1182</v>
      </c>
      <c r="K484" s="3">
        <f t="shared" si="38"/>
        <v>53.112910079999992</v>
      </c>
      <c r="L484" s="10">
        <f t="shared" si="39"/>
        <v>0.33223583927809242</v>
      </c>
      <c r="M484" s="18" t="str">
        <f>VLOOKUP(A484,Список!A:I,9,0)</f>
        <v>Основной ассортимент</v>
      </c>
      <c r="N484" s="12"/>
      <c r="O484" s="11"/>
    </row>
    <row r="485" spans="1:15" x14ac:dyDescent="0.25">
      <c r="A485" s="6">
        <v>3513</v>
      </c>
      <c r="B485" s="1" t="s">
        <v>489</v>
      </c>
      <c r="C485" s="3">
        <v>2.6475899999999997</v>
      </c>
      <c r="D485" s="1" t="s">
        <v>1182</v>
      </c>
      <c r="E485" s="3">
        <f t="shared" si="35"/>
        <v>41.520989030399996</v>
      </c>
      <c r="F485" s="3">
        <v>36.774866425992776</v>
      </c>
      <c r="G485" s="4">
        <f t="shared" si="36"/>
        <v>41.520989030399996</v>
      </c>
      <c r="H485" s="1">
        <v>6.28</v>
      </c>
      <c r="I485" s="1">
        <f t="shared" si="37"/>
        <v>7.54</v>
      </c>
      <c r="J485" s="1" t="s">
        <v>1182</v>
      </c>
      <c r="K485" s="3">
        <f t="shared" si="38"/>
        <v>56.167088639999996</v>
      </c>
      <c r="L485" s="10">
        <f t="shared" si="39"/>
        <v>0.35273966135239987</v>
      </c>
      <c r="M485" s="18" t="str">
        <f>VLOOKUP(A485,Список!A:I,9,0)</f>
        <v>Основной ассортимент</v>
      </c>
      <c r="N485" s="12"/>
      <c r="O485" s="11"/>
    </row>
    <row r="486" spans="1:15" x14ac:dyDescent="0.25">
      <c r="A486" s="6">
        <v>3514</v>
      </c>
      <c r="B486" s="1" t="s">
        <v>490</v>
      </c>
      <c r="C486" s="3">
        <v>2.85846</v>
      </c>
      <c r="D486" s="1" t="s">
        <v>1182</v>
      </c>
      <c r="E486" s="3">
        <f t="shared" si="35"/>
        <v>44.827970457599996</v>
      </c>
      <c r="F486" s="3">
        <v>39.958457680250781</v>
      </c>
      <c r="G486" s="4">
        <f t="shared" si="36"/>
        <v>44.827970457599996</v>
      </c>
      <c r="H486" s="1">
        <v>7.06</v>
      </c>
      <c r="I486" s="1">
        <f t="shared" si="37"/>
        <v>8.4700000000000006</v>
      </c>
      <c r="J486" s="1" t="s">
        <v>1182</v>
      </c>
      <c r="K486" s="3">
        <f t="shared" si="38"/>
        <v>63.09485952</v>
      </c>
      <c r="L486" s="10">
        <f t="shared" si="39"/>
        <v>0.40748864773339499</v>
      </c>
      <c r="M486" s="18" t="str">
        <f>VLOOKUP(A486,Список!A:I,9,0)</f>
        <v>Основной ассортимент</v>
      </c>
      <c r="N486" s="12"/>
      <c r="O486" s="11"/>
    </row>
    <row r="487" spans="1:15" x14ac:dyDescent="0.25">
      <c r="A487" s="6">
        <v>3515</v>
      </c>
      <c r="B487" s="1" t="s">
        <v>491</v>
      </c>
      <c r="C487" s="3">
        <v>3.1981950000000001</v>
      </c>
      <c r="D487" s="1" t="s">
        <v>1182</v>
      </c>
      <c r="E487" s="3">
        <f t="shared" si="35"/>
        <v>50.155884979199996</v>
      </c>
      <c r="F487" s="3">
        <v>44.318780487804879</v>
      </c>
      <c r="G487" s="4">
        <f t="shared" si="36"/>
        <v>50.155884979199996</v>
      </c>
      <c r="H487" s="1">
        <v>8.85</v>
      </c>
      <c r="I487" s="1">
        <f t="shared" si="37"/>
        <v>10.62</v>
      </c>
      <c r="J487" s="1" t="s">
        <v>1182</v>
      </c>
      <c r="K487" s="3">
        <f t="shared" si="38"/>
        <v>79.110673919999982</v>
      </c>
      <c r="L487" s="10">
        <f t="shared" si="39"/>
        <v>0.57729594349312641</v>
      </c>
      <c r="M487" s="18" t="str">
        <f>VLOOKUP(A487,Список!A:I,9,0)</f>
        <v>Основной ассортимент</v>
      </c>
      <c r="N487" s="12"/>
      <c r="O487" s="11"/>
    </row>
    <row r="488" spans="1:15" x14ac:dyDescent="0.25">
      <c r="A488" s="6">
        <v>3516</v>
      </c>
      <c r="B488" s="1" t="s">
        <v>492</v>
      </c>
      <c r="C488" s="3">
        <v>3.666795</v>
      </c>
      <c r="D488" s="1" t="s">
        <v>1182</v>
      </c>
      <c r="E488" s="3">
        <f t="shared" si="35"/>
        <v>57.504732595200004</v>
      </c>
      <c r="F488" s="3">
        <v>38.664457142857138</v>
      </c>
      <c r="G488" s="4">
        <f t="shared" si="36"/>
        <v>57.504732595200004</v>
      </c>
      <c r="H488" s="1">
        <v>8.4499999999999993</v>
      </c>
      <c r="I488" s="1">
        <f t="shared" si="37"/>
        <v>10.14</v>
      </c>
      <c r="J488" s="1" t="s">
        <v>1182</v>
      </c>
      <c r="K488" s="3">
        <f t="shared" si="38"/>
        <v>75.53505023999999</v>
      </c>
      <c r="L488" s="10">
        <f t="shared" si="39"/>
        <v>0.31354493501818315</v>
      </c>
      <c r="M488" s="18" t="str">
        <f>VLOOKUP(A488,Список!A:I,9,0)</f>
        <v>Основной ассортимент</v>
      </c>
      <c r="N488" s="12"/>
      <c r="O488" s="11"/>
    </row>
    <row r="489" spans="1:15" x14ac:dyDescent="0.25">
      <c r="A489" s="6">
        <v>3560</v>
      </c>
      <c r="B489" s="1" t="s">
        <v>493</v>
      </c>
      <c r="C489" s="3">
        <v>2.050125</v>
      </c>
      <c r="D489" s="1" t="s">
        <v>1182</v>
      </c>
      <c r="E489" s="3">
        <f t="shared" si="35"/>
        <v>32.151208319999995</v>
      </c>
      <c r="F489" s="3">
        <v>29.073208583690988</v>
      </c>
      <c r="G489" s="4">
        <f t="shared" si="36"/>
        <v>32.151208319999995</v>
      </c>
      <c r="H489" s="1">
        <v>4.3899999999999997</v>
      </c>
      <c r="I489" s="1">
        <f t="shared" si="37"/>
        <v>5.27</v>
      </c>
      <c r="J489" s="1" t="s">
        <v>1182</v>
      </c>
      <c r="K489" s="3">
        <f t="shared" si="38"/>
        <v>39.257368319999991</v>
      </c>
      <c r="L489" s="10">
        <f t="shared" si="39"/>
        <v>0.22102310834705197</v>
      </c>
      <c r="M489" s="18" t="str">
        <f>VLOOKUP(A489,Список!A:I,9,0)</f>
        <v>Основной ассортимент</v>
      </c>
      <c r="N489" s="12"/>
      <c r="O489" s="11"/>
    </row>
    <row r="490" spans="1:15" x14ac:dyDescent="0.25">
      <c r="A490" s="6">
        <v>3566</v>
      </c>
      <c r="B490" s="1" t="s">
        <v>494</v>
      </c>
      <c r="C490" s="3">
        <v>2.2844249999999997</v>
      </c>
      <c r="D490" s="1" t="s">
        <v>1182</v>
      </c>
      <c r="E490" s="3">
        <f t="shared" si="35"/>
        <v>35.825632127999995</v>
      </c>
      <c r="F490" s="3">
        <v>33.486480898876401</v>
      </c>
      <c r="G490" s="4">
        <f t="shared" si="36"/>
        <v>35.825632127999995</v>
      </c>
      <c r="H490" s="1">
        <v>5.09</v>
      </c>
      <c r="I490" s="1">
        <f t="shared" si="37"/>
        <v>6.11</v>
      </c>
      <c r="J490" s="1" t="s">
        <v>1182</v>
      </c>
      <c r="K490" s="3">
        <f t="shared" si="38"/>
        <v>45.514709759999995</v>
      </c>
      <c r="L490" s="10">
        <f t="shared" si="39"/>
        <v>0.27045098876084794</v>
      </c>
      <c r="M490" s="18" t="str">
        <f>VLOOKUP(A490,Список!A:I,9,0)</f>
        <v>Основной ассортимент</v>
      </c>
      <c r="N490" s="12"/>
      <c r="O490" s="11"/>
    </row>
    <row r="491" spans="1:15" x14ac:dyDescent="0.25">
      <c r="A491" s="6">
        <v>3561</v>
      </c>
      <c r="B491" s="1" t="s">
        <v>495</v>
      </c>
      <c r="C491" s="3">
        <v>2.6241600000000003</v>
      </c>
      <c r="D491" s="1" t="s">
        <v>1182</v>
      </c>
      <c r="E491" s="3">
        <f t="shared" si="35"/>
        <v>41.153546649599996</v>
      </c>
      <c r="F491" s="3">
        <v>35.578632378725885</v>
      </c>
      <c r="G491" s="4">
        <f t="shared" si="36"/>
        <v>41.153546649599996</v>
      </c>
      <c r="H491" s="1">
        <v>6.58</v>
      </c>
      <c r="I491" s="1">
        <f t="shared" si="37"/>
        <v>7.9</v>
      </c>
      <c r="J491" s="1" t="s">
        <v>1182</v>
      </c>
      <c r="K491" s="3">
        <f t="shared" si="38"/>
        <v>58.848806399999994</v>
      </c>
      <c r="L491" s="10">
        <f t="shared" si="39"/>
        <v>0.42998140357295278</v>
      </c>
      <c r="M491" s="18" t="str">
        <f>VLOOKUP(A491,Список!A:I,9,0)</f>
        <v>Основной ассортимент</v>
      </c>
      <c r="N491" s="12"/>
      <c r="O491" s="11"/>
    </row>
    <row r="492" spans="1:15" x14ac:dyDescent="0.25">
      <c r="A492" s="6">
        <v>3567</v>
      </c>
      <c r="B492" s="1" t="s">
        <v>496</v>
      </c>
      <c r="C492" s="3">
        <v>3.0224700000000002</v>
      </c>
      <c r="D492" s="1" t="s">
        <v>1182</v>
      </c>
      <c r="E492" s="3">
        <f t="shared" si="35"/>
        <v>47.400067123200003</v>
      </c>
      <c r="F492" s="3">
        <v>46.858605633802817</v>
      </c>
      <c r="G492" s="4">
        <f t="shared" si="36"/>
        <v>47.400067123200003</v>
      </c>
      <c r="H492" s="1">
        <v>8.1199999999999992</v>
      </c>
      <c r="I492" s="1">
        <f t="shared" si="37"/>
        <v>9.74</v>
      </c>
      <c r="J492" s="1" t="s">
        <v>1182</v>
      </c>
      <c r="K492" s="3">
        <f t="shared" si="38"/>
        <v>72.555363839999984</v>
      </c>
      <c r="L492" s="10">
        <f t="shared" si="39"/>
        <v>0.53070171085238194</v>
      </c>
      <c r="M492" s="18" t="str">
        <f>VLOOKUP(A492,Список!A:I,9,0)</f>
        <v>Основной ассортимент</v>
      </c>
      <c r="N492" s="12"/>
      <c r="O492" s="11"/>
    </row>
    <row r="493" spans="1:15" x14ac:dyDescent="0.25">
      <c r="A493" s="6">
        <v>3562</v>
      </c>
      <c r="B493" s="1" t="s">
        <v>497</v>
      </c>
      <c r="C493" s="3">
        <v>2.4835800000000003</v>
      </c>
      <c r="D493" s="1" t="s">
        <v>1182</v>
      </c>
      <c r="E493" s="3">
        <f t="shared" si="35"/>
        <v>38.94889236480001</v>
      </c>
      <c r="F493" s="3">
        <v>33.078303635067712</v>
      </c>
      <c r="G493" s="4">
        <f t="shared" si="36"/>
        <v>38.94889236480001</v>
      </c>
      <c r="H493" s="1">
        <v>5.26</v>
      </c>
      <c r="I493" s="1">
        <f t="shared" si="37"/>
        <v>6.31</v>
      </c>
      <c r="J493" s="1" t="s">
        <v>1182</v>
      </c>
      <c r="K493" s="3">
        <f t="shared" si="38"/>
        <v>47.004552959999991</v>
      </c>
      <c r="L493" s="10">
        <f t="shared" si="39"/>
        <v>0.2068264360318568</v>
      </c>
      <c r="M493" s="18" t="str">
        <f>VLOOKUP(A493,Список!A:I,9,0)</f>
        <v>Основной ассортимент</v>
      </c>
      <c r="N493" s="12"/>
      <c r="O493" s="11"/>
    </row>
    <row r="494" spans="1:15" x14ac:dyDescent="0.25">
      <c r="A494" s="6">
        <v>3568</v>
      </c>
      <c r="B494" s="1" t="s">
        <v>498</v>
      </c>
      <c r="C494" s="3">
        <v>2.6710199999999995</v>
      </c>
      <c r="D494" s="1" t="s">
        <v>1182</v>
      </c>
      <c r="E494" s="3">
        <f t="shared" si="35"/>
        <v>41.888431411199996</v>
      </c>
      <c r="F494" s="3">
        <v>37.216268115942029</v>
      </c>
      <c r="G494" s="4">
        <f t="shared" si="36"/>
        <v>41.888431411199996</v>
      </c>
      <c r="H494" s="1">
        <v>5.8</v>
      </c>
      <c r="I494" s="1">
        <f t="shared" si="37"/>
        <v>6.96</v>
      </c>
      <c r="J494" s="1" t="s">
        <v>1182</v>
      </c>
      <c r="K494" s="3">
        <f t="shared" si="38"/>
        <v>51.846543359999998</v>
      </c>
      <c r="L494" s="10">
        <f t="shared" si="39"/>
        <v>0.23772940674349141</v>
      </c>
      <c r="M494" s="18" t="str">
        <f>VLOOKUP(A494,Список!A:I,9,0)</f>
        <v>Основной ассортимент</v>
      </c>
      <c r="N494" s="12"/>
      <c r="O494" s="11"/>
    </row>
    <row r="495" spans="1:15" x14ac:dyDescent="0.25">
      <c r="A495" s="6">
        <v>3563</v>
      </c>
      <c r="B495" s="1" t="s">
        <v>499</v>
      </c>
      <c r="C495" s="3">
        <v>3.0576150000000002</v>
      </c>
      <c r="D495" s="1" t="s">
        <v>1182</v>
      </c>
      <c r="E495" s="3">
        <f t="shared" si="35"/>
        <v>47.951230694399996</v>
      </c>
      <c r="F495" s="3">
        <v>39.711126315789471</v>
      </c>
      <c r="G495" s="4">
        <f t="shared" si="36"/>
        <v>47.951230694399996</v>
      </c>
      <c r="H495" s="1">
        <v>6.69</v>
      </c>
      <c r="I495" s="1">
        <f t="shared" si="37"/>
        <v>8.0299999999999994</v>
      </c>
      <c r="J495" s="1" t="s">
        <v>1182</v>
      </c>
      <c r="K495" s="3">
        <f t="shared" si="38"/>
        <v>59.817204479999987</v>
      </c>
      <c r="L495" s="10">
        <f t="shared" si="39"/>
        <v>0.24745921249078107</v>
      </c>
      <c r="M495" s="18" t="str">
        <f>VLOOKUP(A495,Список!A:I,9,0)</f>
        <v>Основной ассортимент</v>
      </c>
      <c r="N495" s="12"/>
      <c r="O495" s="11"/>
    </row>
    <row r="496" spans="1:15" x14ac:dyDescent="0.25">
      <c r="A496" s="6">
        <v>3569</v>
      </c>
      <c r="B496" s="1" t="s">
        <v>500</v>
      </c>
      <c r="C496" s="3">
        <v>3.2450550000000002</v>
      </c>
      <c r="D496" s="1" t="s">
        <v>1182</v>
      </c>
      <c r="E496" s="3">
        <f t="shared" si="35"/>
        <v>50.890769740800003</v>
      </c>
      <c r="F496" s="3">
        <v>42.822860510805498</v>
      </c>
      <c r="G496" s="4">
        <f t="shared" si="36"/>
        <v>50.890769740800003</v>
      </c>
      <c r="H496" s="1">
        <v>7.07</v>
      </c>
      <c r="I496" s="1">
        <f t="shared" si="37"/>
        <v>8.48</v>
      </c>
      <c r="J496" s="1" t="s">
        <v>1182</v>
      </c>
      <c r="K496" s="3">
        <f t="shared" si="38"/>
        <v>63.169351679999998</v>
      </c>
      <c r="L496" s="10">
        <f t="shared" si="39"/>
        <v>0.24127326039158037</v>
      </c>
      <c r="M496" s="18" t="str">
        <f>VLOOKUP(A496,Список!A:I,9,0)</f>
        <v>Основной ассортимент</v>
      </c>
      <c r="N496" s="12"/>
      <c r="O496" s="11"/>
    </row>
    <row r="497" spans="1:15" x14ac:dyDescent="0.25">
      <c r="A497" s="6">
        <v>3565</v>
      </c>
      <c r="B497" s="1" t="s">
        <v>501</v>
      </c>
      <c r="C497" s="3">
        <v>5.0374499999999998</v>
      </c>
      <c r="D497" s="1" t="s">
        <v>1182</v>
      </c>
      <c r="E497" s="3">
        <f t="shared" si="35"/>
        <v>79.000111871999991</v>
      </c>
      <c r="F497" s="3">
        <v>66.453592039800995</v>
      </c>
      <c r="G497" s="4">
        <f t="shared" si="36"/>
        <v>79.000111871999991</v>
      </c>
      <c r="H497" s="1">
        <v>10.76</v>
      </c>
      <c r="I497" s="1">
        <f t="shared" si="37"/>
        <v>12.91</v>
      </c>
      <c r="J497" s="1" t="s">
        <v>1182</v>
      </c>
      <c r="K497" s="3">
        <f t="shared" si="38"/>
        <v>96.169378559999998</v>
      </c>
      <c r="L497" s="10">
        <f t="shared" si="39"/>
        <v>0.21733218195714121</v>
      </c>
      <c r="M497" s="18" t="str">
        <f>VLOOKUP(A497,Список!A:I,9,0)</f>
        <v>Основной ассортимент</v>
      </c>
      <c r="N497" s="12"/>
      <c r="O497" s="11"/>
    </row>
    <row r="498" spans="1:15" x14ac:dyDescent="0.25">
      <c r="A498" s="6">
        <v>3571</v>
      </c>
      <c r="B498" s="1" t="s">
        <v>502</v>
      </c>
      <c r="C498" s="3">
        <v>5.9980799999999999</v>
      </c>
      <c r="D498" s="1" t="s">
        <v>1182</v>
      </c>
      <c r="E498" s="3">
        <f t="shared" si="35"/>
        <v>94.065249484799992</v>
      </c>
      <c r="F498" s="3">
        <v>88.474032467532467</v>
      </c>
      <c r="G498" s="4">
        <f t="shared" si="36"/>
        <v>94.065249484799992</v>
      </c>
      <c r="H498" s="1">
        <v>12.77</v>
      </c>
      <c r="I498" s="1">
        <f t="shared" si="37"/>
        <v>15.32</v>
      </c>
      <c r="J498" s="1" t="s">
        <v>1182</v>
      </c>
      <c r="K498" s="3">
        <f t="shared" si="38"/>
        <v>114.12198911999998</v>
      </c>
      <c r="L498" s="10">
        <f t="shared" si="39"/>
        <v>0.21322156423388816</v>
      </c>
      <c r="M498" s="18" t="str">
        <f>VLOOKUP(A498,Список!A:I,9,0)</f>
        <v>Основной ассортимент</v>
      </c>
      <c r="N498" s="12"/>
      <c r="O498" s="11"/>
    </row>
    <row r="499" spans="1:15" x14ac:dyDescent="0.25">
      <c r="A499" s="6">
        <v>3922</v>
      </c>
      <c r="B499" s="1" t="s">
        <v>503</v>
      </c>
      <c r="C499" s="3">
        <v>2.9404649999999997</v>
      </c>
      <c r="D499" s="1" t="s">
        <v>1182</v>
      </c>
      <c r="E499" s="3">
        <f t="shared" si="35"/>
        <v>46.114018790399996</v>
      </c>
      <c r="F499" s="3">
        <v>39.781239488117002</v>
      </c>
      <c r="G499" s="4">
        <f t="shared" si="36"/>
        <v>46.114018790399996</v>
      </c>
      <c r="H499" s="1">
        <v>6.33</v>
      </c>
      <c r="I499" s="1">
        <f t="shared" si="37"/>
        <v>7.6</v>
      </c>
      <c r="J499" s="1" t="s">
        <v>1182</v>
      </c>
      <c r="K499" s="3">
        <f t="shared" si="38"/>
        <v>56.614041599999993</v>
      </c>
      <c r="L499" s="10">
        <f t="shared" si="39"/>
        <v>0.22769697989943771</v>
      </c>
      <c r="M499" s="18" t="str">
        <f>VLOOKUP(A499,Список!A:I,9,0)</f>
        <v>Основной ассортимент</v>
      </c>
      <c r="N499" s="12"/>
      <c r="O499" s="11"/>
    </row>
    <row r="500" spans="1:15" x14ac:dyDescent="0.25">
      <c r="A500" s="6">
        <v>3888</v>
      </c>
      <c r="B500" s="1" t="s">
        <v>504</v>
      </c>
      <c r="C500" s="3">
        <v>3.1630500000000001</v>
      </c>
      <c r="D500" s="1" t="s">
        <v>1182</v>
      </c>
      <c r="E500" s="3">
        <f t="shared" si="35"/>
        <v>49.604721408000003</v>
      </c>
      <c r="F500" s="3">
        <v>40.574635227272722</v>
      </c>
      <c r="G500" s="4">
        <f t="shared" si="36"/>
        <v>49.604721408000003</v>
      </c>
      <c r="H500" s="1">
        <v>7.45</v>
      </c>
      <c r="I500" s="1">
        <f t="shared" si="37"/>
        <v>8.94</v>
      </c>
      <c r="J500" s="1" t="s">
        <v>1182</v>
      </c>
      <c r="K500" s="3">
        <f t="shared" si="38"/>
        <v>66.595991039999987</v>
      </c>
      <c r="L500" s="10">
        <f t="shared" si="39"/>
        <v>0.3425333143642999</v>
      </c>
      <c r="M500" s="18" t="str">
        <f>VLOOKUP(A500,Список!A:I,9,0)</f>
        <v>Основной ассортимент</v>
      </c>
      <c r="N500" s="12"/>
      <c r="O500" s="11"/>
    </row>
    <row r="501" spans="1:15" x14ac:dyDescent="0.25">
      <c r="A501" s="6">
        <v>3564</v>
      </c>
      <c r="B501" s="1" t="s">
        <v>505</v>
      </c>
      <c r="C501" s="3">
        <v>3.4793550000000004</v>
      </c>
      <c r="D501" s="1" t="s">
        <v>1182</v>
      </c>
      <c r="E501" s="3">
        <f t="shared" si="35"/>
        <v>54.565193548800003</v>
      </c>
      <c r="F501" s="3">
        <v>43.805616641901935</v>
      </c>
      <c r="G501" s="4">
        <f t="shared" si="36"/>
        <v>54.565193548800003</v>
      </c>
      <c r="H501" s="1">
        <v>7.56</v>
      </c>
      <c r="I501" s="1">
        <f t="shared" si="37"/>
        <v>9.07</v>
      </c>
      <c r="J501" s="1" t="s">
        <v>1182</v>
      </c>
      <c r="K501" s="3">
        <f t="shared" si="38"/>
        <v>67.564389119999987</v>
      </c>
      <c r="L501" s="10">
        <f t="shared" si="39"/>
        <v>0.23823237352900151</v>
      </c>
      <c r="M501" s="18" t="str">
        <f>VLOOKUP(A501,Список!A:I,9,0)</f>
        <v>Основной ассортимент</v>
      </c>
      <c r="N501" s="12"/>
      <c r="O501" s="11"/>
    </row>
    <row r="502" spans="1:15" x14ac:dyDescent="0.25">
      <c r="A502" s="6">
        <v>3570</v>
      </c>
      <c r="B502" s="1" t="s">
        <v>506</v>
      </c>
      <c r="C502" s="3">
        <v>3.5965049999999996</v>
      </c>
      <c r="D502" s="1" t="s">
        <v>1182</v>
      </c>
      <c r="E502" s="3">
        <f t="shared" si="35"/>
        <v>56.402405452799989</v>
      </c>
      <c r="F502" s="3">
        <v>49.345618285714281</v>
      </c>
      <c r="G502" s="4">
        <f t="shared" si="36"/>
        <v>56.402405452799989</v>
      </c>
      <c r="H502" s="1">
        <v>8.09</v>
      </c>
      <c r="I502" s="1">
        <f t="shared" si="37"/>
        <v>9.7100000000000009</v>
      </c>
      <c r="J502" s="1" t="s">
        <v>1182</v>
      </c>
      <c r="K502" s="3">
        <f t="shared" si="38"/>
        <v>72.331887359999996</v>
      </c>
      <c r="L502" s="10">
        <f t="shared" si="39"/>
        <v>0.2824255770532782</v>
      </c>
      <c r="M502" s="18" t="str">
        <f>VLOOKUP(A502,Список!A:I,9,0)</f>
        <v>Основной ассортимент</v>
      </c>
      <c r="N502" s="12"/>
      <c r="O502" s="11"/>
    </row>
    <row r="503" spans="1:15" x14ac:dyDescent="0.25">
      <c r="A503" s="6">
        <v>3459</v>
      </c>
      <c r="B503" s="1" t="s">
        <v>507</v>
      </c>
      <c r="C503" s="3">
        <v>0.22258500000000003</v>
      </c>
      <c r="D503" s="1" t="s">
        <v>1182</v>
      </c>
      <c r="E503" s="3">
        <f t="shared" si="35"/>
        <v>3.4907026176000002</v>
      </c>
      <c r="F503" s="3">
        <v>2.8929816485225506</v>
      </c>
      <c r="G503" s="4">
        <f t="shared" si="36"/>
        <v>3.4907026176000002</v>
      </c>
      <c r="H503" s="1">
        <v>0.5</v>
      </c>
      <c r="I503" s="1">
        <f t="shared" si="37"/>
        <v>0.6</v>
      </c>
      <c r="J503" s="1" t="s">
        <v>1182</v>
      </c>
      <c r="K503" s="3">
        <f t="shared" si="38"/>
        <v>4.4695295999999995</v>
      </c>
      <c r="L503" s="10">
        <f t="shared" si="39"/>
        <v>0.28040973111395617</v>
      </c>
      <c r="M503" s="18" t="str">
        <f>VLOOKUP(A503,Список!A:I,9,0)</f>
        <v>Основной ассортимент</v>
      </c>
      <c r="N503" s="12"/>
      <c r="O503" s="11"/>
    </row>
    <row r="504" spans="1:15" x14ac:dyDescent="0.25">
      <c r="A504" s="6">
        <v>3460</v>
      </c>
      <c r="B504" s="1" t="s">
        <v>508</v>
      </c>
      <c r="C504" s="3">
        <v>0.33973500000000001</v>
      </c>
      <c r="D504" s="1" t="s">
        <v>1182</v>
      </c>
      <c r="E504" s="3">
        <f t="shared" si="35"/>
        <v>5.3279145215999995</v>
      </c>
      <c r="F504" s="3">
        <v>4.9041539833810628</v>
      </c>
      <c r="G504" s="4">
        <f t="shared" si="36"/>
        <v>5.3279145215999995</v>
      </c>
      <c r="H504" s="1">
        <v>0.77</v>
      </c>
      <c r="I504" s="1">
        <f t="shared" si="37"/>
        <v>0.92</v>
      </c>
      <c r="J504" s="1" t="s">
        <v>1182</v>
      </c>
      <c r="K504" s="3">
        <f t="shared" si="38"/>
        <v>6.8532787199999996</v>
      </c>
      <c r="L504" s="10">
        <f t="shared" si="39"/>
        <v>0.28629667240643442</v>
      </c>
      <c r="M504" s="18" t="str">
        <f>VLOOKUP(A504,Список!A:I,9,0)</f>
        <v>Основной ассортимент</v>
      </c>
      <c r="N504" s="12"/>
      <c r="O504" s="11"/>
    </row>
    <row r="505" spans="1:15" x14ac:dyDescent="0.25">
      <c r="A505" s="6">
        <v>3461</v>
      </c>
      <c r="B505" s="1" t="s">
        <v>509</v>
      </c>
      <c r="C505" s="3">
        <v>0.56232000000000004</v>
      </c>
      <c r="D505" s="1" t="s">
        <v>1182</v>
      </c>
      <c r="E505" s="3">
        <f t="shared" si="35"/>
        <v>8.8186171392000006</v>
      </c>
      <c r="F505" s="3">
        <v>8.2126297269507607</v>
      </c>
      <c r="G505" s="4">
        <f t="shared" si="36"/>
        <v>8.8186171392000006</v>
      </c>
      <c r="H505" s="1">
        <v>1.28</v>
      </c>
      <c r="I505" s="1">
        <f t="shared" si="37"/>
        <v>1.54</v>
      </c>
      <c r="J505" s="1" t="s">
        <v>1182</v>
      </c>
      <c r="K505" s="3">
        <f t="shared" si="38"/>
        <v>11.471792639999999</v>
      </c>
      <c r="L505" s="10">
        <f t="shared" si="39"/>
        <v>0.30086071987480412</v>
      </c>
      <c r="M505" s="18" t="str">
        <f>VLOOKUP(A505,Список!A:I,9,0)</f>
        <v>Основной ассортимент</v>
      </c>
      <c r="N505" s="12"/>
      <c r="O505" s="11"/>
    </row>
    <row r="506" spans="1:15" x14ac:dyDescent="0.25">
      <c r="A506" s="6">
        <v>3462</v>
      </c>
      <c r="B506" s="1" t="s">
        <v>510</v>
      </c>
      <c r="C506" s="3">
        <v>0.87862499999999999</v>
      </c>
      <c r="D506" s="1" t="s">
        <v>1182</v>
      </c>
      <c r="E506" s="3">
        <f t="shared" si="35"/>
        <v>13.779089279999999</v>
      </c>
      <c r="F506" s="3">
        <v>12.934343866171004</v>
      </c>
      <c r="G506" s="4">
        <f t="shared" si="36"/>
        <v>13.779089279999999</v>
      </c>
      <c r="H506" s="1">
        <v>2.12</v>
      </c>
      <c r="I506" s="1">
        <f t="shared" si="37"/>
        <v>2.54</v>
      </c>
      <c r="J506" s="1" t="s">
        <v>1182</v>
      </c>
      <c r="K506" s="3">
        <f t="shared" si="38"/>
        <v>18.92100864</v>
      </c>
      <c r="L506" s="10">
        <f t="shared" si="39"/>
        <v>0.37316830274576773</v>
      </c>
      <c r="M506" s="18" t="str">
        <f>VLOOKUP(A506,Список!A:I,9,0)</f>
        <v>Основной ассортимент</v>
      </c>
      <c r="N506" s="12"/>
      <c r="O506" s="11"/>
    </row>
    <row r="507" spans="1:15" x14ac:dyDescent="0.25">
      <c r="A507" s="6">
        <v>3463</v>
      </c>
      <c r="B507" s="1" t="s">
        <v>511</v>
      </c>
      <c r="C507" s="3">
        <v>1.6869599999999998</v>
      </c>
      <c r="D507" s="1" t="s">
        <v>1182</v>
      </c>
      <c r="E507" s="3">
        <f t="shared" si="35"/>
        <v>26.455851417599998</v>
      </c>
      <c r="F507" s="3">
        <v>22.550659793814429</v>
      </c>
      <c r="G507" s="4">
        <f t="shared" si="36"/>
        <v>26.455851417599998</v>
      </c>
      <c r="H507" s="1">
        <v>4.16</v>
      </c>
      <c r="I507" s="1">
        <f t="shared" si="37"/>
        <v>4.99</v>
      </c>
      <c r="J507" s="1" t="s">
        <v>1182</v>
      </c>
      <c r="K507" s="3">
        <f t="shared" si="38"/>
        <v>37.171587840000001</v>
      </c>
      <c r="L507" s="10">
        <f t="shared" si="39"/>
        <v>0.40504220609854436</v>
      </c>
      <c r="M507" s="18" t="str">
        <f>VLOOKUP(A507,Список!A:I,9,0)</f>
        <v>Основной ассортимент</v>
      </c>
      <c r="N507" s="12"/>
      <c r="O507" s="11"/>
    </row>
    <row r="508" spans="1:15" x14ac:dyDescent="0.25">
      <c r="A508" s="6">
        <v>3464</v>
      </c>
      <c r="B508" s="1" t="s">
        <v>512</v>
      </c>
      <c r="C508" s="3">
        <v>2.7998850000000002</v>
      </c>
      <c r="D508" s="1" t="s">
        <v>1182</v>
      </c>
      <c r="E508" s="3">
        <f t="shared" si="35"/>
        <v>43.909364505600003</v>
      </c>
      <c r="F508" s="3">
        <v>38.515639097744362</v>
      </c>
      <c r="G508" s="4">
        <f t="shared" si="36"/>
        <v>43.909364505600003</v>
      </c>
      <c r="H508" s="1">
        <v>7.25</v>
      </c>
      <c r="I508" s="1">
        <f t="shared" si="37"/>
        <v>8.6999999999999993</v>
      </c>
      <c r="J508" s="1" t="s">
        <v>1182</v>
      </c>
      <c r="K508" s="3">
        <f t="shared" si="38"/>
        <v>64.808179199999984</v>
      </c>
      <c r="L508" s="10">
        <f t="shared" si="39"/>
        <v>0.47595347666064813</v>
      </c>
      <c r="M508" s="18" t="str">
        <f>VLOOKUP(A508,Список!A:I,9,0)</f>
        <v>Основной ассортимент</v>
      </c>
      <c r="N508" s="12"/>
      <c r="O508" s="11"/>
    </row>
    <row r="509" spans="1:15" x14ac:dyDescent="0.25">
      <c r="A509" s="6">
        <v>3476</v>
      </c>
      <c r="B509" s="1" t="s">
        <v>513</v>
      </c>
      <c r="C509" s="3">
        <v>14.643750000000001</v>
      </c>
      <c r="D509" s="1" t="s">
        <v>1182</v>
      </c>
      <c r="E509" s="3">
        <f t="shared" si="35"/>
        <v>229.651488</v>
      </c>
      <c r="F509" s="3">
        <v>214.73619642857139</v>
      </c>
      <c r="G509" s="4">
        <f t="shared" si="36"/>
        <v>229.651488</v>
      </c>
      <c r="H509" s="1">
        <v>44.55</v>
      </c>
      <c r="I509" s="1">
        <f t="shared" si="37"/>
        <v>53.46</v>
      </c>
      <c r="J509" s="1" t="s">
        <v>1182</v>
      </c>
      <c r="K509" s="3">
        <f t="shared" si="38"/>
        <v>398.23508735999997</v>
      </c>
      <c r="L509" s="10">
        <f t="shared" si="39"/>
        <v>0.73408450704225348</v>
      </c>
      <c r="M509" s="18" t="str">
        <f>VLOOKUP(A509,Список!A:I,9,0)</f>
        <v>Основной ассортимент</v>
      </c>
      <c r="N509" s="12"/>
      <c r="O509" s="11"/>
    </row>
    <row r="510" spans="1:15" x14ac:dyDescent="0.25">
      <c r="A510" s="6">
        <v>3468</v>
      </c>
      <c r="B510" s="1" t="s">
        <v>514</v>
      </c>
      <c r="C510" s="3">
        <v>0.16</v>
      </c>
      <c r="D510" s="1" t="s">
        <v>1182</v>
      </c>
      <c r="E510" s="3">
        <f t="shared" si="35"/>
        <v>2.5092095999999997</v>
      </c>
      <c r="F510" s="3">
        <v>2.9768574255248983</v>
      </c>
      <c r="G510" s="4">
        <f t="shared" si="36"/>
        <v>2.9768574255248983</v>
      </c>
      <c r="H510" s="1">
        <v>0.44</v>
      </c>
      <c r="I510" s="1">
        <f t="shared" si="37"/>
        <v>0.53</v>
      </c>
      <c r="J510" s="1" t="s">
        <v>1182</v>
      </c>
      <c r="K510" s="3">
        <f t="shared" si="38"/>
        <v>3.9480844799999999</v>
      </c>
      <c r="L510" s="10">
        <f t="shared" si="39"/>
        <v>0.57343750000000004</v>
      </c>
      <c r="M510" s="18" t="str">
        <f>VLOOKUP(A510,Список!A:I,9,0)</f>
        <v>Основной ассортимент</v>
      </c>
      <c r="N510" s="12"/>
      <c r="O510" s="11"/>
    </row>
    <row r="511" spans="1:15" x14ac:dyDescent="0.25">
      <c r="A511" s="6">
        <v>3469</v>
      </c>
      <c r="B511" s="1" t="s">
        <v>515</v>
      </c>
      <c r="C511" s="3">
        <v>0.25</v>
      </c>
      <c r="D511" s="1" t="s">
        <v>1182</v>
      </c>
      <c r="E511" s="3">
        <f t="shared" si="35"/>
        <v>3.9206399999999997</v>
      </c>
      <c r="F511" s="3">
        <v>4.7530647575835783</v>
      </c>
      <c r="G511" s="4">
        <f t="shared" si="36"/>
        <v>4.7530647575835783</v>
      </c>
      <c r="H511" s="1">
        <v>0.65</v>
      </c>
      <c r="I511" s="1">
        <f t="shared" si="37"/>
        <v>0.78</v>
      </c>
      <c r="J511" s="1" t="s">
        <v>1182</v>
      </c>
      <c r="K511" s="3">
        <f t="shared" si="38"/>
        <v>5.8103884799999994</v>
      </c>
      <c r="L511" s="10">
        <f t="shared" si="39"/>
        <v>0.48199999999999998</v>
      </c>
      <c r="M511" s="18" t="str">
        <f>VLOOKUP(A511,Список!A:I,9,0)</f>
        <v>Основной ассортимент</v>
      </c>
      <c r="N511" s="12"/>
      <c r="O511" s="11"/>
    </row>
    <row r="512" spans="1:15" x14ac:dyDescent="0.25">
      <c r="A512" s="6">
        <v>3470</v>
      </c>
      <c r="B512" s="1" t="s">
        <v>516</v>
      </c>
      <c r="C512" s="3">
        <v>0.48</v>
      </c>
      <c r="D512" s="1" t="s">
        <v>1182</v>
      </c>
      <c r="E512" s="3">
        <f t="shared" si="35"/>
        <v>7.5276287999999987</v>
      </c>
      <c r="F512" s="3">
        <v>9.3122172276350756</v>
      </c>
      <c r="G512" s="4">
        <f t="shared" si="36"/>
        <v>9.3122172276350756</v>
      </c>
      <c r="H512" s="1">
        <v>1.26</v>
      </c>
      <c r="I512" s="1">
        <f t="shared" si="37"/>
        <v>1.51</v>
      </c>
      <c r="J512" s="1" t="s">
        <v>1182</v>
      </c>
      <c r="K512" s="3">
        <f t="shared" si="38"/>
        <v>11.24831616</v>
      </c>
      <c r="L512" s="10">
        <f t="shared" si="39"/>
        <v>0.49427083333333366</v>
      </c>
      <c r="M512" s="18" t="str">
        <f>VLOOKUP(A512,Список!A:I,9,0)</f>
        <v>Основной ассортимент</v>
      </c>
      <c r="N512" s="12"/>
      <c r="O512" s="11"/>
    </row>
    <row r="513" spans="1:15" x14ac:dyDescent="0.25">
      <c r="A513" s="6">
        <v>3471</v>
      </c>
      <c r="B513" s="1" t="s">
        <v>517</v>
      </c>
      <c r="C513" s="3">
        <v>1.0894950000000001</v>
      </c>
      <c r="D513" s="1" t="s">
        <v>1182</v>
      </c>
      <c r="E513" s="3">
        <f t="shared" si="35"/>
        <v>17.086070707200001</v>
      </c>
      <c r="F513" s="3">
        <v>15.460045165843331</v>
      </c>
      <c r="G513" s="4">
        <f t="shared" si="36"/>
        <v>17.086070707200001</v>
      </c>
      <c r="H513" s="1">
        <v>2.37</v>
      </c>
      <c r="I513" s="1">
        <f t="shared" si="37"/>
        <v>2.84</v>
      </c>
      <c r="J513" s="1" t="s">
        <v>1182</v>
      </c>
      <c r="K513" s="3">
        <f t="shared" si="38"/>
        <v>21.155773439999997</v>
      </c>
      <c r="L513" s="10">
        <f t="shared" si="39"/>
        <v>0.23818833496252823</v>
      </c>
      <c r="M513" s="18" t="str">
        <f>VLOOKUP(A513,Список!A:I,9,0)</f>
        <v>Основной ассортимент</v>
      </c>
      <c r="N513" s="12"/>
      <c r="O513" s="11"/>
    </row>
    <row r="514" spans="1:15" x14ac:dyDescent="0.25">
      <c r="A514" s="6">
        <v>3472</v>
      </c>
      <c r="B514" s="1" t="s">
        <v>518</v>
      </c>
      <c r="C514" s="3">
        <v>2.0032649999999999</v>
      </c>
      <c r="D514" s="1" t="s">
        <v>1182</v>
      </c>
      <c r="E514" s="3">
        <f t="shared" si="35"/>
        <v>31.416323558399995</v>
      </c>
      <c r="F514" s="3">
        <v>28.429935943060496</v>
      </c>
      <c r="G514" s="4">
        <f t="shared" si="36"/>
        <v>31.416323558399995</v>
      </c>
      <c r="H514" s="1">
        <v>4.5199999999999996</v>
      </c>
      <c r="I514" s="1">
        <f t="shared" si="37"/>
        <v>5.42</v>
      </c>
      <c r="J514" s="1" t="s">
        <v>1182</v>
      </c>
      <c r="K514" s="3">
        <f t="shared" si="38"/>
        <v>40.374750719999994</v>
      </c>
      <c r="L514" s="10">
        <f t="shared" si="39"/>
        <v>0.28515198937734154</v>
      </c>
      <c r="M514" s="18" t="str">
        <f>VLOOKUP(A514,Список!A:I,9,0)</f>
        <v>Основной ассортимент</v>
      </c>
      <c r="N514" s="12"/>
      <c r="O514" s="11"/>
    </row>
    <row r="515" spans="1:15" x14ac:dyDescent="0.25">
      <c r="A515" s="6">
        <v>3473</v>
      </c>
      <c r="B515" s="1" t="s">
        <v>519</v>
      </c>
      <c r="C515" s="3">
        <v>3.5379300000000002</v>
      </c>
      <c r="D515" s="1" t="s">
        <v>1182</v>
      </c>
      <c r="E515" s="3">
        <f t="shared" si="35"/>
        <v>55.483799500799996</v>
      </c>
      <c r="F515" s="3">
        <v>49.328707520891363</v>
      </c>
      <c r="G515" s="4">
        <f t="shared" si="36"/>
        <v>55.483799500799996</v>
      </c>
      <c r="H515" s="1">
        <v>7.83</v>
      </c>
      <c r="I515" s="1">
        <f t="shared" si="37"/>
        <v>9.4</v>
      </c>
      <c r="J515" s="1" t="s">
        <v>1182</v>
      </c>
      <c r="K515" s="3">
        <f t="shared" si="38"/>
        <v>70.022630399999997</v>
      </c>
      <c r="L515" s="10">
        <f t="shared" si="39"/>
        <v>0.26203740605382242</v>
      </c>
      <c r="M515" s="18" t="str">
        <f>VLOOKUP(A515,Список!A:I,9,0)</f>
        <v>Основной ассортимент</v>
      </c>
      <c r="N515" s="12"/>
      <c r="O515" s="11"/>
    </row>
    <row r="516" spans="1:15" x14ac:dyDescent="0.25">
      <c r="A516" s="6">
        <v>3474</v>
      </c>
      <c r="B516" s="1" t="s">
        <v>520</v>
      </c>
      <c r="C516" s="3">
        <v>5.4474749999999998</v>
      </c>
      <c r="D516" s="1" t="s">
        <v>1182</v>
      </c>
      <c r="E516" s="3">
        <f t="shared" si="35"/>
        <v>85.430353535999998</v>
      </c>
      <c r="F516" s="3">
        <v>74.347674418604655</v>
      </c>
      <c r="G516" s="4">
        <f t="shared" si="36"/>
        <v>85.430353535999998</v>
      </c>
      <c r="H516" s="1">
        <v>16.98</v>
      </c>
      <c r="I516" s="1">
        <f t="shared" si="37"/>
        <v>20.38</v>
      </c>
      <c r="J516" s="1" t="s">
        <v>1182</v>
      </c>
      <c r="K516" s="3">
        <f t="shared" si="38"/>
        <v>151.81502207999998</v>
      </c>
      <c r="L516" s="10">
        <f t="shared" si="39"/>
        <v>0.7770618497560795</v>
      </c>
      <c r="M516" s="18" t="str">
        <f>VLOOKUP(A516,Список!A:I,9,0)</f>
        <v>Основной ассортимент</v>
      </c>
      <c r="N516" s="12"/>
      <c r="O516" s="11"/>
    </row>
    <row r="517" spans="1:15" x14ac:dyDescent="0.25">
      <c r="A517" s="6">
        <v>3475</v>
      </c>
      <c r="B517" s="1" t="s">
        <v>521</v>
      </c>
      <c r="C517" s="3">
        <v>9.196275</v>
      </c>
      <c r="D517" s="1" t="s">
        <v>1182</v>
      </c>
      <c r="E517" s="3">
        <f t="shared" si="35"/>
        <v>144.22113446399999</v>
      </c>
      <c r="F517" s="3">
        <v>124.38445429362879</v>
      </c>
      <c r="G517" s="4">
        <f t="shared" si="36"/>
        <v>144.22113446399999</v>
      </c>
      <c r="H517" s="1">
        <v>30.27</v>
      </c>
      <c r="I517" s="1">
        <f t="shared" si="37"/>
        <v>36.32</v>
      </c>
      <c r="J517" s="1" t="s">
        <v>1182</v>
      </c>
      <c r="K517" s="3">
        <f t="shared" si="38"/>
        <v>270.55552511999997</v>
      </c>
      <c r="L517" s="10">
        <f t="shared" si="39"/>
        <v>0.87597695806182396</v>
      </c>
      <c r="M517" s="18" t="str">
        <f>VLOOKUP(A517,Список!A:I,9,0)</f>
        <v>Основной ассортимент</v>
      </c>
      <c r="N517" s="12"/>
      <c r="O517" s="11"/>
    </row>
    <row r="518" spans="1:15" x14ac:dyDescent="0.25">
      <c r="A518" s="6">
        <v>3698</v>
      </c>
      <c r="B518" s="1" t="s">
        <v>522</v>
      </c>
      <c r="C518" s="3">
        <v>0.24601499999999998</v>
      </c>
      <c r="D518" s="1" t="s">
        <v>1182</v>
      </c>
      <c r="E518" s="3">
        <f t="shared" ref="E518:E571" si="40">IF(D518="RUB",C518*1.2,C518*$E$2*1.2)</f>
        <v>3.8581449983999994</v>
      </c>
      <c r="F518" s="3">
        <v>3.2188826624946665</v>
      </c>
      <c r="G518" s="4">
        <f t="shared" ref="G518:G581" si="41">IF(M518="Вывод из ассортимента",F518,MAX(E518,F518))</f>
        <v>3.8581449983999994</v>
      </c>
      <c r="H518" s="1">
        <v>0.93</v>
      </c>
      <c r="I518" s="1">
        <f t="shared" ref="I518:I581" si="42">ROUND(H518*1.2,2)</f>
        <v>1.1200000000000001</v>
      </c>
      <c r="J518" s="1" t="s">
        <v>1182</v>
      </c>
      <c r="K518" s="3">
        <f t="shared" ref="K518:K581" si="43">IF(J518="RUB",I518*$K$4,I518*$E$2*$K$4)</f>
        <v>8.3431219199999997</v>
      </c>
      <c r="L518" s="10">
        <f t="shared" ref="L518:L571" si="44">K518/E518-1</f>
        <v>1.1624697681035712</v>
      </c>
      <c r="M518" s="18" t="str">
        <f>VLOOKUP(A518,Список!A:I,9,0)</f>
        <v>Основной ассортимент</v>
      </c>
      <c r="N518" s="12"/>
      <c r="O518" s="11"/>
    </row>
    <row r="519" spans="1:15" x14ac:dyDescent="0.25">
      <c r="A519" s="6">
        <v>3699</v>
      </c>
      <c r="B519" s="1" t="s">
        <v>523</v>
      </c>
      <c r="C519" s="3">
        <v>0.37487999999999999</v>
      </c>
      <c r="D519" s="1" t="s">
        <v>1182</v>
      </c>
      <c r="E519" s="3">
        <f t="shared" si="40"/>
        <v>5.8790780927999995</v>
      </c>
      <c r="F519" s="3">
        <v>4.4668251035361575</v>
      </c>
      <c r="G519" s="4">
        <f t="shared" si="41"/>
        <v>5.8790780927999995</v>
      </c>
      <c r="H519" s="1">
        <v>1.35</v>
      </c>
      <c r="I519" s="1">
        <f t="shared" si="42"/>
        <v>1.62</v>
      </c>
      <c r="J519" s="1" t="s">
        <v>1182</v>
      </c>
      <c r="K519" s="3">
        <f t="shared" si="43"/>
        <v>12.067729919999998</v>
      </c>
      <c r="L519" s="10">
        <f t="shared" si="44"/>
        <v>1.0526568501920615</v>
      </c>
      <c r="M519" s="18" t="str">
        <f>VLOOKUP(A519,Список!A:I,9,0)</f>
        <v>Основной ассортимент</v>
      </c>
      <c r="N519" s="12"/>
      <c r="O519" s="11"/>
    </row>
    <row r="520" spans="1:15" x14ac:dyDescent="0.25">
      <c r="A520" s="6">
        <v>3697</v>
      </c>
      <c r="B520" s="1" t="s">
        <v>524</v>
      </c>
      <c r="C520" s="3">
        <v>0.25773000000000001</v>
      </c>
      <c r="D520" s="1" t="s">
        <v>1182</v>
      </c>
      <c r="E520" s="3">
        <f t="shared" si="40"/>
        <v>4.0418661887999994</v>
      </c>
      <c r="F520" s="3">
        <v>3.8114032811903851</v>
      </c>
      <c r="G520" s="4">
        <f t="shared" si="41"/>
        <v>4.0418661887999994</v>
      </c>
      <c r="H520" s="1">
        <v>0.77</v>
      </c>
      <c r="I520" s="1">
        <f t="shared" si="42"/>
        <v>0.92</v>
      </c>
      <c r="J520" s="1" t="s">
        <v>1182</v>
      </c>
      <c r="K520" s="3">
        <f t="shared" si="43"/>
        <v>6.8532787199999996</v>
      </c>
      <c r="L520" s="10">
        <f t="shared" si="44"/>
        <v>0.69557288635393655</v>
      </c>
      <c r="M520" s="18" t="str">
        <f>VLOOKUP(A520,Список!A:I,9,0)</f>
        <v>Основной ассортимент</v>
      </c>
      <c r="N520" s="12"/>
      <c r="O520" s="11"/>
    </row>
    <row r="521" spans="1:15" x14ac:dyDescent="0.25">
      <c r="A521" s="6">
        <v>3434</v>
      </c>
      <c r="B521" s="1" t="s">
        <v>525</v>
      </c>
      <c r="C521" s="3">
        <v>0.41002499999999997</v>
      </c>
      <c r="D521" s="1" t="s">
        <v>1182</v>
      </c>
      <c r="E521" s="3">
        <f t="shared" si="40"/>
        <v>6.4302416639999995</v>
      </c>
      <c r="F521" s="3">
        <v>5.2483389343157523</v>
      </c>
      <c r="G521" s="4">
        <f t="shared" si="41"/>
        <v>6.4302416639999995</v>
      </c>
      <c r="H521" s="1">
        <v>1.26</v>
      </c>
      <c r="I521" s="1">
        <f t="shared" si="42"/>
        <v>1.51</v>
      </c>
      <c r="J521" s="1" t="s">
        <v>1182</v>
      </c>
      <c r="K521" s="3">
        <f t="shared" si="43"/>
        <v>11.24831616</v>
      </c>
      <c r="L521" s="10">
        <f t="shared" si="44"/>
        <v>0.74928358026949593</v>
      </c>
      <c r="M521" s="18" t="str">
        <f>VLOOKUP(A521,Список!A:I,9,0)</f>
        <v>Основной ассортимент</v>
      </c>
      <c r="N521" s="12"/>
      <c r="O521" s="11"/>
    </row>
    <row r="522" spans="1:15" x14ac:dyDescent="0.25">
      <c r="A522" s="6">
        <v>3429</v>
      </c>
      <c r="B522" s="1" t="s">
        <v>526</v>
      </c>
      <c r="C522" s="3">
        <v>0.35145000000000004</v>
      </c>
      <c r="D522" s="1" t="s">
        <v>1182</v>
      </c>
      <c r="E522" s="3">
        <f t="shared" si="40"/>
        <v>5.5116357120000004</v>
      </c>
      <c r="F522" s="3">
        <v>4.6733873312564898</v>
      </c>
      <c r="G522" s="4">
        <f t="shared" si="41"/>
        <v>5.5116357120000004</v>
      </c>
      <c r="H522" s="1">
        <v>0.82</v>
      </c>
      <c r="I522" s="1">
        <f t="shared" si="42"/>
        <v>0.98</v>
      </c>
      <c r="J522" s="1" t="s">
        <v>1182</v>
      </c>
      <c r="K522" s="3">
        <f t="shared" si="43"/>
        <v>7.3002316799999987</v>
      </c>
      <c r="L522" s="10">
        <f t="shared" si="44"/>
        <v>0.32451273296343697</v>
      </c>
      <c r="M522" s="18" t="str">
        <f>VLOOKUP(A522,Список!A:I,9,0)</f>
        <v>Основной ассортимент</v>
      </c>
      <c r="N522" s="12"/>
      <c r="O522" s="11"/>
    </row>
    <row r="523" spans="1:15" x14ac:dyDescent="0.25">
      <c r="A523" s="6">
        <v>3548</v>
      </c>
      <c r="B523" s="1" t="s">
        <v>527</v>
      </c>
      <c r="C523" s="3">
        <v>2.1204149999999999</v>
      </c>
      <c r="D523" s="1" t="s">
        <v>1182</v>
      </c>
      <c r="E523" s="3">
        <f t="shared" si="40"/>
        <v>33.253535462399995</v>
      </c>
      <c r="F523" s="3">
        <v>28.538125680356259</v>
      </c>
      <c r="G523" s="4">
        <f t="shared" si="41"/>
        <v>33.253535462399995</v>
      </c>
      <c r="H523" s="1">
        <v>4.58</v>
      </c>
      <c r="I523" s="1">
        <f t="shared" si="42"/>
        <v>5.5</v>
      </c>
      <c r="J523" s="1" t="s">
        <v>1182</v>
      </c>
      <c r="K523" s="3">
        <f t="shared" si="43"/>
        <v>40.970687999999996</v>
      </c>
      <c r="L523" s="10">
        <f t="shared" si="44"/>
        <v>0.23207013721370595</v>
      </c>
      <c r="M523" s="18" t="str">
        <f>VLOOKUP(A523,Список!A:I,9,0)</f>
        <v>Основной ассортимент</v>
      </c>
      <c r="N523" s="12"/>
      <c r="O523" s="11"/>
    </row>
    <row r="524" spans="1:15" x14ac:dyDescent="0.25">
      <c r="A524" s="6">
        <v>3554</v>
      </c>
      <c r="B524" s="1" t="s">
        <v>528</v>
      </c>
      <c r="C524" s="3">
        <v>2.20242</v>
      </c>
      <c r="D524" s="1" t="s">
        <v>1182</v>
      </c>
      <c r="E524" s="3">
        <f t="shared" si="40"/>
        <v>34.539583795199995</v>
      </c>
      <c r="F524" s="3">
        <v>29.898705466540999</v>
      </c>
      <c r="G524" s="4">
        <f t="shared" si="41"/>
        <v>34.539583795199995</v>
      </c>
      <c r="H524" s="1">
        <v>4.75</v>
      </c>
      <c r="I524" s="1">
        <f t="shared" si="42"/>
        <v>5.7</v>
      </c>
      <c r="J524" s="1" t="s">
        <v>1182</v>
      </c>
      <c r="K524" s="3">
        <f t="shared" si="43"/>
        <v>42.460531199999998</v>
      </c>
      <c r="L524" s="10">
        <f t="shared" si="44"/>
        <v>0.22932955567058078</v>
      </c>
      <c r="M524" s="18" t="str">
        <f>VLOOKUP(A524,Список!A:I,9,0)</f>
        <v>Основной ассортимент</v>
      </c>
      <c r="N524" s="12"/>
      <c r="O524" s="11"/>
    </row>
    <row r="525" spans="1:15" x14ac:dyDescent="0.25">
      <c r="A525" s="6">
        <v>3549</v>
      </c>
      <c r="B525" s="1" t="s">
        <v>529</v>
      </c>
      <c r="C525" s="3">
        <v>2.565585</v>
      </c>
      <c r="D525" s="1" t="s">
        <v>1182</v>
      </c>
      <c r="E525" s="3">
        <f t="shared" si="40"/>
        <v>40.234940697599995</v>
      </c>
      <c r="F525" s="3">
        <v>33.815054117647058</v>
      </c>
      <c r="G525" s="4">
        <f t="shared" si="41"/>
        <v>40.234940697599995</v>
      </c>
      <c r="H525" s="1">
        <v>5.6</v>
      </c>
      <c r="I525" s="1">
        <f t="shared" si="42"/>
        <v>6.72</v>
      </c>
      <c r="J525" s="1" t="s">
        <v>1182</v>
      </c>
      <c r="K525" s="3">
        <f t="shared" si="43"/>
        <v>50.058731519999995</v>
      </c>
      <c r="L525" s="10">
        <f t="shared" si="44"/>
        <v>0.24416068849794503</v>
      </c>
      <c r="M525" s="18" t="str">
        <f>VLOOKUP(A525,Список!A:I,9,0)</f>
        <v>Основной ассортимент</v>
      </c>
      <c r="N525" s="12"/>
      <c r="O525" s="11"/>
    </row>
    <row r="526" spans="1:15" x14ac:dyDescent="0.25">
      <c r="A526" s="6">
        <v>3555</v>
      </c>
      <c r="B526" s="1" t="s">
        <v>530</v>
      </c>
      <c r="C526" s="3">
        <v>2.92875</v>
      </c>
      <c r="D526" s="1" t="s">
        <v>1182</v>
      </c>
      <c r="E526" s="3">
        <f t="shared" si="40"/>
        <v>45.930297599999996</v>
      </c>
      <c r="F526" s="3">
        <v>41.929937984496128</v>
      </c>
      <c r="G526" s="4">
        <f t="shared" si="41"/>
        <v>45.930297599999996</v>
      </c>
      <c r="H526" s="1">
        <v>8.1199999999999992</v>
      </c>
      <c r="I526" s="1">
        <f t="shared" si="42"/>
        <v>9.74</v>
      </c>
      <c r="J526" s="1" t="s">
        <v>1182</v>
      </c>
      <c r="K526" s="3">
        <f t="shared" si="43"/>
        <v>72.555363839999984</v>
      </c>
      <c r="L526" s="10">
        <f t="shared" si="44"/>
        <v>0.5796841655996583</v>
      </c>
      <c r="M526" s="18" t="str">
        <f>VLOOKUP(A526,Список!A:I,9,0)</f>
        <v>Основной ассортимент</v>
      </c>
      <c r="N526" s="12"/>
      <c r="O526" s="11"/>
    </row>
    <row r="527" spans="1:15" x14ac:dyDescent="0.25">
      <c r="A527" s="6">
        <v>3550</v>
      </c>
      <c r="B527" s="1" t="s">
        <v>531</v>
      </c>
      <c r="C527" s="3">
        <v>2.3312849999999998</v>
      </c>
      <c r="D527" s="1" t="s">
        <v>1182</v>
      </c>
      <c r="E527" s="3">
        <f t="shared" si="40"/>
        <v>36.560516889599995</v>
      </c>
      <c r="F527" s="3">
        <v>29.307735099337748</v>
      </c>
      <c r="G527" s="4">
        <f t="shared" si="41"/>
        <v>36.560516889599995</v>
      </c>
      <c r="H527" s="1">
        <v>5.0199999999999996</v>
      </c>
      <c r="I527" s="1">
        <f t="shared" si="42"/>
        <v>6.02</v>
      </c>
      <c r="J527" s="1" t="s">
        <v>1182</v>
      </c>
      <c r="K527" s="3">
        <f t="shared" si="43"/>
        <v>44.844280319999989</v>
      </c>
      <c r="L527" s="10">
        <f t="shared" si="44"/>
        <v>0.22657675916929909</v>
      </c>
      <c r="M527" s="18" t="str">
        <f>VLOOKUP(A527,Список!A:I,9,0)</f>
        <v>Основной ассортимент</v>
      </c>
      <c r="N527" s="12"/>
      <c r="O527" s="11"/>
    </row>
    <row r="528" spans="1:15" x14ac:dyDescent="0.25">
      <c r="A528" s="6">
        <v>3556</v>
      </c>
      <c r="B528" s="1" t="s">
        <v>532</v>
      </c>
      <c r="C528" s="3">
        <v>2.565585</v>
      </c>
      <c r="D528" s="1" t="s">
        <v>1182</v>
      </c>
      <c r="E528" s="3">
        <f t="shared" si="40"/>
        <v>40.234940697599995</v>
      </c>
      <c r="F528" s="3">
        <v>34.472834285714285</v>
      </c>
      <c r="G528" s="4">
        <f t="shared" si="41"/>
        <v>40.234940697599995</v>
      </c>
      <c r="H528" s="1">
        <v>5.52</v>
      </c>
      <c r="I528" s="1">
        <f t="shared" si="42"/>
        <v>6.62</v>
      </c>
      <c r="J528" s="1" t="s">
        <v>1182</v>
      </c>
      <c r="K528" s="3">
        <f t="shared" si="43"/>
        <v>49.313809919999997</v>
      </c>
      <c r="L528" s="10">
        <f t="shared" si="44"/>
        <v>0.22564639253815422</v>
      </c>
      <c r="M528" s="18" t="str">
        <f>VLOOKUP(A528,Список!A:I,9,0)</f>
        <v>Основной ассортимент</v>
      </c>
      <c r="N528" s="12"/>
      <c r="O528" s="11"/>
    </row>
    <row r="529" spans="1:15" x14ac:dyDescent="0.25">
      <c r="A529" s="6">
        <v>3551</v>
      </c>
      <c r="B529" s="1" t="s">
        <v>533</v>
      </c>
      <c r="C529" s="3">
        <v>2.85846</v>
      </c>
      <c r="D529" s="1" t="s">
        <v>1182</v>
      </c>
      <c r="E529" s="3">
        <f t="shared" si="40"/>
        <v>44.827970457599996</v>
      </c>
      <c r="F529" s="3">
        <v>40.115588100686502</v>
      </c>
      <c r="G529" s="4">
        <f t="shared" si="41"/>
        <v>44.827970457599996</v>
      </c>
      <c r="H529" s="1">
        <v>6.22</v>
      </c>
      <c r="I529" s="1">
        <f t="shared" si="42"/>
        <v>7.46</v>
      </c>
      <c r="J529" s="1" t="s">
        <v>1182</v>
      </c>
      <c r="K529" s="3">
        <f t="shared" si="43"/>
        <v>55.571151359999995</v>
      </c>
      <c r="L529" s="10">
        <f t="shared" si="44"/>
        <v>0.23965351972740567</v>
      </c>
      <c r="M529" s="18" t="str">
        <f>VLOOKUP(A529,Список!A:I,9,0)</f>
        <v>Основной ассортимент</v>
      </c>
      <c r="N529" s="12"/>
      <c r="O529" s="11"/>
    </row>
    <row r="530" spans="1:15" x14ac:dyDescent="0.25">
      <c r="A530" s="6">
        <v>3557</v>
      </c>
      <c r="B530" s="1" t="s">
        <v>534</v>
      </c>
      <c r="C530" s="3">
        <v>3.338775</v>
      </c>
      <c r="D530" s="1" t="s">
        <v>1182</v>
      </c>
      <c r="E530" s="3">
        <f t="shared" si="40"/>
        <v>52.360539263999996</v>
      </c>
      <c r="F530" s="3">
        <v>47.24981463414634</v>
      </c>
      <c r="G530" s="4">
        <f t="shared" si="41"/>
        <v>52.360539263999996</v>
      </c>
      <c r="H530" s="1">
        <v>8.09</v>
      </c>
      <c r="I530" s="1">
        <f t="shared" si="42"/>
        <v>9.7100000000000009</v>
      </c>
      <c r="J530" s="1" t="s">
        <v>1182</v>
      </c>
      <c r="K530" s="3">
        <f t="shared" si="43"/>
        <v>72.331887359999996</v>
      </c>
      <c r="L530" s="10">
        <f t="shared" si="44"/>
        <v>0.38141983212405739</v>
      </c>
      <c r="M530" s="18" t="str">
        <f>VLOOKUP(A530,Список!A:I,9,0)</f>
        <v>Основной ассортимент</v>
      </c>
      <c r="N530" s="12"/>
      <c r="O530" s="11"/>
    </row>
    <row r="531" spans="1:15" x14ac:dyDescent="0.25">
      <c r="A531" s="6">
        <v>3553</v>
      </c>
      <c r="B531" s="1" t="s">
        <v>535</v>
      </c>
      <c r="C531" s="3">
        <v>4.8968699999999998</v>
      </c>
      <c r="D531" s="1" t="s">
        <v>1182</v>
      </c>
      <c r="E531" s="3">
        <f t="shared" si="40"/>
        <v>76.795457587199991</v>
      </c>
      <c r="F531" s="3">
        <v>67.789439999999999</v>
      </c>
      <c r="G531" s="4">
        <f t="shared" si="41"/>
        <v>76.795457587199991</v>
      </c>
      <c r="H531" s="1">
        <v>10.46</v>
      </c>
      <c r="I531" s="1">
        <f t="shared" si="42"/>
        <v>12.55</v>
      </c>
      <c r="J531" s="1" t="s">
        <v>1182</v>
      </c>
      <c r="K531" s="3">
        <f t="shared" si="43"/>
        <v>93.4876608</v>
      </c>
      <c r="L531" s="10">
        <f t="shared" si="44"/>
        <v>0.21735925193031491</v>
      </c>
      <c r="M531" s="18" t="str">
        <f>VLOOKUP(A531,Список!A:I,9,0)</f>
        <v>Основной ассортимент</v>
      </c>
      <c r="N531" s="12"/>
      <c r="O531" s="11"/>
    </row>
    <row r="532" spans="1:15" x14ac:dyDescent="0.25">
      <c r="A532" s="6">
        <v>3559</v>
      </c>
      <c r="B532" s="1" t="s">
        <v>536</v>
      </c>
      <c r="C532" s="3">
        <v>5.71692</v>
      </c>
      <c r="D532" s="1" t="s">
        <v>1182</v>
      </c>
      <c r="E532" s="3">
        <f t="shared" si="40"/>
        <v>89.655940915199992</v>
      </c>
      <c r="F532" s="3">
        <v>84.852527131782935</v>
      </c>
      <c r="G532" s="4">
        <f t="shared" si="41"/>
        <v>89.655940915199992</v>
      </c>
      <c r="H532" s="1">
        <v>12.24</v>
      </c>
      <c r="I532" s="1">
        <f t="shared" si="42"/>
        <v>14.69</v>
      </c>
      <c r="J532" s="1" t="s">
        <v>1182</v>
      </c>
      <c r="K532" s="3">
        <f t="shared" si="43"/>
        <v>109.42898303999999</v>
      </c>
      <c r="L532" s="10">
        <f t="shared" si="44"/>
        <v>0.220543579409892</v>
      </c>
      <c r="M532" s="18" t="str">
        <f>VLOOKUP(A532,Список!A:I,9,0)</f>
        <v>Основной ассортимент</v>
      </c>
      <c r="N532" s="12"/>
      <c r="O532" s="11"/>
    </row>
    <row r="533" spans="1:15" x14ac:dyDescent="0.25">
      <c r="A533" s="6">
        <v>3886</v>
      </c>
      <c r="B533" s="1" t="s">
        <v>537</v>
      </c>
      <c r="C533" s="3">
        <v>2.85846</v>
      </c>
      <c r="D533" s="1" t="s">
        <v>1182</v>
      </c>
      <c r="E533" s="3">
        <f t="shared" si="40"/>
        <v>44.827970457599996</v>
      </c>
      <c r="F533" s="3">
        <v>33.535800000000002</v>
      </c>
      <c r="G533" s="4">
        <f t="shared" si="41"/>
        <v>44.827970457599996</v>
      </c>
      <c r="H533" s="1">
        <v>6.4</v>
      </c>
      <c r="I533" s="1">
        <f t="shared" si="42"/>
        <v>7.68</v>
      </c>
      <c r="J533" s="1" t="s">
        <v>1182</v>
      </c>
      <c r="K533" s="3">
        <f t="shared" si="43"/>
        <v>57.209978879999987</v>
      </c>
      <c r="L533" s="10">
        <f t="shared" si="44"/>
        <v>0.2762116664217793</v>
      </c>
      <c r="M533" s="18" t="str">
        <f>VLOOKUP(A533,Список!A:I,9,0)</f>
        <v>Основной ассортимент</v>
      </c>
      <c r="N533" s="12"/>
      <c r="O533" s="11"/>
    </row>
    <row r="534" spans="1:15" x14ac:dyDescent="0.25">
      <c r="A534" s="6">
        <v>3887</v>
      </c>
      <c r="B534" s="1" t="s">
        <v>538</v>
      </c>
      <c r="C534" s="3">
        <v>3.0576150000000002</v>
      </c>
      <c r="D534" s="1" t="s">
        <v>1182</v>
      </c>
      <c r="E534" s="3">
        <f t="shared" si="40"/>
        <v>47.951230694399996</v>
      </c>
      <c r="F534" s="3">
        <v>39.477738461538458</v>
      </c>
      <c r="G534" s="4">
        <f t="shared" si="41"/>
        <v>47.951230694399996</v>
      </c>
      <c r="H534" s="1">
        <v>6.91</v>
      </c>
      <c r="I534" s="1">
        <f t="shared" si="42"/>
        <v>8.2899999999999991</v>
      </c>
      <c r="J534" s="1" t="s">
        <v>1182</v>
      </c>
      <c r="K534" s="3">
        <f t="shared" si="43"/>
        <v>61.754000639999987</v>
      </c>
      <c r="L534" s="10">
        <f t="shared" si="44"/>
        <v>0.2878501708030603</v>
      </c>
      <c r="M534" s="18" t="str">
        <f>VLOOKUP(A534,Список!A:I,9,0)</f>
        <v>Основной ассортимент</v>
      </c>
      <c r="N534" s="12"/>
      <c r="O534" s="11"/>
    </row>
    <row r="535" spans="1:15" x14ac:dyDescent="0.25">
      <c r="A535" s="6">
        <v>3552</v>
      </c>
      <c r="B535" s="1" t="s">
        <v>539</v>
      </c>
      <c r="C535" s="3">
        <v>3.3856350000000002</v>
      </c>
      <c r="D535" s="1" t="s">
        <v>1182</v>
      </c>
      <c r="E535" s="3">
        <f t="shared" si="40"/>
        <v>53.095424025600003</v>
      </c>
      <c r="F535" s="3">
        <v>47.576250000000002</v>
      </c>
      <c r="G535" s="4">
        <f t="shared" si="41"/>
        <v>53.095424025600003</v>
      </c>
      <c r="H535" s="1">
        <v>7.31</v>
      </c>
      <c r="I535" s="1">
        <f t="shared" si="42"/>
        <v>8.77</v>
      </c>
      <c r="J535" s="1" t="s">
        <v>1182</v>
      </c>
      <c r="K535" s="3">
        <f t="shared" si="43"/>
        <v>65.329624319999994</v>
      </c>
      <c r="L535" s="10">
        <f t="shared" si="44"/>
        <v>0.23041910897069506</v>
      </c>
      <c r="M535" s="18" t="str">
        <f>VLOOKUP(A535,Список!A:I,9,0)</f>
        <v>Основной ассортимент</v>
      </c>
      <c r="N535" s="12"/>
      <c r="O535" s="11"/>
    </row>
    <row r="536" spans="1:15" x14ac:dyDescent="0.25">
      <c r="A536" s="6">
        <v>3558</v>
      </c>
      <c r="B536" s="1" t="s">
        <v>540</v>
      </c>
      <c r="C536" s="3">
        <v>3.7956600000000007</v>
      </c>
      <c r="D536" s="1" t="s">
        <v>1182</v>
      </c>
      <c r="E536" s="3">
        <f t="shared" si="40"/>
        <v>59.525665689600011</v>
      </c>
      <c r="F536" s="3">
        <v>54.0812049689441</v>
      </c>
      <c r="G536" s="4">
        <f t="shared" si="41"/>
        <v>59.525665689600011</v>
      </c>
      <c r="H536" s="1">
        <v>8.34</v>
      </c>
      <c r="I536" s="1">
        <f t="shared" si="42"/>
        <v>10.01</v>
      </c>
      <c r="J536" s="1" t="s">
        <v>1182</v>
      </c>
      <c r="K536" s="3">
        <f t="shared" si="43"/>
        <v>74.566652159999975</v>
      </c>
      <c r="L536" s="10">
        <f t="shared" si="44"/>
        <v>0.25268069321277387</v>
      </c>
      <c r="M536" s="18" t="str">
        <f>VLOOKUP(A536,Список!A:I,9,0)</f>
        <v>Основной ассортимент</v>
      </c>
      <c r="N536" s="12"/>
      <c r="O536" s="11"/>
    </row>
    <row r="537" spans="1:15" x14ac:dyDescent="0.25">
      <c r="A537" s="6">
        <v>3598</v>
      </c>
      <c r="B537" s="1" t="s">
        <v>541</v>
      </c>
      <c r="C537" s="3">
        <v>3.2099100000000003</v>
      </c>
      <c r="D537" s="1" t="s">
        <v>1182</v>
      </c>
      <c r="E537" s="3">
        <f t="shared" si="40"/>
        <v>50.339606169600003</v>
      </c>
      <c r="F537" s="3">
        <v>40.217174157303369</v>
      </c>
      <c r="G537" s="4">
        <f t="shared" si="41"/>
        <v>50.339606169600003</v>
      </c>
      <c r="H537" s="1">
        <v>6.91</v>
      </c>
      <c r="I537" s="1">
        <f t="shared" si="42"/>
        <v>8.2899999999999991</v>
      </c>
      <c r="J537" s="1" t="s">
        <v>1182</v>
      </c>
      <c r="K537" s="3">
        <f t="shared" si="43"/>
        <v>61.754000639999987</v>
      </c>
      <c r="L537" s="10">
        <f t="shared" si="44"/>
        <v>0.22674779043649163</v>
      </c>
      <c r="M537" s="18" t="str">
        <f>VLOOKUP(A537,Список!A:I,9,0)</f>
        <v>Основной ассортимент</v>
      </c>
      <c r="N537" s="12"/>
      <c r="O537" s="11"/>
    </row>
    <row r="538" spans="1:15" x14ac:dyDescent="0.25">
      <c r="A538" s="6">
        <v>3599</v>
      </c>
      <c r="B538" s="1" t="s">
        <v>542</v>
      </c>
      <c r="C538" s="3">
        <v>3.0810449999999996</v>
      </c>
      <c r="D538" s="1" t="s">
        <v>1182</v>
      </c>
      <c r="E538" s="3">
        <f t="shared" si="40"/>
        <v>48.318673075199996</v>
      </c>
      <c r="F538" s="3">
        <v>38.032008968609865</v>
      </c>
      <c r="G538" s="4">
        <f t="shared" si="41"/>
        <v>48.318673075199996</v>
      </c>
      <c r="H538" s="1">
        <v>8.9</v>
      </c>
      <c r="I538" s="1">
        <f t="shared" si="42"/>
        <v>10.68</v>
      </c>
      <c r="J538" s="1" t="s">
        <v>1182</v>
      </c>
      <c r="K538" s="3">
        <f t="shared" si="43"/>
        <v>79.557626879999987</v>
      </c>
      <c r="L538" s="10">
        <f t="shared" si="44"/>
        <v>0.64651928160737659</v>
      </c>
      <c r="M538" s="18" t="str">
        <f>VLOOKUP(A538,Список!A:I,9,0)</f>
        <v>Основной ассортимент</v>
      </c>
      <c r="N538" s="12"/>
      <c r="O538" s="11"/>
    </row>
    <row r="539" spans="1:15" x14ac:dyDescent="0.25">
      <c r="A539" s="6">
        <v>3600</v>
      </c>
      <c r="B539" s="1" t="s">
        <v>543</v>
      </c>
      <c r="C539" s="3">
        <v>3.7019400000000005</v>
      </c>
      <c r="D539" s="1" t="s">
        <v>1182</v>
      </c>
      <c r="E539" s="3">
        <f t="shared" si="40"/>
        <v>58.055896166400004</v>
      </c>
      <c r="F539" s="3">
        <v>50.754837209302323</v>
      </c>
      <c r="G539" s="4">
        <f t="shared" si="41"/>
        <v>58.055896166400004</v>
      </c>
      <c r="H539" s="1">
        <v>9.48</v>
      </c>
      <c r="I539" s="1">
        <f t="shared" si="42"/>
        <v>11.38</v>
      </c>
      <c r="J539" s="1" t="s">
        <v>1182</v>
      </c>
      <c r="K539" s="3">
        <f t="shared" si="43"/>
        <v>84.77207808</v>
      </c>
      <c r="L539" s="10">
        <f t="shared" si="44"/>
        <v>0.46018033787689694</v>
      </c>
      <c r="M539" s="18" t="str">
        <f>VLOOKUP(A539,Список!A:I,9,0)</f>
        <v>Основной ассортимент</v>
      </c>
      <c r="N539" s="12"/>
      <c r="O539" s="11"/>
    </row>
    <row r="540" spans="1:15" x14ac:dyDescent="0.25">
      <c r="A540" s="6">
        <v>3541</v>
      </c>
      <c r="B540" s="1" t="s">
        <v>544</v>
      </c>
      <c r="C540" s="3">
        <v>2.2258499999999999</v>
      </c>
      <c r="D540" s="1" t="s">
        <v>1182</v>
      </c>
      <c r="E540" s="3">
        <f t="shared" si="40"/>
        <v>34.907026175999995</v>
      </c>
      <c r="F540" s="3">
        <v>28.500456393442622</v>
      </c>
      <c r="G540" s="4">
        <f t="shared" si="41"/>
        <v>34.907026175999995</v>
      </c>
      <c r="H540" s="1">
        <v>4.78</v>
      </c>
      <c r="I540" s="1">
        <f t="shared" si="42"/>
        <v>5.74</v>
      </c>
      <c r="J540" s="1" t="s">
        <v>1182</v>
      </c>
      <c r="K540" s="3">
        <f t="shared" si="43"/>
        <v>42.758499839999992</v>
      </c>
      <c r="L540" s="10">
        <f t="shared" si="44"/>
        <v>0.22492530943235156</v>
      </c>
      <c r="M540" s="18" t="str">
        <f>VLOOKUP(A540,Список!A:I,9,0)</f>
        <v>Основной ассортимент</v>
      </c>
      <c r="N540" s="12"/>
      <c r="O540" s="11"/>
    </row>
    <row r="541" spans="1:15" x14ac:dyDescent="0.25">
      <c r="A541" s="6">
        <v>3543</v>
      </c>
      <c r="B541" s="1" t="s">
        <v>545</v>
      </c>
      <c r="C541" s="3">
        <v>2.495295</v>
      </c>
      <c r="D541" s="1" t="s">
        <v>1182</v>
      </c>
      <c r="E541" s="3">
        <f t="shared" si="40"/>
        <v>39.132613555199995</v>
      </c>
      <c r="F541" s="3">
        <v>31.279066666666665</v>
      </c>
      <c r="G541" s="4">
        <f t="shared" si="41"/>
        <v>39.132613555199995</v>
      </c>
      <c r="H541" s="1">
        <v>5.37</v>
      </c>
      <c r="I541" s="1">
        <f t="shared" si="42"/>
        <v>6.44</v>
      </c>
      <c r="J541" s="1" t="s">
        <v>1182</v>
      </c>
      <c r="K541" s="3">
        <f t="shared" si="43"/>
        <v>47.972951039999998</v>
      </c>
      <c r="L541" s="10">
        <f t="shared" si="44"/>
        <v>0.22590715726998223</v>
      </c>
      <c r="M541" s="18" t="str">
        <f>VLOOKUP(A541,Список!A:I,9,0)</f>
        <v>Основной ассортимент</v>
      </c>
      <c r="N541" s="12"/>
      <c r="O541" s="11"/>
    </row>
    <row r="542" spans="1:15" x14ac:dyDescent="0.25">
      <c r="A542" s="6">
        <v>3542</v>
      </c>
      <c r="B542" s="1" t="s">
        <v>546</v>
      </c>
      <c r="C542" s="3">
        <v>2.6241600000000003</v>
      </c>
      <c r="D542" s="1" t="s">
        <v>1182</v>
      </c>
      <c r="E542" s="3">
        <f t="shared" si="40"/>
        <v>41.153546649599996</v>
      </c>
      <c r="F542" s="3">
        <v>34.497421276595745</v>
      </c>
      <c r="G542" s="4">
        <f t="shared" si="41"/>
        <v>41.153546649599996</v>
      </c>
      <c r="H542" s="1">
        <v>5.6</v>
      </c>
      <c r="I542" s="1">
        <f t="shared" si="42"/>
        <v>6.72</v>
      </c>
      <c r="J542" s="1" t="s">
        <v>1182</v>
      </c>
      <c r="K542" s="3">
        <f t="shared" si="43"/>
        <v>50.058731519999995</v>
      </c>
      <c r="L542" s="10">
        <f t="shared" si="44"/>
        <v>0.2163892445582587</v>
      </c>
      <c r="M542" s="18" t="str">
        <f>VLOOKUP(A542,Список!A:I,9,0)</f>
        <v>Основной ассортимент</v>
      </c>
      <c r="N542" s="12"/>
      <c r="O542" s="11"/>
    </row>
    <row r="543" spans="1:15" x14ac:dyDescent="0.25">
      <c r="A543" s="6">
        <v>3885</v>
      </c>
      <c r="B543" s="1" t="s">
        <v>547</v>
      </c>
      <c r="C543" s="3">
        <v>2.7764550000000003</v>
      </c>
      <c r="D543" s="1" t="s">
        <v>1182</v>
      </c>
      <c r="E543" s="3">
        <f t="shared" si="40"/>
        <v>43.541922124800003</v>
      </c>
      <c r="F543" s="3">
        <v>34.346865248226948</v>
      </c>
      <c r="G543" s="4">
        <f t="shared" si="41"/>
        <v>43.541922124800003</v>
      </c>
      <c r="H543" s="1">
        <v>5.97</v>
      </c>
      <c r="I543" s="1">
        <f t="shared" si="42"/>
        <v>7.16</v>
      </c>
      <c r="J543" s="1" t="s">
        <v>1182</v>
      </c>
      <c r="K543" s="3">
        <f t="shared" si="43"/>
        <v>53.336386559999994</v>
      </c>
      <c r="L543" s="10">
        <f t="shared" si="44"/>
        <v>0.22494331800803513</v>
      </c>
      <c r="M543" s="18" t="str">
        <f>VLOOKUP(A543,Список!A:I,9,0)</f>
        <v>Основной ассортимент</v>
      </c>
      <c r="N543" s="12"/>
      <c r="O543" s="11"/>
    </row>
    <row r="544" spans="1:15" x14ac:dyDescent="0.25">
      <c r="A544" s="6">
        <v>3613</v>
      </c>
      <c r="B544" s="1" t="s">
        <v>548</v>
      </c>
      <c r="C544" s="3">
        <v>3.5859999999999999</v>
      </c>
      <c r="D544" s="1" t="s">
        <v>1182</v>
      </c>
      <c r="E544" s="3">
        <f t="shared" si="40"/>
        <v>56.237660159999997</v>
      </c>
      <c r="F544" s="3">
        <v>48.544518312272437</v>
      </c>
      <c r="G544" s="4">
        <f t="shared" si="41"/>
        <v>56.237660159999997</v>
      </c>
      <c r="H544" s="1">
        <v>8.56</v>
      </c>
      <c r="I544" s="1">
        <f t="shared" si="42"/>
        <v>10.27</v>
      </c>
      <c r="J544" s="1" t="s">
        <v>1182</v>
      </c>
      <c r="K544" s="3">
        <f t="shared" si="43"/>
        <v>76.50344831999999</v>
      </c>
      <c r="L544" s="10">
        <f t="shared" si="44"/>
        <v>0.3603597322922476</v>
      </c>
      <c r="M544" s="18" t="str">
        <f>VLOOKUP(A544,Список!A:I,9,0)</f>
        <v>Основной ассортимент</v>
      </c>
      <c r="N544" s="12"/>
      <c r="O544" s="11"/>
    </row>
    <row r="545" spans="1:15" x14ac:dyDescent="0.25">
      <c r="A545" s="6">
        <v>3614</v>
      </c>
      <c r="B545" s="1" t="s">
        <v>549</v>
      </c>
      <c r="C545" s="3">
        <v>5.819</v>
      </c>
      <c r="D545" s="1" t="s">
        <v>1182</v>
      </c>
      <c r="E545" s="3">
        <f t="shared" si="40"/>
        <v>91.256816639999982</v>
      </c>
      <c r="F545" s="3">
        <v>80.670129963898916</v>
      </c>
      <c r="G545" s="4">
        <f t="shared" si="41"/>
        <v>91.256816639999982</v>
      </c>
      <c r="H545" s="1">
        <v>12.49</v>
      </c>
      <c r="I545" s="1">
        <f t="shared" si="42"/>
        <v>14.99</v>
      </c>
      <c r="J545" s="1" t="s">
        <v>1182</v>
      </c>
      <c r="K545" s="3">
        <f t="shared" si="43"/>
        <v>111.66374783999998</v>
      </c>
      <c r="L545" s="10">
        <f t="shared" si="44"/>
        <v>0.22362089706135091</v>
      </c>
      <c r="M545" s="18" t="str">
        <f>VLOOKUP(A545,Список!A:I,9,0)</f>
        <v>Основной ассортимент</v>
      </c>
      <c r="N545" s="12"/>
      <c r="O545" s="11"/>
    </row>
    <row r="546" spans="1:15" x14ac:dyDescent="0.25">
      <c r="A546" s="6">
        <v>3615</v>
      </c>
      <c r="B546" s="1" t="s">
        <v>550</v>
      </c>
      <c r="C546" s="3">
        <v>6.2039999999999997</v>
      </c>
      <c r="D546" s="1" t="s">
        <v>1182</v>
      </c>
      <c r="E546" s="3">
        <f t="shared" si="40"/>
        <v>97.294602240000003</v>
      </c>
      <c r="F546" s="3">
        <v>87.561514950166114</v>
      </c>
      <c r="G546" s="4">
        <f t="shared" si="41"/>
        <v>97.294602240000003</v>
      </c>
      <c r="H546" s="1">
        <v>13.34</v>
      </c>
      <c r="I546" s="1">
        <f t="shared" si="42"/>
        <v>16.010000000000002</v>
      </c>
      <c r="J546" s="1" t="s">
        <v>1182</v>
      </c>
      <c r="K546" s="3">
        <f t="shared" si="43"/>
        <v>119.26194816</v>
      </c>
      <c r="L546" s="10">
        <f t="shared" si="44"/>
        <v>0.2257817537072857</v>
      </c>
      <c r="M546" s="18" t="str">
        <f>VLOOKUP(A546,Список!A:I,9,0)</f>
        <v>Основной ассортимент</v>
      </c>
      <c r="N546" s="12"/>
      <c r="O546" s="11"/>
    </row>
    <row r="547" spans="1:15" x14ac:dyDescent="0.25">
      <c r="A547" s="6">
        <v>3616</v>
      </c>
      <c r="B547" s="1" t="s">
        <v>551</v>
      </c>
      <c r="C547" s="3">
        <v>3.5200000000000005</v>
      </c>
      <c r="D547" s="1" t="s">
        <v>1182</v>
      </c>
      <c r="E547" s="3">
        <f t="shared" si="40"/>
        <v>55.202611200000007</v>
      </c>
      <c r="F547" s="3">
        <v>47.060530569948185</v>
      </c>
      <c r="G547" s="4">
        <f t="shared" si="41"/>
        <v>55.202611200000007</v>
      </c>
      <c r="H547" s="1">
        <v>10.63</v>
      </c>
      <c r="I547" s="1">
        <f t="shared" si="42"/>
        <v>12.76</v>
      </c>
      <c r="J547" s="1" t="s">
        <v>1182</v>
      </c>
      <c r="K547" s="3">
        <f t="shared" si="43"/>
        <v>95.051996159999987</v>
      </c>
      <c r="L547" s="10">
        <f t="shared" si="44"/>
        <v>0.7218749999999996</v>
      </c>
      <c r="M547" s="18" t="str">
        <f>VLOOKUP(A547,Список!A:I,9,0)</f>
        <v>Основной ассортимент</v>
      </c>
      <c r="N547" s="12"/>
      <c r="O547" s="11"/>
    </row>
    <row r="548" spans="1:15" x14ac:dyDescent="0.25">
      <c r="A548" s="6">
        <v>3617</v>
      </c>
      <c r="B548" s="1" t="s">
        <v>552</v>
      </c>
      <c r="C548" s="3">
        <v>5.6979999999999995</v>
      </c>
      <c r="D548" s="1" t="s">
        <v>1182</v>
      </c>
      <c r="E548" s="3">
        <f t="shared" si="40"/>
        <v>89.35922687999998</v>
      </c>
      <c r="F548" s="3">
        <v>63.21192380952381</v>
      </c>
      <c r="G548" s="4">
        <f t="shared" si="41"/>
        <v>89.35922687999998</v>
      </c>
      <c r="H548" s="1">
        <v>17.62</v>
      </c>
      <c r="I548" s="1">
        <f t="shared" si="42"/>
        <v>21.14</v>
      </c>
      <c r="J548" s="1" t="s">
        <v>1182</v>
      </c>
      <c r="K548" s="3">
        <f t="shared" si="43"/>
        <v>157.47642624</v>
      </c>
      <c r="L548" s="10">
        <f t="shared" si="44"/>
        <v>0.76228501228501266</v>
      </c>
      <c r="M548" s="18" t="str">
        <f>VLOOKUP(A548,Список!A:I,9,0)</f>
        <v>Основной ассортимент</v>
      </c>
      <c r="N548" s="12"/>
      <c r="O548" s="11"/>
    </row>
    <row r="549" spans="1:15" x14ac:dyDescent="0.25">
      <c r="A549" s="6">
        <v>3618</v>
      </c>
      <c r="B549" s="1" t="s">
        <v>553</v>
      </c>
      <c r="C549" s="3">
        <v>6.1599999999999993</v>
      </c>
      <c r="D549" s="1" t="s">
        <v>1182</v>
      </c>
      <c r="E549" s="3">
        <f t="shared" si="40"/>
        <v>96.604569599999991</v>
      </c>
      <c r="F549" s="3">
        <v>75.945216494845369</v>
      </c>
      <c r="G549" s="4">
        <f t="shared" si="41"/>
        <v>96.604569599999991</v>
      </c>
      <c r="H549" s="1">
        <v>23.93</v>
      </c>
      <c r="I549" s="1">
        <f t="shared" si="42"/>
        <v>28.72</v>
      </c>
      <c r="J549" s="1" t="s">
        <v>1182</v>
      </c>
      <c r="K549" s="3">
        <f t="shared" si="43"/>
        <v>213.94148351999996</v>
      </c>
      <c r="L549" s="10">
        <f t="shared" si="44"/>
        <v>1.2146103896103893</v>
      </c>
      <c r="M549" s="18" t="str">
        <f>VLOOKUP(A549,Список!A:I,9,0)</f>
        <v>Основной ассортимент</v>
      </c>
      <c r="N549" s="12"/>
      <c r="O549" s="11"/>
    </row>
    <row r="550" spans="1:15" x14ac:dyDescent="0.25">
      <c r="A550" s="6">
        <v>3619</v>
      </c>
      <c r="B550" s="1" t="s">
        <v>554</v>
      </c>
      <c r="C550" s="3">
        <v>3.7899400000000005</v>
      </c>
      <c r="D550" s="1" t="s">
        <v>1182</v>
      </c>
      <c r="E550" s="3">
        <f t="shared" si="40"/>
        <v>59.435961446400007</v>
      </c>
      <c r="F550" s="3">
        <v>51.96323723210638</v>
      </c>
      <c r="G550" s="4">
        <f t="shared" si="41"/>
        <v>59.435961446400007</v>
      </c>
      <c r="H550" s="1">
        <v>9.9</v>
      </c>
      <c r="I550" s="1">
        <f t="shared" si="42"/>
        <v>11.88</v>
      </c>
      <c r="J550" s="1" t="s">
        <v>1182</v>
      </c>
      <c r="K550" s="3">
        <f t="shared" si="43"/>
        <v>88.496686080000003</v>
      </c>
      <c r="L550" s="10">
        <f t="shared" si="44"/>
        <v>0.48894177744238676</v>
      </c>
      <c r="M550" s="18" t="str">
        <f>VLOOKUP(A550,Список!A:I,9,0)</f>
        <v>Основной ассортимент</v>
      </c>
      <c r="N550" s="12"/>
      <c r="O550" s="11"/>
    </row>
    <row r="551" spans="1:15" x14ac:dyDescent="0.25">
      <c r="A551" s="6">
        <v>3620</v>
      </c>
      <c r="B551" s="1" t="s">
        <v>555</v>
      </c>
      <c r="C551" s="3">
        <v>5.0846400000000012</v>
      </c>
      <c r="D551" s="1" t="s">
        <v>1182</v>
      </c>
      <c r="E551" s="3">
        <f t="shared" si="40"/>
        <v>79.74017187840002</v>
      </c>
      <c r="F551" s="3">
        <v>69.659867580887081</v>
      </c>
      <c r="G551" s="4">
        <f t="shared" si="41"/>
        <v>79.74017187840002</v>
      </c>
      <c r="H551" s="1">
        <v>12.15</v>
      </c>
      <c r="I551" s="1">
        <f t="shared" si="42"/>
        <v>14.58</v>
      </c>
      <c r="J551" s="1" t="s">
        <v>1182</v>
      </c>
      <c r="K551" s="3">
        <f t="shared" si="43"/>
        <v>108.60956927999999</v>
      </c>
      <c r="L551" s="10">
        <f t="shared" si="44"/>
        <v>0.36204333050127402</v>
      </c>
      <c r="M551" s="18" t="str">
        <f>VLOOKUP(A551,Список!A:I,9,0)</f>
        <v>Основной ассортимент</v>
      </c>
      <c r="N551" s="12"/>
      <c r="O551" s="11"/>
    </row>
    <row r="552" spans="1:15" x14ac:dyDescent="0.25">
      <c r="A552" s="6">
        <v>3621</v>
      </c>
      <c r="B552" s="1" t="s">
        <v>556</v>
      </c>
      <c r="C552" s="3">
        <v>7.68581</v>
      </c>
      <c r="D552" s="1" t="s">
        <v>1182</v>
      </c>
      <c r="E552" s="3">
        <f t="shared" si="40"/>
        <v>120.53317647359999</v>
      </c>
      <c r="F552" s="3">
        <v>107.9754425180946</v>
      </c>
      <c r="G552" s="4">
        <f t="shared" si="41"/>
        <v>120.53317647359999</v>
      </c>
      <c r="H552" s="1">
        <v>18.72</v>
      </c>
      <c r="I552" s="1">
        <f t="shared" si="42"/>
        <v>22.46</v>
      </c>
      <c r="J552" s="1" t="s">
        <v>1182</v>
      </c>
      <c r="K552" s="3">
        <f t="shared" si="43"/>
        <v>167.30939135999998</v>
      </c>
      <c r="L552" s="10">
        <f t="shared" si="44"/>
        <v>0.38807750907191285</v>
      </c>
      <c r="M552" s="18" t="str">
        <f>VLOOKUP(A552,Список!A:I,9,0)</f>
        <v>Основной ассортимент</v>
      </c>
      <c r="N552" s="12"/>
      <c r="O552" s="11"/>
    </row>
    <row r="553" spans="1:15" x14ac:dyDescent="0.25">
      <c r="A553" s="6">
        <v>3622</v>
      </c>
      <c r="B553" s="1" t="s">
        <v>557</v>
      </c>
      <c r="C553" s="3">
        <v>18.325889999999998</v>
      </c>
      <c r="D553" s="1" t="s">
        <v>1182</v>
      </c>
      <c r="E553" s="3">
        <f t="shared" si="40"/>
        <v>287.39686947839994</v>
      </c>
      <c r="F553" s="3">
        <v>247.09522466960351</v>
      </c>
      <c r="G553" s="4">
        <f t="shared" si="41"/>
        <v>287.39686947839994</v>
      </c>
      <c r="H553" s="1">
        <v>43.07</v>
      </c>
      <c r="I553" s="1">
        <f t="shared" si="42"/>
        <v>51.68</v>
      </c>
      <c r="J553" s="1" t="s">
        <v>1182</v>
      </c>
      <c r="K553" s="3">
        <f t="shared" si="43"/>
        <v>384.97548287999996</v>
      </c>
      <c r="L553" s="10">
        <f t="shared" si="44"/>
        <v>0.33952566560205266</v>
      </c>
      <c r="M553" s="18" t="str">
        <f>VLOOKUP(A553,Список!A:I,9,0)</f>
        <v>Основной ассортимент</v>
      </c>
      <c r="N553" s="12"/>
      <c r="O553" s="11"/>
    </row>
    <row r="554" spans="1:15" x14ac:dyDescent="0.25">
      <c r="A554" s="6">
        <v>3623</v>
      </c>
      <c r="B554" s="1" t="s">
        <v>558</v>
      </c>
      <c r="C554" s="3">
        <v>30.625540000000001</v>
      </c>
      <c r="D554" s="1" t="s">
        <v>1182</v>
      </c>
      <c r="E554" s="3">
        <f t="shared" si="40"/>
        <v>480.28686858239996</v>
      </c>
      <c r="F554" s="3">
        <v>414.85556470588233</v>
      </c>
      <c r="G554" s="4">
        <f t="shared" si="41"/>
        <v>480.28686858239996</v>
      </c>
      <c r="H554" s="1">
        <v>76.8</v>
      </c>
      <c r="I554" s="1">
        <f t="shared" si="42"/>
        <v>92.16</v>
      </c>
      <c r="J554" s="1" t="s">
        <v>1182</v>
      </c>
      <c r="K554" s="3">
        <f t="shared" si="43"/>
        <v>686.51974655999993</v>
      </c>
      <c r="L554" s="10">
        <f t="shared" si="44"/>
        <v>0.42939520413354337</v>
      </c>
      <c r="M554" s="18" t="str">
        <f>VLOOKUP(A554,Список!A:I,9,0)</f>
        <v>Основной ассортимент</v>
      </c>
      <c r="N554" s="12"/>
      <c r="O554" s="11"/>
    </row>
    <row r="555" spans="1:15" x14ac:dyDescent="0.25">
      <c r="A555" s="6">
        <v>3624</v>
      </c>
      <c r="B555" s="1" t="s">
        <v>559</v>
      </c>
      <c r="C555" s="3">
        <v>40.335790000000003</v>
      </c>
      <c r="D555" s="1" t="s">
        <v>1182</v>
      </c>
      <c r="E555" s="3">
        <f t="shared" si="40"/>
        <v>632.56844682240001</v>
      </c>
      <c r="F555" s="3">
        <v>550.18884210526323</v>
      </c>
      <c r="G555" s="4">
        <f t="shared" si="41"/>
        <v>632.56844682240001</v>
      </c>
      <c r="H555" s="1">
        <v>86.31</v>
      </c>
      <c r="I555" s="1">
        <f t="shared" si="42"/>
        <v>103.57</v>
      </c>
      <c r="J555" s="1" t="s">
        <v>1182</v>
      </c>
      <c r="K555" s="3">
        <f t="shared" si="43"/>
        <v>771.51530111999989</v>
      </c>
      <c r="L555" s="10">
        <f t="shared" si="44"/>
        <v>0.21965505076261049</v>
      </c>
      <c r="M555" s="18" t="str">
        <f>VLOOKUP(A555,Список!A:I,9,0)</f>
        <v>Основной ассортимент</v>
      </c>
      <c r="N555" s="12"/>
      <c r="O555" s="11"/>
    </row>
    <row r="556" spans="1:15" x14ac:dyDescent="0.25">
      <c r="A556" s="6">
        <v>3903</v>
      </c>
      <c r="B556" s="1" t="s">
        <v>560</v>
      </c>
      <c r="C556" s="3">
        <v>2.4010800000000003</v>
      </c>
      <c r="D556" s="1" t="s">
        <v>1182</v>
      </c>
      <c r="E556" s="3">
        <f t="shared" si="40"/>
        <v>37.655081164800002</v>
      </c>
      <c r="F556" s="3">
        <v>34.549178644509205</v>
      </c>
      <c r="G556" s="4">
        <f t="shared" si="41"/>
        <v>37.655081164800002</v>
      </c>
      <c r="H556" s="1">
        <v>5.27</v>
      </c>
      <c r="I556" s="1">
        <f t="shared" si="42"/>
        <v>6.32</v>
      </c>
      <c r="J556" s="1" t="s">
        <v>1182</v>
      </c>
      <c r="K556" s="3">
        <f t="shared" si="43"/>
        <v>47.079045119999989</v>
      </c>
      <c r="L556" s="10">
        <f t="shared" si="44"/>
        <v>0.25027071151315217</v>
      </c>
      <c r="M556" s="18" t="str">
        <f>VLOOKUP(A556,Список!A:I,9,0)</f>
        <v>Основной ассортимент</v>
      </c>
      <c r="N556" s="12"/>
      <c r="O556" s="11"/>
    </row>
    <row r="557" spans="1:15" x14ac:dyDescent="0.25">
      <c r="A557" s="6">
        <v>3904</v>
      </c>
      <c r="B557" s="1" t="s">
        <v>561</v>
      </c>
      <c r="C557" s="3">
        <v>2.8483399999999999</v>
      </c>
      <c r="D557" s="1" t="s">
        <v>1182</v>
      </c>
      <c r="E557" s="3">
        <f t="shared" si="40"/>
        <v>44.669262950399997</v>
      </c>
      <c r="F557" s="3">
        <v>38.769974276527329</v>
      </c>
      <c r="G557" s="4">
        <f t="shared" si="41"/>
        <v>44.669262950399997</v>
      </c>
      <c r="H557" s="1">
        <v>6.25</v>
      </c>
      <c r="I557" s="1">
        <f t="shared" si="42"/>
        <v>7.5</v>
      </c>
      <c r="J557" s="1" t="s">
        <v>1182</v>
      </c>
      <c r="K557" s="3">
        <f t="shared" si="43"/>
        <v>55.869119999999988</v>
      </c>
      <c r="L557" s="10">
        <f t="shared" si="44"/>
        <v>0.25072849449152823</v>
      </c>
      <c r="M557" s="18" t="str">
        <f>VLOOKUP(A557,Список!A:I,9,0)</f>
        <v>Основной ассортимент</v>
      </c>
      <c r="N557" s="12"/>
      <c r="O557" s="11"/>
    </row>
    <row r="558" spans="1:15" x14ac:dyDescent="0.25">
      <c r="A558" s="6">
        <v>3905</v>
      </c>
      <c r="B558" s="1" t="s">
        <v>562</v>
      </c>
      <c r="C558" s="3">
        <v>4.2960500000000001</v>
      </c>
      <c r="D558" s="1" t="s">
        <v>1182</v>
      </c>
      <c r="E558" s="3">
        <f t="shared" si="40"/>
        <v>67.373061887999995</v>
      </c>
      <c r="F558" s="3">
        <v>59.601680140597537</v>
      </c>
      <c r="G558" s="4">
        <f t="shared" si="41"/>
        <v>67.373061887999995</v>
      </c>
      <c r="H558" s="1">
        <v>9.36</v>
      </c>
      <c r="I558" s="1">
        <f t="shared" si="42"/>
        <v>11.23</v>
      </c>
      <c r="J558" s="1" t="s">
        <v>1182</v>
      </c>
      <c r="K558" s="3">
        <f t="shared" si="43"/>
        <v>83.654695679999989</v>
      </c>
      <c r="L558" s="10">
        <f t="shared" si="44"/>
        <v>0.24166385400542345</v>
      </c>
      <c r="M558" s="18" t="str">
        <f>VLOOKUP(A558,Список!A:I,9,0)</f>
        <v>Основной ассортимент</v>
      </c>
      <c r="N558" s="12"/>
      <c r="O558" s="11"/>
    </row>
    <row r="559" spans="1:15" x14ac:dyDescent="0.25">
      <c r="A559" s="6">
        <v>3638</v>
      </c>
      <c r="B559" s="1" t="s">
        <v>563</v>
      </c>
      <c r="C559" s="3">
        <v>9.1234000000000002</v>
      </c>
      <c r="D559" s="1" t="s">
        <v>1182</v>
      </c>
      <c r="E559" s="3">
        <f t="shared" si="40"/>
        <v>143.078267904</v>
      </c>
      <c r="F559" s="3">
        <v>124.02248476286579</v>
      </c>
      <c r="G559" s="4">
        <f t="shared" si="41"/>
        <v>143.078267904</v>
      </c>
      <c r="H559" s="1">
        <v>20.29</v>
      </c>
      <c r="I559" s="1">
        <f t="shared" si="42"/>
        <v>24.35</v>
      </c>
      <c r="J559" s="1" t="s">
        <v>1182</v>
      </c>
      <c r="K559" s="3">
        <f t="shared" si="43"/>
        <v>181.38840959999999</v>
      </c>
      <c r="L559" s="10">
        <f t="shared" si="44"/>
        <v>0.26775653813271361</v>
      </c>
      <c r="M559" s="18" t="str">
        <f>VLOOKUP(A559,Список!A:I,9,0)</f>
        <v>Основной ассортимент</v>
      </c>
      <c r="N559" s="12"/>
      <c r="O559" s="11"/>
    </row>
    <row r="560" spans="1:15" x14ac:dyDescent="0.25">
      <c r="A560" s="6">
        <v>3639</v>
      </c>
      <c r="B560" s="1" t="s">
        <v>564</v>
      </c>
      <c r="C560" s="3">
        <v>10.998900000000001</v>
      </c>
      <c r="D560" s="1" t="s">
        <v>1182</v>
      </c>
      <c r="E560" s="3">
        <f t="shared" si="40"/>
        <v>172.490909184</v>
      </c>
      <c r="F560" s="3">
        <v>143.18255951169888</v>
      </c>
      <c r="G560" s="4">
        <f t="shared" si="41"/>
        <v>172.490909184</v>
      </c>
      <c r="H560" s="1">
        <v>27.01</v>
      </c>
      <c r="I560" s="1">
        <f t="shared" si="42"/>
        <v>32.409999999999997</v>
      </c>
      <c r="J560" s="1" t="s">
        <v>1182</v>
      </c>
      <c r="K560" s="3">
        <f t="shared" si="43"/>
        <v>241.42909055999993</v>
      </c>
      <c r="L560" s="10">
        <f t="shared" si="44"/>
        <v>0.39966269354208106</v>
      </c>
      <c r="M560" s="18" t="str">
        <f>VLOOKUP(A560,Список!A:I,9,0)</f>
        <v>Основной ассортимент</v>
      </c>
      <c r="N560" s="12"/>
      <c r="O560" s="11"/>
    </row>
    <row r="561" spans="1:15" x14ac:dyDescent="0.25">
      <c r="A561" s="6">
        <v>3834</v>
      </c>
      <c r="B561" s="1" t="s">
        <v>565</v>
      </c>
      <c r="C561" s="3">
        <v>11.616</v>
      </c>
      <c r="D561" s="1" t="s">
        <v>1182</v>
      </c>
      <c r="E561" s="3">
        <f t="shared" si="40"/>
        <v>182.16861695999998</v>
      </c>
      <c r="F561" s="3">
        <v>128.96381159884652</v>
      </c>
      <c r="G561" s="4">
        <f t="shared" si="41"/>
        <v>182.16861695999998</v>
      </c>
      <c r="H561" s="1">
        <v>27.47</v>
      </c>
      <c r="I561" s="1">
        <f t="shared" si="42"/>
        <v>32.96</v>
      </c>
      <c r="J561" s="1" t="s">
        <v>1182</v>
      </c>
      <c r="K561" s="3">
        <f t="shared" si="43"/>
        <v>245.52615935999995</v>
      </c>
      <c r="L561" s="10">
        <f t="shared" si="44"/>
        <v>0.34779614325068864</v>
      </c>
      <c r="M561" s="18" t="str">
        <f>VLOOKUP(A561,Список!A:I,9,0)</f>
        <v>Основной ассортимент</v>
      </c>
      <c r="N561" s="12"/>
      <c r="O561" s="11"/>
    </row>
    <row r="562" spans="1:15" x14ac:dyDescent="0.25">
      <c r="A562" s="6">
        <v>3640</v>
      </c>
      <c r="B562" s="1" t="s">
        <v>566</v>
      </c>
      <c r="C562" s="3">
        <v>9.1718000000000011</v>
      </c>
      <c r="D562" s="1" t="s">
        <v>1182</v>
      </c>
      <c r="E562" s="3">
        <f t="shared" si="40"/>
        <v>143.837303808</v>
      </c>
      <c r="F562" s="3">
        <v>112.1356365409623</v>
      </c>
      <c r="G562" s="4">
        <f t="shared" si="41"/>
        <v>143.837303808</v>
      </c>
      <c r="H562" s="1">
        <v>20.399999999999999</v>
      </c>
      <c r="I562" s="1">
        <f t="shared" si="42"/>
        <v>24.48</v>
      </c>
      <c r="J562" s="1" t="s">
        <v>1182</v>
      </c>
      <c r="K562" s="3">
        <f t="shared" si="43"/>
        <v>182.35680767999997</v>
      </c>
      <c r="L562" s="10">
        <f t="shared" si="44"/>
        <v>0.26779912339998679</v>
      </c>
      <c r="M562" s="18" t="str">
        <f>VLOOKUP(A562,Список!A:I,9,0)</f>
        <v>Основной ассортимент</v>
      </c>
      <c r="N562" s="12"/>
      <c r="O562" s="11"/>
    </row>
    <row r="563" spans="1:15" x14ac:dyDescent="0.25">
      <c r="A563" s="6">
        <v>3857</v>
      </c>
      <c r="B563" s="1" t="s">
        <v>567</v>
      </c>
      <c r="C563" s="3">
        <v>10.998900000000001</v>
      </c>
      <c r="D563" s="1" t="s">
        <v>1182</v>
      </c>
      <c r="E563" s="3">
        <f t="shared" si="40"/>
        <v>172.490909184</v>
      </c>
      <c r="F563" s="3">
        <v>149.82214098201263</v>
      </c>
      <c r="G563" s="4">
        <f t="shared" si="41"/>
        <v>172.490909184</v>
      </c>
      <c r="H563" s="1">
        <v>27.01</v>
      </c>
      <c r="I563" s="1">
        <f t="shared" si="42"/>
        <v>32.409999999999997</v>
      </c>
      <c r="J563" s="1" t="s">
        <v>1182</v>
      </c>
      <c r="K563" s="3">
        <f t="shared" si="43"/>
        <v>241.42909055999993</v>
      </c>
      <c r="L563" s="10">
        <f t="shared" si="44"/>
        <v>0.39966269354208106</v>
      </c>
      <c r="M563" s="18" t="str">
        <f>VLOOKUP(A563,Список!A:I,9,0)</f>
        <v>Основной ассортимент</v>
      </c>
      <c r="N563" s="12"/>
      <c r="O563" s="11"/>
    </row>
    <row r="564" spans="1:15" x14ac:dyDescent="0.25">
      <c r="A564" s="6">
        <v>3641</v>
      </c>
      <c r="B564" s="1" t="s">
        <v>568</v>
      </c>
      <c r="C564" s="3">
        <v>11.845899999999999</v>
      </c>
      <c r="D564" s="1" t="s">
        <v>1182</v>
      </c>
      <c r="E564" s="3">
        <f t="shared" si="40"/>
        <v>185.77403750399995</v>
      </c>
      <c r="F564" s="3">
        <v>146.76080400949618</v>
      </c>
      <c r="G564" s="4">
        <f t="shared" si="41"/>
        <v>185.77403750399995</v>
      </c>
      <c r="H564" s="1">
        <v>26.44</v>
      </c>
      <c r="I564" s="1">
        <f t="shared" si="42"/>
        <v>31.73</v>
      </c>
      <c r="J564" s="1" t="s">
        <v>1182</v>
      </c>
      <c r="K564" s="3">
        <f t="shared" si="43"/>
        <v>236.36362367999999</v>
      </c>
      <c r="L564" s="10">
        <f t="shared" si="44"/>
        <v>0.27231784836947837</v>
      </c>
      <c r="M564" s="18" t="str">
        <f>VLOOKUP(A564,Список!A:I,9,0)</f>
        <v>Основной ассортимент</v>
      </c>
      <c r="N564" s="12"/>
      <c r="O564" s="11"/>
    </row>
    <row r="565" spans="1:15" x14ac:dyDescent="0.25">
      <c r="A565" s="6">
        <v>895</v>
      </c>
      <c r="B565" s="1" t="s">
        <v>569</v>
      </c>
      <c r="C565" s="3">
        <v>1.2353999999999998</v>
      </c>
      <c r="D565" s="1" t="s">
        <v>1182</v>
      </c>
      <c r="E565" s="3">
        <f t="shared" si="40"/>
        <v>19.374234623999996</v>
      </c>
      <c r="F565" s="3">
        <v>17.795899005355775</v>
      </c>
      <c r="G565" s="4">
        <f t="shared" si="41"/>
        <v>19.374234623999996</v>
      </c>
      <c r="H565" s="1">
        <v>4.91</v>
      </c>
      <c r="I565" s="1">
        <f t="shared" si="42"/>
        <v>5.89</v>
      </c>
      <c r="J565" s="1" t="s">
        <v>1182</v>
      </c>
      <c r="K565" s="3">
        <f t="shared" si="43"/>
        <v>43.875882239999989</v>
      </c>
      <c r="L565" s="10">
        <f t="shared" si="44"/>
        <v>1.2646511251416546</v>
      </c>
      <c r="M565" s="18" t="str">
        <f>VLOOKUP(A565,Список!A:I,9,0)</f>
        <v>Основной ассортимент</v>
      </c>
      <c r="N565" s="12"/>
      <c r="O565" s="11"/>
    </row>
    <row r="566" spans="1:15" x14ac:dyDescent="0.25">
      <c r="A566" s="6">
        <v>894</v>
      </c>
      <c r="B566" s="1" t="s">
        <v>570</v>
      </c>
      <c r="C566" s="3">
        <v>8.5979200000000002</v>
      </c>
      <c r="D566" s="1" t="s">
        <v>1182</v>
      </c>
      <c r="E566" s="3">
        <f t="shared" si="40"/>
        <v>134.83739627520001</v>
      </c>
      <c r="F566" s="3">
        <v>116.44007807118254</v>
      </c>
      <c r="G566" s="4">
        <f t="shared" si="41"/>
        <v>134.83739627520001</v>
      </c>
      <c r="H566" s="1">
        <v>24.03</v>
      </c>
      <c r="I566" s="1">
        <f t="shared" si="42"/>
        <v>28.84</v>
      </c>
      <c r="J566" s="1" t="s">
        <v>1182</v>
      </c>
      <c r="K566" s="3">
        <f t="shared" si="43"/>
        <v>214.83538943999997</v>
      </c>
      <c r="L566" s="10">
        <f t="shared" si="44"/>
        <v>0.59329233116846836</v>
      </c>
      <c r="M566" s="18" t="str">
        <f>VLOOKUP(A566,Список!A:I,9,0)</f>
        <v>Основной ассортимент</v>
      </c>
      <c r="N566" s="12"/>
      <c r="O566" s="11"/>
    </row>
    <row r="567" spans="1:15" x14ac:dyDescent="0.25">
      <c r="A567" s="6">
        <v>2589</v>
      </c>
      <c r="B567" s="1" t="s">
        <v>571</v>
      </c>
      <c r="C567" s="3">
        <v>6.1430353599999989</v>
      </c>
      <c r="D567" s="1" t="s">
        <v>1182</v>
      </c>
      <c r="E567" s="3">
        <f t="shared" si="40"/>
        <v>96.338520615321571</v>
      </c>
      <c r="F567" s="3">
        <v>84.28862453438245</v>
      </c>
      <c r="G567" s="4">
        <f t="shared" si="41"/>
        <v>96.338520615321571</v>
      </c>
      <c r="H567" s="1">
        <v>12.21</v>
      </c>
      <c r="I567" s="1">
        <f t="shared" si="42"/>
        <v>14.65</v>
      </c>
      <c r="J567" s="1" t="s">
        <v>1182</v>
      </c>
      <c r="K567" s="3">
        <f t="shared" si="43"/>
        <v>109.1310144</v>
      </c>
      <c r="L567" s="10">
        <f t="shared" si="44"/>
        <v>0.13278690292285766</v>
      </c>
      <c r="M567" s="18" t="str">
        <f>VLOOKUP(A567,Список!A:I,9,0)</f>
        <v>Основной ассортимент</v>
      </c>
      <c r="N567" s="12"/>
      <c r="O567" s="11"/>
    </row>
    <row r="568" spans="1:15" x14ac:dyDescent="0.25">
      <c r="A568" s="6">
        <v>2590</v>
      </c>
      <c r="B568" s="1" t="s">
        <v>572</v>
      </c>
      <c r="C568" s="3">
        <v>8.8655169400000009</v>
      </c>
      <c r="D568" s="1" t="s">
        <v>1182</v>
      </c>
      <c r="E568" s="3">
        <f t="shared" si="40"/>
        <v>139.0340013425664</v>
      </c>
      <c r="F568" s="3">
        <v>125.69939689950947</v>
      </c>
      <c r="G568" s="4">
        <f t="shared" si="41"/>
        <v>139.0340013425664</v>
      </c>
      <c r="H568" s="1">
        <v>17.46</v>
      </c>
      <c r="I568" s="1">
        <f t="shared" si="42"/>
        <v>20.95</v>
      </c>
      <c r="J568" s="1" t="s">
        <v>1182</v>
      </c>
      <c r="K568" s="3">
        <f t="shared" si="43"/>
        <v>156.06107519999998</v>
      </c>
      <c r="L568" s="10">
        <f t="shared" si="44"/>
        <v>0.12246697709203169</v>
      </c>
      <c r="M568" s="18" t="str">
        <f>VLOOKUP(A568,Список!A:I,9,0)</f>
        <v>Основной ассортимент</v>
      </c>
      <c r="N568" s="12"/>
      <c r="O568" s="11"/>
    </row>
    <row r="569" spans="1:15" x14ac:dyDescent="0.25">
      <c r="A569" s="6">
        <v>2588</v>
      </c>
      <c r="B569" s="1" t="s">
        <v>573</v>
      </c>
      <c r="C569" s="3">
        <v>15.985853379999998</v>
      </c>
      <c r="D569" s="1" t="s">
        <v>1182</v>
      </c>
      <c r="E569" s="3">
        <f t="shared" si="40"/>
        <v>250.69910478305275</v>
      </c>
      <c r="F569" s="3">
        <v>209.79051040244198</v>
      </c>
      <c r="G569" s="4">
        <f t="shared" si="41"/>
        <v>250.69910478305275</v>
      </c>
      <c r="H569" s="1">
        <v>33.770000000000003</v>
      </c>
      <c r="I569" s="1">
        <f t="shared" si="42"/>
        <v>40.520000000000003</v>
      </c>
      <c r="J569" s="1" t="s">
        <v>1182</v>
      </c>
      <c r="K569" s="3">
        <f t="shared" si="43"/>
        <v>301.84223231999999</v>
      </c>
      <c r="L569" s="10">
        <f t="shared" si="44"/>
        <v>0.20400203495423308</v>
      </c>
      <c r="M569" s="18" t="str">
        <f>VLOOKUP(A569,Список!A:I,9,0)</f>
        <v>Основной ассортимент</v>
      </c>
      <c r="N569" s="12"/>
      <c r="O569" s="11"/>
    </row>
    <row r="570" spans="1:15" x14ac:dyDescent="0.25">
      <c r="A570" s="6">
        <v>2591</v>
      </c>
      <c r="B570" s="1" t="s">
        <v>574</v>
      </c>
      <c r="C570" s="3">
        <v>25.200406419999997</v>
      </c>
      <c r="D570" s="1" t="s">
        <v>1182</v>
      </c>
      <c r="E570" s="3">
        <f t="shared" si="40"/>
        <v>395.20688570603517</v>
      </c>
      <c r="F570" s="3">
        <v>339.31691736304555</v>
      </c>
      <c r="G570" s="4">
        <f t="shared" si="41"/>
        <v>395.20688570603517</v>
      </c>
      <c r="H570" s="1">
        <v>62.91</v>
      </c>
      <c r="I570" s="1">
        <f t="shared" si="42"/>
        <v>75.489999999999995</v>
      </c>
      <c r="J570" s="1" t="s">
        <v>1182</v>
      </c>
      <c r="K570" s="3">
        <f t="shared" si="43"/>
        <v>562.34131583999988</v>
      </c>
      <c r="L570" s="10">
        <f t="shared" si="44"/>
        <v>0.42290363902789774</v>
      </c>
      <c r="M570" s="18" t="str">
        <f>VLOOKUP(A570,Список!A:I,9,0)</f>
        <v>Основной ассортимент</v>
      </c>
      <c r="N570" s="12"/>
      <c r="O570" s="11"/>
    </row>
    <row r="571" spans="1:15" x14ac:dyDescent="0.25">
      <c r="A571" s="6">
        <v>2592</v>
      </c>
      <c r="B571" s="1" t="s">
        <v>575</v>
      </c>
      <c r="C571" s="3">
        <v>20.732744339999996</v>
      </c>
      <c r="D571" s="1" t="s">
        <v>1182</v>
      </c>
      <c r="E571" s="3">
        <f t="shared" si="40"/>
        <v>325.14250707671027</v>
      </c>
      <c r="F571" s="3">
        <v>295.53448620236526</v>
      </c>
      <c r="G571" s="4">
        <f t="shared" si="41"/>
        <v>325.14250707671027</v>
      </c>
      <c r="H571" s="1">
        <v>47.79</v>
      </c>
      <c r="I571" s="1">
        <f t="shared" si="42"/>
        <v>57.35</v>
      </c>
      <c r="J571" s="1" t="s">
        <v>1182</v>
      </c>
      <c r="K571" s="3">
        <f t="shared" si="43"/>
        <v>427.21253759999996</v>
      </c>
      <c r="L571" s="10">
        <f t="shared" si="44"/>
        <v>0.31392398195173077</v>
      </c>
      <c r="M571" s="18" t="str">
        <f>VLOOKUP(A571,Список!A:I,9,0)</f>
        <v>Основной ассортимент</v>
      </c>
      <c r="N571" s="12"/>
      <c r="O571" s="11"/>
    </row>
    <row r="572" spans="1:15" x14ac:dyDescent="0.25">
      <c r="A572" s="6">
        <v>4536</v>
      </c>
      <c r="B572" s="1" t="s">
        <v>576</v>
      </c>
      <c r="C572" s="3">
        <v>33.367851160000001</v>
      </c>
      <c r="D572" s="1" t="s">
        <v>1182</v>
      </c>
      <c r="E572" s="3">
        <f t="shared" ref="E572:E635" si="45">IF(D572="RUB",C572*1.2,C572*$E$2*1.2)</f>
        <v>523.29332788776958</v>
      </c>
      <c r="F572" s="3">
        <v>445.76109993468322</v>
      </c>
      <c r="G572" s="4">
        <f t="shared" si="41"/>
        <v>523.29332788776958</v>
      </c>
      <c r="H572" s="1">
        <v>85.26</v>
      </c>
      <c r="I572" s="1">
        <f t="shared" si="42"/>
        <v>102.31</v>
      </c>
      <c r="J572" s="1" t="s">
        <v>1182</v>
      </c>
      <c r="K572" s="3">
        <f t="shared" si="43"/>
        <v>762.12928895999994</v>
      </c>
      <c r="L572" s="10">
        <f t="shared" ref="L572:L635" si="46">K572/E572-1</f>
        <v>0.45640933744802759</v>
      </c>
      <c r="M572" s="18" t="str">
        <f>VLOOKUP(A572,Список!A:I,9,0)</f>
        <v>Основной ассортимент</v>
      </c>
      <c r="N572" s="12"/>
      <c r="O572" s="11"/>
    </row>
    <row r="573" spans="1:15" x14ac:dyDescent="0.25">
      <c r="A573" s="6">
        <v>2586</v>
      </c>
      <c r="B573" s="1" t="s">
        <v>577</v>
      </c>
      <c r="C573" s="3">
        <v>7.9580230800000002</v>
      </c>
      <c r="D573" s="1" t="s">
        <v>1182</v>
      </c>
      <c r="E573" s="3">
        <f t="shared" si="45"/>
        <v>124.80217443348479</v>
      </c>
      <c r="F573" s="3">
        <v>106.43227487256937</v>
      </c>
      <c r="G573" s="4">
        <f t="shared" si="41"/>
        <v>124.80217443348479</v>
      </c>
      <c r="H573" s="1">
        <v>17.690000000000001</v>
      </c>
      <c r="I573" s="1">
        <f t="shared" si="42"/>
        <v>21.23</v>
      </c>
      <c r="J573" s="1" t="s">
        <v>1182</v>
      </c>
      <c r="K573" s="3">
        <f t="shared" si="43"/>
        <v>158.14685567999999</v>
      </c>
      <c r="L573" s="10">
        <f t="shared" si="46"/>
        <v>0.2671802907110945</v>
      </c>
      <c r="M573" s="18" t="str">
        <f>VLOOKUP(A573,Список!A:I,9,0)</f>
        <v>Основной ассортимент</v>
      </c>
      <c r="N573" s="12"/>
      <c r="O573" s="11"/>
    </row>
    <row r="574" spans="1:15" x14ac:dyDescent="0.25">
      <c r="A574" s="6">
        <v>2587</v>
      </c>
      <c r="B574" s="1" t="s">
        <v>578</v>
      </c>
      <c r="C574" s="3">
        <v>12.041745449999999</v>
      </c>
      <c r="D574" s="1" t="s">
        <v>1182</v>
      </c>
      <c r="E574" s="3">
        <f t="shared" si="45"/>
        <v>188.84539552435197</v>
      </c>
      <c r="F574" s="3">
        <v>160.25952999228988</v>
      </c>
      <c r="G574" s="4">
        <f t="shared" si="41"/>
        <v>188.84539552435197</v>
      </c>
      <c r="H574" s="1">
        <v>27.87</v>
      </c>
      <c r="I574" s="1">
        <f t="shared" si="42"/>
        <v>33.44</v>
      </c>
      <c r="J574" s="1" t="s">
        <v>1182</v>
      </c>
      <c r="K574" s="3">
        <f t="shared" si="43"/>
        <v>249.10178303999993</v>
      </c>
      <c r="L574" s="10">
        <f t="shared" si="46"/>
        <v>0.31907787504343887</v>
      </c>
      <c r="M574" s="18" t="str">
        <f>VLOOKUP(A574,Список!A:I,9,0)</f>
        <v>Основной ассортимент</v>
      </c>
      <c r="N574" s="12"/>
      <c r="O574" s="11"/>
    </row>
    <row r="575" spans="1:15" x14ac:dyDescent="0.25">
      <c r="A575" s="6">
        <v>2390</v>
      </c>
      <c r="B575" s="1" t="s">
        <v>579</v>
      </c>
      <c r="C575" s="3">
        <v>20.362766074000003</v>
      </c>
      <c r="D575" s="1" t="s">
        <v>1182</v>
      </c>
      <c r="E575" s="3">
        <f t="shared" si="45"/>
        <v>319.34030072146942</v>
      </c>
      <c r="F575" s="3">
        <v>270.37084341296924</v>
      </c>
      <c r="G575" s="4">
        <f t="shared" si="41"/>
        <v>319.34030072146942</v>
      </c>
      <c r="H575" s="1">
        <v>46.37</v>
      </c>
      <c r="I575" s="1">
        <f t="shared" si="42"/>
        <v>55.64</v>
      </c>
      <c r="J575" s="1" t="s">
        <v>1182</v>
      </c>
      <c r="K575" s="3">
        <f t="shared" si="43"/>
        <v>414.47437823999991</v>
      </c>
      <c r="L575" s="10">
        <f t="shared" si="46"/>
        <v>0.29790814783977737</v>
      </c>
      <c r="M575" s="18" t="str">
        <f>VLOOKUP(A575,Список!A:I,9,0)</f>
        <v>Основной ассортимент</v>
      </c>
      <c r="N575" s="12"/>
      <c r="O575" s="11"/>
    </row>
    <row r="576" spans="1:15" x14ac:dyDescent="0.25">
      <c r="A576" s="6">
        <v>2685</v>
      </c>
      <c r="B576" s="1" t="s">
        <v>580</v>
      </c>
      <c r="C576" s="3">
        <v>27.085201359999999</v>
      </c>
      <c r="D576" s="1" t="s">
        <v>1182</v>
      </c>
      <c r="E576" s="3">
        <f t="shared" si="45"/>
        <v>424.76529544028159</v>
      </c>
      <c r="F576" s="3">
        <v>375.06981818181816</v>
      </c>
      <c r="G576" s="4">
        <f t="shared" si="41"/>
        <v>424.76529544028159</v>
      </c>
      <c r="H576" s="1">
        <v>63.41</v>
      </c>
      <c r="I576" s="1">
        <f t="shared" si="42"/>
        <v>76.09</v>
      </c>
      <c r="J576" s="1" t="s">
        <v>1182</v>
      </c>
      <c r="K576" s="3">
        <f t="shared" si="43"/>
        <v>566.81084543999998</v>
      </c>
      <c r="L576" s="10">
        <f t="shared" si="46"/>
        <v>0.33440949984504753</v>
      </c>
      <c r="M576" s="18" t="str">
        <f>VLOOKUP(A576,Список!A:I,9,0)</f>
        <v>Основной ассортимент</v>
      </c>
      <c r="N576" s="12"/>
      <c r="O576" s="11"/>
    </row>
    <row r="577" spans="1:15" x14ac:dyDescent="0.25">
      <c r="A577" s="6">
        <v>2582</v>
      </c>
      <c r="B577" s="1" t="s">
        <v>581</v>
      </c>
      <c r="C577" s="3">
        <v>1.3821829559999999</v>
      </c>
      <c r="D577" s="1" t="s">
        <v>1182</v>
      </c>
      <c r="E577" s="3">
        <f t="shared" si="45"/>
        <v>21.676167138447358</v>
      </c>
      <c r="F577" s="3">
        <v>18.45109287303524</v>
      </c>
      <c r="G577" s="4">
        <f t="shared" si="41"/>
        <v>21.676167138447358</v>
      </c>
      <c r="H577" s="1">
        <v>2.8</v>
      </c>
      <c r="I577" s="1">
        <f t="shared" si="42"/>
        <v>3.36</v>
      </c>
      <c r="J577" s="1" t="s">
        <v>1182</v>
      </c>
      <c r="K577" s="3">
        <f t="shared" si="43"/>
        <v>25.029365759999997</v>
      </c>
      <c r="L577" s="10">
        <f t="shared" si="46"/>
        <v>0.15469518204650767</v>
      </c>
      <c r="M577" s="18" t="str">
        <f>VLOOKUP(A577,Список!A:I,9,0)</f>
        <v>Основной ассортимент</v>
      </c>
      <c r="N577" s="12"/>
      <c r="O577" s="11"/>
    </row>
    <row r="578" spans="1:15" x14ac:dyDescent="0.25">
      <c r="A578" s="6">
        <v>2583</v>
      </c>
      <c r="B578" s="1" t="s">
        <v>582</v>
      </c>
      <c r="C578" s="3">
        <v>2.2687346499999999</v>
      </c>
      <c r="D578" s="1" t="s">
        <v>1182</v>
      </c>
      <c r="E578" s="3">
        <f t="shared" si="45"/>
        <v>35.579567272703997</v>
      </c>
      <c r="F578" s="3">
        <v>33.000855545200373</v>
      </c>
      <c r="G578" s="4">
        <f t="shared" si="41"/>
        <v>35.579567272703997</v>
      </c>
      <c r="H578" s="1">
        <v>4.5</v>
      </c>
      <c r="I578" s="1">
        <f t="shared" si="42"/>
        <v>5.4</v>
      </c>
      <c r="J578" s="1" t="s">
        <v>1182</v>
      </c>
      <c r="K578" s="3">
        <f t="shared" si="43"/>
        <v>40.225766399999998</v>
      </c>
      <c r="L578" s="10">
        <f t="shared" si="46"/>
        <v>0.13058616176202009</v>
      </c>
      <c r="M578" s="18" t="str">
        <f>VLOOKUP(A578,Список!A:I,9,0)</f>
        <v>Основной ассортимент</v>
      </c>
      <c r="N578" s="12"/>
      <c r="O578" s="11"/>
    </row>
    <row r="579" spans="1:15" x14ac:dyDescent="0.25">
      <c r="A579" s="6">
        <v>2581</v>
      </c>
      <c r="B579" s="1" t="s">
        <v>583</v>
      </c>
      <c r="C579" s="3">
        <v>3.7695898799999998</v>
      </c>
      <c r="D579" s="1" t="s">
        <v>1182</v>
      </c>
      <c r="E579" s="3">
        <f t="shared" si="45"/>
        <v>59.116819468492793</v>
      </c>
      <c r="F579" s="3">
        <v>51.845096703296697</v>
      </c>
      <c r="G579" s="4">
        <f t="shared" si="41"/>
        <v>59.116819468492793</v>
      </c>
      <c r="H579" s="1">
        <v>7.9</v>
      </c>
      <c r="I579" s="1">
        <f t="shared" si="42"/>
        <v>9.48</v>
      </c>
      <c r="J579" s="1" t="s">
        <v>1182</v>
      </c>
      <c r="K579" s="3">
        <f t="shared" si="43"/>
        <v>70.618567679999998</v>
      </c>
      <c r="L579" s="10">
        <f t="shared" si="46"/>
        <v>0.19455965856954194</v>
      </c>
      <c r="M579" s="18" t="str">
        <f>VLOOKUP(A579,Список!A:I,9,0)</f>
        <v>Основной ассортимент</v>
      </c>
      <c r="N579" s="12"/>
      <c r="O579" s="11"/>
    </row>
    <row r="580" spans="1:15" x14ac:dyDescent="0.25">
      <c r="A580" s="6">
        <v>4524</v>
      </c>
      <c r="B580" s="1" t="s">
        <v>584</v>
      </c>
      <c r="C580" s="3">
        <v>7.6089869799999992</v>
      </c>
      <c r="D580" s="1" t="s">
        <v>1182</v>
      </c>
      <c r="E580" s="3">
        <f t="shared" si="45"/>
        <v>119.32839485306877</v>
      </c>
      <c r="F580" s="3">
        <v>105.73543752039151</v>
      </c>
      <c r="G580" s="4">
        <f t="shared" si="41"/>
        <v>119.32839485306877</v>
      </c>
      <c r="H580" s="1">
        <v>16.27</v>
      </c>
      <c r="I580" s="1">
        <f t="shared" si="42"/>
        <v>19.52</v>
      </c>
      <c r="J580" s="1" t="s">
        <v>1182</v>
      </c>
      <c r="K580" s="3">
        <f t="shared" si="43"/>
        <v>145.40869631999999</v>
      </c>
      <c r="L580" s="10">
        <f t="shared" si="46"/>
        <v>0.21855905712168822</v>
      </c>
      <c r="M580" s="18" t="str">
        <f>VLOOKUP(A580,Список!A:I,9,0)</f>
        <v>Основной ассортимент</v>
      </c>
      <c r="N580" s="12"/>
      <c r="O580" s="11"/>
    </row>
    <row r="581" spans="1:15" x14ac:dyDescent="0.25">
      <c r="A581" s="6">
        <v>4523</v>
      </c>
      <c r="B581" s="1" t="s">
        <v>585</v>
      </c>
      <c r="C581" s="3">
        <v>5.4449631599999995</v>
      </c>
      <c r="D581" s="1" t="s">
        <v>1182</v>
      </c>
      <c r="E581" s="3">
        <f t="shared" si="45"/>
        <v>85.390961454489585</v>
      </c>
      <c r="F581" s="3">
        <v>69.145228571428575</v>
      </c>
      <c r="G581" s="4">
        <f t="shared" si="41"/>
        <v>85.390961454489585</v>
      </c>
      <c r="H581" s="1">
        <v>11.58</v>
      </c>
      <c r="I581" s="1">
        <f t="shared" si="42"/>
        <v>13.9</v>
      </c>
      <c r="J581" s="1" t="s">
        <v>1182</v>
      </c>
      <c r="K581" s="3">
        <f t="shared" si="43"/>
        <v>103.54410239999999</v>
      </c>
      <c r="L581" s="10">
        <f t="shared" si="46"/>
        <v>0.21258855312438896</v>
      </c>
      <c r="M581" s="18" t="str">
        <f>VLOOKUP(A581,Список!A:I,9,0)</f>
        <v>Основной ассортимент</v>
      </c>
      <c r="N581" s="12"/>
      <c r="O581" s="11"/>
    </row>
    <row r="582" spans="1:15" x14ac:dyDescent="0.25">
      <c r="A582" s="6">
        <v>4525</v>
      </c>
      <c r="B582" s="1" t="s">
        <v>586</v>
      </c>
      <c r="C582" s="3">
        <v>11.169155200000001</v>
      </c>
      <c r="D582" s="1" t="s">
        <v>1182</v>
      </c>
      <c r="E582" s="3">
        <f t="shared" si="45"/>
        <v>175.160946573312</v>
      </c>
      <c r="F582" s="3">
        <v>157.86072365339578</v>
      </c>
      <c r="G582" s="4">
        <f t="shared" ref="G582:G645" si="47">IF(M582="Вывод из ассортимента",F582,MAX(E582,F582))</f>
        <v>175.160946573312</v>
      </c>
      <c r="H582" s="1">
        <v>24.84</v>
      </c>
      <c r="I582" s="1">
        <f t="shared" ref="I582:I645" si="48">ROUND(H582*1.2,2)</f>
        <v>29.81</v>
      </c>
      <c r="J582" s="1" t="s">
        <v>1182</v>
      </c>
      <c r="K582" s="3">
        <f t="shared" ref="K582:K645" si="49">IF(J582="RUB",I582*$K$4,I582*$E$2*$K$4)</f>
        <v>222.06112895999996</v>
      </c>
      <c r="L582" s="10">
        <f t="shared" si="46"/>
        <v>0.26775478954755649</v>
      </c>
      <c r="M582" s="18" t="str">
        <f>VLOOKUP(A582,Список!A:I,9,0)</f>
        <v>Основной ассортимент</v>
      </c>
      <c r="N582" s="12"/>
      <c r="O582" s="11"/>
    </row>
    <row r="583" spans="1:15" x14ac:dyDescent="0.25">
      <c r="A583" s="6">
        <v>2584</v>
      </c>
      <c r="B583" s="1" t="s">
        <v>587</v>
      </c>
      <c r="C583" s="3">
        <v>1.242568516</v>
      </c>
      <c r="D583" s="1" t="s">
        <v>1182</v>
      </c>
      <c r="E583" s="3">
        <f t="shared" si="45"/>
        <v>19.486655306280955</v>
      </c>
      <c r="F583" s="3">
        <v>15.958140171086765</v>
      </c>
      <c r="G583" s="4">
        <f t="shared" si="47"/>
        <v>19.486655306280955</v>
      </c>
      <c r="H583" s="1">
        <v>2.63</v>
      </c>
      <c r="I583" s="1">
        <f t="shared" si="48"/>
        <v>3.16</v>
      </c>
      <c r="J583" s="1" t="s">
        <v>1182</v>
      </c>
      <c r="K583" s="3">
        <f t="shared" si="49"/>
        <v>23.539522559999995</v>
      </c>
      <c r="L583" s="10">
        <f t="shared" si="46"/>
        <v>0.20798167720515459</v>
      </c>
      <c r="M583" s="18" t="str">
        <f>VLOOKUP(A583,Список!A:I,9,0)</f>
        <v>Основной ассортимент</v>
      </c>
      <c r="N583" s="12"/>
      <c r="O583" s="11"/>
    </row>
    <row r="584" spans="1:15" x14ac:dyDescent="0.25">
      <c r="A584" s="6">
        <v>2585</v>
      </c>
      <c r="B584" s="1" t="s">
        <v>588</v>
      </c>
      <c r="C584" s="3">
        <v>2.0244093800000003</v>
      </c>
      <c r="D584" s="1" t="s">
        <v>1182</v>
      </c>
      <c r="E584" s="3">
        <f t="shared" si="45"/>
        <v>31.747921566412799</v>
      </c>
      <c r="F584" s="3">
        <v>27.309552759604092</v>
      </c>
      <c r="G584" s="4">
        <f t="shared" si="47"/>
        <v>31.747921566412799</v>
      </c>
      <c r="H584" s="1">
        <v>4.43</v>
      </c>
      <c r="I584" s="1">
        <f t="shared" si="48"/>
        <v>5.32</v>
      </c>
      <c r="J584" s="1" t="s">
        <v>1182</v>
      </c>
      <c r="K584" s="3">
        <f t="shared" si="49"/>
        <v>39.629829119999997</v>
      </c>
      <c r="L584" s="10">
        <f t="shared" si="46"/>
        <v>0.24826530886751752</v>
      </c>
      <c r="M584" s="18" t="str">
        <f>VLOOKUP(A584,Список!A:I,9,0)</f>
        <v>Основной ассортимент</v>
      </c>
      <c r="N584" s="12"/>
      <c r="O584" s="11"/>
    </row>
    <row r="585" spans="1:15" x14ac:dyDescent="0.25">
      <c r="A585" s="6">
        <v>2580</v>
      </c>
      <c r="B585" s="1" t="s">
        <v>589</v>
      </c>
      <c r="C585" s="3">
        <v>3.3856501699999999</v>
      </c>
      <c r="D585" s="1" t="s">
        <v>1182</v>
      </c>
      <c r="E585" s="3">
        <f t="shared" si="45"/>
        <v>53.095661930035199</v>
      </c>
      <c r="F585" s="3">
        <v>41.915559822551806</v>
      </c>
      <c r="G585" s="4">
        <f t="shared" si="47"/>
        <v>53.095661930035199</v>
      </c>
      <c r="H585" s="1">
        <v>7.21</v>
      </c>
      <c r="I585" s="1">
        <f t="shared" si="48"/>
        <v>8.65</v>
      </c>
      <c r="J585" s="1" t="s">
        <v>1182</v>
      </c>
      <c r="K585" s="3">
        <f t="shared" si="49"/>
        <v>64.435718399999999</v>
      </c>
      <c r="L585" s="10">
        <f t="shared" si="46"/>
        <v>0.21357783400285557</v>
      </c>
      <c r="M585" s="18" t="str">
        <f>VLOOKUP(A585,Список!A:I,9,0)</f>
        <v>Основной ассортимент</v>
      </c>
      <c r="N585" s="12"/>
      <c r="O585" s="11"/>
    </row>
    <row r="586" spans="1:15" x14ac:dyDescent="0.25">
      <c r="A586" s="6">
        <v>4527</v>
      </c>
      <c r="B586" s="1" t="s">
        <v>590</v>
      </c>
      <c r="C586" s="3">
        <v>7.3995653199999989</v>
      </c>
      <c r="D586" s="1" t="s">
        <v>1182</v>
      </c>
      <c r="E586" s="3">
        <f t="shared" si="45"/>
        <v>116.04412710481917</v>
      </c>
      <c r="F586" s="3">
        <v>96.188248888888879</v>
      </c>
      <c r="G586" s="4">
        <f t="shared" si="47"/>
        <v>116.04412710481917</v>
      </c>
      <c r="H586" s="1">
        <v>17.010000000000002</v>
      </c>
      <c r="I586" s="1">
        <f t="shared" si="48"/>
        <v>20.41</v>
      </c>
      <c r="J586" s="1" t="s">
        <v>1182</v>
      </c>
      <c r="K586" s="3">
        <f t="shared" si="49"/>
        <v>152.03849855999997</v>
      </c>
      <c r="L586" s="10">
        <f t="shared" si="46"/>
        <v>0.31017831193359879</v>
      </c>
      <c r="M586" s="18" t="str">
        <f>VLOOKUP(A586,Список!A:I,9,0)</f>
        <v>Основной ассортимент</v>
      </c>
      <c r="N586" s="12"/>
      <c r="O586" s="11"/>
    </row>
    <row r="587" spans="1:15" x14ac:dyDescent="0.25">
      <c r="A587" s="6">
        <v>4526</v>
      </c>
      <c r="B587" s="1" t="s">
        <v>591</v>
      </c>
      <c r="C587" s="3">
        <v>5.8428643139999989</v>
      </c>
      <c r="D587" s="1" t="s">
        <v>1182</v>
      </c>
      <c r="E587" s="3">
        <f t="shared" si="45"/>
        <v>91.631070176163817</v>
      </c>
      <c r="F587" s="3">
        <v>75.41857975986278</v>
      </c>
      <c r="G587" s="4">
        <f t="shared" si="47"/>
        <v>91.631070176163817</v>
      </c>
      <c r="H587" s="1">
        <v>12.47</v>
      </c>
      <c r="I587" s="1">
        <f t="shared" si="48"/>
        <v>14.96</v>
      </c>
      <c r="J587" s="1" t="s">
        <v>1182</v>
      </c>
      <c r="K587" s="3">
        <f t="shared" si="49"/>
        <v>111.44027136</v>
      </c>
      <c r="L587" s="10">
        <f t="shared" si="46"/>
        <v>0.21618432640535934</v>
      </c>
      <c r="M587" s="18" t="str">
        <f>VLOOKUP(A587,Список!A:I,9,0)</f>
        <v>Основной ассортимент</v>
      </c>
      <c r="N587" s="12"/>
      <c r="O587" s="11"/>
    </row>
    <row r="588" spans="1:15" x14ac:dyDescent="0.25">
      <c r="A588" s="6">
        <v>4528</v>
      </c>
      <c r="B588" s="1" t="s">
        <v>592</v>
      </c>
      <c r="C588" s="3">
        <v>10.750311879999998</v>
      </c>
      <c r="D588" s="1" t="s">
        <v>1182</v>
      </c>
      <c r="E588" s="3">
        <f t="shared" si="45"/>
        <v>168.59241107681274</v>
      </c>
      <c r="F588" s="3">
        <v>143.34237209302327</v>
      </c>
      <c r="G588" s="4">
        <f t="shared" si="47"/>
        <v>168.59241107681274</v>
      </c>
      <c r="H588" s="1">
        <v>24.19</v>
      </c>
      <c r="I588" s="1">
        <f t="shared" si="48"/>
        <v>29.03</v>
      </c>
      <c r="J588" s="1" t="s">
        <v>1182</v>
      </c>
      <c r="K588" s="3">
        <f t="shared" si="49"/>
        <v>216.25074047999999</v>
      </c>
      <c r="L588" s="10">
        <f t="shared" si="46"/>
        <v>0.28268371689324456</v>
      </c>
      <c r="M588" s="18" t="str">
        <f>VLOOKUP(A588,Список!A:I,9,0)</f>
        <v>Основной ассортимент</v>
      </c>
      <c r="N588" s="12"/>
      <c r="O588" s="11"/>
    </row>
    <row r="589" spans="1:15" x14ac:dyDescent="0.25">
      <c r="A589" s="6">
        <v>2481</v>
      </c>
      <c r="B589" s="1" t="s">
        <v>593</v>
      </c>
      <c r="C589" s="3">
        <v>0.55506905999999989</v>
      </c>
      <c r="D589" s="1" t="s">
        <v>1182</v>
      </c>
      <c r="E589" s="3">
        <f t="shared" si="45"/>
        <v>8.7049038375935979</v>
      </c>
      <c r="F589" s="3">
        <v>7.4666833061342039</v>
      </c>
      <c r="G589" s="4">
        <f t="shared" si="47"/>
        <v>8.7049038375935979</v>
      </c>
      <c r="H589" s="1">
        <v>1.1100000000000001</v>
      </c>
      <c r="I589" s="1">
        <f t="shared" si="48"/>
        <v>1.33</v>
      </c>
      <c r="J589" s="1" t="s">
        <v>1182</v>
      </c>
      <c r="K589" s="3">
        <f t="shared" si="49"/>
        <v>9.9074572799999991</v>
      </c>
      <c r="L589" s="10">
        <f t="shared" si="46"/>
        <v>0.13814666593018199</v>
      </c>
      <c r="M589" s="18" t="str">
        <f>VLOOKUP(A589,Список!A:I,9,0)</f>
        <v>Основной ассортимент</v>
      </c>
      <c r="N589" s="12"/>
      <c r="O589" s="11"/>
    </row>
    <row r="590" spans="1:15" x14ac:dyDescent="0.25">
      <c r="A590" s="6">
        <v>2483</v>
      </c>
      <c r="B590" s="1" t="s">
        <v>594</v>
      </c>
      <c r="C590" s="3">
        <v>0.85395240000000006</v>
      </c>
      <c r="D590" s="1" t="s">
        <v>1182</v>
      </c>
      <c r="E590" s="3">
        <f t="shared" si="45"/>
        <v>13.392159750144</v>
      </c>
      <c r="F590" s="3">
        <v>11.909887596028573</v>
      </c>
      <c r="G590" s="4">
        <f t="shared" si="47"/>
        <v>13.392159750144</v>
      </c>
      <c r="H590" s="1">
        <v>1.8</v>
      </c>
      <c r="I590" s="1">
        <f t="shared" si="48"/>
        <v>2.16</v>
      </c>
      <c r="J590" s="1" t="s">
        <v>1182</v>
      </c>
      <c r="K590" s="3">
        <f t="shared" si="49"/>
        <v>16.090306559999998</v>
      </c>
      <c r="L590" s="10">
        <f t="shared" si="46"/>
        <v>0.20147211952328958</v>
      </c>
      <c r="M590" s="18" t="str">
        <f>VLOOKUP(A590,Список!A:I,9,0)</f>
        <v>Основной ассортимент</v>
      </c>
      <c r="N590" s="12"/>
      <c r="O590" s="11"/>
    </row>
    <row r="591" spans="1:15" x14ac:dyDescent="0.25">
      <c r="A591" s="6">
        <v>2484</v>
      </c>
      <c r="B591" s="1" t="s">
        <v>595</v>
      </c>
      <c r="C591" s="3">
        <v>1.55846313</v>
      </c>
      <c r="D591" s="1" t="s">
        <v>1182</v>
      </c>
      <c r="E591" s="3">
        <f t="shared" si="45"/>
        <v>24.4406915440128</v>
      </c>
      <c r="F591" s="3">
        <v>19.219240403009817</v>
      </c>
      <c r="G591" s="4">
        <f t="shared" si="47"/>
        <v>24.4406915440128</v>
      </c>
      <c r="H591" s="1">
        <v>3.27</v>
      </c>
      <c r="I591" s="1">
        <f t="shared" si="48"/>
        <v>3.92</v>
      </c>
      <c r="J591" s="1" t="s">
        <v>1182</v>
      </c>
      <c r="K591" s="3">
        <f t="shared" si="49"/>
        <v>29.200926719999995</v>
      </c>
      <c r="L591" s="10">
        <f t="shared" si="46"/>
        <v>0.19476679567003918</v>
      </c>
      <c r="M591" s="18" t="str">
        <f>VLOOKUP(A591,Список!A:I,9,0)</f>
        <v>Основной ассортимент</v>
      </c>
      <c r="N591" s="12"/>
      <c r="O591" s="11"/>
    </row>
    <row r="592" spans="1:15" x14ac:dyDescent="0.25">
      <c r="A592" s="6">
        <v>4530</v>
      </c>
      <c r="B592" s="1" t="s">
        <v>596</v>
      </c>
      <c r="C592" s="3">
        <v>3.0599960999999998</v>
      </c>
      <c r="D592" s="1" t="s">
        <v>1182</v>
      </c>
      <c r="E592" s="3">
        <f t="shared" si="45"/>
        <v>47.988572438015993</v>
      </c>
      <c r="F592" s="3">
        <v>42.708006980802786</v>
      </c>
      <c r="G592" s="4">
        <f t="shared" si="47"/>
        <v>47.988572438015993</v>
      </c>
      <c r="H592" s="1">
        <v>7.94</v>
      </c>
      <c r="I592" s="1">
        <f t="shared" si="48"/>
        <v>9.5299999999999994</v>
      </c>
      <c r="J592" s="1" t="s">
        <v>1182</v>
      </c>
      <c r="K592" s="3">
        <f t="shared" si="49"/>
        <v>70.991028479999983</v>
      </c>
      <c r="L592" s="10">
        <f t="shared" si="46"/>
        <v>0.47933195078255153</v>
      </c>
      <c r="M592" s="18" t="str">
        <f>VLOOKUP(A592,Список!A:I,9,0)</f>
        <v>Основной ассортимент</v>
      </c>
      <c r="N592" s="12"/>
      <c r="O592" s="11"/>
    </row>
    <row r="593" spans="1:15" x14ac:dyDescent="0.25">
      <c r="A593" s="6">
        <v>4529</v>
      </c>
      <c r="B593" s="1" t="s">
        <v>597</v>
      </c>
      <c r="C593" s="3">
        <v>2.0921833799999998</v>
      </c>
      <c r="D593" s="1" t="s">
        <v>1182</v>
      </c>
      <c r="E593" s="3">
        <f t="shared" si="45"/>
        <v>32.810791387852795</v>
      </c>
      <c r="F593" s="3">
        <v>29.482834210526317</v>
      </c>
      <c r="G593" s="4">
        <f t="shared" si="47"/>
        <v>32.810791387852795</v>
      </c>
      <c r="H593" s="1">
        <v>5.24</v>
      </c>
      <c r="I593" s="1">
        <f t="shared" si="48"/>
        <v>6.29</v>
      </c>
      <c r="J593" s="1" t="s">
        <v>1182</v>
      </c>
      <c r="K593" s="3">
        <f t="shared" si="49"/>
        <v>46.855568640000001</v>
      </c>
      <c r="L593" s="10">
        <f t="shared" si="46"/>
        <v>0.42805359633437123</v>
      </c>
      <c r="M593" s="18" t="str">
        <f>VLOOKUP(A593,Список!A:I,9,0)</f>
        <v>Основной ассортимент</v>
      </c>
      <c r="N593" s="12"/>
      <c r="O593" s="11"/>
    </row>
    <row r="594" spans="1:15" x14ac:dyDescent="0.25">
      <c r="A594" s="6">
        <v>4531</v>
      </c>
      <c r="B594" s="1" t="s">
        <v>598</v>
      </c>
      <c r="C594" s="3">
        <v>4.0918552500000001</v>
      </c>
      <c r="D594" s="1" t="s">
        <v>1182</v>
      </c>
      <c r="E594" s="3">
        <f t="shared" si="45"/>
        <v>64.170765469439999</v>
      </c>
      <c r="F594" s="3">
        <v>44.345495798319327</v>
      </c>
      <c r="G594" s="4">
        <f t="shared" si="47"/>
        <v>64.170765469439999</v>
      </c>
      <c r="H594" s="1">
        <v>10.66</v>
      </c>
      <c r="I594" s="1">
        <f t="shared" si="48"/>
        <v>12.79</v>
      </c>
      <c r="J594" s="1" t="s">
        <v>1182</v>
      </c>
      <c r="K594" s="3">
        <f t="shared" si="49"/>
        <v>95.27547263999999</v>
      </c>
      <c r="L594" s="10">
        <f t="shared" si="46"/>
        <v>0.48471772064762053</v>
      </c>
      <c r="M594" s="18" t="str">
        <f>VLOOKUP(A594,Список!A:I,9,0)</f>
        <v>Основной ассортимент</v>
      </c>
      <c r="N594" s="12"/>
      <c r="O594" s="11"/>
    </row>
    <row r="595" spans="1:15" x14ac:dyDescent="0.25">
      <c r="A595" s="6">
        <v>4532</v>
      </c>
      <c r="B595" s="1" t="s">
        <v>599</v>
      </c>
      <c r="C595" s="3">
        <v>0.88953375000000001</v>
      </c>
      <c r="D595" s="1" t="s">
        <v>1182</v>
      </c>
      <c r="E595" s="3">
        <f t="shared" si="45"/>
        <v>13.950166406399999</v>
      </c>
      <c r="F595" s="3">
        <v>10.234708081244598</v>
      </c>
      <c r="G595" s="4">
        <f t="shared" si="47"/>
        <v>13.950166406399999</v>
      </c>
      <c r="H595" s="1">
        <v>2.0299999999999998</v>
      </c>
      <c r="I595" s="1">
        <f t="shared" si="48"/>
        <v>2.44</v>
      </c>
      <c r="J595" s="1" t="s">
        <v>1182</v>
      </c>
      <c r="K595" s="3">
        <f t="shared" si="49"/>
        <v>18.176087039999999</v>
      </c>
      <c r="L595" s="10">
        <f t="shared" si="46"/>
        <v>0.30292976517192294</v>
      </c>
      <c r="M595" s="18" t="str">
        <f>VLOOKUP(A595,Список!A:I,9,0)</f>
        <v>Основной ассортимент</v>
      </c>
      <c r="N595" s="12"/>
      <c r="O595" s="11"/>
    </row>
    <row r="596" spans="1:15" x14ac:dyDescent="0.25">
      <c r="A596" s="6">
        <v>4533</v>
      </c>
      <c r="B596" s="1" t="s">
        <v>600</v>
      </c>
      <c r="C596" s="3">
        <v>1.423254</v>
      </c>
      <c r="D596" s="1" t="s">
        <v>1182</v>
      </c>
      <c r="E596" s="3">
        <f t="shared" si="45"/>
        <v>22.32026625024</v>
      </c>
      <c r="F596" s="3">
        <v>20.220612096186542</v>
      </c>
      <c r="G596" s="4">
        <f t="shared" si="47"/>
        <v>22.32026625024</v>
      </c>
      <c r="H596" s="1">
        <v>3.27</v>
      </c>
      <c r="I596" s="1">
        <f t="shared" si="48"/>
        <v>3.92</v>
      </c>
      <c r="J596" s="1" t="s">
        <v>1182</v>
      </c>
      <c r="K596" s="3">
        <f t="shared" si="49"/>
        <v>29.200926719999995</v>
      </c>
      <c r="L596" s="10">
        <f t="shared" si="46"/>
        <v>0.30826964125869294</v>
      </c>
      <c r="M596" s="18" t="str">
        <f>VLOOKUP(A596,Список!A:I,9,0)</f>
        <v>Основной ассортимент</v>
      </c>
      <c r="N596" s="12"/>
      <c r="O596" s="11"/>
    </row>
    <row r="597" spans="1:15" x14ac:dyDescent="0.25">
      <c r="A597" s="6">
        <v>4534</v>
      </c>
      <c r="B597" s="1" t="s">
        <v>601</v>
      </c>
      <c r="C597" s="3">
        <v>2.5618571999999995</v>
      </c>
      <c r="D597" s="1" t="s">
        <v>1182</v>
      </c>
      <c r="E597" s="3">
        <f t="shared" si="45"/>
        <v>40.176479250431989</v>
      </c>
      <c r="F597" s="3">
        <v>33.966008875739647</v>
      </c>
      <c r="G597" s="4">
        <f t="shared" si="47"/>
        <v>40.176479250431989</v>
      </c>
      <c r="H597" s="1">
        <v>6.73</v>
      </c>
      <c r="I597" s="1">
        <f t="shared" si="48"/>
        <v>8.08</v>
      </c>
      <c r="J597" s="1" t="s">
        <v>1182</v>
      </c>
      <c r="K597" s="3">
        <f t="shared" si="49"/>
        <v>60.189665279999993</v>
      </c>
      <c r="L597" s="10">
        <f t="shared" si="46"/>
        <v>0.49813190212163305</v>
      </c>
      <c r="M597" s="18" t="str">
        <f>VLOOKUP(A597,Список!A:I,9,0)</f>
        <v>Основной ассортимент</v>
      </c>
      <c r="N597" s="12"/>
      <c r="O597" s="11"/>
    </row>
    <row r="598" spans="1:15" x14ac:dyDescent="0.25">
      <c r="A598" s="6">
        <v>4535</v>
      </c>
      <c r="B598" s="1" t="s">
        <v>602</v>
      </c>
      <c r="C598" s="3">
        <v>3.8427858000000001</v>
      </c>
      <c r="D598" s="1" t="s">
        <v>1182</v>
      </c>
      <c r="E598" s="3">
        <f t="shared" si="45"/>
        <v>60.264718875647993</v>
      </c>
      <c r="F598" s="3">
        <v>53.734548387096766</v>
      </c>
      <c r="G598" s="4">
        <f t="shared" si="47"/>
        <v>60.264718875647993</v>
      </c>
      <c r="H598" s="1">
        <v>9.98</v>
      </c>
      <c r="I598" s="1">
        <f t="shared" si="48"/>
        <v>11.98</v>
      </c>
      <c r="J598" s="1" t="s">
        <v>1182</v>
      </c>
      <c r="K598" s="3">
        <f t="shared" si="49"/>
        <v>89.241607679999987</v>
      </c>
      <c r="L598" s="10">
        <f t="shared" si="46"/>
        <v>0.48082674813672921</v>
      </c>
      <c r="M598" s="18" t="str">
        <f>VLOOKUP(A598,Список!A:I,9,0)</f>
        <v>Основной ассортимент</v>
      </c>
      <c r="N598" s="12"/>
      <c r="O598" s="11"/>
    </row>
    <row r="599" spans="1:15" x14ac:dyDescent="0.25">
      <c r="A599" s="6">
        <v>2593</v>
      </c>
      <c r="B599" s="1" t="s">
        <v>603</v>
      </c>
      <c r="C599" s="3">
        <v>5.2355414999999992</v>
      </c>
      <c r="D599" s="1" t="s">
        <v>1182</v>
      </c>
      <c r="E599" s="3">
        <f t="shared" si="45"/>
        <v>82.10669370623998</v>
      </c>
      <c r="F599" s="3">
        <v>63.538948453608235</v>
      </c>
      <c r="G599" s="4">
        <f t="shared" si="47"/>
        <v>82.10669370623998</v>
      </c>
      <c r="H599" s="1">
        <v>12.37</v>
      </c>
      <c r="I599" s="1">
        <f t="shared" si="48"/>
        <v>14.84</v>
      </c>
      <c r="J599" s="1" t="s">
        <v>1182</v>
      </c>
      <c r="K599" s="3">
        <f t="shared" si="49"/>
        <v>110.54636543999999</v>
      </c>
      <c r="L599" s="10">
        <f t="shared" si="46"/>
        <v>0.34637458226622808</v>
      </c>
      <c r="M599" s="18" t="str">
        <f>VLOOKUP(A599,Список!A:I,9,0)</f>
        <v>Основной ассортимент</v>
      </c>
      <c r="N599" s="12"/>
      <c r="O599" s="11"/>
    </row>
    <row r="600" spans="1:15" x14ac:dyDescent="0.25">
      <c r="A600" s="6">
        <v>2594</v>
      </c>
      <c r="B600" s="1" t="s">
        <v>604</v>
      </c>
      <c r="C600" s="3">
        <v>8.0278302999999998</v>
      </c>
      <c r="D600" s="1" t="s">
        <v>1182</v>
      </c>
      <c r="E600" s="3">
        <f t="shared" si="45"/>
        <v>125.89693034956798</v>
      </c>
      <c r="F600" s="3">
        <v>116.30589473684209</v>
      </c>
      <c r="G600" s="4">
        <f t="shared" si="47"/>
        <v>125.89693034956798</v>
      </c>
      <c r="H600" s="1">
        <v>18.5</v>
      </c>
      <c r="I600" s="1">
        <f t="shared" si="48"/>
        <v>22.2</v>
      </c>
      <c r="J600" s="1" t="s">
        <v>1182</v>
      </c>
      <c r="K600" s="3">
        <f t="shared" si="49"/>
        <v>165.37259519999995</v>
      </c>
      <c r="L600" s="10">
        <f t="shared" si="46"/>
        <v>0.31355541982495549</v>
      </c>
      <c r="M600" s="18" t="str">
        <f>VLOOKUP(A600,Список!A:I,9,0)</f>
        <v>Основной ассортимент</v>
      </c>
      <c r="N600" s="12"/>
      <c r="O600" s="11"/>
    </row>
    <row r="601" spans="1:15" x14ac:dyDescent="0.25">
      <c r="A601" s="6">
        <v>2529</v>
      </c>
      <c r="B601" s="1" t="s">
        <v>605</v>
      </c>
      <c r="C601" s="3">
        <v>2.05931299</v>
      </c>
      <c r="D601" s="1" t="s">
        <v>1182</v>
      </c>
      <c r="E601" s="3">
        <f t="shared" si="45"/>
        <v>32.295299524454393</v>
      </c>
      <c r="F601" s="3">
        <v>27.73570150763938</v>
      </c>
      <c r="G601" s="4">
        <f t="shared" si="47"/>
        <v>32.295299524454393</v>
      </c>
      <c r="H601" s="1">
        <v>4.18</v>
      </c>
      <c r="I601" s="1">
        <f t="shared" si="48"/>
        <v>5.0199999999999996</v>
      </c>
      <c r="J601" s="1" t="s">
        <v>1182</v>
      </c>
      <c r="K601" s="3">
        <f t="shared" si="49"/>
        <v>37.395064319999996</v>
      </c>
      <c r="L601" s="10">
        <f t="shared" si="46"/>
        <v>0.15791043497472446</v>
      </c>
      <c r="M601" s="18" t="str">
        <f>VLOOKUP(A601,Список!A:I,9,0)</f>
        <v>Основной ассортимент</v>
      </c>
      <c r="N601" s="12"/>
      <c r="O601" s="11"/>
    </row>
    <row r="602" spans="1:15" x14ac:dyDescent="0.25">
      <c r="A602" s="6">
        <v>2530</v>
      </c>
      <c r="B602" s="1" t="s">
        <v>606</v>
      </c>
      <c r="C602" s="3">
        <v>3.4205537800000001</v>
      </c>
      <c r="D602" s="1" t="s">
        <v>1182</v>
      </c>
      <c r="E602" s="3">
        <f t="shared" si="45"/>
        <v>53.6430398880768</v>
      </c>
      <c r="F602" s="3">
        <v>49.681887442497789</v>
      </c>
      <c r="G602" s="4">
        <f t="shared" si="47"/>
        <v>53.6430398880768</v>
      </c>
      <c r="H602" s="1">
        <v>6.95</v>
      </c>
      <c r="I602" s="1">
        <f t="shared" si="48"/>
        <v>8.34</v>
      </c>
      <c r="J602" s="1" t="s">
        <v>1182</v>
      </c>
      <c r="K602" s="3">
        <f t="shared" si="49"/>
        <v>62.126461439999993</v>
      </c>
      <c r="L602" s="10">
        <f t="shared" si="46"/>
        <v>0.15814580175962023</v>
      </c>
      <c r="M602" s="18" t="str">
        <f>VLOOKUP(A602,Список!A:I,9,0)</f>
        <v>Основной ассортимент</v>
      </c>
      <c r="N602" s="12"/>
      <c r="O602" s="11"/>
    </row>
    <row r="603" spans="1:15" x14ac:dyDescent="0.25">
      <c r="A603" s="6">
        <v>2531</v>
      </c>
      <c r="B603" s="1" t="s">
        <v>607</v>
      </c>
      <c r="C603" s="3">
        <v>6.0034209199999991</v>
      </c>
      <c r="D603" s="1" t="s">
        <v>1182</v>
      </c>
      <c r="E603" s="3">
        <f t="shared" si="45"/>
        <v>94.149008783155182</v>
      </c>
      <c r="F603" s="3">
        <v>84.309604388297871</v>
      </c>
      <c r="G603" s="4">
        <f t="shared" si="47"/>
        <v>94.149008783155182</v>
      </c>
      <c r="H603" s="1">
        <v>12.58</v>
      </c>
      <c r="I603" s="1">
        <f t="shared" si="48"/>
        <v>15.1</v>
      </c>
      <c r="J603" s="1" t="s">
        <v>1182</v>
      </c>
      <c r="K603" s="3">
        <f t="shared" si="49"/>
        <v>112.48316159999999</v>
      </c>
      <c r="L603" s="10">
        <f t="shared" si="46"/>
        <v>0.19473548424787124</v>
      </c>
      <c r="M603" s="18" t="str">
        <f>VLOOKUP(A603,Список!A:I,9,0)</f>
        <v>Основной ассортимент</v>
      </c>
      <c r="N603" s="12"/>
      <c r="O603" s="11"/>
    </row>
    <row r="604" spans="1:15" x14ac:dyDescent="0.25">
      <c r="A604" s="6">
        <v>2360</v>
      </c>
      <c r="B604" s="1" t="s">
        <v>608</v>
      </c>
      <c r="C604" s="3">
        <v>10.820119099999999</v>
      </c>
      <c r="D604" s="1" t="s">
        <v>1182</v>
      </c>
      <c r="E604" s="3">
        <f t="shared" si="45"/>
        <v>169.68716699289595</v>
      </c>
      <c r="F604" s="3">
        <v>156.2295354659249</v>
      </c>
      <c r="G604" s="4">
        <f t="shared" si="47"/>
        <v>169.68716699289595</v>
      </c>
      <c r="H604" s="1">
        <v>24.94</v>
      </c>
      <c r="I604" s="1">
        <f t="shared" si="48"/>
        <v>29.93</v>
      </c>
      <c r="J604" s="1" t="s">
        <v>1182</v>
      </c>
      <c r="K604" s="3">
        <f t="shared" si="49"/>
        <v>222.95503487999997</v>
      </c>
      <c r="L604" s="10">
        <f t="shared" si="46"/>
        <v>0.31391806953400381</v>
      </c>
      <c r="M604" s="18" t="str">
        <f>VLOOKUP(A604,Список!A:I,9,0)</f>
        <v>Основной ассортимент</v>
      </c>
      <c r="N604" s="12"/>
      <c r="O604" s="11"/>
    </row>
    <row r="605" spans="1:15" x14ac:dyDescent="0.25">
      <c r="A605" s="6">
        <v>2532</v>
      </c>
      <c r="B605" s="1" t="s">
        <v>609</v>
      </c>
      <c r="C605" s="3">
        <v>7.6787941999999996</v>
      </c>
      <c r="D605" s="1" t="s">
        <v>1182</v>
      </c>
      <c r="E605" s="3">
        <f t="shared" si="45"/>
        <v>120.42315076915197</v>
      </c>
      <c r="F605" s="3">
        <v>110.65449127516779</v>
      </c>
      <c r="G605" s="4">
        <f t="shared" si="47"/>
        <v>120.42315076915197</v>
      </c>
      <c r="H605" s="1">
        <v>17.670000000000002</v>
      </c>
      <c r="I605" s="1">
        <f t="shared" si="48"/>
        <v>21.2</v>
      </c>
      <c r="J605" s="1" t="s">
        <v>1182</v>
      </c>
      <c r="K605" s="3">
        <f t="shared" si="49"/>
        <v>157.9233792</v>
      </c>
      <c r="L605" s="10">
        <f t="shared" si="46"/>
        <v>0.31140381389567673</v>
      </c>
      <c r="M605" s="18" t="str">
        <f>VLOOKUP(A605,Список!A:I,9,0)</f>
        <v>Основной ассортимент</v>
      </c>
      <c r="N605" s="12"/>
      <c r="O605" s="11"/>
    </row>
    <row r="606" spans="1:15" x14ac:dyDescent="0.25">
      <c r="A606" s="6">
        <v>4481</v>
      </c>
      <c r="B606" s="1" t="s">
        <v>610</v>
      </c>
      <c r="C606" s="3">
        <v>13.75202234</v>
      </c>
      <c r="D606" s="1" t="s">
        <v>1182</v>
      </c>
      <c r="E606" s="3">
        <f t="shared" si="45"/>
        <v>215.66691546839039</v>
      </c>
      <c r="F606" s="3">
        <v>199.69753229398663</v>
      </c>
      <c r="G606" s="4">
        <f t="shared" si="47"/>
        <v>215.66691546839039</v>
      </c>
      <c r="H606" s="1">
        <v>31.72</v>
      </c>
      <c r="I606" s="1">
        <f t="shared" si="48"/>
        <v>38.06</v>
      </c>
      <c r="J606" s="1" t="s">
        <v>1182</v>
      </c>
      <c r="K606" s="3">
        <f t="shared" si="49"/>
        <v>283.51716095999996</v>
      </c>
      <c r="L606" s="10">
        <f t="shared" si="46"/>
        <v>0.31460664861019993</v>
      </c>
      <c r="M606" s="18" t="str">
        <f>VLOOKUP(A606,Список!A:I,9,0)</f>
        <v>Основной ассортимент</v>
      </c>
      <c r="N606" s="12"/>
      <c r="O606" s="11"/>
    </row>
    <row r="607" spans="1:15" x14ac:dyDescent="0.25">
      <c r="A607" s="6">
        <v>2539</v>
      </c>
      <c r="B607" s="1" t="s">
        <v>611</v>
      </c>
      <c r="C607" s="3">
        <v>1.773103388</v>
      </c>
      <c r="D607" s="1" t="s">
        <v>1182</v>
      </c>
      <c r="E607" s="3">
        <f t="shared" si="45"/>
        <v>27.806800268513282</v>
      </c>
      <c r="F607" s="3">
        <v>24.856286450873675</v>
      </c>
      <c r="G607" s="4">
        <f t="shared" si="47"/>
        <v>27.806800268513282</v>
      </c>
      <c r="H607" s="1">
        <v>4.12</v>
      </c>
      <c r="I607" s="1">
        <f t="shared" si="48"/>
        <v>4.9400000000000004</v>
      </c>
      <c r="J607" s="1" t="s">
        <v>1182</v>
      </c>
      <c r="K607" s="3">
        <f t="shared" si="49"/>
        <v>36.799127039999995</v>
      </c>
      <c r="L607" s="10">
        <f t="shared" si="46"/>
        <v>0.32338588707270555</v>
      </c>
      <c r="M607" s="18" t="str">
        <f>VLOOKUP(A607,Список!A:I,9,0)</f>
        <v>Основной ассортимент</v>
      </c>
      <c r="N607" s="12"/>
      <c r="O607" s="11"/>
    </row>
    <row r="608" spans="1:15" x14ac:dyDescent="0.25">
      <c r="A608" s="6">
        <v>2540</v>
      </c>
      <c r="B608" s="1" t="s">
        <v>612</v>
      </c>
      <c r="C608" s="3">
        <v>2.6177707499999996</v>
      </c>
      <c r="D608" s="1" t="s">
        <v>1182</v>
      </c>
      <c r="E608" s="3">
        <f t="shared" si="45"/>
        <v>41.05334685311999</v>
      </c>
      <c r="F608" s="3">
        <v>37.724686818047772</v>
      </c>
      <c r="G608" s="4">
        <f t="shared" si="47"/>
        <v>41.05334685311999</v>
      </c>
      <c r="H608" s="1">
        <v>6.28</v>
      </c>
      <c r="I608" s="1">
        <f t="shared" si="48"/>
        <v>7.54</v>
      </c>
      <c r="J608" s="1" t="s">
        <v>1182</v>
      </c>
      <c r="K608" s="3">
        <f t="shared" si="49"/>
        <v>56.167088639999996</v>
      </c>
      <c r="L608" s="10">
        <f t="shared" si="46"/>
        <v>0.36814883427053369</v>
      </c>
      <c r="M608" s="18" t="str">
        <f>VLOOKUP(A608,Список!A:I,9,0)</f>
        <v>Основной ассортимент</v>
      </c>
      <c r="N608" s="12"/>
      <c r="O608" s="11"/>
    </row>
    <row r="609" spans="1:15" x14ac:dyDescent="0.25">
      <c r="A609" s="6">
        <v>2541</v>
      </c>
      <c r="B609" s="1" t="s">
        <v>613</v>
      </c>
      <c r="C609" s="3">
        <v>4.1884331999999995</v>
      </c>
      <c r="D609" s="1" t="s">
        <v>1182</v>
      </c>
      <c r="E609" s="3">
        <f t="shared" si="45"/>
        <v>65.685354964991987</v>
      </c>
      <c r="F609" s="3">
        <v>57.649512328767123</v>
      </c>
      <c r="G609" s="4">
        <f t="shared" si="47"/>
        <v>65.685354964991987</v>
      </c>
      <c r="H609" s="1">
        <v>9.11</v>
      </c>
      <c r="I609" s="1">
        <f t="shared" si="48"/>
        <v>10.93</v>
      </c>
      <c r="J609" s="1" t="s">
        <v>1182</v>
      </c>
      <c r="K609" s="3">
        <f t="shared" si="49"/>
        <v>81.419930879999995</v>
      </c>
      <c r="L609" s="10">
        <f t="shared" si="46"/>
        <v>0.23954465837010375</v>
      </c>
      <c r="M609" s="18" t="str">
        <f>VLOOKUP(A609,Список!A:I,9,0)</f>
        <v>Основной ассортимент</v>
      </c>
      <c r="N609" s="12"/>
      <c r="O609" s="11"/>
    </row>
    <row r="610" spans="1:15" x14ac:dyDescent="0.25">
      <c r="A610" s="6">
        <v>2545</v>
      </c>
      <c r="B610" s="1" t="s">
        <v>614</v>
      </c>
      <c r="C610" s="3">
        <v>7.8184086400000004</v>
      </c>
      <c r="D610" s="1" t="s">
        <v>1182</v>
      </c>
      <c r="E610" s="3">
        <f t="shared" si="45"/>
        <v>122.61266260131839</v>
      </c>
      <c r="F610" s="3">
        <v>82.956168618266972</v>
      </c>
      <c r="G610" s="4">
        <f t="shared" si="47"/>
        <v>122.61266260131839</v>
      </c>
      <c r="H610" s="1">
        <v>19.829999999999998</v>
      </c>
      <c r="I610" s="1">
        <f t="shared" si="48"/>
        <v>23.8</v>
      </c>
      <c r="J610" s="1" t="s">
        <v>1182</v>
      </c>
      <c r="K610" s="3">
        <f t="shared" si="49"/>
        <v>177.2913408</v>
      </c>
      <c r="L610" s="10">
        <f t="shared" si="46"/>
        <v>0.44594642216091707</v>
      </c>
      <c r="M610" s="18" t="str">
        <f>VLOOKUP(A610,Список!A:I,9,0)</f>
        <v>Основной ассортимент</v>
      </c>
      <c r="N610" s="12"/>
      <c r="O610" s="11"/>
    </row>
    <row r="611" spans="1:15" x14ac:dyDescent="0.25">
      <c r="A611" s="6">
        <v>2542</v>
      </c>
      <c r="B611" s="1" t="s">
        <v>615</v>
      </c>
      <c r="C611" s="3">
        <v>5.8917293679999991</v>
      </c>
      <c r="D611" s="1" t="s">
        <v>1182</v>
      </c>
      <c r="E611" s="3">
        <f t="shared" si="45"/>
        <v>92.397399317422071</v>
      </c>
      <c r="F611" s="3">
        <v>82.506982219497232</v>
      </c>
      <c r="G611" s="4">
        <f t="shared" si="47"/>
        <v>92.397399317422071</v>
      </c>
      <c r="H611" s="1">
        <v>15.68</v>
      </c>
      <c r="I611" s="1">
        <f t="shared" si="48"/>
        <v>18.82</v>
      </c>
      <c r="J611" s="1" t="s">
        <v>1182</v>
      </c>
      <c r="K611" s="3">
        <f t="shared" si="49"/>
        <v>140.19424511999998</v>
      </c>
      <c r="L611" s="10">
        <f t="shared" si="46"/>
        <v>0.51729644076211057</v>
      </c>
      <c r="M611" s="18" t="str">
        <f>VLOOKUP(A611,Список!A:I,9,0)</f>
        <v>Основной ассортимент</v>
      </c>
      <c r="N611" s="12"/>
      <c r="O611" s="11"/>
    </row>
    <row r="612" spans="1:15" x14ac:dyDescent="0.25">
      <c r="A612" s="6">
        <v>2544</v>
      </c>
      <c r="B612" s="1" t="s">
        <v>616</v>
      </c>
      <c r="C612" s="3">
        <v>4.202394644</v>
      </c>
      <c r="D612" s="1" t="s">
        <v>1182</v>
      </c>
      <c r="E612" s="3">
        <f t="shared" si="45"/>
        <v>65.904306148208633</v>
      </c>
      <c r="F612" s="3">
        <v>57.28232838589981</v>
      </c>
      <c r="G612" s="4">
        <f t="shared" si="47"/>
        <v>65.904306148208633</v>
      </c>
      <c r="H612" s="1">
        <v>10.42</v>
      </c>
      <c r="I612" s="1">
        <f t="shared" si="48"/>
        <v>12.5</v>
      </c>
      <c r="J612" s="1" t="s">
        <v>1182</v>
      </c>
      <c r="K612" s="3">
        <f t="shared" si="49"/>
        <v>93.115199999999987</v>
      </c>
      <c r="L612" s="10">
        <f t="shared" si="46"/>
        <v>0.41288491514648906</v>
      </c>
      <c r="M612" s="18" t="str">
        <f>VLOOKUP(A612,Список!A:I,9,0)</f>
        <v>Основной ассортимент</v>
      </c>
      <c r="N612" s="12"/>
      <c r="O612" s="11"/>
    </row>
    <row r="613" spans="1:15" x14ac:dyDescent="0.25">
      <c r="A613" s="6">
        <v>4490</v>
      </c>
      <c r="B613" s="1" t="s">
        <v>617</v>
      </c>
      <c r="C613" s="3">
        <v>11.099347980000001</v>
      </c>
      <c r="D613" s="1" t="s">
        <v>1182</v>
      </c>
      <c r="E613" s="3">
        <f t="shared" si="45"/>
        <v>174.06619065722879</v>
      </c>
      <c r="F613" s="3">
        <v>152.72524428822496</v>
      </c>
      <c r="G613" s="4">
        <f t="shared" si="47"/>
        <v>174.06619065722879</v>
      </c>
      <c r="H613" s="1">
        <v>27.89</v>
      </c>
      <c r="I613" s="1">
        <f t="shared" si="48"/>
        <v>33.47</v>
      </c>
      <c r="J613" s="1" t="s">
        <v>1182</v>
      </c>
      <c r="K613" s="3">
        <f t="shared" si="49"/>
        <v>249.32525951999997</v>
      </c>
      <c r="L613" s="10">
        <f t="shared" si="46"/>
        <v>0.4323589123115319</v>
      </c>
      <c r="M613" s="18" t="str">
        <f>VLOOKUP(A613,Список!A:I,9,0)</f>
        <v>Основной ассортимент</v>
      </c>
      <c r="N613" s="12"/>
      <c r="O613" s="11"/>
    </row>
    <row r="614" spans="1:15" x14ac:dyDescent="0.25">
      <c r="A614" s="6">
        <v>2366</v>
      </c>
      <c r="B614" s="1" t="s">
        <v>618</v>
      </c>
      <c r="C614" s="3">
        <v>7.6089869799999992</v>
      </c>
      <c r="D614" s="1" t="s">
        <v>1182</v>
      </c>
      <c r="E614" s="3">
        <f t="shared" si="45"/>
        <v>119.32839485306877</v>
      </c>
      <c r="F614" s="3">
        <v>106.06776529338326</v>
      </c>
      <c r="G614" s="4">
        <f t="shared" si="47"/>
        <v>119.32839485306877</v>
      </c>
      <c r="H614" s="1">
        <v>21.24</v>
      </c>
      <c r="I614" s="1">
        <f t="shared" si="48"/>
        <v>25.49</v>
      </c>
      <c r="J614" s="1" t="s">
        <v>1182</v>
      </c>
      <c r="K614" s="3">
        <f t="shared" si="49"/>
        <v>189.88051583999996</v>
      </c>
      <c r="L614" s="10">
        <f t="shared" si="46"/>
        <v>0.59124335891556479</v>
      </c>
      <c r="M614" s="18" t="str">
        <f>VLOOKUP(A614,Список!A:I,9,0)</f>
        <v>Основной ассортимент</v>
      </c>
      <c r="N614" s="12"/>
      <c r="O614" s="11"/>
    </row>
    <row r="615" spans="1:15" x14ac:dyDescent="0.25">
      <c r="A615" s="6">
        <v>4489</v>
      </c>
      <c r="B615" s="1" t="s">
        <v>619</v>
      </c>
      <c r="C615" s="3">
        <v>11.169155200000001</v>
      </c>
      <c r="D615" s="1" t="s">
        <v>1182</v>
      </c>
      <c r="E615" s="3">
        <f t="shared" si="45"/>
        <v>175.160946573312</v>
      </c>
      <c r="F615" s="3">
        <v>151.67899216125417</v>
      </c>
      <c r="G615" s="4">
        <f t="shared" si="47"/>
        <v>175.160946573312</v>
      </c>
      <c r="H615" s="1">
        <v>27.23</v>
      </c>
      <c r="I615" s="1">
        <f t="shared" si="48"/>
        <v>32.68</v>
      </c>
      <c r="J615" s="1" t="s">
        <v>1182</v>
      </c>
      <c r="K615" s="3">
        <f t="shared" si="49"/>
        <v>243.44037887999997</v>
      </c>
      <c r="L615" s="10">
        <f t="shared" si="46"/>
        <v>0.38980967871231642</v>
      </c>
      <c r="M615" s="18" t="str">
        <f>VLOOKUP(A615,Список!A:I,9,0)</f>
        <v>Основной ассортимент</v>
      </c>
      <c r="N615" s="12"/>
      <c r="O615" s="11"/>
    </row>
    <row r="616" spans="1:15" x14ac:dyDescent="0.25">
      <c r="A616" s="6">
        <v>2546</v>
      </c>
      <c r="B616" s="1" t="s">
        <v>620</v>
      </c>
      <c r="C616" s="3">
        <v>7.9231194700000005</v>
      </c>
      <c r="D616" s="1" t="s">
        <v>1182</v>
      </c>
      <c r="E616" s="3">
        <f t="shared" si="45"/>
        <v>124.2547964754432</v>
      </c>
      <c r="F616" s="3">
        <v>112.84245273631841</v>
      </c>
      <c r="G616" s="4">
        <f t="shared" si="47"/>
        <v>124.2547964754432</v>
      </c>
      <c r="H616" s="1">
        <v>20.73</v>
      </c>
      <c r="I616" s="1">
        <f t="shared" si="48"/>
        <v>24.88</v>
      </c>
      <c r="J616" s="1" t="s">
        <v>1182</v>
      </c>
      <c r="K616" s="3">
        <f t="shared" si="49"/>
        <v>185.33649407999997</v>
      </c>
      <c r="L616" s="10">
        <f t="shared" si="46"/>
        <v>0.49158422320242989</v>
      </c>
      <c r="M616" s="18" t="str">
        <f>VLOOKUP(A616,Список!A:I,9,0)</f>
        <v>Основной ассортимент</v>
      </c>
      <c r="N616" s="12"/>
      <c r="O616" s="11"/>
    </row>
    <row r="617" spans="1:15" x14ac:dyDescent="0.25">
      <c r="A617" s="6">
        <v>2543</v>
      </c>
      <c r="B617" s="1" t="s">
        <v>621</v>
      </c>
      <c r="C617" s="3">
        <v>6.1430353599999989</v>
      </c>
      <c r="D617" s="1" t="s">
        <v>1182</v>
      </c>
      <c r="E617" s="3">
        <f t="shared" si="45"/>
        <v>96.338520615321571</v>
      </c>
      <c r="F617" s="3">
        <v>86.778740608228972</v>
      </c>
      <c r="G617" s="4">
        <f t="shared" si="47"/>
        <v>96.338520615321571</v>
      </c>
      <c r="H617" s="1">
        <v>16.34</v>
      </c>
      <c r="I617" s="1">
        <f t="shared" si="48"/>
        <v>19.61</v>
      </c>
      <c r="J617" s="1" t="s">
        <v>1182</v>
      </c>
      <c r="K617" s="3">
        <f t="shared" si="49"/>
        <v>146.07912575999998</v>
      </c>
      <c r="L617" s="10">
        <f t="shared" si="46"/>
        <v>0.51631065981687629</v>
      </c>
      <c r="M617" s="18" t="str">
        <f>VLOOKUP(A617,Список!A:I,9,0)</f>
        <v>Основной ассортимент</v>
      </c>
      <c r="N617" s="12"/>
      <c r="O617" s="11"/>
    </row>
    <row r="618" spans="1:15" x14ac:dyDescent="0.25">
      <c r="A618" s="6">
        <v>4488</v>
      </c>
      <c r="B618" s="1" t="s">
        <v>622</v>
      </c>
      <c r="C618" s="3">
        <v>11.518191299999998</v>
      </c>
      <c r="D618" s="1" t="s">
        <v>1182</v>
      </c>
      <c r="E618" s="3">
        <f t="shared" si="45"/>
        <v>180.63472615372794</v>
      </c>
      <c r="F618" s="3">
        <v>146.89925242718448</v>
      </c>
      <c r="G618" s="4">
        <f t="shared" si="47"/>
        <v>180.63472615372794</v>
      </c>
      <c r="H618" s="1">
        <v>30.63</v>
      </c>
      <c r="I618" s="1">
        <f t="shared" si="48"/>
        <v>36.76</v>
      </c>
      <c r="J618" s="1" t="s">
        <v>1182</v>
      </c>
      <c r="K618" s="3">
        <f t="shared" si="49"/>
        <v>273.83318015999993</v>
      </c>
      <c r="L618" s="10">
        <f t="shared" si="46"/>
        <v>0.51594981757248659</v>
      </c>
      <c r="M618" s="18" t="str">
        <f>VLOOKUP(A618,Список!A:I,9,0)</f>
        <v>Основной ассортимент</v>
      </c>
      <c r="N618" s="12"/>
      <c r="O618" s="11"/>
    </row>
    <row r="619" spans="1:15" x14ac:dyDescent="0.25">
      <c r="A619" s="6">
        <v>2524</v>
      </c>
      <c r="B619" s="1" t="s">
        <v>623</v>
      </c>
      <c r="C619" s="3">
        <v>1.7381997779999998</v>
      </c>
      <c r="D619" s="1" t="s">
        <v>1182</v>
      </c>
      <c r="E619" s="3">
        <f t="shared" si="45"/>
        <v>27.259422310471678</v>
      </c>
      <c r="F619" s="3">
        <v>23.613248920217636</v>
      </c>
      <c r="G619" s="4">
        <f t="shared" si="47"/>
        <v>27.259422310471678</v>
      </c>
      <c r="H619" s="1">
        <v>3.4</v>
      </c>
      <c r="I619" s="1">
        <f t="shared" si="48"/>
        <v>4.08</v>
      </c>
      <c r="J619" s="1" t="s">
        <v>1182</v>
      </c>
      <c r="K619" s="3">
        <f t="shared" si="49"/>
        <v>30.392801279999997</v>
      </c>
      <c r="L619" s="10">
        <f t="shared" si="46"/>
        <v>0.11494663877468292</v>
      </c>
      <c r="M619" s="18" t="str">
        <f>VLOOKUP(A619,Список!A:I,9,0)</f>
        <v>Основной ассортимент</v>
      </c>
      <c r="N619" s="12"/>
      <c r="O619" s="11"/>
    </row>
    <row r="620" spans="1:15" x14ac:dyDescent="0.25">
      <c r="A620" s="6">
        <v>2525</v>
      </c>
      <c r="B620" s="1" t="s">
        <v>624</v>
      </c>
      <c r="C620" s="3">
        <v>2.5758864180000001</v>
      </c>
      <c r="D620" s="1" t="s">
        <v>1182</v>
      </c>
      <c r="E620" s="3">
        <f t="shared" si="45"/>
        <v>40.396493303470073</v>
      </c>
      <c r="F620" s="3">
        <v>34.314685730875311</v>
      </c>
      <c r="G620" s="4">
        <f t="shared" si="47"/>
        <v>40.396493303470073</v>
      </c>
      <c r="H620" s="1">
        <v>5.0999999999999996</v>
      </c>
      <c r="I620" s="1">
        <f t="shared" si="48"/>
        <v>6.12</v>
      </c>
      <c r="J620" s="1" t="s">
        <v>1182</v>
      </c>
      <c r="K620" s="3">
        <f t="shared" si="49"/>
        <v>45.589201919999994</v>
      </c>
      <c r="L620" s="10">
        <f t="shared" si="46"/>
        <v>0.1285435490036424</v>
      </c>
      <c r="M620" s="18" t="str">
        <f>VLOOKUP(A620,Список!A:I,9,0)</f>
        <v>Основной ассортимент</v>
      </c>
      <c r="N620" s="12"/>
      <c r="O620" s="11"/>
    </row>
    <row r="621" spans="1:15" x14ac:dyDescent="0.25">
      <c r="A621" s="6">
        <v>2526</v>
      </c>
      <c r="B621" s="1" t="s">
        <v>625</v>
      </c>
      <c r="C621" s="3">
        <v>4.7817945699999997</v>
      </c>
      <c r="D621" s="1" t="s">
        <v>1182</v>
      </c>
      <c r="E621" s="3">
        <f t="shared" si="45"/>
        <v>74.990780251699192</v>
      </c>
      <c r="F621" s="3">
        <v>68.600566113441545</v>
      </c>
      <c r="G621" s="4">
        <f t="shared" si="47"/>
        <v>74.990780251699192</v>
      </c>
      <c r="H621" s="1">
        <v>9.4499999999999993</v>
      </c>
      <c r="I621" s="1">
        <f t="shared" si="48"/>
        <v>11.34</v>
      </c>
      <c r="J621" s="1" t="s">
        <v>1182</v>
      </c>
      <c r="K621" s="3">
        <f t="shared" si="49"/>
        <v>84.474109439999992</v>
      </c>
      <c r="L621" s="10">
        <f t="shared" si="46"/>
        <v>0.12645993489427543</v>
      </c>
      <c r="M621" s="18" t="str">
        <f>VLOOKUP(A621,Список!A:I,9,0)</f>
        <v>Основной ассортимент</v>
      </c>
      <c r="N621" s="12"/>
      <c r="O621" s="11"/>
    </row>
    <row r="622" spans="1:15" x14ac:dyDescent="0.25">
      <c r="A622" s="6">
        <v>2528</v>
      </c>
      <c r="B622" s="1" t="s">
        <v>626</v>
      </c>
      <c r="C622" s="3">
        <v>8.6979796119999992</v>
      </c>
      <c r="D622" s="1" t="s">
        <v>1182</v>
      </c>
      <c r="E622" s="3">
        <f t="shared" si="45"/>
        <v>136.4065871439667</v>
      </c>
      <c r="F622" s="3">
        <v>113.36540430107526</v>
      </c>
      <c r="G622" s="4">
        <f t="shared" si="47"/>
        <v>136.4065871439667</v>
      </c>
      <c r="H622" s="1">
        <v>20.02</v>
      </c>
      <c r="I622" s="1">
        <f t="shared" si="48"/>
        <v>24.02</v>
      </c>
      <c r="J622" s="1" t="s">
        <v>1182</v>
      </c>
      <c r="K622" s="3">
        <f t="shared" si="49"/>
        <v>178.93016831999998</v>
      </c>
      <c r="L622" s="10">
        <f t="shared" si="46"/>
        <v>0.31174140535568773</v>
      </c>
      <c r="M622" s="18" t="str">
        <f>VLOOKUP(A622,Список!A:I,9,0)</f>
        <v>Основной ассортимент</v>
      </c>
      <c r="N622" s="12"/>
      <c r="O622" s="11"/>
    </row>
    <row r="623" spans="1:15" x14ac:dyDescent="0.25">
      <c r="A623" s="6">
        <v>2527</v>
      </c>
      <c r="B623" s="1" t="s">
        <v>627</v>
      </c>
      <c r="C623" s="3">
        <v>6.5269750699999989</v>
      </c>
      <c r="D623" s="1" t="s">
        <v>1182</v>
      </c>
      <c r="E623" s="3">
        <f t="shared" si="45"/>
        <v>102.35967815377917</v>
      </c>
      <c r="F623" s="3">
        <v>93.937439207775526</v>
      </c>
      <c r="G623" s="4">
        <f t="shared" si="47"/>
        <v>102.35967815377917</v>
      </c>
      <c r="H623" s="1">
        <v>13.79</v>
      </c>
      <c r="I623" s="1">
        <f t="shared" si="48"/>
        <v>16.55</v>
      </c>
      <c r="J623" s="1" t="s">
        <v>1182</v>
      </c>
      <c r="K623" s="3">
        <f t="shared" si="49"/>
        <v>123.2845248</v>
      </c>
      <c r="L623" s="10">
        <f t="shared" si="46"/>
        <v>0.20442470144136804</v>
      </c>
      <c r="M623" s="18" t="str">
        <f>VLOOKUP(A623,Список!A:I,9,0)</f>
        <v>Основной ассортимент</v>
      </c>
      <c r="N623" s="12"/>
      <c r="O623" s="11"/>
    </row>
    <row r="624" spans="1:15" x14ac:dyDescent="0.25">
      <c r="A624" s="6">
        <v>4480</v>
      </c>
      <c r="B624" s="1" t="s">
        <v>628</v>
      </c>
      <c r="C624" s="3">
        <v>11.44838408</v>
      </c>
      <c r="D624" s="1" t="s">
        <v>1182</v>
      </c>
      <c r="E624" s="3">
        <f t="shared" si="45"/>
        <v>179.53997023764481</v>
      </c>
      <c r="F624" s="3">
        <v>150.4818584779706</v>
      </c>
      <c r="G624" s="4">
        <f t="shared" si="47"/>
        <v>179.53997023764481</v>
      </c>
      <c r="H624" s="1">
        <v>29.81</v>
      </c>
      <c r="I624" s="1">
        <f t="shared" si="48"/>
        <v>35.770000000000003</v>
      </c>
      <c r="J624" s="1" t="s">
        <v>1182</v>
      </c>
      <c r="K624" s="3">
        <f t="shared" si="49"/>
        <v>266.45845631999998</v>
      </c>
      <c r="L624" s="10">
        <f t="shared" si="46"/>
        <v>0.48411774808309871</v>
      </c>
      <c r="M624" s="18" t="str">
        <f>VLOOKUP(A624,Список!A:I,9,0)</f>
        <v>Основной ассортимент</v>
      </c>
      <c r="N624" s="12"/>
      <c r="O624" s="11"/>
    </row>
    <row r="625" spans="1:15" x14ac:dyDescent="0.25">
      <c r="A625" s="6">
        <v>2361</v>
      </c>
      <c r="B625" s="1" t="s">
        <v>629</v>
      </c>
      <c r="C625" s="3">
        <v>5.7660763719999997</v>
      </c>
      <c r="D625" s="1" t="s">
        <v>1182</v>
      </c>
      <c r="E625" s="3">
        <f t="shared" si="45"/>
        <v>90.426838668472314</v>
      </c>
      <c r="F625" s="3">
        <v>81.527625</v>
      </c>
      <c r="G625" s="4">
        <f t="shared" si="47"/>
        <v>90.426838668472314</v>
      </c>
      <c r="H625" s="1">
        <v>13.32</v>
      </c>
      <c r="I625" s="1">
        <f t="shared" si="48"/>
        <v>15.98</v>
      </c>
      <c r="J625" s="1" t="s">
        <v>1182</v>
      </c>
      <c r="K625" s="3">
        <f t="shared" si="49"/>
        <v>119.03847168</v>
      </c>
      <c r="L625" s="10">
        <f t="shared" si="46"/>
        <v>0.31640642792374041</v>
      </c>
      <c r="M625" s="18" t="str">
        <f>VLOOKUP(A625,Список!A:I,9,0)</f>
        <v>Основной ассортимент</v>
      </c>
      <c r="N625" s="12"/>
      <c r="O625" s="11"/>
    </row>
    <row r="626" spans="1:15" x14ac:dyDescent="0.25">
      <c r="A626" s="6">
        <v>2533</v>
      </c>
      <c r="B626" s="1" t="s">
        <v>630</v>
      </c>
      <c r="C626" s="3">
        <v>3.7695898799999998</v>
      </c>
      <c r="D626" s="1" t="s">
        <v>1182</v>
      </c>
      <c r="E626" s="3">
        <f t="shared" si="45"/>
        <v>59.116819468492793</v>
      </c>
      <c r="F626" s="3">
        <v>53.766875215641171</v>
      </c>
      <c r="G626" s="4">
        <f t="shared" si="47"/>
        <v>59.116819468492793</v>
      </c>
      <c r="H626" s="1">
        <v>7.88</v>
      </c>
      <c r="I626" s="1">
        <f t="shared" si="48"/>
        <v>9.4600000000000009</v>
      </c>
      <c r="J626" s="1" t="s">
        <v>1182</v>
      </c>
      <c r="K626" s="3">
        <f t="shared" si="49"/>
        <v>70.469583359999987</v>
      </c>
      <c r="L626" s="10">
        <f t="shared" si="46"/>
        <v>0.1920394905134879</v>
      </c>
      <c r="M626" s="18" t="str">
        <f>VLOOKUP(A626,Список!A:I,9,0)</f>
        <v>Основной ассортимент</v>
      </c>
      <c r="N626" s="12"/>
      <c r="O626" s="11"/>
    </row>
    <row r="627" spans="1:15" x14ac:dyDescent="0.25">
      <c r="A627" s="6">
        <v>2535</v>
      </c>
      <c r="B627" s="1" t="s">
        <v>631</v>
      </c>
      <c r="C627" s="3">
        <v>2.4083490900000002</v>
      </c>
      <c r="D627" s="1" t="s">
        <v>1182</v>
      </c>
      <c r="E627" s="3">
        <f t="shared" si="45"/>
        <v>37.7690791048704</v>
      </c>
      <c r="F627" s="3">
        <v>32.180290611066724</v>
      </c>
      <c r="G627" s="4">
        <f t="shared" si="47"/>
        <v>37.7690791048704</v>
      </c>
      <c r="H627" s="1">
        <v>4.8</v>
      </c>
      <c r="I627" s="1">
        <f t="shared" si="48"/>
        <v>5.76</v>
      </c>
      <c r="J627" s="1" t="s">
        <v>1182</v>
      </c>
      <c r="K627" s="3">
        <f t="shared" si="49"/>
        <v>42.907484159999996</v>
      </c>
      <c r="L627" s="10">
        <f t="shared" si="46"/>
        <v>0.13604793065942111</v>
      </c>
      <c r="M627" s="18" t="str">
        <f>VLOOKUP(A627,Список!A:I,9,0)</f>
        <v>Основной ассортимент</v>
      </c>
      <c r="N627" s="12"/>
      <c r="O627" s="11"/>
    </row>
    <row r="628" spans="1:15" x14ac:dyDescent="0.25">
      <c r="A628" s="6">
        <v>2362</v>
      </c>
      <c r="B628" s="1" t="s">
        <v>632</v>
      </c>
      <c r="C628" s="3">
        <v>7.5391797599999997</v>
      </c>
      <c r="D628" s="1" t="s">
        <v>1182</v>
      </c>
      <c r="E628" s="3">
        <f t="shared" si="45"/>
        <v>118.23363893698559</v>
      </c>
      <c r="F628" s="3">
        <v>108.48157860962566</v>
      </c>
      <c r="G628" s="4">
        <f t="shared" si="47"/>
        <v>118.23363893698559</v>
      </c>
      <c r="H628" s="1">
        <v>17.93</v>
      </c>
      <c r="I628" s="1">
        <f t="shared" si="48"/>
        <v>21.52</v>
      </c>
      <c r="J628" s="1" t="s">
        <v>1182</v>
      </c>
      <c r="K628" s="3">
        <f t="shared" si="49"/>
        <v>160.30712831999998</v>
      </c>
      <c r="L628" s="10">
        <f t="shared" si="46"/>
        <v>0.35585041415699048</v>
      </c>
      <c r="M628" s="18" t="str">
        <f>VLOOKUP(A628,Список!A:I,9,0)</f>
        <v>Основной ассортимент</v>
      </c>
      <c r="N628" s="12"/>
      <c r="O628" s="11"/>
    </row>
    <row r="629" spans="1:15" x14ac:dyDescent="0.25">
      <c r="A629" s="6">
        <v>2537</v>
      </c>
      <c r="B629" s="1" t="s">
        <v>633</v>
      </c>
      <c r="C629" s="3">
        <v>5.7939992599999997</v>
      </c>
      <c r="D629" s="1" t="s">
        <v>1182</v>
      </c>
      <c r="E629" s="3">
        <f t="shared" si="45"/>
        <v>90.864741034905578</v>
      </c>
      <c r="F629" s="3">
        <v>79.68144707458687</v>
      </c>
      <c r="G629" s="4">
        <f t="shared" si="47"/>
        <v>90.864741034905578</v>
      </c>
      <c r="H629" s="1">
        <v>13.32</v>
      </c>
      <c r="I629" s="1">
        <f t="shared" si="48"/>
        <v>15.98</v>
      </c>
      <c r="J629" s="1" t="s">
        <v>1182</v>
      </c>
      <c r="K629" s="3">
        <f t="shared" si="49"/>
        <v>119.03847168</v>
      </c>
      <c r="L629" s="10">
        <f t="shared" si="46"/>
        <v>0.31006230056025275</v>
      </c>
      <c r="M629" s="18" t="str">
        <f>VLOOKUP(A629,Список!A:I,9,0)</f>
        <v>Основной ассортимент</v>
      </c>
      <c r="N629" s="12"/>
      <c r="O629" s="11"/>
    </row>
    <row r="630" spans="1:15" x14ac:dyDescent="0.25">
      <c r="A630" s="6">
        <v>2534</v>
      </c>
      <c r="B630" s="1" t="s">
        <v>634</v>
      </c>
      <c r="C630" s="3">
        <v>3.8044934899999996</v>
      </c>
      <c r="D630" s="1" t="s">
        <v>1182</v>
      </c>
      <c r="E630" s="3">
        <f t="shared" si="45"/>
        <v>59.664197426534386</v>
      </c>
      <c r="F630" s="3">
        <v>54.023573099415195</v>
      </c>
      <c r="G630" s="4">
        <f t="shared" si="47"/>
        <v>59.664197426534386</v>
      </c>
      <c r="H630" s="1">
        <v>7.95</v>
      </c>
      <c r="I630" s="1">
        <f t="shared" si="48"/>
        <v>9.5399999999999991</v>
      </c>
      <c r="J630" s="1" t="s">
        <v>1182</v>
      </c>
      <c r="K630" s="3">
        <f t="shared" si="49"/>
        <v>71.065520639999988</v>
      </c>
      <c r="L630" s="10">
        <f t="shared" si="46"/>
        <v>0.1910915373914861</v>
      </c>
      <c r="M630" s="18" t="str">
        <f>VLOOKUP(A630,Список!A:I,9,0)</f>
        <v>Основной ассортимент</v>
      </c>
      <c r="N630" s="12"/>
      <c r="O630" s="11"/>
    </row>
    <row r="631" spans="1:15" x14ac:dyDescent="0.25">
      <c r="A631" s="6">
        <v>4482</v>
      </c>
      <c r="B631" s="1" t="s">
        <v>635</v>
      </c>
      <c r="C631" s="3">
        <v>10.624658884</v>
      </c>
      <c r="D631" s="1" t="s">
        <v>1182</v>
      </c>
      <c r="E631" s="3">
        <f t="shared" si="45"/>
        <v>166.62185042786302</v>
      </c>
      <c r="F631" s="3">
        <v>140.31569454545453</v>
      </c>
      <c r="G631" s="4">
        <f t="shared" si="47"/>
        <v>166.62185042786302</v>
      </c>
      <c r="H631" s="1">
        <v>28.17</v>
      </c>
      <c r="I631" s="1">
        <f t="shared" si="48"/>
        <v>33.799999999999997</v>
      </c>
      <c r="J631" s="1" t="s">
        <v>1182</v>
      </c>
      <c r="K631" s="3">
        <f t="shared" si="49"/>
        <v>251.78350079999993</v>
      </c>
      <c r="L631" s="10">
        <f t="shared" si="46"/>
        <v>0.51110733768382111</v>
      </c>
      <c r="M631" s="18" t="str">
        <f>VLOOKUP(A631,Список!A:I,9,0)</f>
        <v>Основной ассортимент</v>
      </c>
      <c r="N631" s="12"/>
      <c r="O631" s="11"/>
    </row>
    <row r="632" spans="1:15" x14ac:dyDescent="0.25">
      <c r="A632" s="6">
        <v>2536</v>
      </c>
      <c r="B632" s="1" t="s">
        <v>636</v>
      </c>
      <c r="C632" s="3">
        <v>1.5985853379999999</v>
      </c>
      <c r="D632" s="1" t="s">
        <v>1182</v>
      </c>
      <c r="E632" s="3">
        <f t="shared" si="45"/>
        <v>25.069910478305275</v>
      </c>
      <c r="F632" s="3">
        <v>20.948225604670558</v>
      </c>
      <c r="G632" s="4">
        <f t="shared" si="47"/>
        <v>25.069910478305275</v>
      </c>
      <c r="H632" s="1">
        <v>3.4</v>
      </c>
      <c r="I632" s="1">
        <f t="shared" si="48"/>
        <v>4.08</v>
      </c>
      <c r="J632" s="1" t="s">
        <v>1182</v>
      </c>
      <c r="K632" s="3">
        <f t="shared" si="49"/>
        <v>30.392801279999997</v>
      </c>
      <c r="L632" s="10">
        <f t="shared" si="46"/>
        <v>0.21232189106941513</v>
      </c>
      <c r="M632" s="18" t="str">
        <f>VLOOKUP(A632,Список!A:I,9,0)</f>
        <v>Основной ассортимент</v>
      </c>
      <c r="N632" s="12"/>
      <c r="O632" s="11"/>
    </row>
    <row r="633" spans="1:15" x14ac:dyDescent="0.25">
      <c r="A633" s="6">
        <v>4485</v>
      </c>
      <c r="B633" s="1" t="s">
        <v>637</v>
      </c>
      <c r="C633" s="3">
        <v>11.23896242</v>
      </c>
      <c r="D633" s="1" t="s">
        <v>1182</v>
      </c>
      <c r="E633" s="3">
        <f t="shared" si="45"/>
        <v>176.25570248939519</v>
      </c>
      <c r="F633" s="3">
        <v>117.29394827586206</v>
      </c>
      <c r="G633" s="4">
        <f t="shared" si="47"/>
        <v>176.25570248939519</v>
      </c>
      <c r="H633" s="1">
        <v>29.85</v>
      </c>
      <c r="I633" s="1">
        <f t="shared" si="48"/>
        <v>35.82</v>
      </c>
      <c r="J633" s="1" t="s">
        <v>1182</v>
      </c>
      <c r="K633" s="3">
        <f t="shared" si="49"/>
        <v>266.83091711999998</v>
      </c>
      <c r="L633" s="10">
        <f t="shared" si="46"/>
        <v>0.51388530045463043</v>
      </c>
      <c r="M633" s="18" t="str">
        <f>VLOOKUP(A633,Список!A:I,9,0)</f>
        <v>Основной ассортимент</v>
      </c>
      <c r="N633" s="12"/>
      <c r="O633" s="11"/>
    </row>
    <row r="634" spans="1:15" x14ac:dyDescent="0.25">
      <c r="A634" s="6">
        <v>2365</v>
      </c>
      <c r="B634" s="1" t="s">
        <v>638</v>
      </c>
      <c r="C634" s="3">
        <v>8.0627339100000004</v>
      </c>
      <c r="D634" s="1" t="s">
        <v>1182</v>
      </c>
      <c r="E634" s="3">
        <f t="shared" si="45"/>
        <v>126.44430830760959</v>
      </c>
      <c r="F634" s="3">
        <v>109.3137316017316</v>
      </c>
      <c r="G634" s="4">
        <f t="shared" si="47"/>
        <v>126.44430830760959</v>
      </c>
      <c r="H634" s="1">
        <v>20.66</v>
      </c>
      <c r="I634" s="1">
        <f t="shared" si="48"/>
        <v>24.79</v>
      </c>
      <c r="J634" s="1" t="s">
        <v>1182</v>
      </c>
      <c r="K634" s="3">
        <f t="shared" si="49"/>
        <v>184.66606463999997</v>
      </c>
      <c r="L634" s="10">
        <f t="shared" si="46"/>
        <v>0.46045375321086346</v>
      </c>
      <c r="M634" s="18" t="str">
        <f>VLOOKUP(A634,Список!A:I,9,0)</f>
        <v>Основной ассортимент</v>
      </c>
      <c r="N634" s="12"/>
      <c r="O634" s="11"/>
    </row>
    <row r="635" spans="1:15" x14ac:dyDescent="0.25">
      <c r="A635" s="6">
        <v>4484</v>
      </c>
      <c r="B635" s="1" t="s">
        <v>639</v>
      </c>
      <c r="C635" s="3">
        <v>10.889926319999999</v>
      </c>
      <c r="D635" s="1" t="s">
        <v>1182</v>
      </c>
      <c r="E635" s="3">
        <f t="shared" si="45"/>
        <v>170.78192290897917</v>
      </c>
      <c r="F635" s="3">
        <v>156.90624582701062</v>
      </c>
      <c r="G635" s="4">
        <f t="shared" si="47"/>
        <v>170.78192290897917</v>
      </c>
      <c r="H635" s="1">
        <v>29.51</v>
      </c>
      <c r="I635" s="1">
        <f t="shared" si="48"/>
        <v>35.409999999999997</v>
      </c>
      <c r="J635" s="1" t="s">
        <v>1182</v>
      </c>
      <c r="K635" s="3">
        <f t="shared" si="49"/>
        <v>263.77673855999996</v>
      </c>
      <c r="L635" s="10">
        <f t="shared" si="46"/>
        <v>0.54452376496887078</v>
      </c>
      <c r="M635" s="18" t="str">
        <f>VLOOKUP(A635,Список!A:I,9,0)</f>
        <v>Основной ассортимент</v>
      </c>
      <c r="N635" s="12"/>
      <c r="O635" s="11"/>
    </row>
    <row r="636" spans="1:15" x14ac:dyDescent="0.25">
      <c r="A636" s="6">
        <v>2363</v>
      </c>
      <c r="B636" s="1" t="s">
        <v>640</v>
      </c>
      <c r="C636" s="3">
        <v>8.0417917439999993</v>
      </c>
      <c r="D636" s="1" t="s">
        <v>1182</v>
      </c>
      <c r="E636" s="3">
        <f t="shared" ref="E636:E699" si="50">IF(D636="RUB",C636*1.2,C636*$E$2*1.2)</f>
        <v>126.11588153278461</v>
      </c>
      <c r="F636" s="3">
        <v>109.31011546391751</v>
      </c>
      <c r="G636" s="4">
        <f t="shared" si="47"/>
        <v>126.11588153278461</v>
      </c>
      <c r="H636" s="1">
        <v>18.61</v>
      </c>
      <c r="I636" s="1">
        <f t="shared" si="48"/>
        <v>22.33</v>
      </c>
      <c r="J636" s="1" t="s">
        <v>1182</v>
      </c>
      <c r="K636" s="3">
        <f t="shared" si="49"/>
        <v>166.34099327999999</v>
      </c>
      <c r="L636" s="10">
        <f t="shared" ref="L636:L699" si="51">K636/E636-1</f>
        <v>0.31895357871132668</v>
      </c>
      <c r="M636" s="18" t="str">
        <f>VLOOKUP(A636,Список!A:I,9,0)</f>
        <v>Основной ассортимент</v>
      </c>
      <c r="N636" s="12"/>
      <c r="O636" s="11"/>
    </row>
    <row r="637" spans="1:15" x14ac:dyDescent="0.25">
      <c r="A637" s="6">
        <v>2538</v>
      </c>
      <c r="B637" s="1" t="s">
        <v>641</v>
      </c>
      <c r="C637" s="3">
        <v>6.1430353599999989</v>
      </c>
      <c r="D637" s="1" t="s">
        <v>1182</v>
      </c>
      <c r="E637" s="3">
        <f t="shared" si="50"/>
        <v>96.338520615321571</v>
      </c>
      <c r="F637" s="3">
        <v>88.498558114622398</v>
      </c>
      <c r="G637" s="4">
        <f t="shared" si="47"/>
        <v>96.338520615321571</v>
      </c>
      <c r="H637" s="1">
        <v>14.48</v>
      </c>
      <c r="I637" s="1">
        <f t="shared" si="48"/>
        <v>17.38</v>
      </c>
      <c r="J637" s="1" t="s">
        <v>1182</v>
      </c>
      <c r="K637" s="3">
        <f t="shared" si="49"/>
        <v>129.46737407999998</v>
      </c>
      <c r="L637" s="10">
        <f t="shared" si="51"/>
        <v>0.34387961589073468</v>
      </c>
      <c r="M637" s="18" t="str">
        <f>VLOOKUP(A637,Список!A:I,9,0)</f>
        <v>Основной ассортимент</v>
      </c>
      <c r="N637" s="12"/>
      <c r="O637" s="11"/>
    </row>
    <row r="638" spans="1:15" x14ac:dyDescent="0.25">
      <c r="A638" s="6">
        <v>4483</v>
      </c>
      <c r="B638" s="1" t="s">
        <v>642</v>
      </c>
      <c r="C638" s="3">
        <v>11.02954076</v>
      </c>
      <c r="D638" s="1" t="s">
        <v>1182</v>
      </c>
      <c r="E638" s="3">
        <f t="shared" si="50"/>
        <v>172.97143474114557</v>
      </c>
      <c r="F638" s="3">
        <v>142.64728547579298</v>
      </c>
      <c r="G638" s="4">
        <f t="shared" si="47"/>
        <v>172.97143474114557</v>
      </c>
      <c r="H638" s="1">
        <v>29.28</v>
      </c>
      <c r="I638" s="1">
        <f t="shared" si="48"/>
        <v>35.14</v>
      </c>
      <c r="J638" s="1" t="s">
        <v>1182</v>
      </c>
      <c r="K638" s="3">
        <f t="shared" si="49"/>
        <v>261.76545024000001</v>
      </c>
      <c r="L638" s="10">
        <f t="shared" si="51"/>
        <v>0.51334496722962419</v>
      </c>
      <c r="M638" s="18" t="str">
        <f>VLOOKUP(A638,Список!A:I,9,0)</f>
        <v>Основной ассортимент</v>
      </c>
      <c r="N638" s="12"/>
      <c r="O638" s="11"/>
    </row>
    <row r="639" spans="1:15" x14ac:dyDescent="0.25">
      <c r="A639" s="6">
        <v>4486</v>
      </c>
      <c r="B639" s="1" t="s">
        <v>643</v>
      </c>
      <c r="C639" s="3">
        <v>1.3961444000000001</v>
      </c>
      <c r="D639" s="1" t="s">
        <v>1182</v>
      </c>
      <c r="E639" s="3">
        <f t="shared" si="50"/>
        <v>21.895118321664</v>
      </c>
      <c r="F639" s="3">
        <v>19.231330812854445</v>
      </c>
      <c r="G639" s="4">
        <f t="shared" si="47"/>
        <v>21.895118321664</v>
      </c>
      <c r="H639" s="1">
        <v>3.65</v>
      </c>
      <c r="I639" s="1">
        <f t="shared" si="48"/>
        <v>4.38</v>
      </c>
      <c r="J639" s="1" t="s">
        <v>1182</v>
      </c>
      <c r="K639" s="3">
        <f t="shared" si="49"/>
        <v>32.627566079999994</v>
      </c>
      <c r="L639" s="10">
        <f t="shared" si="51"/>
        <v>0.49017537154466218</v>
      </c>
      <c r="M639" s="18" t="str">
        <f>VLOOKUP(A639,Список!A:I,9,0)</f>
        <v>Основной ассортимент</v>
      </c>
      <c r="N639" s="12"/>
      <c r="O639" s="11"/>
    </row>
    <row r="640" spans="1:15" x14ac:dyDescent="0.25">
      <c r="A640" s="6">
        <v>4487</v>
      </c>
      <c r="B640" s="1" t="s">
        <v>644</v>
      </c>
      <c r="C640" s="3">
        <v>2.4083490900000002</v>
      </c>
      <c r="D640" s="1" t="s">
        <v>1182</v>
      </c>
      <c r="E640" s="3">
        <f t="shared" si="50"/>
        <v>37.7690791048704</v>
      </c>
      <c r="F640" s="3">
        <v>32.050456591639872</v>
      </c>
      <c r="G640" s="4">
        <f t="shared" si="47"/>
        <v>37.7690791048704</v>
      </c>
      <c r="H640" s="1">
        <v>5.74</v>
      </c>
      <c r="I640" s="1">
        <f t="shared" si="48"/>
        <v>6.89</v>
      </c>
      <c r="J640" s="1" t="s">
        <v>1182</v>
      </c>
      <c r="K640" s="3">
        <f t="shared" si="49"/>
        <v>51.325098239999988</v>
      </c>
      <c r="L640" s="10">
        <f t="shared" si="51"/>
        <v>0.35891844483392532</v>
      </c>
      <c r="M640" s="18" t="str">
        <f>VLOOKUP(A640,Список!A:I,9,0)</f>
        <v>Основной ассортимент</v>
      </c>
      <c r="N640" s="12"/>
      <c r="O640" s="11"/>
    </row>
    <row r="641" spans="1:15" x14ac:dyDescent="0.25">
      <c r="A641" s="6">
        <v>2547</v>
      </c>
      <c r="B641" s="1" t="s">
        <v>645</v>
      </c>
      <c r="C641" s="3">
        <v>1.5706624499999999</v>
      </c>
      <c r="D641" s="1" t="s">
        <v>1182</v>
      </c>
      <c r="E641" s="3">
        <f t="shared" si="50"/>
        <v>24.632008111871997</v>
      </c>
      <c r="F641" s="3">
        <v>21.782247982062781</v>
      </c>
      <c r="G641" s="4">
        <f t="shared" si="47"/>
        <v>24.632008111871997</v>
      </c>
      <c r="H641" s="1">
        <v>3.41</v>
      </c>
      <c r="I641" s="1">
        <f t="shared" si="48"/>
        <v>4.09</v>
      </c>
      <c r="J641" s="1" t="s">
        <v>1182</v>
      </c>
      <c r="K641" s="3">
        <f t="shared" si="49"/>
        <v>30.467293439999995</v>
      </c>
      <c r="L641" s="10">
        <f t="shared" si="51"/>
        <v>0.23689848191124696</v>
      </c>
      <c r="M641" s="18" t="str">
        <f>VLOOKUP(A641,Список!A:I,9,0)</f>
        <v>Основной ассортимент</v>
      </c>
      <c r="N641" s="12"/>
      <c r="O641" s="11"/>
    </row>
    <row r="642" spans="1:15" x14ac:dyDescent="0.25">
      <c r="A642" s="6">
        <v>2367</v>
      </c>
      <c r="B642" s="1" t="s">
        <v>646</v>
      </c>
      <c r="C642" s="3">
        <v>5.7241920400000001</v>
      </c>
      <c r="D642" s="1" t="s">
        <v>1182</v>
      </c>
      <c r="E642" s="3">
        <f t="shared" si="50"/>
        <v>89.769985118822405</v>
      </c>
      <c r="F642" s="3">
        <v>81.697151315789469</v>
      </c>
      <c r="G642" s="4">
        <f t="shared" si="47"/>
        <v>89.769985118822405</v>
      </c>
      <c r="H642" s="1">
        <v>13.22</v>
      </c>
      <c r="I642" s="1">
        <f t="shared" si="48"/>
        <v>15.86</v>
      </c>
      <c r="J642" s="1" t="s">
        <v>1182</v>
      </c>
      <c r="K642" s="3">
        <f t="shared" si="49"/>
        <v>118.14456575999998</v>
      </c>
      <c r="L642" s="10">
        <f t="shared" si="51"/>
        <v>0.31608093288218853</v>
      </c>
      <c r="M642" s="18" t="str">
        <f>VLOOKUP(A642,Список!A:I,9,0)</f>
        <v>Основной ассортимент</v>
      </c>
      <c r="N642" s="12"/>
      <c r="O642" s="11"/>
    </row>
    <row r="643" spans="1:15" x14ac:dyDescent="0.25">
      <c r="A643" s="6">
        <v>2549</v>
      </c>
      <c r="B643" s="1" t="s">
        <v>647</v>
      </c>
      <c r="C643" s="3">
        <v>4.2303175319999999</v>
      </c>
      <c r="D643" s="1" t="s">
        <v>1182</v>
      </c>
      <c r="E643" s="3">
        <f t="shared" si="50"/>
        <v>66.342208514641911</v>
      </c>
      <c r="F643" s="3">
        <v>53.834026772737701</v>
      </c>
      <c r="G643" s="4">
        <f t="shared" si="47"/>
        <v>66.342208514641911</v>
      </c>
      <c r="H643" s="1">
        <v>9</v>
      </c>
      <c r="I643" s="1">
        <f t="shared" si="48"/>
        <v>10.8</v>
      </c>
      <c r="J643" s="1" t="s">
        <v>1182</v>
      </c>
      <c r="K643" s="3">
        <f t="shared" si="49"/>
        <v>80.451532799999995</v>
      </c>
      <c r="L643" s="10">
        <f t="shared" si="51"/>
        <v>0.21267492598236482</v>
      </c>
      <c r="M643" s="18" t="str">
        <f>VLOOKUP(A643,Список!A:I,9,0)</f>
        <v>Основной ассортимент</v>
      </c>
      <c r="N643" s="12"/>
      <c r="O643" s="11"/>
    </row>
    <row r="644" spans="1:15" x14ac:dyDescent="0.25">
      <c r="A644" s="6">
        <v>2684</v>
      </c>
      <c r="B644" s="1" t="s">
        <v>648</v>
      </c>
      <c r="C644" s="3">
        <v>1.9546021600000001</v>
      </c>
      <c r="D644" s="1" t="s">
        <v>1182</v>
      </c>
      <c r="E644" s="3">
        <f t="shared" si="50"/>
        <v>30.653165650329598</v>
      </c>
      <c r="F644" s="3">
        <v>28.005691344146459</v>
      </c>
      <c r="G644" s="4">
        <f t="shared" si="47"/>
        <v>30.653165650329598</v>
      </c>
      <c r="H644" s="1">
        <v>4.75</v>
      </c>
      <c r="I644" s="1">
        <f t="shared" si="48"/>
        <v>5.7</v>
      </c>
      <c r="J644" s="1" t="s">
        <v>1182</v>
      </c>
      <c r="K644" s="3">
        <f t="shared" si="49"/>
        <v>42.460531199999998</v>
      </c>
      <c r="L644" s="10">
        <f t="shared" si="51"/>
        <v>0.38519237080961788</v>
      </c>
      <c r="M644" s="18" t="str">
        <f>VLOOKUP(A644,Список!A:I,9,0)</f>
        <v>Основной ассортимент</v>
      </c>
      <c r="N644" s="12"/>
      <c r="O644" s="11"/>
    </row>
    <row r="645" spans="1:15" x14ac:dyDescent="0.25">
      <c r="A645" s="6">
        <v>2550</v>
      </c>
      <c r="B645" s="1" t="s">
        <v>649</v>
      </c>
      <c r="C645" s="3">
        <v>2.6387129159999998</v>
      </c>
      <c r="D645" s="1" t="s">
        <v>1182</v>
      </c>
      <c r="E645" s="3">
        <f t="shared" si="50"/>
        <v>41.381773627944952</v>
      </c>
      <c r="F645" s="3">
        <v>36.913970573863942</v>
      </c>
      <c r="G645" s="4">
        <f t="shared" si="47"/>
        <v>41.381773627944952</v>
      </c>
      <c r="H645" s="1">
        <v>5.2</v>
      </c>
      <c r="I645" s="1">
        <f t="shared" si="48"/>
        <v>6.24</v>
      </c>
      <c r="J645" s="1" t="s">
        <v>1182</v>
      </c>
      <c r="K645" s="3">
        <f t="shared" si="49"/>
        <v>46.483107839999995</v>
      </c>
      <c r="L645" s="10">
        <f t="shared" si="51"/>
        <v>0.12327490498401761</v>
      </c>
      <c r="M645" s="18" t="str">
        <f>VLOOKUP(A645,Список!A:I,9,0)</f>
        <v>Основной ассортимент</v>
      </c>
      <c r="N645" s="12"/>
      <c r="O645" s="11"/>
    </row>
    <row r="646" spans="1:15" x14ac:dyDescent="0.25">
      <c r="A646" s="6">
        <v>2371</v>
      </c>
      <c r="B646" s="1" t="s">
        <v>650</v>
      </c>
      <c r="C646" s="3">
        <v>7.6787941999999996</v>
      </c>
      <c r="D646" s="1" t="s">
        <v>1182</v>
      </c>
      <c r="E646" s="3">
        <f t="shared" si="50"/>
        <v>120.42315076915197</v>
      </c>
      <c r="F646" s="3">
        <v>106.02206213592234</v>
      </c>
      <c r="G646" s="4">
        <f t="shared" ref="G646:G709" si="52">IF(M646="Вывод из ассортимента",F646,MAX(E646,F646))</f>
        <v>120.42315076915197</v>
      </c>
      <c r="H646" s="1">
        <v>20.58</v>
      </c>
      <c r="I646" s="1">
        <f t="shared" ref="I646:I709" si="53">ROUND(H646*1.2,2)</f>
        <v>24.7</v>
      </c>
      <c r="J646" s="1" t="s">
        <v>1182</v>
      </c>
      <c r="K646" s="3">
        <f t="shared" ref="K646:K709" si="54">IF(J646="RUB",I646*$K$4,I646*$E$2*$K$4)</f>
        <v>183.99563519999998</v>
      </c>
      <c r="L646" s="10">
        <f t="shared" si="51"/>
        <v>0.52790916052939685</v>
      </c>
      <c r="M646" s="18" t="str">
        <f>VLOOKUP(A646,Список!A:I,9,0)</f>
        <v>Основной ассортимент</v>
      </c>
      <c r="N646" s="12"/>
      <c r="O646" s="11"/>
    </row>
    <row r="647" spans="1:15" x14ac:dyDescent="0.25">
      <c r="A647" s="6">
        <v>2368</v>
      </c>
      <c r="B647" s="1" t="s">
        <v>651</v>
      </c>
      <c r="C647" s="3">
        <v>5.7939992599999997</v>
      </c>
      <c r="D647" s="1" t="s">
        <v>1182</v>
      </c>
      <c r="E647" s="3">
        <f t="shared" si="50"/>
        <v>90.864741034905578</v>
      </c>
      <c r="F647" s="3">
        <v>84.338025157232707</v>
      </c>
      <c r="G647" s="4">
        <f t="shared" si="52"/>
        <v>90.864741034905578</v>
      </c>
      <c r="H647" s="1">
        <v>13.32</v>
      </c>
      <c r="I647" s="1">
        <f t="shared" si="53"/>
        <v>15.98</v>
      </c>
      <c r="J647" s="1" t="s">
        <v>1182</v>
      </c>
      <c r="K647" s="3">
        <f t="shared" si="54"/>
        <v>119.03847168</v>
      </c>
      <c r="L647" s="10">
        <f t="shared" si="51"/>
        <v>0.31006230056025275</v>
      </c>
      <c r="M647" s="18" t="str">
        <f>VLOOKUP(A647,Список!A:I,9,0)</f>
        <v>Основной ассортимент</v>
      </c>
      <c r="N647" s="12"/>
      <c r="O647" s="11"/>
    </row>
    <row r="648" spans="1:15" x14ac:dyDescent="0.25">
      <c r="A648" s="6">
        <v>2548</v>
      </c>
      <c r="B648" s="1" t="s">
        <v>652</v>
      </c>
      <c r="C648" s="3">
        <v>4.1884331999999995</v>
      </c>
      <c r="D648" s="1" t="s">
        <v>1182</v>
      </c>
      <c r="E648" s="3">
        <f t="shared" si="50"/>
        <v>65.685354964991987</v>
      </c>
      <c r="F648" s="3">
        <v>59.756050551797784</v>
      </c>
      <c r="G648" s="4">
        <f t="shared" si="52"/>
        <v>65.685354964991987</v>
      </c>
      <c r="H648" s="1">
        <v>9.3800000000000008</v>
      </c>
      <c r="I648" s="1">
        <f t="shared" si="53"/>
        <v>11.26</v>
      </c>
      <c r="J648" s="1" t="s">
        <v>1182</v>
      </c>
      <c r="K648" s="3">
        <f t="shared" si="54"/>
        <v>83.878172159999991</v>
      </c>
      <c r="L648" s="10">
        <f t="shared" si="51"/>
        <v>0.27696915400250388</v>
      </c>
      <c r="M648" s="18" t="str">
        <f>VLOOKUP(A648,Список!A:I,9,0)</f>
        <v>Основной ассортимент</v>
      </c>
      <c r="N648" s="12"/>
      <c r="O648" s="11"/>
    </row>
    <row r="649" spans="1:15" x14ac:dyDescent="0.25">
      <c r="A649" s="6">
        <v>2683</v>
      </c>
      <c r="B649" s="1" t="s">
        <v>653</v>
      </c>
      <c r="C649" s="3">
        <v>2.8969996299999998</v>
      </c>
      <c r="D649" s="1" t="s">
        <v>1182</v>
      </c>
      <c r="E649" s="3">
        <f t="shared" si="50"/>
        <v>45.432370517452789</v>
      </c>
      <c r="F649" s="3">
        <v>40.193119650655014</v>
      </c>
      <c r="G649" s="4">
        <f t="shared" si="52"/>
        <v>45.432370517452789</v>
      </c>
      <c r="H649" s="1">
        <v>7.68</v>
      </c>
      <c r="I649" s="1">
        <f t="shared" si="53"/>
        <v>9.2200000000000006</v>
      </c>
      <c r="J649" s="1" t="s">
        <v>1182</v>
      </c>
      <c r="K649" s="3">
        <f t="shared" si="54"/>
        <v>68.681771519999998</v>
      </c>
      <c r="L649" s="10">
        <f t="shared" si="51"/>
        <v>0.5117364719856734</v>
      </c>
      <c r="M649" s="18" t="str">
        <f>VLOOKUP(A649,Список!A:I,9,0)</f>
        <v>Основной ассортимент</v>
      </c>
      <c r="N649" s="12"/>
      <c r="O649" s="11"/>
    </row>
    <row r="650" spans="1:15" x14ac:dyDescent="0.25">
      <c r="A650" s="6">
        <v>4493</v>
      </c>
      <c r="B650" s="1" t="s">
        <v>654</v>
      </c>
      <c r="C650" s="3">
        <v>11.657805740000001</v>
      </c>
      <c r="D650" s="1" t="s">
        <v>1182</v>
      </c>
      <c r="E650" s="3">
        <f t="shared" si="50"/>
        <v>182.82423798589437</v>
      </c>
      <c r="F650" s="3">
        <v>166.34599553571425</v>
      </c>
      <c r="G650" s="4">
        <f t="shared" si="52"/>
        <v>182.82423798589437</v>
      </c>
      <c r="H650" s="1">
        <v>30.94</v>
      </c>
      <c r="I650" s="1">
        <f t="shared" si="53"/>
        <v>37.130000000000003</v>
      </c>
      <c r="J650" s="1" t="s">
        <v>1182</v>
      </c>
      <c r="K650" s="3">
        <f t="shared" si="54"/>
        <v>276.58939007999999</v>
      </c>
      <c r="L650" s="10">
        <f t="shared" si="51"/>
        <v>0.51287046579316242</v>
      </c>
      <c r="M650" s="18" t="str">
        <f>VLOOKUP(A650,Список!A:I,9,0)</f>
        <v>Основной ассортимент</v>
      </c>
      <c r="N650" s="12"/>
      <c r="O650" s="11"/>
    </row>
    <row r="651" spans="1:15" x14ac:dyDescent="0.25">
      <c r="A651" s="6">
        <v>2372</v>
      </c>
      <c r="B651" s="1" t="s">
        <v>655</v>
      </c>
      <c r="C651" s="3">
        <v>8.097637520000001</v>
      </c>
      <c r="D651" s="1" t="s">
        <v>1182</v>
      </c>
      <c r="E651" s="3">
        <f t="shared" si="50"/>
        <v>126.9916862656512</v>
      </c>
      <c r="F651" s="3">
        <v>109.8550591422122</v>
      </c>
      <c r="G651" s="4">
        <f t="shared" si="52"/>
        <v>126.9916862656512</v>
      </c>
      <c r="H651" s="1">
        <v>20.82</v>
      </c>
      <c r="I651" s="1">
        <f t="shared" si="53"/>
        <v>24.98</v>
      </c>
      <c r="J651" s="1" t="s">
        <v>1182</v>
      </c>
      <c r="K651" s="3">
        <f t="shared" si="54"/>
        <v>186.08141567999996</v>
      </c>
      <c r="L651" s="10">
        <f t="shared" si="51"/>
        <v>0.46530391990181319</v>
      </c>
      <c r="M651" s="18" t="str">
        <f>VLOOKUP(A651,Список!A:I,9,0)</f>
        <v>Основной ассортимент</v>
      </c>
      <c r="N651" s="12"/>
      <c r="O651" s="11"/>
    </row>
    <row r="652" spans="1:15" x14ac:dyDescent="0.25">
      <c r="A652" s="6">
        <v>4492</v>
      </c>
      <c r="B652" s="1" t="s">
        <v>656</v>
      </c>
      <c r="C652" s="3">
        <v>11.378576860000001</v>
      </c>
      <c r="D652" s="1" t="s">
        <v>1182</v>
      </c>
      <c r="E652" s="3">
        <f t="shared" si="50"/>
        <v>178.44521432156159</v>
      </c>
      <c r="F652" s="3">
        <v>155.93743418181819</v>
      </c>
      <c r="G652" s="4">
        <f t="shared" si="52"/>
        <v>178.44521432156159</v>
      </c>
      <c r="H652" s="1">
        <v>30.16</v>
      </c>
      <c r="I652" s="1">
        <f t="shared" si="53"/>
        <v>36.19</v>
      </c>
      <c r="J652" s="1" t="s">
        <v>1182</v>
      </c>
      <c r="K652" s="3">
        <f t="shared" si="54"/>
        <v>269.58712703999993</v>
      </c>
      <c r="L652" s="10">
        <f t="shared" si="51"/>
        <v>0.51075571325885449</v>
      </c>
      <c r="M652" s="18" t="str">
        <f>VLOOKUP(A652,Список!A:I,9,0)</f>
        <v>Основной ассортимент</v>
      </c>
      <c r="N652" s="12"/>
      <c r="O652" s="11"/>
    </row>
    <row r="653" spans="1:15" x14ac:dyDescent="0.25">
      <c r="A653" s="6">
        <v>2370</v>
      </c>
      <c r="B653" s="1" t="s">
        <v>657</v>
      </c>
      <c r="C653" s="3">
        <v>8.0278302999999998</v>
      </c>
      <c r="D653" s="1" t="s">
        <v>1182</v>
      </c>
      <c r="E653" s="3">
        <f t="shared" si="50"/>
        <v>125.89693034956798</v>
      </c>
      <c r="F653" s="3">
        <v>102.04414885954382</v>
      </c>
      <c r="G653" s="4">
        <f t="shared" si="52"/>
        <v>125.89693034956798</v>
      </c>
      <c r="H653" s="1">
        <v>20.81</v>
      </c>
      <c r="I653" s="1">
        <f t="shared" si="53"/>
        <v>24.97</v>
      </c>
      <c r="J653" s="1" t="s">
        <v>1182</v>
      </c>
      <c r="K653" s="3">
        <f t="shared" si="54"/>
        <v>186.00692351999996</v>
      </c>
      <c r="L653" s="10">
        <f t="shared" si="51"/>
        <v>0.47745400148779926</v>
      </c>
      <c r="M653" s="18" t="str">
        <f>VLOOKUP(A653,Список!A:I,9,0)</f>
        <v>Основной ассортимент</v>
      </c>
      <c r="N653" s="12"/>
      <c r="O653" s="11"/>
    </row>
    <row r="654" spans="1:15" x14ac:dyDescent="0.25">
      <c r="A654" s="6">
        <v>2369</v>
      </c>
      <c r="B654" s="1" t="s">
        <v>658</v>
      </c>
      <c r="C654" s="3">
        <v>6.1430353599999989</v>
      </c>
      <c r="D654" s="1" t="s">
        <v>1182</v>
      </c>
      <c r="E654" s="3">
        <f t="shared" si="50"/>
        <v>96.338520615321571</v>
      </c>
      <c r="F654" s="3">
        <v>84.779305703734096</v>
      </c>
      <c r="G654" s="4">
        <f t="shared" si="52"/>
        <v>96.338520615321571</v>
      </c>
      <c r="H654" s="1">
        <v>14.27</v>
      </c>
      <c r="I654" s="1">
        <f t="shared" si="53"/>
        <v>17.12</v>
      </c>
      <c r="J654" s="1" t="s">
        <v>1182</v>
      </c>
      <c r="K654" s="3">
        <f t="shared" si="54"/>
        <v>127.53057791999998</v>
      </c>
      <c r="L654" s="10">
        <f t="shared" si="51"/>
        <v>0.32377554798903208</v>
      </c>
      <c r="M654" s="18" t="str">
        <f>VLOOKUP(A654,Список!A:I,9,0)</f>
        <v>Основной ассортимент</v>
      </c>
      <c r="N654" s="12"/>
      <c r="O654" s="11"/>
    </row>
    <row r="655" spans="1:15" x14ac:dyDescent="0.25">
      <c r="A655" s="6">
        <v>4491</v>
      </c>
      <c r="B655" s="1" t="s">
        <v>659</v>
      </c>
      <c r="C655" s="3">
        <v>11.44838408</v>
      </c>
      <c r="D655" s="1" t="s">
        <v>1182</v>
      </c>
      <c r="E655" s="3">
        <f t="shared" si="50"/>
        <v>179.53997023764481</v>
      </c>
      <c r="F655" s="3">
        <v>162.66246153846154</v>
      </c>
      <c r="G655" s="4">
        <f t="shared" si="52"/>
        <v>179.53997023764481</v>
      </c>
      <c r="H655" s="1">
        <v>30.43</v>
      </c>
      <c r="I655" s="1">
        <f t="shared" si="53"/>
        <v>36.520000000000003</v>
      </c>
      <c r="J655" s="1" t="s">
        <v>1182</v>
      </c>
      <c r="K655" s="3">
        <f t="shared" si="54"/>
        <v>272.04536831999997</v>
      </c>
      <c r="L655" s="10">
        <f t="shared" si="51"/>
        <v>0.51523567682400784</v>
      </c>
      <c r="M655" s="18" t="str">
        <f>VLOOKUP(A655,Список!A:I,9,0)</f>
        <v>Основной ассортимент</v>
      </c>
      <c r="N655" s="12"/>
      <c r="O655" s="11"/>
    </row>
    <row r="656" spans="1:15" x14ac:dyDescent="0.25">
      <c r="A656" s="6">
        <v>4562</v>
      </c>
      <c r="B656" s="1" t="s">
        <v>660</v>
      </c>
      <c r="C656" s="3">
        <v>4.0562738999999999</v>
      </c>
      <c r="D656" s="1" t="s">
        <v>1182</v>
      </c>
      <c r="E656" s="3">
        <f t="shared" si="50"/>
        <v>63.612758813183987</v>
      </c>
      <c r="F656" s="3">
        <v>53.489234285714289</v>
      </c>
      <c r="G656" s="4">
        <f t="shared" si="52"/>
        <v>63.612758813183987</v>
      </c>
      <c r="H656" s="1">
        <v>10.73</v>
      </c>
      <c r="I656" s="1">
        <f t="shared" si="53"/>
        <v>12.88</v>
      </c>
      <c r="J656" s="1" t="s">
        <v>1182</v>
      </c>
      <c r="K656" s="3">
        <f t="shared" si="54"/>
        <v>95.945902079999996</v>
      </c>
      <c r="L656" s="10">
        <f t="shared" si="51"/>
        <v>0.50828078942104993</v>
      </c>
      <c r="M656" s="18" t="str">
        <f>VLOOKUP(A656,Список!A:I,9,0)</f>
        <v>Основной ассортимент</v>
      </c>
      <c r="N656" s="12"/>
      <c r="O656" s="11"/>
    </row>
    <row r="657" spans="1:15" x14ac:dyDescent="0.25">
      <c r="A657" s="6">
        <v>4563</v>
      </c>
      <c r="B657" s="1" t="s">
        <v>661</v>
      </c>
      <c r="C657" s="3">
        <v>5.86380648</v>
      </c>
      <c r="D657" s="1" t="s">
        <v>1182</v>
      </c>
      <c r="E657" s="3">
        <f t="shared" si="50"/>
        <v>91.959496950988793</v>
      </c>
      <c r="F657" s="3">
        <v>83.223960149439591</v>
      </c>
      <c r="G657" s="4">
        <f t="shared" si="52"/>
        <v>91.959496950988793</v>
      </c>
      <c r="H657" s="1">
        <v>15.62</v>
      </c>
      <c r="I657" s="1">
        <f t="shared" si="53"/>
        <v>18.739999999999998</v>
      </c>
      <c r="J657" s="1" t="s">
        <v>1182</v>
      </c>
      <c r="K657" s="3">
        <f t="shared" si="54"/>
        <v>139.59830783999996</v>
      </c>
      <c r="L657" s="10">
        <f t="shared" si="51"/>
        <v>0.5180412297644581</v>
      </c>
      <c r="M657" s="18" t="str">
        <f>VLOOKUP(A657,Список!A:I,9,0)</f>
        <v>Основной ассортимент</v>
      </c>
      <c r="N657" s="12"/>
      <c r="O657" s="11"/>
    </row>
    <row r="658" spans="1:15" x14ac:dyDescent="0.25">
      <c r="A658" s="6">
        <v>4564</v>
      </c>
      <c r="B658" s="1" t="s">
        <v>662</v>
      </c>
      <c r="C658" s="3">
        <v>8.2163097939999989</v>
      </c>
      <c r="D658" s="1" t="s">
        <v>1182</v>
      </c>
      <c r="E658" s="3">
        <f t="shared" si="50"/>
        <v>128.85277132299262</v>
      </c>
      <c r="F658" s="3">
        <v>109.09003484320557</v>
      </c>
      <c r="G658" s="4">
        <f t="shared" si="52"/>
        <v>128.85277132299262</v>
      </c>
      <c r="H658" s="1">
        <v>21.61</v>
      </c>
      <c r="I658" s="1">
        <f t="shared" si="53"/>
        <v>25.93</v>
      </c>
      <c r="J658" s="1" t="s">
        <v>1182</v>
      </c>
      <c r="K658" s="3">
        <f t="shared" si="54"/>
        <v>193.15817088</v>
      </c>
      <c r="L658" s="10">
        <f t="shared" si="51"/>
        <v>0.4990610515920868</v>
      </c>
      <c r="M658" s="18" t="str">
        <f>VLOOKUP(A658,Список!A:I,9,0)</f>
        <v>Основной ассортимент</v>
      </c>
      <c r="N658" s="12"/>
      <c r="O658" s="11"/>
    </row>
    <row r="659" spans="1:15" x14ac:dyDescent="0.25">
      <c r="A659" s="6">
        <v>4565</v>
      </c>
      <c r="B659" s="1" t="s">
        <v>663</v>
      </c>
      <c r="C659" s="3">
        <v>10.533909498000002</v>
      </c>
      <c r="D659" s="1" t="s">
        <v>1182</v>
      </c>
      <c r="E659" s="3">
        <f t="shared" si="50"/>
        <v>165.19866773695489</v>
      </c>
      <c r="F659" s="3">
        <v>146.08773084112147</v>
      </c>
      <c r="G659" s="4">
        <f t="shared" si="52"/>
        <v>165.19866773695489</v>
      </c>
      <c r="H659" s="1">
        <v>27.91</v>
      </c>
      <c r="I659" s="1">
        <f t="shared" si="53"/>
        <v>33.49</v>
      </c>
      <c r="J659" s="1" t="s">
        <v>1182</v>
      </c>
      <c r="K659" s="3">
        <f t="shared" si="54"/>
        <v>249.47424383999999</v>
      </c>
      <c r="L659" s="10">
        <f t="shared" si="51"/>
        <v>0.51014682659085797</v>
      </c>
      <c r="M659" s="18" t="str">
        <f>VLOOKUP(A659,Список!A:I,9,0)</f>
        <v>Основной ассортимент</v>
      </c>
      <c r="N659" s="12"/>
      <c r="O659" s="11"/>
    </row>
    <row r="660" spans="1:15" x14ac:dyDescent="0.25">
      <c r="A660" s="6">
        <v>4566</v>
      </c>
      <c r="B660" s="1" t="s">
        <v>664</v>
      </c>
      <c r="C660" s="3">
        <v>13.093936799999998</v>
      </c>
      <c r="D660" s="1" t="s">
        <v>1182</v>
      </c>
      <c r="E660" s="3">
        <f t="shared" si="50"/>
        <v>205.34644950220795</v>
      </c>
      <c r="F660" s="3">
        <v>177.97965298944899</v>
      </c>
      <c r="G660" s="4">
        <f t="shared" si="52"/>
        <v>205.34644950220795</v>
      </c>
      <c r="H660" s="1">
        <v>34.14</v>
      </c>
      <c r="I660" s="1">
        <f t="shared" si="53"/>
        <v>40.97</v>
      </c>
      <c r="J660" s="1" t="s">
        <v>1182</v>
      </c>
      <c r="K660" s="3">
        <f t="shared" si="54"/>
        <v>305.19437951999993</v>
      </c>
      <c r="L660" s="10">
        <f t="shared" si="51"/>
        <v>0.48624132659629149</v>
      </c>
      <c r="M660" s="18" t="str">
        <f>VLOOKUP(A660,Список!A:I,9,0)</f>
        <v>Основной ассортимент</v>
      </c>
      <c r="N660" s="12"/>
      <c r="O660" s="11"/>
    </row>
    <row r="661" spans="1:15" x14ac:dyDescent="0.25">
      <c r="A661" s="6">
        <v>4567</v>
      </c>
      <c r="B661" s="1" t="s">
        <v>665</v>
      </c>
      <c r="C661" s="3">
        <v>17.81914008</v>
      </c>
      <c r="D661" s="1" t="s">
        <v>1182</v>
      </c>
      <c r="E661" s="3">
        <f t="shared" si="50"/>
        <v>279.4497334530048</v>
      </c>
      <c r="F661" s="3">
        <v>229.82536492890992</v>
      </c>
      <c r="G661" s="4">
        <f t="shared" si="52"/>
        <v>279.4497334530048</v>
      </c>
      <c r="H661" s="1">
        <v>46.45</v>
      </c>
      <c r="I661" s="1">
        <f t="shared" si="53"/>
        <v>55.74</v>
      </c>
      <c r="J661" s="1" t="s">
        <v>1182</v>
      </c>
      <c r="K661" s="3">
        <f t="shared" si="54"/>
        <v>415.21929983999996</v>
      </c>
      <c r="L661" s="10">
        <f t="shared" si="51"/>
        <v>0.48584611160428115</v>
      </c>
      <c r="M661" s="18" t="str">
        <f>VLOOKUP(A661,Список!A:I,9,0)</f>
        <v>Основной ассортимент</v>
      </c>
      <c r="N661" s="12"/>
      <c r="O661" s="11"/>
    </row>
    <row r="662" spans="1:15" x14ac:dyDescent="0.25">
      <c r="A662" s="6">
        <v>2568</v>
      </c>
      <c r="B662" s="1" t="s">
        <v>666</v>
      </c>
      <c r="C662" s="3">
        <v>3.9092043200000002</v>
      </c>
      <c r="D662" s="1" t="s">
        <v>1182</v>
      </c>
      <c r="E662" s="3">
        <f t="shared" si="50"/>
        <v>61.306331300659195</v>
      </c>
      <c r="F662" s="3">
        <v>56.209712415584413</v>
      </c>
      <c r="G662" s="4">
        <f t="shared" si="52"/>
        <v>61.306331300659195</v>
      </c>
      <c r="H662" s="1">
        <v>8.48</v>
      </c>
      <c r="I662" s="1">
        <f t="shared" si="53"/>
        <v>10.18</v>
      </c>
      <c r="J662" s="1" t="s">
        <v>1182</v>
      </c>
      <c r="K662" s="3">
        <f t="shared" si="54"/>
        <v>75.833018879999983</v>
      </c>
      <c r="L662" s="10">
        <f t="shared" si="51"/>
        <v>0.23695248551244807</v>
      </c>
      <c r="M662" s="18" t="str">
        <f>VLOOKUP(A662,Список!A:I,9,0)</f>
        <v>Основной ассортимент</v>
      </c>
      <c r="N662" s="12"/>
      <c r="O662" s="11"/>
    </row>
    <row r="663" spans="1:15" x14ac:dyDescent="0.25">
      <c r="A663" s="6">
        <v>2569</v>
      </c>
      <c r="B663" s="1" t="s">
        <v>667</v>
      </c>
      <c r="C663" s="3">
        <v>6.1849196919999994</v>
      </c>
      <c r="D663" s="1" t="s">
        <v>1182</v>
      </c>
      <c r="E663" s="3">
        <f t="shared" si="50"/>
        <v>96.995374164971508</v>
      </c>
      <c r="F663" s="3">
        <v>77.018693592233006</v>
      </c>
      <c r="G663" s="4">
        <f t="shared" si="52"/>
        <v>96.995374164971508</v>
      </c>
      <c r="H663" s="1">
        <v>13.52</v>
      </c>
      <c r="I663" s="1">
        <f t="shared" si="53"/>
        <v>16.22</v>
      </c>
      <c r="J663" s="1" t="s">
        <v>1182</v>
      </c>
      <c r="K663" s="3">
        <f t="shared" si="54"/>
        <v>120.82628351999999</v>
      </c>
      <c r="L663" s="10">
        <f t="shared" si="51"/>
        <v>0.24569119465941158</v>
      </c>
      <c r="M663" s="18" t="str">
        <f>VLOOKUP(A663,Список!A:I,9,0)</f>
        <v>Основной ассортимент</v>
      </c>
      <c r="N663" s="12"/>
      <c r="O663" s="11"/>
    </row>
    <row r="664" spans="1:15" x14ac:dyDescent="0.25">
      <c r="A664" s="6">
        <v>2572</v>
      </c>
      <c r="B664" s="1" t="s">
        <v>668</v>
      </c>
      <c r="C664" s="3">
        <v>5.5147703799999999</v>
      </c>
      <c r="D664" s="1" t="s">
        <v>1182</v>
      </c>
      <c r="E664" s="3">
        <f t="shared" si="50"/>
        <v>86.485717370572786</v>
      </c>
      <c r="F664" s="3">
        <v>79.166166041778254</v>
      </c>
      <c r="G664" s="4">
        <f t="shared" si="52"/>
        <v>86.485717370572786</v>
      </c>
      <c r="H664" s="1">
        <v>12.82</v>
      </c>
      <c r="I664" s="1">
        <f t="shared" si="53"/>
        <v>15.38</v>
      </c>
      <c r="J664" s="1" t="s">
        <v>1182</v>
      </c>
      <c r="K664" s="3">
        <f t="shared" si="54"/>
        <v>114.56894207999999</v>
      </c>
      <c r="L664" s="10">
        <f t="shared" si="51"/>
        <v>0.32471517336321076</v>
      </c>
      <c r="M664" s="18" t="str">
        <f>VLOOKUP(A664,Список!A:I,9,0)</f>
        <v>Основной ассортимент</v>
      </c>
      <c r="N664" s="12"/>
      <c r="O664" s="11"/>
    </row>
    <row r="665" spans="1:15" x14ac:dyDescent="0.25">
      <c r="A665" s="6">
        <v>4511</v>
      </c>
      <c r="B665" s="1" t="s">
        <v>669</v>
      </c>
      <c r="C665" s="3">
        <v>23.734454800000002</v>
      </c>
      <c r="D665" s="1" t="s">
        <v>1182</v>
      </c>
      <c r="E665" s="3">
        <f t="shared" si="50"/>
        <v>372.21701146828798</v>
      </c>
      <c r="F665" s="3">
        <v>338.89861417322828</v>
      </c>
      <c r="G665" s="4">
        <f t="shared" si="52"/>
        <v>372.21701146828798</v>
      </c>
      <c r="H665" s="1">
        <v>57.81</v>
      </c>
      <c r="I665" s="1">
        <f t="shared" si="53"/>
        <v>69.37</v>
      </c>
      <c r="J665" s="1" t="s">
        <v>1182</v>
      </c>
      <c r="K665" s="3">
        <f t="shared" si="54"/>
        <v>516.75211391999994</v>
      </c>
      <c r="L665" s="10">
        <f t="shared" si="51"/>
        <v>0.38830869626716669</v>
      </c>
      <c r="M665" s="18" t="str">
        <f>VLOOKUP(A665,Список!A:I,9,0)</f>
        <v>Основной ассортимент</v>
      </c>
      <c r="N665" s="12"/>
      <c r="O665" s="11"/>
    </row>
    <row r="666" spans="1:15" x14ac:dyDescent="0.25">
      <c r="A666" s="6">
        <v>2571</v>
      </c>
      <c r="B666" s="1" t="s">
        <v>670</v>
      </c>
      <c r="C666" s="3">
        <v>16.963154459999998</v>
      </c>
      <c r="D666" s="1" t="s">
        <v>1182</v>
      </c>
      <c r="E666" s="3">
        <f t="shared" si="50"/>
        <v>266.02568760821754</v>
      </c>
      <c r="F666" s="3">
        <v>246.65963344051445</v>
      </c>
      <c r="G666" s="4">
        <f t="shared" si="52"/>
        <v>266.02568760821754</v>
      </c>
      <c r="H666" s="1">
        <v>39.090000000000003</v>
      </c>
      <c r="I666" s="1">
        <f t="shared" si="53"/>
        <v>46.91</v>
      </c>
      <c r="J666" s="1" t="s">
        <v>1182</v>
      </c>
      <c r="K666" s="3">
        <f t="shared" si="54"/>
        <v>349.44272255999994</v>
      </c>
      <c r="L666" s="10">
        <f t="shared" si="51"/>
        <v>0.31356759454986416</v>
      </c>
      <c r="M666" s="18" t="str">
        <f>VLOOKUP(A666,Список!A:I,9,0)</f>
        <v>Основной ассортимент</v>
      </c>
      <c r="N666" s="12"/>
      <c r="O666" s="11"/>
    </row>
    <row r="667" spans="1:15" x14ac:dyDescent="0.25">
      <c r="A667" s="6">
        <v>4514</v>
      </c>
      <c r="B667" s="1" t="s">
        <v>671</v>
      </c>
      <c r="C667" s="3">
        <v>14.310480099999998</v>
      </c>
      <c r="D667" s="1" t="s">
        <v>1182</v>
      </c>
      <c r="E667" s="3">
        <f t="shared" si="50"/>
        <v>224.42496279705597</v>
      </c>
      <c r="F667" s="3">
        <v>205.99315129151293</v>
      </c>
      <c r="G667" s="4">
        <f t="shared" si="52"/>
        <v>224.42496279705597</v>
      </c>
      <c r="H667" s="1">
        <v>37.54</v>
      </c>
      <c r="I667" s="1">
        <f t="shared" si="53"/>
        <v>45.05</v>
      </c>
      <c r="J667" s="1" t="s">
        <v>1182</v>
      </c>
      <c r="K667" s="3">
        <f t="shared" si="54"/>
        <v>335.58718079999994</v>
      </c>
      <c r="L667" s="10">
        <f t="shared" si="51"/>
        <v>0.49532020242982622</v>
      </c>
      <c r="M667" s="18" t="str">
        <f>VLOOKUP(A667,Список!A:I,9,0)</f>
        <v>Основной ассортимент</v>
      </c>
      <c r="N667" s="12"/>
      <c r="O667" s="11"/>
    </row>
    <row r="668" spans="1:15" x14ac:dyDescent="0.25">
      <c r="A668" s="6">
        <v>4513</v>
      </c>
      <c r="B668" s="1" t="s">
        <v>672</v>
      </c>
      <c r="C668" s="3">
        <v>12.495492379999998</v>
      </c>
      <c r="D668" s="1" t="s">
        <v>1182</v>
      </c>
      <c r="E668" s="3">
        <f t="shared" si="50"/>
        <v>195.96130897889276</v>
      </c>
      <c r="F668" s="3">
        <v>173.02718181818182</v>
      </c>
      <c r="G668" s="4">
        <f t="shared" si="52"/>
        <v>195.96130897889276</v>
      </c>
      <c r="H668" s="1">
        <v>32.74</v>
      </c>
      <c r="I668" s="1">
        <f t="shared" si="53"/>
        <v>39.29</v>
      </c>
      <c r="J668" s="1" t="s">
        <v>1182</v>
      </c>
      <c r="K668" s="3">
        <f t="shared" si="54"/>
        <v>292.67969663999992</v>
      </c>
      <c r="L668" s="10">
        <f t="shared" si="51"/>
        <v>0.49355859156628124</v>
      </c>
      <c r="M668" s="18" t="str">
        <f>VLOOKUP(A668,Список!A:I,9,0)</f>
        <v>Основной ассортимент</v>
      </c>
      <c r="N668" s="12"/>
      <c r="O668" s="11"/>
    </row>
    <row r="669" spans="1:15" x14ac:dyDescent="0.25">
      <c r="A669" s="6">
        <v>2570</v>
      </c>
      <c r="B669" s="1" t="s">
        <v>673</v>
      </c>
      <c r="C669" s="3">
        <v>11.280846751999999</v>
      </c>
      <c r="D669" s="1" t="s">
        <v>1182</v>
      </c>
      <c r="E669" s="3">
        <f t="shared" si="50"/>
        <v>176.91255603904509</v>
      </c>
      <c r="F669" s="3">
        <v>155.02096538210321</v>
      </c>
      <c r="G669" s="4">
        <f t="shared" si="52"/>
        <v>176.91255603904509</v>
      </c>
      <c r="H669" s="1">
        <v>26.04</v>
      </c>
      <c r="I669" s="1">
        <f t="shared" si="53"/>
        <v>31.25</v>
      </c>
      <c r="J669" s="1" t="s">
        <v>1182</v>
      </c>
      <c r="K669" s="3">
        <f t="shared" si="54"/>
        <v>232.78799999999995</v>
      </c>
      <c r="L669" s="10">
        <f t="shared" si="51"/>
        <v>0.3158365082273924</v>
      </c>
      <c r="M669" s="18" t="str">
        <f>VLOOKUP(A669,Список!A:I,9,0)</f>
        <v>Основной ассортимент</v>
      </c>
      <c r="N669" s="12"/>
      <c r="O669" s="11"/>
    </row>
    <row r="670" spans="1:15" x14ac:dyDescent="0.25">
      <c r="A670" s="6">
        <v>2382</v>
      </c>
      <c r="B670" s="1" t="s">
        <v>674</v>
      </c>
      <c r="C670" s="3">
        <v>8.3070591799999995</v>
      </c>
      <c r="D670" s="1" t="s">
        <v>1182</v>
      </c>
      <c r="E670" s="3">
        <f t="shared" si="50"/>
        <v>130.27595401390079</v>
      </c>
      <c r="F670" s="3">
        <v>92.720014471780033</v>
      </c>
      <c r="G670" s="4">
        <f t="shared" si="52"/>
        <v>130.27595401390079</v>
      </c>
      <c r="H670" s="1">
        <v>22.09</v>
      </c>
      <c r="I670" s="1">
        <f t="shared" si="53"/>
        <v>26.51</v>
      </c>
      <c r="J670" s="1" t="s">
        <v>1182</v>
      </c>
      <c r="K670" s="3">
        <f t="shared" si="54"/>
        <v>197.47871615999998</v>
      </c>
      <c r="L670" s="10">
        <f t="shared" si="51"/>
        <v>0.51584931889217622</v>
      </c>
      <c r="M670" s="18" t="str">
        <f>VLOOKUP(A670,Список!A:I,9,0)</f>
        <v>Основной ассортимент</v>
      </c>
      <c r="N670" s="12"/>
      <c r="O670" s="11"/>
    </row>
    <row r="671" spans="1:15" x14ac:dyDescent="0.25">
      <c r="A671" s="6">
        <v>2573</v>
      </c>
      <c r="B671" s="1" t="s">
        <v>675</v>
      </c>
      <c r="C671" s="3">
        <v>9.354167480000001</v>
      </c>
      <c r="D671" s="1" t="s">
        <v>1182</v>
      </c>
      <c r="E671" s="3">
        <f t="shared" si="50"/>
        <v>146.69729275514882</v>
      </c>
      <c r="F671" s="3">
        <v>103.04894845360825</v>
      </c>
      <c r="G671" s="4">
        <f t="shared" si="52"/>
        <v>146.69729275514882</v>
      </c>
      <c r="H671" s="1">
        <v>22.96</v>
      </c>
      <c r="I671" s="1">
        <f t="shared" si="53"/>
        <v>27.55</v>
      </c>
      <c r="J671" s="1" t="s">
        <v>1182</v>
      </c>
      <c r="K671" s="3">
        <f t="shared" si="54"/>
        <v>205.22590079999998</v>
      </c>
      <c r="L671" s="10">
        <f t="shared" si="51"/>
        <v>0.39897537947438977</v>
      </c>
      <c r="M671" s="18" t="str">
        <f>VLOOKUP(A671,Список!A:I,9,0)</f>
        <v>Основной ассортимент</v>
      </c>
      <c r="N671" s="12"/>
      <c r="O671" s="11"/>
    </row>
    <row r="672" spans="1:15" x14ac:dyDescent="0.25">
      <c r="A672" s="6">
        <v>4512</v>
      </c>
      <c r="B672" s="1" t="s">
        <v>676</v>
      </c>
      <c r="C672" s="3">
        <v>33.437658379999995</v>
      </c>
      <c r="D672" s="1" t="s">
        <v>1182</v>
      </c>
      <c r="E672" s="3">
        <f t="shared" si="50"/>
        <v>524.38808380385262</v>
      </c>
      <c r="F672" s="3">
        <v>460.38900499168051</v>
      </c>
      <c r="G672" s="4">
        <f t="shared" si="52"/>
        <v>524.38808380385262</v>
      </c>
      <c r="H672" s="1">
        <v>81.849999999999994</v>
      </c>
      <c r="I672" s="1">
        <f t="shared" si="53"/>
        <v>98.22</v>
      </c>
      <c r="J672" s="1" t="s">
        <v>1182</v>
      </c>
      <c r="K672" s="3">
        <f t="shared" si="54"/>
        <v>731.66199551999989</v>
      </c>
      <c r="L672" s="10">
        <f t="shared" si="51"/>
        <v>0.39526815753059341</v>
      </c>
      <c r="M672" s="18" t="str">
        <f>VLOOKUP(A672,Список!A:I,9,0)</f>
        <v>Основной ассортимент</v>
      </c>
      <c r="N672" s="12"/>
      <c r="O672" s="11"/>
    </row>
    <row r="673" spans="1:15" x14ac:dyDescent="0.25">
      <c r="A673" s="6">
        <v>2381</v>
      </c>
      <c r="B673" s="1" t="s">
        <v>677</v>
      </c>
      <c r="C673" s="3">
        <v>4.3978548599999989</v>
      </c>
      <c r="D673" s="1" t="s">
        <v>1182</v>
      </c>
      <c r="E673" s="3">
        <f t="shared" si="50"/>
        <v>68.969622713241577</v>
      </c>
      <c r="F673" s="3">
        <v>59.019216981132075</v>
      </c>
      <c r="G673" s="4">
        <f t="shared" si="52"/>
        <v>68.969622713241577</v>
      </c>
      <c r="H673" s="1">
        <v>11.1</v>
      </c>
      <c r="I673" s="1">
        <f t="shared" si="53"/>
        <v>13.32</v>
      </c>
      <c r="J673" s="1" t="s">
        <v>1182</v>
      </c>
      <c r="K673" s="3">
        <f t="shared" si="54"/>
        <v>99.223557119999995</v>
      </c>
      <c r="L673" s="10">
        <f t="shared" si="51"/>
        <v>0.4386559359987614</v>
      </c>
      <c r="M673" s="18" t="str">
        <f>VLOOKUP(A673,Список!A:I,9,0)</f>
        <v>Основной ассортимент</v>
      </c>
      <c r="N673" s="12"/>
      <c r="O673" s="11"/>
    </row>
    <row r="674" spans="1:15" x14ac:dyDescent="0.25">
      <c r="A674" s="6">
        <v>4521</v>
      </c>
      <c r="B674" s="1" t="s">
        <v>678</v>
      </c>
      <c r="C674" s="3">
        <v>6.8271461159999998</v>
      </c>
      <c r="D674" s="1" t="s">
        <v>1182</v>
      </c>
      <c r="E674" s="3">
        <f t="shared" si="50"/>
        <v>107.06712859293695</v>
      </c>
      <c r="F674" s="3">
        <v>95.905259842519683</v>
      </c>
      <c r="G674" s="4">
        <f t="shared" si="52"/>
        <v>107.06712859293695</v>
      </c>
      <c r="H674" s="1">
        <v>18.100000000000001</v>
      </c>
      <c r="I674" s="1">
        <f t="shared" si="53"/>
        <v>21.72</v>
      </c>
      <c r="J674" s="1" t="s">
        <v>1182</v>
      </c>
      <c r="K674" s="3">
        <f t="shared" si="54"/>
        <v>161.79697151999997</v>
      </c>
      <c r="L674" s="10">
        <f t="shared" si="51"/>
        <v>0.51117316440924387</v>
      </c>
      <c r="M674" s="18" t="str">
        <f>VLOOKUP(A674,Список!A:I,9,0)</f>
        <v>Основной ассортимент</v>
      </c>
      <c r="N674" s="12"/>
      <c r="O674" s="11"/>
    </row>
    <row r="675" spans="1:15" x14ac:dyDescent="0.25">
      <c r="A675" s="6">
        <v>4522</v>
      </c>
      <c r="B675" s="1" t="s">
        <v>679</v>
      </c>
      <c r="C675" s="3">
        <v>10.889926319999999</v>
      </c>
      <c r="D675" s="1" t="s">
        <v>1182</v>
      </c>
      <c r="E675" s="3">
        <f t="shared" si="50"/>
        <v>170.78192290897917</v>
      </c>
      <c r="F675" s="3">
        <v>152.98079999999999</v>
      </c>
      <c r="G675" s="4">
        <f t="shared" si="52"/>
        <v>170.78192290897917</v>
      </c>
      <c r="H675" s="1">
        <v>30.31</v>
      </c>
      <c r="I675" s="1">
        <f t="shared" si="53"/>
        <v>36.369999999999997</v>
      </c>
      <c r="J675" s="1" t="s">
        <v>1182</v>
      </c>
      <c r="K675" s="3">
        <f t="shared" si="54"/>
        <v>270.92798591999991</v>
      </c>
      <c r="L675" s="10">
        <f t="shared" si="51"/>
        <v>0.58639732651561194</v>
      </c>
      <c r="M675" s="18" t="str">
        <f>VLOOKUP(A675,Список!A:I,9,0)</f>
        <v>Основной ассортимент</v>
      </c>
      <c r="N675" s="12"/>
      <c r="O675" s="11"/>
    </row>
    <row r="676" spans="1:15" x14ac:dyDescent="0.25">
      <c r="A676" s="6">
        <v>2574</v>
      </c>
      <c r="B676" s="1" t="s">
        <v>680</v>
      </c>
      <c r="C676" s="3">
        <v>4.1674910339999993</v>
      </c>
      <c r="D676" s="1" t="s">
        <v>1182</v>
      </c>
      <c r="E676" s="3">
        <f t="shared" si="50"/>
        <v>65.356928190167025</v>
      </c>
      <c r="F676" s="3">
        <v>56.690227882037533</v>
      </c>
      <c r="G676" s="4">
        <f t="shared" si="52"/>
        <v>65.356928190167025</v>
      </c>
      <c r="H676" s="1">
        <v>9.98</v>
      </c>
      <c r="I676" s="1">
        <f t="shared" si="53"/>
        <v>11.98</v>
      </c>
      <c r="J676" s="1" t="s">
        <v>1182</v>
      </c>
      <c r="K676" s="3">
        <f t="shared" si="54"/>
        <v>89.241607679999987</v>
      </c>
      <c r="L676" s="10">
        <f t="shared" si="51"/>
        <v>0.36544984825994953</v>
      </c>
      <c r="M676" s="18" t="str">
        <f>VLOOKUP(A676,Список!A:I,9,0)</f>
        <v>Основной ассортимент</v>
      </c>
      <c r="N676" s="12"/>
      <c r="O676" s="11"/>
    </row>
    <row r="677" spans="1:15" x14ac:dyDescent="0.25">
      <c r="A677" s="6">
        <v>4515</v>
      </c>
      <c r="B677" s="1" t="s">
        <v>681</v>
      </c>
      <c r="C677" s="3">
        <v>6.3664184639999997</v>
      </c>
      <c r="D677" s="1" t="s">
        <v>1182</v>
      </c>
      <c r="E677" s="3">
        <f t="shared" si="50"/>
        <v>99.841739546787835</v>
      </c>
      <c r="F677" s="3">
        <v>88.783667425968105</v>
      </c>
      <c r="G677" s="4">
        <f t="shared" si="52"/>
        <v>99.841739546787835</v>
      </c>
      <c r="H677" s="1">
        <v>15.89</v>
      </c>
      <c r="I677" s="1">
        <f t="shared" si="53"/>
        <v>19.07</v>
      </c>
      <c r="J677" s="1" t="s">
        <v>1182</v>
      </c>
      <c r="K677" s="3">
        <f t="shared" si="54"/>
        <v>142.05654912</v>
      </c>
      <c r="L677" s="10">
        <f t="shared" si="51"/>
        <v>0.42281724822542244</v>
      </c>
      <c r="M677" s="18" t="str">
        <f>VLOOKUP(A677,Список!A:I,9,0)</f>
        <v>Основной ассортимент</v>
      </c>
      <c r="N677" s="12"/>
      <c r="O677" s="11"/>
    </row>
    <row r="678" spans="1:15" x14ac:dyDescent="0.25">
      <c r="A678" s="6">
        <v>4516</v>
      </c>
      <c r="B678" s="1" t="s">
        <v>682</v>
      </c>
      <c r="C678" s="3">
        <v>5.4310017159999999</v>
      </c>
      <c r="D678" s="1" t="s">
        <v>1182</v>
      </c>
      <c r="E678" s="3">
        <f t="shared" si="50"/>
        <v>85.172010271272953</v>
      </c>
      <c r="F678" s="3">
        <v>77.40930683470674</v>
      </c>
      <c r="G678" s="4">
        <f t="shared" si="52"/>
        <v>85.172010271272953</v>
      </c>
      <c r="H678" s="1">
        <v>14.4</v>
      </c>
      <c r="I678" s="1">
        <f t="shared" si="53"/>
        <v>17.28</v>
      </c>
      <c r="J678" s="1" t="s">
        <v>1182</v>
      </c>
      <c r="K678" s="3">
        <f t="shared" si="54"/>
        <v>128.72245247999999</v>
      </c>
      <c r="L678" s="10">
        <f t="shared" si="51"/>
        <v>0.51132340389781605</v>
      </c>
      <c r="M678" s="18" t="str">
        <f>VLOOKUP(A678,Список!A:I,9,0)</f>
        <v>Основной ассортимент</v>
      </c>
      <c r="N678" s="12"/>
      <c r="O678" s="11"/>
    </row>
    <row r="679" spans="1:15" x14ac:dyDescent="0.25">
      <c r="A679" s="6">
        <v>2380</v>
      </c>
      <c r="B679" s="1" t="s">
        <v>683</v>
      </c>
      <c r="C679" s="3">
        <v>4.3001247520000003</v>
      </c>
      <c r="D679" s="1" t="s">
        <v>1182</v>
      </c>
      <c r="E679" s="3">
        <f t="shared" si="50"/>
        <v>67.436964430725112</v>
      </c>
      <c r="F679" s="3">
        <v>62.875634746276702</v>
      </c>
      <c r="G679" s="4">
        <f t="shared" si="52"/>
        <v>67.436964430725112</v>
      </c>
      <c r="H679" s="1">
        <v>9.9600000000000009</v>
      </c>
      <c r="I679" s="1">
        <f t="shared" si="53"/>
        <v>11.95</v>
      </c>
      <c r="J679" s="1" t="s">
        <v>1182</v>
      </c>
      <c r="K679" s="3">
        <f t="shared" si="54"/>
        <v>89.018131199999985</v>
      </c>
      <c r="L679" s="10">
        <f t="shared" si="51"/>
        <v>0.32001984299640607</v>
      </c>
      <c r="M679" s="18" t="str">
        <f>VLOOKUP(A679,Список!A:I,9,0)</f>
        <v>Основной ассортимент</v>
      </c>
      <c r="N679" s="12"/>
      <c r="O679" s="11"/>
    </row>
    <row r="680" spans="1:15" x14ac:dyDescent="0.25">
      <c r="A680" s="6">
        <v>4519</v>
      </c>
      <c r="B680" s="1" t="s">
        <v>684</v>
      </c>
      <c r="C680" s="3">
        <v>6.3524570200000001</v>
      </c>
      <c r="D680" s="1" t="s">
        <v>1182</v>
      </c>
      <c r="E680" s="3">
        <f t="shared" si="50"/>
        <v>99.622788363571189</v>
      </c>
      <c r="F680" s="3">
        <v>90.938215864759428</v>
      </c>
      <c r="G680" s="4">
        <f t="shared" si="52"/>
        <v>99.622788363571189</v>
      </c>
      <c r="H680" s="1">
        <v>17.18</v>
      </c>
      <c r="I680" s="1">
        <f t="shared" si="53"/>
        <v>20.62</v>
      </c>
      <c r="J680" s="1" t="s">
        <v>1182</v>
      </c>
      <c r="K680" s="3">
        <f t="shared" si="54"/>
        <v>153.60283391999999</v>
      </c>
      <c r="L680" s="10">
        <f t="shared" si="51"/>
        <v>0.5418443555246597</v>
      </c>
      <c r="M680" s="18" t="str">
        <f>VLOOKUP(A680,Список!A:I,9,0)</f>
        <v>Основной ассортимент</v>
      </c>
      <c r="N680" s="12"/>
      <c r="O680" s="11"/>
    </row>
    <row r="681" spans="1:15" x14ac:dyDescent="0.25">
      <c r="A681" s="6">
        <v>4520</v>
      </c>
      <c r="B681" s="1" t="s">
        <v>685</v>
      </c>
      <c r="C681" s="3">
        <v>10.540890219999998</v>
      </c>
      <c r="D681" s="1" t="s">
        <v>1182</v>
      </c>
      <c r="E681" s="3">
        <f t="shared" si="50"/>
        <v>165.30814332856318</v>
      </c>
      <c r="F681" s="3">
        <v>151.27159493670885</v>
      </c>
      <c r="G681" s="4">
        <f t="shared" si="52"/>
        <v>165.30814332856318</v>
      </c>
      <c r="H681" s="1">
        <v>28.7</v>
      </c>
      <c r="I681" s="1">
        <f t="shared" si="53"/>
        <v>34.44</v>
      </c>
      <c r="J681" s="1" t="s">
        <v>1182</v>
      </c>
      <c r="K681" s="3">
        <f t="shared" si="54"/>
        <v>256.55099903999997</v>
      </c>
      <c r="L681" s="10">
        <f t="shared" si="51"/>
        <v>0.55195620659826972</v>
      </c>
      <c r="M681" s="18" t="str">
        <f>VLOOKUP(A681,Список!A:I,9,0)</f>
        <v>Основной ассортимент</v>
      </c>
      <c r="N681" s="12"/>
      <c r="O681" s="11"/>
    </row>
    <row r="682" spans="1:15" x14ac:dyDescent="0.25">
      <c r="A682" s="6">
        <v>2379</v>
      </c>
      <c r="B682" s="1" t="s">
        <v>686</v>
      </c>
      <c r="C682" s="3">
        <v>4.174471756</v>
      </c>
      <c r="D682" s="1" t="s">
        <v>1182</v>
      </c>
      <c r="E682" s="3">
        <f t="shared" si="50"/>
        <v>65.466403781775355</v>
      </c>
      <c r="F682" s="3">
        <v>59.572016161616162</v>
      </c>
      <c r="G682" s="4">
        <f t="shared" si="52"/>
        <v>65.466403781775355</v>
      </c>
      <c r="H682" s="1">
        <v>10.35</v>
      </c>
      <c r="I682" s="1">
        <f t="shared" si="53"/>
        <v>12.42</v>
      </c>
      <c r="J682" s="1" t="s">
        <v>1182</v>
      </c>
      <c r="K682" s="3">
        <f t="shared" si="54"/>
        <v>92.519262719999986</v>
      </c>
      <c r="L682" s="10">
        <f t="shared" si="51"/>
        <v>0.41323270220252506</v>
      </c>
      <c r="M682" s="18" t="str">
        <f>VLOOKUP(A682,Список!A:I,9,0)</f>
        <v>Основной ассортимент</v>
      </c>
      <c r="N682" s="12"/>
      <c r="O682" s="11"/>
    </row>
    <row r="683" spans="1:15" x14ac:dyDescent="0.25">
      <c r="A683" s="6">
        <v>2578</v>
      </c>
      <c r="B683" s="1" t="s">
        <v>687</v>
      </c>
      <c r="C683" s="3">
        <v>6.3105726879999988</v>
      </c>
      <c r="D683" s="1" t="s">
        <v>1182</v>
      </c>
      <c r="E683" s="3">
        <f t="shared" si="50"/>
        <v>98.965934813921265</v>
      </c>
      <c r="F683" s="3">
        <v>82.891328859060394</v>
      </c>
      <c r="G683" s="4">
        <f t="shared" si="52"/>
        <v>98.965934813921265</v>
      </c>
      <c r="H683" s="1">
        <v>16.760000000000002</v>
      </c>
      <c r="I683" s="1">
        <f t="shared" si="53"/>
        <v>20.11</v>
      </c>
      <c r="J683" s="1" t="s">
        <v>1182</v>
      </c>
      <c r="K683" s="3">
        <f t="shared" si="54"/>
        <v>149.80373375999997</v>
      </c>
      <c r="L683" s="10">
        <f t="shared" si="51"/>
        <v>0.51368987764997587</v>
      </c>
      <c r="M683" s="18" t="str">
        <f>VLOOKUP(A683,Список!A:I,9,0)</f>
        <v>Основной ассортимент</v>
      </c>
      <c r="N683" s="12"/>
      <c r="O683" s="11"/>
    </row>
    <row r="684" spans="1:15" x14ac:dyDescent="0.25">
      <c r="A684" s="6">
        <v>4518</v>
      </c>
      <c r="B684" s="1" t="s">
        <v>688</v>
      </c>
      <c r="C684" s="3">
        <v>10.610697440000001</v>
      </c>
      <c r="D684" s="1" t="s">
        <v>1182</v>
      </c>
      <c r="E684" s="3">
        <f t="shared" si="50"/>
        <v>166.40289924464639</v>
      </c>
      <c r="F684" s="3">
        <v>135.57923076923075</v>
      </c>
      <c r="G684" s="4">
        <f t="shared" si="52"/>
        <v>166.40289924464639</v>
      </c>
      <c r="H684" s="1">
        <v>28.26</v>
      </c>
      <c r="I684" s="1">
        <f t="shared" si="53"/>
        <v>33.909999999999997</v>
      </c>
      <c r="J684" s="1" t="s">
        <v>1182</v>
      </c>
      <c r="K684" s="3">
        <f t="shared" si="54"/>
        <v>252.60291455999993</v>
      </c>
      <c r="L684" s="10">
        <f t="shared" si="51"/>
        <v>0.5180199125534577</v>
      </c>
      <c r="M684" s="18" t="str">
        <f>VLOOKUP(A684,Список!A:I,9,0)</f>
        <v>Основной ассортимент</v>
      </c>
      <c r="N684" s="12"/>
      <c r="O684" s="11"/>
    </row>
    <row r="685" spans="1:15" x14ac:dyDescent="0.25">
      <c r="A685" s="6">
        <v>2575</v>
      </c>
      <c r="B685" s="1" t="s">
        <v>689</v>
      </c>
      <c r="C685" s="3">
        <v>4.2093753659999997</v>
      </c>
      <c r="D685" s="1" t="s">
        <v>1182</v>
      </c>
      <c r="E685" s="3">
        <f t="shared" si="50"/>
        <v>66.013781739816949</v>
      </c>
      <c r="F685" s="3">
        <v>57.640348101265822</v>
      </c>
      <c r="G685" s="4">
        <f t="shared" si="52"/>
        <v>66.013781739816949</v>
      </c>
      <c r="H685" s="1">
        <v>9.11</v>
      </c>
      <c r="I685" s="1">
        <f t="shared" si="53"/>
        <v>10.93</v>
      </c>
      <c r="J685" s="1" t="s">
        <v>1182</v>
      </c>
      <c r="K685" s="3">
        <f t="shared" si="54"/>
        <v>81.419930879999995</v>
      </c>
      <c r="L685" s="10">
        <f t="shared" si="51"/>
        <v>0.23337776952249123</v>
      </c>
      <c r="M685" s="18" t="str">
        <f>VLOOKUP(A685,Список!A:I,9,0)</f>
        <v>Основной ассортимент</v>
      </c>
      <c r="N685" s="12"/>
      <c r="O685" s="11"/>
    </row>
    <row r="686" spans="1:15" x14ac:dyDescent="0.25">
      <c r="A686" s="6">
        <v>2576</v>
      </c>
      <c r="B686" s="1" t="s">
        <v>690</v>
      </c>
      <c r="C686" s="3">
        <v>6.4711292939999998</v>
      </c>
      <c r="D686" s="1" t="s">
        <v>1182</v>
      </c>
      <c r="E686" s="3">
        <f t="shared" si="50"/>
        <v>101.48387342091264</v>
      </c>
      <c r="F686" s="3">
        <v>95.694140715109569</v>
      </c>
      <c r="G686" s="4">
        <f t="shared" si="52"/>
        <v>101.48387342091264</v>
      </c>
      <c r="H686" s="1">
        <v>15.51</v>
      </c>
      <c r="I686" s="1">
        <f t="shared" si="53"/>
        <v>18.61</v>
      </c>
      <c r="J686" s="1" t="s">
        <v>1182</v>
      </c>
      <c r="K686" s="3">
        <f t="shared" si="54"/>
        <v>138.62990975999998</v>
      </c>
      <c r="L686" s="10">
        <f t="shared" si="51"/>
        <v>0.36602895698532434</v>
      </c>
      <c r="M686" s="18" t="str">
        <f>VLOOKUP(A686,Список!A:I,9,0)</f>
        <v>Основной ассортимент</v>
      </c>
      <c r="N686" s="12"/>
      <c r="O686" s="11"/>
    </row>
    <row r="687" spans="1:15" x14ac:dyDescent="0.25">
      <c r="A687" s="6">
        <v>4517</v>
      </c>
      <c r="B687" s="1" t="s">
        <v>691</v>
      </c>
      <c r="C687" s="3">
        <v>5.7241920400000001</v>
      </c>
      <c r="D687" s="1" t="s">
        <v>1182</v>
      </c>
      <c r="E687" s="3">
        <f t="shared" si="50"/>
        <v>89.769985118822405</v>
      </c>
      <c r="F687" s="3">
        <v>60.345904255319148</v>
      </c>
      <c r="G687" s="4">
        <f t="shared" si="52"/>
        <v>89.769985118822405</v>
      </c>
      <c r="H687" s="1">
        <v>15.21</v>
      </c>
      <c r="I687" s="1">
        <f t="shared" si="53"/>
        <v>18.25</v>
      </c>
      <c r="J687" s="1" t="s">
        <v>1182</v>
      </c>
      <c r="K687" s="3">
        <f t="shared" si="54"/>
        <v>135.94819199999998</v>
      </c>
      <c r="L687" s="10">
        <f t="shared" si="51"/>
        <v>0.51440586539091693</v>
      </c>
      <c r="M687" s="18" t="str">
        <f>VLOOKUP(A687,Список!A:I,9,0)</f>
        <v>Основной ассортимент</v>
      </c>
      <c r="N687" s="12"/>
      <c r="O687" s="11"/>
    </row>
    <row r="688" spans="1:15" x14ac:dyDescent="0.25">
      <c r="A688" s="6">
        <v>2577</v>
      </c>
      <c r="B688" s="1" t="s">
        <v>692</v>
      </c>
      <c r="C688" s="3">
        <v>11.02954076</v>
      </c>
      <c r="D688" s="1" t="s">
        <v>1182</v>
      </c>
      <c r="E688" s="3">
        <f t="shared" si="50"/>
        <v>172.97143474114557</v>
      </c>
      <c r="F688" s="3">
        <v>152.1803375858685</v>
      </c>
      <c r="G688" s="4">
        <f t="shared" si="52"/>
        <v>172.97143474114557</v>
      </c>
      <c r="H688" s="1">
        <v>29.28</v>
      </c>
      <c r="I688" s="1">
        <f t="shared" si="53"/>
        <v>35.14</v>
      </c>
      <c r="J688" s="1" t="s">
        <v>1182</v>
      </c>
      <c r="K688" s="3">
        <f t="shared" si="54"/>
        <v>261.76545024000001</v>
      </c>
      <c r="L688" s="10">
        <f t="shared" si="51"/>
        <v>0.51334496722962419</v>
      </c>
      <c r="M688" s="18" t="str">
        <f>VLOOKUP(A688,Список!A:I,9,0)</f>
        <v>Основной ассортимент</v>
      </c>
      <c r="N688" s="12"/>
      <c r="O688" s="11"/>
    </row>
    <row r="689" spans="1:15" x14ac:dyDescent="0.25">
      <c r="A689" s="6">
        <v>2557</v>
      </c>
      <c r="B689" s="1" t="s">
        <v>693</v>
      </c>
      <c r="C689" s="3">
        <v>3.1832092319999998</v>
      </c>
      <c r="D689" s="1" t="s">
        <v>1182</v>
      </c>
      <c r="E689" s="3">
        <f t="shared" si="50"/>
        <v>49.920869773393918</v>
      </c>
      <c r="F689" s="3">
        <v>45.942487625738465</v>
      </c>
      <c r="G689" s="4">
        <f t="shared" si="52"/>
        <v>49.920869773393918</v>
      </c>
      <c r="H689" s="1">
        <v>7.27</v>
      </c>
      <c r="I689" s="1">
        <f t="shared" si="53"/>
        <v>8.7200000000000006</v>
      </c>
      <c r="J689" s="1" t="s">
        <v>1182</v>
      </c>
      <c r="K689" s="3">
        <f t="shared" si="54"/>
        <v>64.957163519999995</v>
      </c>
      <c r="L689" s="10">
        <f t="shared" si="51"/>
        <v>0.30120255946782204</v>
      </c>
      <c r="M689" s="18" t="str">
        <f>VLOOKUP(A689,Список!A:I,9,0)</f>
        <v>Основной ассортимент</v>
      </c>
      <c r="N689" s="12"/>
      <c r="O689" s="11"/>
    </row>
    <row r="690" spans="1:15" x14ac:dyDescent="0.25">
      <c r="A690" s="6">
        <v>2385</v>
      </c>
      <c r="B690" s="1" t="s">
        <v>694</v>
      </c>
      <c r="C690" s="3">
        <v>5.6404233759999993</v>
      </c>
      <c r="D690" s="1" t="s">
        <v>1182</v>
      </c>
      <c r="E690" s="3">
        <f t="shared" si="50"/>
        <v>88.456278019522543</v>
      </c>
      <c r="F690" s="3">
        <v>73.12047157894736</v>
      </c>
      <c r="G690" s="4">
        <f t="shared" si="52"/>
        <v>88.456278019522543</v>
      </c>
      <c r="H690" s="1">
        <v>14.08</v>
      </c>
      <c r="I690" s="1">
        <f t="shared" si="53"/>
        <v>16.899999999999999</v>
      </c>
      <c r="J690" s="1" t="s">
        <v>1182</v>
      </c>
      <c r="K690" s="3">
        <f t="shared" si="54"/>
        <v>125.89175039999996</v>
      </c>
      <c r="L690" s="10">
        <f t="shared" si="51"/>
        <v>0.42320876729874746</v>
      </c>
      <c r="M690" s="18" t="str">
        <f>VLOOKUP(A690,Список!A:I,9,0)</f>
        <v>Основной ассортимент</v>
      </c>
      <c r="N690" s="12"/>
      <c r="O690" s="11"/>
    </row>
    <row r="691" spans="1:15" x14ac:dyDescent="0.25">
      <c r="A691" s="6">
        <v>2560</v>
      </c>
      <c r="B691" s="1" t="s">
        <v>695</v>
      </c>
      <c r="C691" s="3">
        <v>4.1046645359999996</v>
      </c>
      <c r="D691" s="1" t="s">
        <v>1182</v>
      </c>
      <c r="E691" s="3">
        <f t="shared" si="50"/>
        <v>64.371647865692154</v>
      </c>
      <c r="F691" s="3">
        <v>57.743963800904979</v>
      </c>
      <c r="G691" s="4">
        <f t="shared" si="52"/>
        <v>64.371647865692154</v>
      </c>
      <c r="H691" s="1">
        <v>10.42</v>
      </c>
      <c r="I691" s="1">
        <f t="shared" si="53"/>
        <v>12.5</v>
      </c>
      <c r="J691" s="1" t="s">
        <v>1182</v>
      </c>
      <c r="K691" s="3">
        <f t="shared" si="54"/>
        <v>93.115199999999987</v>
      </c>
      <c r="L691" s="10">
        <f t="shared" si="51"/>
        <v>0.44652503217378636</v>
      </c>
      <c r="M691" s="18" t="str">
        <f>VLOOKUP(A691,Список!A:I,9,0)</f>
        <v>Основной ассортимент</v>
      </c>
      <c r="N691" s="12"/>
      <c r="O691" s="11"/>
    </row>
    <row r="692" spans="1:15" x14ac:dyDescent="0.25">
      <c r="A692" s="6">
        <v>2558</v>
      </c>
      <c r="B692" s="1" t="s">
        <v>696</v>
      </c>
      <c r="C692" s="3">
        <v>4.9214090099999988</v>
      </c>
      <c r="D692" s="1" t="s">
        <v>1182</v>
      </c>
      <c r="E692" s="3">
        <f t="shared" si="50"/>
        <v>77.180292083865581</v>
      </c>
      <c r="F692" s="3">
        <v>61.336470867501077</v>
      </c>
      <c r="G692" s="4">
        <f t="shared" si="52"/>
        <v>77.180292083865581</v>
      </c>
      <c r="H692" s="1">
        <v>10.84</v>
      </c>
      <c r="I692" s="1">
        <f t="shared" si="53"/>
        <v>13.01</v>
      </c>
      <c r="J692" s="1" t="s">
        <v>1182</v>
      </c>
      <c r="K692" s="3">
        <f t="shared" si="54"/>
        <v>96.914300159999982</v>
      </c>
      <c r="L692" s="10">
        <f t="shared" si="51"/>
        <v>0.25568713907808283</v>
      </c>
      <c r="M692" s="18" t="str">
        <f>VLOOKUP(A692,Список!A:I,9,0)</f>
        <v>Основной ассортимент</v>
      </c>
      <c r="N692" s="12"/>
      <c r="O692" s="11"/>
    </row>
    <row r="693" spans="1:15" x14ac:dyDescent="0.25">
      <c r="A693" s="6">
        <v>2384</v>
      </c>
      <c r="B693" s="1" t="s">
        <v>697</v>
      </c>
      <c r="C693" s="3">
        <v>6.7014931200000003</v>
      </c>
      <c r="D693" s="1" t="s">
        <v>1182</v>
      </c>
      <c r="E693" s="3">
        <f t="shared" si="50"/>
        <v>105.0965679439872</v>
      </c>
      <c r="F693" s="3">
        <v>79.823752577319581</v>
      </c>
      <c r="G693" s="4">
        <f t="shared" si="52"/>
        <v>105.0965679439872</v>
      </c>
      <c r="H693" s="1">
        <v>16.45</v>
      </c>
      <c r="I693" s="1">
        <f t="shared" si="53"/>
        <v>19.739999999999998</v>
      </c>
      <c r="J693" s="1" t="s">
        <v>1182</v>
      </c>
      <c r="K693" s="3">
        <f t="shared" si="54"/>
        <v>147.04752383999997</v>
      </c>
      <c r="L693" s="10">
        <f t="shared" si="51"/>
        <v>0.39916580262041634</v>
      </c>
      <c r="M693" s="18" t="str">
        <f>VLOOKUP(A693,Список!A:I,9,0)</f>
        <v>Основной ассортимент</v>
      </c>
      <c r="N693" s="12"/>
      <c r="O693" s="11"/>
    </row>
    <row r="694" spans="1:15" x14ac:dyDescent="0.25">
      <c r="A694" s="6">
        <v>2559</v>
      </c>
      <c r="B694" s="1" t="s">
        <v>698</v>
      </c>
      <c r="C694" s="3">
        <v>8.5164808399999998</v>
      </c>
      <c r="D694" s="1" t="s">
        <v>1182</v>
      </c>
      <c r="E694" s="3">
        <f t="shared" si="50"/>
        <v>133.56022176215041</v>
      </c>
      <c r="F694" s="3">
        <v>101.26943537759755</v>
      </c>
      <c r="G694" s="4">
        <f t="shared" si="52"/>
        <v>133.56022176215041</v>
      </c>
      <c r="H694" s="1">
        <v>22.02</v>
      </c>
      <c r="I694" s="1">
        <f t="shared" si="53"/>
        <v>26.42</v>
      </c>
      <c r="J694" s="1" t="s">
        <v>1182</v>
      </c>
      <c r="K694" s="3">
        <f t="shared" si="54"/>
        <v>196.80828671999998</v>
      </c>
      <c r="L694" s="10">
        <f t="shared" si="51"/>
        <v>0.47355465664383489</v>
      </c>
      <c r="M694" s="18" t="str">
        <f>VLOOKUP(A694,Список!A:I,9,0)</f>
        <v>Основной ассортимент</v>
      </c>
      <c r="N694" s="12"/>
      <c r="O694" s="11"/>
    </row>
    <row r="695" spans="1:15" x14ac:dyDescent="0.25">
      <c r="A695" s="6">
        <v>4505</v>
      </c>
      <c r="B695" s="1" t="s">
        <v>699</v>
      </c>
      <c r="C695" s="3">
        <v>18.149877199999999</v>
      </c>
      <c r="D695" s="1" t="s">
        <v>1182</v>
      </c>
      <c r="E695" s="3">
        <f t="shared" si="50"/>
        <v>284.63653818163198</v>
      </c>
      <c r="F695" s="3">
        <v>226.40686401480113</v>
      </c>
      <c r="G695" s="4">
        <f t="shared" si="52"/>
        <v>284.63653818163198</v>
      </c>
      <c r="H695" s="1">
        <v>47.5</v>
      </c>
      <c r="I695" s="1">
        <f t="shared" si="53"/>
        <v>57</v>
      </c>
      <c r="J695" s="1" t="s">
        <v>1182</v>
      </c>
      <c r="K695" s="3">
        <f t="shared" si="54"/>
        <v>424.60531199999997</v>
      </c>
      <c r="L695" s="10">
        <f t="shared" si="51"/>
        <v>0.49174563010266548</v>
      </c>
      <c r="M695" s="18" t="str">
        <f>VLOOKUP(A695,Список!A:I,9,0)</f>
        <v>Основной ассортимент</v>
      </c>
      <c r="N695" s="12"/>
      <c r="O695" s="11"/>
    </row>
    <row r="696" spans="1:15" x14ac:dyDescent="0.25">
      <c r="A696" s="6">
        <v>4504</v>
      </c>
      <c r="B696" s="1" t="s">
        <v>700</v>
      </c>
      <c r="C696" s="3">
        <v>12.914335700000001</v>
      </c>
      <c r="D696" s="1" t="s">
        <v>1182</v>
      </c>
      <c r="E696" s="3">
        <f t="shared" si="50"/>
        <v>202.529844475392</v>
      </c>
      <c r="F696" s="3">
        <v>187.14019077901429</v>
      </c>
      <c r="G696" s="4">
        <f t="shared" si="52"/>
        <v>202.529844475392</v>
      </c>
      <c r="H696" s="1">
        <v>31.83</v>
      </c>
      <c r="I696" s="1">
        <f t="shared" si="53"/>
        <v>38.200000000000003</v>
      </c>
      <c r="J696" s="1" t="s">
        <v>1182</v>
      </c>
      <c r="K696" s="3">
        <f t="shared" si="54"/>
        <v>284.56005119999998</v>
      </c>
      <c r="L696" s="10">
        <f t="shared" si="51"/>
        <v>0.40502774757512294</v>
      </c>
      <c r="M696" s="18" t="str">
        <f>VLOOKUP(A696,Список!A:I,9,0)</f>
        <v>Основной ассортимент</v>
      </c>
      <c r="N696" s="12"/>
      <c r="O696" s="11"/>
    </row>
    <row r="697" spans="1:15" x14ac:dyDescent="0.25">
      <c r="A697" s="6">
        <v>4506</v>
      </c>
      <c r="B697" s="1" t="s">
        <v>701</v>
      </c>
      <c r="C697" s="3">
        <v>26.526743599999996</v>
      </c>
      <c r="D697" s="1" t="s">
        <v>1182</v>
      </c>
      <c r="E697" s="3">
        <f t="shared" si="50"/>
        <v>416.00724811161592</v>
      </c>
      <c r="F697" s="3">
        <v>352.36169585253458</v>
      </c>
      <c r="G697" s="4">
        <f t="shared" si="52"/>
        <v>416.00724811161592</v>
      </c>
      <c r="H697" s="1">
        <v>69.5</v>
      </c>
      <c r="I697" s="1">
        <f t="shared" si="53"/>
        <v>83.4</v>
      </c>
      <c r="J697" s="1" t="s">
        <v>1182</v>
      </c>
      <c r="K697" s="3">
        <f t="shared" si="54"/>
        <v>621.26461440000003</v>
      </c>
      <c r="L697" s="10">
        <f t="shared" si="51"/>
        <v>0.49339853384793186</v>
      </c>
      <c r="M697" s="18" t="str">
        <f>VLOOKUP(A697,Список!A:I,9,0)</f>
        <v>Основной ассортимент</v>
      </c>
      <c r="N697" s="12"/>
      <c r="O697" s="11"/>
    </row>
    <row r="698" spans="1:15" x14ac:dyDescent="0.25">
      <c r="A698" s="6">
        <v>2561</v>
      </c>
      <c r="B698" s="1" t="s">
        <v>702</v>
      </c>
      <c r="C698" s="3">
        <v>3.0017104599999995</v>
      </c>
      <c r="D698" s="1" t="s">
        <v>1182</v>
      </c>
      <c r="E698" s="3">
        <f t="shared" si="50"/>
        <v>47.074504391577591</v>
      </c>
      <c r="F698" s="3">
        <v>43.518621299070645</v>
      </c>
      <c r="G698" s="4">
        <f t="shared" si="52"/>
        <v>47.074504391577591</v>
      </c>
      <c r="H698" s="1">
        <v>7.15</v>
      </c>
      <c r="I698" s="1">
        <f t="shared" si="53"/>
        <v>8.58</v>
      </c>
      <c r="J698" s="1" t="s">
        <v>1182</v>
      </c>
      <c r="K698" s="3">
        <f t="shared" si="54"/>
        <v>63.914273279999989</v>
      </c>
      <c r="L698" s="10">
        <f t="shared" si="51"/>
        <v>0.35772588805917005</v>
      </c>
      <c r="M698" s="18" t="str">
        <f>VLOOKUP(A698,Список!A:I,9,0)</f>
        <v>Основной ассортимент</v>
      </c>
      <c r="N698" s="12"/>
      <c r="O698" s="11"/>
    </row>
    <row r="699" spans="1:15" x14ac:dyDescent="0.25">
      <c r="A699" s="6">
        <v>2562</v>
      </c>
      <c r="B699" s="1" t="s">
        <v>703</v>
      </c>
      <c r="C699" s="3">
        <v>4.74689096</v>
      </c>
      <c r="D699" s="1" t="s">
        <v>1182</v>
      </c>
      <c r="E699" s="3">
        <f t="shared" si="50"/>
        <v>74.443402293657599</v>
      </c>
      <c r="F699" s="3">
        <v>63.362206549118383</v>
      </c>
      <c r="G699" s="4">
        <f t="shared" si="52"/>
        <v>74.443402293657599</v>
      </c>
      <c r="H699" s="1">
        <v>11.78</v>
      </c>
      <c r="I699" s="1">
        <f t="shared" si="53"/>
        <v>14.14</v>
      </c>
      <c r="J699" s="1" t="s">
        <v>1182</v>
      </c>
      <c r="K699" s="3">
        <f t="shared" si="54"/>
        <v>105.33191423999999</v>
      </c>
      <c r="L699" s="10">
        <f t="shared" si="51"/>
        <v>0.41492611829448878</v>
      </c>
      <c r="M699" s="18" t="str">
        <f>VLOOKUP(A699,Список!A:I,9,0)</f>
        <v>Основной ассортимент</v>
      </c>
      <c r="N699" s="12"/>
      <c r="O699" s="11"/>
    </row>
    <row r="700" spans="1:15" x14ac:dyDescent="0.25">
      <c r="A700" s="6">
        <v>2563</v>
      </c>
      <c r="B700" s="1" t="s">
        <v>704</v>
      </c>
      <c r="C700" s="3">
        <v>8.0627339100000004</v>
      </c>
      <c r="D700" s="1" t="s">
        <v>1182</v>
      </c>
      <c r="E700" s="3">
        <f t="shared" ref="E700:E763" si="55">IF(D700="RUB",C700*1.2,C700*$E$2*1.2)</f>
        <v>126.44430830760959</v>
      </c>
      <c r="F700" s="3">
        <v>109.67786796116503</v>
      </c>
      <c r="G700" s="4">
        <f t="shared" si="52"/>
        <v>126.44430830760959</v>
      </c>
      <c r="H700" s="1">
        <v>21.43</v>
      </c>
      <c r="I700" s="1">
        <f t="shared" si="53"/>
        <v>25.72</v>
      </c>
      <c r="J700" s="1" t="s">
        <v>1182</v>
      </c>
      <c r="K700" s="3">
        <f t="shared" si="54"/>
        <v>191.59383551999997</v>
      </c>
      <c r="L700" s="10">
        <f t="shared" ref="L700:L763" si="56">K700/E700-1</f>
        <v>0.51524286133858022</v>
      </c>
      <c r="M700" s="18" t="str">
        <f>VLOOKUP(A700,Список!A:I,9,0)</f>
        <v>Основной ассортимент</v>
      </c>
      <c r="N700" s="12"/>
      <c r="O700" s="11"/>
    </row>
    <row r="701" spans="1:15" x14ac:dyDescent="0.25">
      <c r="A701" s="6">
        <v>4508</v>
      </c>
      <c r="B701" s="1" t="s">
        <v>705</v>
      </c>
      <c r="C701" s="3">
        <v>17.381997779999999</v>
      </c>
      <c r="D701" s="1" t="s">
        <v>1182</v>
      </c>
      <c r="E701" s="3">
        <f t="shared" si="55"/>
        <v>272.59422310471678</v>
      </c>
      <c r="F701" s="3">
        <v>240.75886567164179</v>
      </c>
      <c r="G701" s="4">
        <f t="shared" si="52"/>
        <v>272.59422310471678</v>
      </c>
      <c r="H701" s="1">
        <v>45.34</v>
      </c>
      <c r="I701" s="1">
        <f t="shared" si="53"/>
        <v>54.41</v>
      </c>
      <c r="J701" s="1" t="s">
        <v>1182</v>
      </c>
      <c r="K701" s="3">
        <f t="shared" si="54"/>
        <v>405.31184255999995</v>
      </c>
      <c r="L701" s="10">
        <f t="shared" si="56"/>
        <v>0.48686878960123758</v>
      </c>
      <c r="M701" s="18" t="str">
        <f>VLOOKUP(A701,Список!A:I,9,0)</f>
        <v>Основной ассортимент</v>
      </c>
      <c r="N701" s="12"/>
      <c r="O701" s="11"/>
    </row>
    <row r="702" spans="1:15" x14ac:dyDescent="0.25">
      <c r="A702" s="6">
        <v>4507</v>
      </c>
      <c r="B702" s="1" t="s">
        <v>706</v>
      </c>
      <c r="C702" s="3">
        <v>12.076649059999998</v>
      </c>
      <c r="D702" s="1" t="s">
        <v>1182</v>
      </c>
      <c r="E702" s="3">
        <f t="shared" si="55"/>
        <v>189.39277348239355</v>
      </c>
      <c r="F702" s="3">
        <v>169.02432183908044</v>
      </c>
      <c r="G702" s="4">
        <f t="shared" si="52"/>
        <v>189.39277348239355</v>
      </c>
      <c r="H702" s="1">
        <v>31.63</v>
      </c>
      <c r="I702" s="1">
        <f t="shared" si="53"/>
        <v>37.96</v>
      </c>
      <c r="J702" s="1" t="s">
        <v>1182</v>
      </c>
      <c r="K702" s="3">
        <f t="shared" si="54"/>
        <v>282.77223936000001</v>
      </c>
      <c r="L702" s="10">
        <f t="shared" si="56"/>
        <v>0.49304661503511515</v>
      </c>
      <c r="M702" s="18" t="str">
        <f>VLOOKUP(A702,Список!A:I,9,0)</f>
        <v>Основной ассортимент</v>
      </c>
      <c r="N702" s="12"/>
      <c r="O702" s="11"/>
    </row>
    <row r="703" spans="1:15" x14ac:dyDescent="0.25">
      <c r="A703" s="6">
        <v>4509</v>
      </c>
      <c r="B703" s="1" t="s">
        <v>707</v>
      </c>
      <c r="C703" s="3">
        <v>25.340020859999996</v>
      </c>
      <c r="D703" s="1" t="s">
        <v>1182</v>
      </c>
      <c r="E703" s="3">
        <f t="shared" si="55"/>
        <v>397.39639753820148</v>
      </c>
      <c r="F703" s="3">
        <v>343.1150813397129</v>
      </c>
      <c r="G703" s="4">
        <f t="shared" si="52"/>
        <v>397.39639753820148</v>
      </c>
      <c r="H703" s="1">
        <v>66.349999999999994</v>
      </c>
      <c r="I703" s="1">
        <f t="shared" si="53"/>
        <v>79.62</v>
      </c>
      <c r="J703" s="1" t="s">
        <v>1182</v>
      </c>
      <c r="K703" s="3">
        <f t="shared" si="54"/>
        <v>593.10657791999995</v>
      </c>
      <c r="L703" s="10">
        <f t="shared" si="56"/>
        <v>0.4924810128984245</v>
      </c>
      <c r="M703" s="18" t="str">
        <f>VLOOKUP(A703,Список!A:I,9,0)</f>
        <v>Основной ассортимент</v>
      </c>
      <c r="N703" s="12"/>
      <c r="O703" s="11"/>
    </row>
    <row r="704" spans="1:15" x14ac:dyDescent="0.25">
      <c r="A704" s="6">
        <v>2383</v>
      </c>
      <c r="B704" s="1" t="s">
        <v>708</v>
      </c>
      <c r="C704" s="3">
        <v>3.9092043200000002</v>
      </c>
      <c r="D704" s="1" t="s">
        <v>1182</v>
      </c>
      <c r="E704" s="3">
        <f t="shared" si="55"/>
        <v>61.306331300659195</v>
      </c>
      <c r="F704" s="3">
        <v>50.570293706293704</v>
      </c>
      <c r="G704" s="4">
        <f t="shared" si="52"/>
        <v>61.306331300659195</v>
      </c>
      <c r="H704" s="1">
        <v>10.49</v>
      </c>
      <c r="I704" s="1">
        <f t="shared" si="53"/>
        <v>12.59</v>
      </c>
      <c r="J704" s="1" t="s">
        <v>1182</v>
      </c>
      <c r="K704" s="3">
        <f t="shared" si="54"/>
        <v>93.785629439999994</v>
      </c>
      <c r="L704" s="10">
        <f t="shared" si="56"/>
        <v>0.52978701302570963</v>
      </c>
      <c r="M704" s="18" t="str">
        <f>VLOOKUP(A704,Список!A:I,9,0)</f>
        <v>Основной ассортимент</v>
      </c>
      <c r="N704" s="12"/>
      <c r="O704" s="11"/>
    </row>
    <row r="705" spans="1:15" x14ac:dyDescent="0.25">
      <c r="A705" s="6">
        <v>2392</v>
      </c>
      <c r="B705" s="1" t="s">
        <v>709</v>
      </c>
      <c r="C705" s="3">
        <v>6.5618786800000004</v>
      </c>
      <c r="D705" s="1" t="s">
        <v>1182</v>
      </c>
      <c r="E705" s="3">
        <f t="shared" si="55"/>
        <v>102.90705611182081</v>
      </c>
      <c r="F705" s="3">
        <v>92.383492063492056</v>
      </c>
      <c r="G705" s="4">
        <f t="shared" si="52"/>
        <v>102.90705611182081</v>
      </c>
      <c r="H705" s="1">
        <v>15.2</v>
      </c>
      <c r="I705" s="1">
        <f t="shared" si="53"/>
        <v>18.239999999999998</v>
      </c>
      <c r="J705" s="1" t="s">
        <v>1182</v>
      </c>
      <c r="K705" s="3">
        <f t="shared" si="54"/>
        <v>135.87369983999997</v>
      </c>
      <c r="L705" s="10">
        <f t="shared" si="56"/>
        <v>0.32035357898448646</v>
      </c>
      <c r="M705" s="18" t="str">
        <f>VLOOKUP(A705,Список!A:I,9,0)</f>
        <v>Основной ассортимент</v>
      </c>
      <c r="N705" s="12"/>
      <c r="O705" s="11"/>
    </row>
    <row r="706" spans="1:15" x14ac:dyDescent="0.25">
      <c r="A706" s="6">
        <v>2564</v>
      </c>
      <c r="B706" s="1" t="s">
        <v>710</v>
      </c>
      <c r="C706" s="3">
        <v>3.1413248999999999</v>
      </c>
      <c r="D706" s="1" t="s">
        <v>1182</v>
      </c>
      <c r="E706" s="3">
        <f t="shared" si="55"/>
        <v>49.264016223743994</v>
      </c>
      <c r="F706" s="3">
        <v>42.719537560552389</v>
      </c>
      <c r="G706" s="4">
        <f t="shared" si="52"/>
        <v>49.264016223743994</v>
      </c>
      <c r="H706" s="1">
        <v>7.26</v>
      </c>
      <c r="I706" s="1">
        <f t="shared" si="53"/>
        <v>8.7100000000000009</v>
      </c>
      <c r="J706" s="1" t="s">
        <v>1182</v>
      </c>
      <c r="K706" s="3">
        <f t="shared" si="54"/>
        <v>64.882671360000003</v>
      </c>
      <c r="L706" s="10">
        <f t="shared" si="56"/>
        <v>0.3170398260937608</v>
      </c>
      <c r="M706" s="18" t="str">
        <f>VLOOKUP(A706,Список!A:I,9,0)</f>
        <v>Основной ассортимент</v>
      </c>
      <c r="N706" s="12"/>
      <c r="O706" s="11"/>
    </row>
    <row r="707" spans="1:15" x14ac:dyDescent="0.25">
      <c r="A707" s="6">
        <v>2565</v>
      </c>
      <c r="B707" s="1" t="s">
        <v>711</v>
      </c>
      <c r="C707" s="3">
        <v>4.9353704540000001</v>
      </c>
      <c r="D707" s="1" t="s">
        <v>1182</v>
      </c>
      <c r="E707" s="3">
        <f t="shared" si="55"/>
        <v>77.399243267082241</v>
      </c>
      <c r="F707" s="3">
        <v>64.866012320328551</v>
      </c>
      <c r="G707" s="4">
        <f t="shared" si="52"/>
        <v>77.399243267082241</v>
      </c>
      <c r="H707" s="1">
        <v>11.91</v>
      </c>
      <c r="I707" s="1">
        <f t="shared" si="53"/>
        <v>14.29</v>
      </c>
      <c r="J707" s="1" t="s">
        <v>1182</v>
      </c>
      <c r="K707" s="3">
        <f t="shared" si="54"/>
        <v>106.44929663999997</v>
      </c>
      <c r="L707" s="10">
        <f t="shared" si="56"/>
        <v>0.37532735653079263</v>
      </c>
      <c r="M707" s="18" t="str">
        <f>VLOOKUP(A707,Список!A:I,9,0)</f>
        <v>Основной ассортимент</v>
      </c>
      <c r="N707" s="12"/>
      <c r="O707" s="11"/>
    </row>
    <row r="708" spans="1:15" x14ac:dyDescent="0.25">
      <c r="A708" s="6">
        <v>2567</v>
      </c>
      <c r="B708" s="1" t="s">
        <v>712</v>
      </c>
      <c r="C708" s="3">
        <v>8.23725196</v>
      </c>
      <c r="D708" s="1" t="s">
        <v>1182</v>
      </c>
      <c r="E708" s="3">
        <f t="shared" si="55"/>
        <v>129.18119809781757</v>
      </c>
      <c r="F708" s="3">
        <v>107.27743027888447</v>
      </c>
      <c r="G708" s="4">
        <f t="shared" si="52"/>
        <v>129.18119809781757</v>
      </c>
      <c r="H708" s="1">
        <v>21.89</v>
      </c>
      <c r="I708" s="1">
        <f t="shared" si="53"/>
        <v>26.27</v>
      </c>
      <c r="J708" s="1" t="s">
        <v>1182</v>
      </c>
      <c r="K708" s="3">
        <f t="shared" si="54"/>
        <v>195.69090431999996</v>
      </c>
      <c r="L708" s="10">
        <f t="shared" si="56"/>
        <v>0.51485593260886486</v>
      </c>
      <c r="M708" s="18" t="str">
        <f>VLOOKUP(A708,Список!A:I,9,0)</f>
        <v>Основной ассортимент</v>
      </c>
      <c r="N708" s="12"/>
      <c r="O708" s="11"/>
    </row>
    <row r="709" spans="1:15" x14ac:dyDescent="0.25">
      <c r="A709" s="6">
        <v>2388</v>
      </c>
      <c r="B709" s="1" t="s">
        <v>713</v>
      </c>
      <c r="C709" s="3">
        <v>4.11862598</v>
      </c>
      <c r="D709" s="1" t="s">
        <v>1182</v>
      </c>
      <c r="E709" s="3">
        <f t="shared" si="55"/>
        <v>64.590599048908786</v>
      </c>
      <c r="F709" s="3">
        <v>55.115430018999369</v>
      </c>
      <c r="G709" s="4">
        <f t="shared" si="52"/>
        <v>64.590599048908786</v>
      </c>
      <c r="H709" s="1">
        <v>10.95</v>
      </c>
      <c r="I709" s="1">
        <f t="shared" si="53"/>
        <v>13.14</v>
      </c>
      <c r="J709" s="1" t="s">
        <v>1182</v>
      </c>
      <c r="K709" s="3">
        <f t="shared" si="54"/>
        <v>97.882698239999982</v>
      </c>
      <c r="L709" s="10">
        <f t="shared" si="56"/>
        <v>0.51543258123186031</v>
      </c>
      <c r="M709" s="18" t="str">
        <f>VLOOKUP(A709,Список!A:I,9,0)</f>
        <v>Основной ассортимент</v>
      </c>
      <c r="N709" s="12"/>
      <c r="O709" s="11"/>
    </row>
    <row r="710" spans="1:15" x14ac:dyDescent="0.25">
      <c r="A710" s="6">
        <v>1491</v>
      </c>
      <c r="B710" s="1" t="s">
        <v>714</v>
      </c>
      <c r="C710" s="3">
        <v>3.9510886519999997</v>
      </c>
      <c r="D710" s="1" t="s">
        <v>1182</v>
      </c>
      <c r="E710" s="3">
        <f t="shared" si="55"/>
        <v>61.963184850309105</v>
      </c>
      <c r="F710" s="3">
        <v>57.188505775075988</v>
      </c>
      <c r="G710" s="4">
        <f t="shared" ref="G710:G773" si="57">IF(M710="Вывод из ассортимента",F710,MAX(E710,F710))</f>
        <v>61.963184850309105</v>
      </c>
      <c r="H710" s="1">
        <v>10.54</v>
      </c>
      <c r="I710" s="1">
        <f t="shared" ref="I710:I773" si="58">ROUND(H710*1.2,2)</f>
        <v>12.65</v>
      </c>
      <c r="J710" s="1" t="s">
        <v>1182</v>
      </c>
      <c r="K710" s="3">
        <f t="shared" ref="K710:K773" si="59">IF(J710="RUB",I710*$K$4,I710*$E$2*$K$4)</f>
        <v>94.232582399999998</v>
      </c>
      <c r="L710" s="10">
        <f t="shared" si="56"/>
        <v>0.52078339142262342</v>
      </c>
      <c r="M710" s="18" t="str">
        <f>VLOOKUP(A710,Список!A:I,9,0)</f>
        <v>Основной ассортимент</v>
      </c>
      <c r="N710" s="12"/>
      <c r="O710" s="11"/>
    </row>
    <row r="711" spans="1:15" x14ac:dyDescent="0.25">
      <c r="A711" s="6">
        <v>4510</v>
      </c>
      <c r="B711" s="1" t="s">
        <v>715</v>
      </c>
      <c r="C711" s="3">
        <v>12.216263499999998</v>
      </c>
      <c r="D711" s="1" t="s">
        <v>1182</v>
      </c>
      <c r="E711" s="3">
        <f t="shared" si="55"/>
        <v>191.58228531455998</v>
      </c>
      <c r="F711" s="3">
        <v>167.11864462809919</v>
      </c>
      <c r="G711" s="4">
        <f t="shared" si="57"/>
        <v>191.58228531455998</v>
      </c>
      <c r="H711" s="1">
        <v>30.08</v>
      </c>
      <c r="I711" s="1">
        <f t="shared" si="58"/>
        <v>36.1</v>
      </c>
      <c r="J711" s="1" t="s">
        <v>1182</v>
      </c>
      <c r="K711" s="3">
        <f t="shared" si="59"/>
        <v>268.91669759999996</v>
      </c>
      <c r="L711" s="10">
        <f t="shared" si="56"/>
        <v>0.40366160242041271</v>
      </c>
      <c r="M711" s="18" t="str">
        <f>VLOOKUP(A711,Список!A:I,9,0)</f>
        <v>Основной ассортимент</v>
      </c>
      <c r="N711" s="12"/>
      <c r="O711" s="11"/>
    </row>
    <row r="712" spans="1:15" x14ac:dyDescent="0.25">
      <c r="A712" s="6">
        <v>2412</v>
      </c>
      <c r="B712" s="1" t="s">
        <v>716</v>
      </c>
      <c r="C712" s="3">
        <v>1.6367420999999998</v>
      </c>
      <c r="D712" s="1" t="s">
        <v>1182</v>
      </c>
      <c r="E712" s="3">
        <f t="shared" si="55"/>
        <v>25.668306187775993</v>
      </c>
      <c r="F712" s="3">
        <v>23.039398641851108</v>
      </c>
      <c r="G712" s="4">
        <f t="shared" si="57"/>
        <v>25.668306187775993</v>
      </c>
      <c r="H712" s="1">
        <v>4.07</v>
      </c>
      <c r="I712" s="1">
        <f t="shared" si="58"/>
        <v>4.88</v>
      </c>
      <c r="J712" s="1" t="s">
        <v>1182</v>
      </c>
      <c r="K712" s="3">
        <f t="shared" si="59"/>
        <v>36.352174079999998</v>
      </c>
      <c r="L712" s="10">
        <f t="shared" si="56"/>
        <v>0.41622800562165563</v>
      </c>
      <c r="M712" s="18" t="str">
        <f>VLOOKUP(A712,Список!A:I,9,0)</f>
        <v>Основной ассортимент</v>
      </c>
      <c r="N712" s="12"/>
      <c r="O712" s="11"/>
    </row>
    <row r="713" spans="1:15" x14ac:dyDescent="0.25">
      <c r="A713" s="6">
        <v>2403</v>
      </c>
      <c r="B713" s="1" t="s">
        <v>717</v>
      </c>
      <c r="C713" s="3">
        <v>2.0281369499999999</v>
      </c>
      <c r="D713" s="1" t="s">
        <v>1182</v>
      </c>
      <c r="E713" s="3">
        <f t="shared" si="55"/>
        <v>31.806379406591994</v>
      </c>
      <c r="F713" s="3">
        <v>28.145878161343919</v>
      </c>
      <c r="G713" s="4">
        <f t="shared" si="57"/>
        <v>31.806379406591994</v>
      </c>
      <c r="H713" s="1">
        <v>4.97</v>
      </c>
      <c r="I713" s="1">
        <f t="shared" si="58"/>
        <v>5.96</v>
      </c>
      <c r="J713" s="1" t="s">
        <v>1182</v>
      </c>
      <c r="K713" s="3">
        <f t="shared" si="59"/>
        <v>44.397327359999991</v>
      </c>
      <c r="L713" s="10">
        <f t="shared" si="56"/>
        <v>0.39586234548904597</v>
      </c>
      <c r="M713" s="18" t="str">
        <f>VLOOKUP(A713,Список!A:I,9,0)</f>
        <v>Основной ассортимент</v>
      </c>
      <c r="N713" s="12"/>
      <c r="O713" s="11"/>
    </row>
    <row r="714" spans="1:15" x14ac:dyDescent="0.25">
      <c r="A714" s="6">
        <v>2404</v>
      </c>
      <c r="B714" s="1" t="s">
        <v>718</v>
      </c>
      <c r="C714" s="3">
        <v>2.47646196</v>
      </c>
      <c r="D714" s="1" t="s">
        <v>1182</v>
      </c>
      <c r="E714" s="3">
        <f t="shared" si="55"/>
        <v>38.837263275417598</v>
      </c>
      <c r="F714" s="3">
        <v>30.793941672199804</v>
      </c>
      <c r="G714" s="4">
        <f t="shared" si="57"/>
        <v>38.837263275417598</v>
      </c>
      <c r="H714" s="1">
        <v>5.85</v>
      </c>
      <c r="I714" s="1">
        <f t="shared" si="58"/>
        <v>7.02</v>
      </c>
      <c r="J714" s="1" t="s">
        <v>1182</v>
      </c>
      <c r="K714" s="3">
        <f t="shared" si="59"/>
        <v>52.293496319999988</v>
      </c>
      <c r="L714" s="10">
        <f t="shared" si="56"/>
        <v>0.3464773753278243</v>
      </c>
      <c r="M714" s="18" t="str">
        <f>VLOOKUP(A714,Список!A:I,9,0)</f>
        <v>Основной ассортимент</v>
      </c>
      <c r="N714" s="12"/>
      <c r="O714" s="11"/>
    </row>
    <row r="715" spans="1:15" x14ac:dyDescent="0.25">
      <c r="A715" s="6">
        <v>2405</v>
      </c>
      <c r="B715" s="1" t="s">
        <v>719</v>
      </c>
      <c r="C715" s="3">
        <v>2.9176707</v>
      </c>
      <c r="D715" s="1" t="s">
        <v>1182</v>
      </c>
      <c r="E715" s="3">
        <f t="shared" si="55"/>
        <v>45.756545812991995</v>
      </c>
      <c r="F715" s="3">
        <v>38.14743164362519</v>
      </c>
      <c r="G715" s="4">
        <f t="shared" si="57"/>
        <v>45.756545812991995</v>
      </c>
      <c r="H715" s="1">
        <v>7.28</v>
      </c>
      <c r="I715" s="1">
        <f t="shared" si="58"/>
        <v>8.74</v>
      </c>
      <c r="J715" s="1" t="s">
        <v>1182</v>
      </c>
      <c r="K715" s="3">
        <f t="shared" si="59"/>
        <v>65.106147839999991</v>
      </c>
      <c r="L715" s="10">
        <f t="shared" si="56"/>
        <v>0.42288161580400407</v>
      </c>
      <c r="M715" s="18" t="str">
        <f>VLOOKUP(A715,Список!A:I,9,0)</f>
        <v>Основной ассортимент</v>
      </c>
      <c r="N715" s="12"/>
      <c r="O715" s="11"/>
    </row>
    <row r="716" spans="1:15" x14ac:dyDescent="0.25">
      <c r="A716" s="6">
        <v>2406</v>
      </c>
      <c r="B716" s="1" t="s">
        <v>720</v>
      </c>
      <c r="C716" s="3">
        <v>3.3019492799999997</v>
      </c>
      <c r="D716" s="1" t="s">
        <v>1182</v>
      </c>
      <c r="E716" s="3">
        <f t="shared" si="55"/>
        <v>51.78301770055679</v>
      </c>
      <c r="F716" s="3">
        <v>43.14623125</v>
      </c>
      <c r="G716" s="4">
        <f t="shared" si="57"/>
        <v>51.78301770055679</v>
      </c>
      <c r="H716" s="1">
        <v>7.76</v>
      </c>
      <c r="I716" s="1">
        <f t="shared" si="58"/>
        <v>9.31</v>
      </c>
      <c r="J716" s="1" t="s">
        <v>1182</v>
      </c>
      <c r="K716" s="3">
        <f t="shared" si="59"/>
        <v>69.35220095999999</v>
      </c>
      <c r="L716" s="10">
        <f t="shared" si="56"/>
        <v>0.33928465430577415</v>
      </c>
      <c r="M716" s="18" t="str">
        <f>VLOOKUP(A716,Список!A:I,9,0)</f>
        <v>Основной ассортимент</v>
      </c>
      <c r="N716" s="12"/>
      <c r="O716" s="11"/>
    </row>
    <row r="717" spans="1:15" x14ac:dyDescent="0.25">
      <c r="A717" s="6">
        <v>2407</v>
      </c>
      <c r="B717" s="1" t="s">
        <v>721</v>
      </c>
      <c r="C717" s="3">
        <v>4.2341806499999999</v>
      </c>
      <c r="D717" s="1" t="s">
        <v>1182</v>
      </c>
      <c r="E717" s="3">
        <f t="shared" si="55"/>
        <v>66.40279209446399</v>
      </c>
      <c r="F717" s="3">
        <v>57.181882172915067</v>
      </c>
      <c r="G717" s="4">
        <f t="shared" si="57"/>
        <v>66.40279209446399</v>
      </c>
      <c r="H717" s="1">
        <v>9.59</v>
      </c>
      <c r="I717" s="1">
        <f t="shared" si="58"/>
        <v>11.51</v>
      </c>
      <c r="J717" s="1" t="s">
        <v>1182</v>
      </c>
      <c r="K717" s="3">
        <f t="shared" si="59"/>
        <v>85.740476159999986</v>
      </c>
      <c r="L717" s="10">
        <f t="shared" si="56"/>
        <v>0.29121793610766233</v>
      </c>
      <c r="M717" s="18" t="str">
        <f>VLOOKUP(A717,Список!A:I,9,0)</f>
        <v>Основной ассортимент</v>
      </c>
      <c r="N717" s="12"/>
      <c r="O717" s="11"/>
    </row>
    <row r="718" spans="1:15" x14ac:dyDescent="0.25">
      <c r="A718" s="6">
        <v>2408</v>
      </c>
      <c r="B718" s="1" t="s">
        <v>722</v>
      </c>
      <c r="C718" s="3">
        <v>4.9102262999999997</v>
      </c>
      <c r="D718" s="1" t="s">
        <v>1182</v>
      </c>
      <c r="E718" s="3">
        <f t="shared" si="55"/>
        <v>77.00491856332799</v>
      </c>
      <c r="F718" s="3">
        <v>65.793840036702846</v>
      </c>
      <c r="G718" s="4">
        <f t="shared" si="57"/>
        <v>77.00491856332799</v>
      </c>
      <c r="H718" s="1">
        <v>11.51</v>
      </c>
      <c r="I718" s="1">
        <f t="shared" si="58"/>
        <v>13.81</v>
      </c>
      <c r="J718" s="1" t="s">
        <v>1182</v>
      </c>
      <c r="K718" s="3">
        <f t="shared" si="59"/>
        <v>102.87367295999999</v>
      </c>
      <c r="L718" s="10">
        <f t="shared" si="56"/>
        <v>0.33593639054884306</v>
      </c>
      <c r="M718" s="18" t="str">
        <f>VLOOKUP(A718,Список!A:I,9,0)</f>
        <v>Основной ассортимент</v>
      </c>
      <c r="N718" s="12"/>
      <c r="O718" s="11"/>
    </row>
    <row r="719" spans="1:15" x14ac:dyDescent="0.25">
      <c r="A719" s="6">
        <v>2409</v>
      </c>
      <c r="B719" s="1" t="s">
        <v>723</v>
      </c>
      <c r="C719" s="3">
        <v>5.9492017199999996</v>
      </c>
      <c r="D719" s="1" t="s">
        <v>1182</v>
      </c>
      <c r="E719" s="3">
        <f t="shared" si="55"/>
        <v>93.298712926003191</v>
      </c>
      <c r="F719" s="3">
        <v>81.313278960464473</v>
      </c>
      <c r="G719" s="4">
        <f t="shared" si="57"/>
        <v>93.298712926003191</v>
      </c>
      <c r="H719" s="1">
        <v>13.48</v>
      </c>
      <c r="I719" s="1">
        <f t="shared" si="58"/>
        <v>16.18</v>
      </c>
      <c r="J719" s="1" t="s">
        <v>1182</v>
      </c>
      <c r="K719" s="3">
        <f t="shared" si="59"/>
        <v>120.52831487999998</v>
      </c>
      <c r="L719" s="10">
        <f t="shared" si="56"/>
        <v>0.29185399347998575</v>
      </c>
      <c r="M719" s="18" t="str">
        <f>VLOOKUP(A719,Список!A:I,9,0)</f>
        <v>Основной ассортимент</v>
      </c>
      <c r="N719" s="12"/>
      <c r="O719" s="11"/>
    </row>
    <row r="720" spans="1:15" x14ac:dyDescent="0.25">
      <c r="A720" s="6">
        <v>2395</v>
      </c>
      <c r="B720" s="1" t="s">
        <v>724</v>
      </c>
      <c r="C720" s="3">
        <v>6.7604564999999992</v>
      </c>
      <c r="D720" s="1" t="s">
        <v>1182</v>
      </c>
      <c r="E720" s="3">
        <f t="shared" si="55"/>
        <v>106.02126468863997</v>
      </c>
      <c r="F720" s="3">
        <v>86.916980683506694</v>
      </c>
      <c r="G720" s="4">
        <f t="shared" si="57"/>
        <v>106.02126468863997</v>
      </c>
      <c r="H720" s="1">
        <v>16.05</v>
      </c>
      <c r="I720" s="1">
        <f t="shared" si="58"/>
        <v>19.260000000000002</v>
      </c>
      <c r="J720" s="1" t="s">
        <v>1182</v>
      </c>
      <c r="K720" s="3">
        <f t="shared" si="59"/>
        <v>143.47190015999999</v>
      </c>
      <c r="L720" s="10">
        <f t="shared" si="56"/>
        <v>0.35323701883149483</v>
      </c>
      <c r="M720" s="18" t="str">
        <f>VLOOKUP(A720,Список!A:I,9,0)</f>
        <v>Основной ассортимент</v>
      </c>
      <c r="N720" s="12"/>
      <c r="O720" s="11"/>
    </row>
    <row r="721" spans="1:15" x14ac:dyDescent="0.25">
      <c r="A721" s="6">
        <v>2410</v>
      </c>
      <c r="B721" s="1" t="s">
        <v>725</v>
      </c>
      <c r="C721" s="3">
        <v>7.6499902499999992</v>
      </c>
      <c r="D721" s="1" t="s">
        <v>1182</v>
      </c>
      <c r="E721" s="3">
        <f t="shared" si="55"/>
        <v>119.97143109503997</v>
      </c>
      <c r="F721" s="3">
        <v>101.43492051100071</v>
      </c>
      <c r="G721" s="4">
        <f t="shared" si="57"/>
        <v>119.97143109503997</v>
      </c>
      <c r="H721" s="1">
        <v>17.350000000000001</v>
      </c>
      <c r="I721" s="1">
        <f t="shared" si="58"/>
        <v>20.82</v>
      </c>
      <c r="J721" s="1" t="s">
        <v>1182</v>
      </c>
      <c r="K721" s="3">
        <f t="shared" si="59"/>
        <v>155.09267711999999</v>
      </c>
      <c r="L721" s="10">
        <f t="shared" si="56"/>
        <v>0.29274674565761716</v>
      </c>
      <c r="M721" s="18" t="str">
        <f>VLOOKUP(A721,Список!A:I,9,0)</f>
        <v>Основной ассортимент</v>
      </c>
      <c r="N721" s="12"/>
      <c r="O721" s="11"/>
    </row>
    <row r="722" spans="1:15" x14ac:dyDescent="0.25">
      <c r="A722" s="6">
        <v>2396</v>
      </c>
      <c r="B722" s="1" t="s">
        <v>726</v>
      </c>
      <c r="C722" s="3">
        <v>8.4683612999999998</v>
      </c>
      <c r="D722" s="1" t="s">
        <v>1182</v>
      </c>
      <c r="E722" s="3">
        <f t="shared" si="55"/>
        <v>132.80558418892798</v>
      </c>
      <c r="F722" s="3">
        <v>111.0332695652174</v>
      </c>
      <c r="G722" s="4">
        <f t="shared" si="57"/>
        <v>132.80558418892798</v>
      </c>
      <c r="H722" s="1">
        <v>19.190000000000001</v>
      </c>
      <c r="I722" s="1">
        <f t="shared" si="58"/>
        <v>23.03</v>
      </c>
      <c r="J722" s="1" t="s">
        <v>1182</v>
      </c>
      <c r="K722" s="3">
        <f t="shared" si="59"/>
        <v>171.55544448000001</v>
      </c>
      <c r="L722" s="10">
        <f t="shared" si="56"/>
        <v>0.29177884746131477</v>
      </c>
      <c r="M722" s="18" t="str">
        <f>VLOOKUP(A722,Список!A:I,9,0)</f>
        <v>Основной ассортимент</v>
      </c>
      <c r="N722" s="12"/>
      <c r="O722" s="11"/>
    </row>
    <row r="723" spans="1:15" x14ac:dyDescent="0.25">
      <c r="A723" s="6">
        <v>2485</v>
      </c>
      <c r="B723" s="1" t="s">
        <v>727</v>
      </c>
      <c r="C723" s="3">
        <v>9.3578950499999998</v>
      </c>
      <c r="D723" s="1" t="s">
        <v>1182</v>
      </c>
      <c r="E723" s="3">
        <f t="shared" si="55"/>
        <v>146.75575059532798</v>
      </c>
      <c r="F723" s="3">
        <v>133.29367196728759</v>
      </c>
      <c r="G723" s="4">
        <f t="shared" si="57"/>
        <v>146.75575059532798</v>
      </c>
      <c r="H723" s="1">
        <v>21.76</v>
      </c>
      <c r="I723" s="1">
        <f t="shared" si="58"/>
        <v>26.11</v>
      </c>
      <c r="J723" s="1" t="s">
        <v>1182</v>
      </c>
      <c r="K723" s="3">
        <f t="shared" si="59"/>
        <v>194.49902975999998</v>
      </c>
      <c r="L723" s="10">
        <f t="shared" si="56"/>
        <v>0.32532475879818734</v>
      </c>
      <c r="M723" s="18" t="str">
        <f>VLOOKUP(A723,Список!A:I,9,0)</f>
        <v>Основной ассортимент</v>
      </c>
      <c r="N723" s="12"/>
      <c r="O723" s="11"/>
    </row>
    <row r="724" spans="1:15" x14ac:dyDescent="0.25">
      <c r="A724" s="6">
        <v>4539</v>
      </c>
      <c r="B724" s="1" t="s">
        <v>728</v>
      </c>
      <c r="C724" s="3">
        <v>2.4479968799999998</v>
      </c>
      <c r="D724" s="1" t="s">
        <v>1182</v>
      </c>
      <c r="E724" s="3">
        <f t="shared" si="55"/>
        <v>38.390857950412794</v>
      </c>
      <c r="F724" s="3">
        <v>31.115394148020652</v>
      </c>
      <c r="G724" s="4">
        <f t="shared" si="57"/>
        <v>38.390857950412794</v>
      </c>
      <c r="H724" s="1">
        <v>6.04</v>
      </c>
      <c r="I724" s="1">
        <f t="shared" si="58"/>
        <v>7.25</v>
      </c>
      <c r="J724" s="1" t="s">
        <v>1182</v>
      </c>
      <c r="K724" s="3">
        <f t="shared" si="59"/>
        <v>54.006815999999993</v>
      </c>
      <c r="L724" s="10">
        <f t="shared" si="56"/>
        <v>0.40676241384752099</v>
      </c>
      <c r="M724" s="18" t="str">
        <f>VLOOKUP(A724,Список!A:I,9,0)</f>
        <v>Основной ассортимент</v>
      </c>
      <c r="N724" s="12"/>
      <c r="O724" s="11"/>
    </row>
    <row r="725" spans="1:15" x14ac:dyDescent="0.25">
      <c r="A725" s="6">
        <v>4540</v>
      </c>
      <c r="B725" s="1" t="s">
        <v>729</v>
      </c>
      <c r="C725" s="3">
        <v>2.9746008599999998</v>
      </c>
      <c r="D725" s="1" t="s">
        <v>1182</v>
      </c>
      <c r="E725" s="3">
        <f t="shared" si="55"/>
        <v>46.649356463001595</v>
      </c>
      <c r="F725" s="3">
        <v>40.2273</v>
      </c>
      <c r="G725" s="4">
        <f t="shared" si="57"/>
        <v>46.649356463001595</v>
      </c>
      <c r="H725" s="1">
        <v>7.81</v>
      </c>
      <c r="I725" s="1">
        <f t="shared" si="58"/>
        <v>9.3699999999999992</v>
      </c>
      <c r="J725" s="1" t="s">
        <v>1182</v>
      </c>
      <c r="K725" s="3">
        <f t="shared" si="59"/>
        <v>69.799153919999981</v>
      </c>
      <c r="L725" s="10">
        <f t="shared" si="56"/>
        <v>0.4962511642654468</v>
      </c>
      <c r="M725" s="18" t="str">
        <f>VLOOKUP(A725,Список!A:I,9,0)</f>
        <v>Основной ассортимент</v>
      </c>
      <c r="N725" s="12"/>
      <c r="O725" s="11"/>
    </row>
    <row r="726" spans="1:15" x14ac:dyDescent="0.25">
      <c r="A726" s="6">
        <v>4541</v>
      </c>
      <c r="B726" s="1" t="s">
        <v>730</v>
      </c>
      <c r="C726" s="3">
        <v>3.5937163500000002</v>
      </c>
      <c r="D726" s="1" t="s">
        <v>1182</v>
      </c>
      <c r="E726" s="3">
        <f t="shared" si="55"/>
        <v>56.358672281856002</v>
      </c>
      <c r="F726" s="3">
        <v>46.625641884816751</v>
      </c>
      <c r="G726" s="4">
        <f t="shared" si="57"/>
        <v>56.358672281856002</v>
      </c>
      <c r="H726" s="1">
        <v>9.3800000000000008</v>
      </c>
      <c r="I726" s="1">
        <f t="shared" si="58"/>
        <v>11.26</v>
      </c>
      <c r="J726" s="1" t="s">
        <v>1182</v>
      </c>
      <c r="K726" s="3">
        <f t="shared" si="59"/>
        <v>83.878172159999991</v>
      </c>
      <c r="L726" s="10">
        <f t="shared" si="56"/>
        <v>0.48829219646119237</v>
      </c>
      <c r="M726" s="18" t="str">
        <f>VLOOKUP(A726,Список!A:I,9,0)</f>
        <v>Основной ассортимент</v>
      </c>
      <c r="N726" s="12"/>
      <c r="O726" s="11"/>
    </row>
    <row r="727" spans="1:15" x14ac:dyDescent="0.25">
      <c r="A727" s="6">
        <v>4542</v>
      </c>
      <c r="B727" s="1" t="s">
        <v>731</v>
      </c>
      <c r="C727" s="3">
        <v>4.1559016800000004</v>
      </c>
      <c r="D727" s="1" t="s">
        <v>1182</v>
      </c>
      <c r="E727" s="3">
        <f t="shared" si="55"/>
        <v>65.175177450700801</v>
      </c>
      <c r="F727" s="3">
        <v>59.032836874795692</v>
      </c>
      <c r="G727" s="4">
        <f t="shared" si="57"/>
        <v>65.175177450700801</v>
      </c>
      <c r="H727" s="1">
        <v>10.79</v>
      </c>
      <c r="I727" s="1">
        <f t="shared" si="58"/>
        <v>12.95</v>
      </c>
      <c r="J727" s="1" t="s">
        <v>1182</v>
      </c>
      <c r="K727" s="3">
        <f t="shared" si="59"/>
        <v>96.467347199999978</v>
      </c>
      <c r="L727" s="10">
        <f t="shared" si="56"/>
        <v>0.4801240437430172</v>
      </c>
      <c r="M727" s="18" t="str">
        <f>VLOOKUP(A727,Список!A:I,9,0)</f>
        <v>Основной ассортимент</v>
      </c>
      <c r="N727" s="12"/>
      <c r="O727" s="11"/>
    </row>
    <row r="728" spans="1:15" x14ac:dyDescent="0.25">
      <c r="A728" s="6">
        <v>2397</v>
      </c>
      <c r="B728" s="1" t="s">
        <v>732</v>
      </c>
      <c r="C728" s="3">
        <v>4.7679008999999999</v>
      </c>
      <c r="D728" s="1" t="s">
        <v>1182</v>
      </c>
      <c r="E728" s="3">
        <f t="shared" si="55"/>
        <v>74.772891938303999</v>
      </c>
      <c r="F728" s="3">
        <v>64.64267226890756</v>
      </c>
      <c r="G728" s="4">
        <f t="shared" si="57"/>
        <v>74.772891938303999</v>
      </c>
      <c r="H728" s="1">
        <v>12.42</v>
      </c>
      <c r="I728" s="1">
        <f t="shared" si="58"/>
        <v>14.9</v>
      </c>
      <c r="J728" s="1" t="s">
        <v>1182</v>
      </c>
      <c r="K728" s="3">
        <f t="shared" si="59"/>
        <v>110.99331839999999</v>
      </c>
      <c r="L728" s="10">
        <f t="shared" si="56"/>
        <v>0.48440585247902268</v>
      </c>
      <c r="M728" s="18" t="str">
        <f>VLOOKUP(A728,Список!A:I,9,0)</f>
        <v>Основной ассортимент</v>
      </c>
      <c r="N728" s="12"/>
      <c r="O728" s="11"/>
    </row>
    <row r="729" spans="1:15" x14ac:dyDescent="0.25">
      <c r="A729" s="6">
        <v>2398</v>
      </c>
      <c r="B729" s="1" t="s">
        <v>733</v>
      </c>
      <c r="C729" s="3">
        <v>5.7997600499999997</v>
      </c>
      <c r="D729" s="1" t="s">
        <v>1182</v>
      </c>
      <c r="E729" s="3">
        <f t="shared" si="55"/>
        <v>90.955084969727992</v>
      </c>
      <c r="F729" s="3">
        <v>81.792989301447449</v>
      </c>
      <c r="G729" s="4">
        <f t="shared" si="57"/>
        <v>90.955084969727992</v>
      </c>
      <c r="H729" s="1">
        <v>15.35</v>
      </c>
      <c r="I729" s="1">
        <f t="shared" si="58"/>
        <v>18.420000000000002</v>
      </c>
      <c r="J729" s="1" t="s">
        <v>1182</v>
      </c>
      <c r="K729" s="3">
        <f t="shared" si="59"/>
        <v>137.21455872000001</v>
      </c>
      <c r="L729" s="10">
        <f t="shared" si="56"/>
        <v>0.50859689445255607</v>
      </c>
      <c r="M729" s="18" t="str">
        <f>VLOOKUP(A729,Список!A:I,9,0)</f>
        <v>Основной ассортимент</v>
      </c>
      <c r="N729" s="12"/>
      <c r="O729" s="11"/>
    </row>
    <row r="730" spans="1:15" x14ac:dyDescent="0.25">
      <c r="A730" s="6">
        <v>2399</v>
      </c>
      <c r="B730" s="1" t="s">
        <v>734</v>
      </c>
      <c r="C730" s="3">
        <v>7.1518513500000003</v>
      </c>
      <c r="D730" s="1" t="s">
        <v>1182</v>
      </c>
      <c r="E730" s="3">
        <f t="shared" si="55"/>
        <v>112.15933790745599</v>
      </c>
      <c r="F730" s="3">
        <v>98.249292230261076</v>
      </c>
      <c r="G730" s="4">
        <f t="shared" si="57"/>
        <v>112.15933790745599</v>
      </c>
      <c r="H730" s="1">
        <v>18.600000000000001</v>
      </c>
      <c r="I730" s="1">
        <f t="shared" si="58"/>
        <v>22.32</v>
      </c>
      <c r="J730" s="1" t="s">
        <v>1182</v>
      </c>
      <c r="K730" s="3">
        <f t="shared" si="59"/>
        <v>166.26650111999996</v>
      </c>
      <c r="L730" s="10">
        <f t="shared" si="56"/>
        <v>0.48241336140186952</v>
      </c>
      <c r="M730" s="18" t="str">
        <f>VLOOKUP(A730,Список!A:I,9,0)</f>
        <v>Основной ассортимент</v>
      </c>
      <c r="N730" s="12"/>
      <c r="O730" s="11"/>
    </row>
    <row r="731" spans="1:15" x14ac:dyDescent="0.25">
      <c r="A731" s="6">
        <v>2400</v>
      </c>
      <c r="B731" s="1" t="s">
        <v>735</v>
      </c>
      <c r="C731" s="3">
        <v>8.2975708200000007</v>
      </c>
      <c r="D731" s="1" t="s">
        <v>1182</v>
      </c>
      <c r="E731" s="3">
        <f t="shared" si="55"/>
        <v>130.12715223889919</v>
      </c>
      <c r="F731" s="3">
        <v>107.96039416058393</v>
      </c>
      <c r="G731" s="4">
        <f t="shared" si="57"/>
        <v>130.12715223889919</v>
      </c>
      <c r="H731" s="1">
        <v>21.66</v>
      </c>
      <c r="I731" s="1">
        <f t="shared" si="58"/>
        <v>25.99</v>
      </c>
      <c r="J731" s="1" t="s">
        <v>1182</v>
      </c>
      <c r="K731" s="3">
        <f t="shared" si="59"/>
        <v>193.60512383999995</v>
      </c>
      <c r="L731" s="10">
        <f t="shared" si="56"/>
        <v>0.48781496028255633</v>
      </c>
      <c r="M731" s="18" t="str">
        <f>VLOOKUP(A731,Список!A:I,9,0)</f>
        <v>Основной ассортимент</v>
      </c>
      <c r="N731" s="12"/>
      <c r="O731" s="11"/>
    </row>
    <row r="732" spans="1:15" x14ac:dyDescent="0.25">
      <c r="A732" s="6">
        <v>2401</v>
      </c>
      <c r="B732" s="1" t="s">
        <v>736</v>
      </c>
      <c r="C732" s="3">
        <v>9.5358017999999998</v>
      </c>
      <c r="D732" s="1" t="s">
        <v>1182</v>
      </c>
      <c r="E732" s="3">
        <f t="shared" si="55"/>
        <v>149.545783876608</v>
      </c>
      <c r="F732" s="3">
        <v>120.76941863699582</v>
      </c>
      <c r="G732" s="4">
        <f t="shared" si="57"/>
        <v>149.545783876608</v>
      </c>
      <c r="H732" s="1">
        <v>24.91</v>
      </c>
      <c r="I732" s="1">
        <f t="shared" si="58"/>
        <v>29.89</v>
      </c>
      <c r="J732" s="1" t="s">
        <v>1182</v>
      </c>
      <c r="K732" s="3">
        <f t="shared" si="59"/>
        <v>222.65706623999995</v>
      </c>
      <c r="L732" s="10">
        <f t="shared" si="56"/>
        <v>0.48888895740261673</v>
      </c>
      <c r="M732" s="18" t="str">
        <f>VLOOKUP(A732,Список!A:I,9,0)</f>
        <v>Основной ассортимент</v>
      </c>
      <c r="N732" s="12"/>
      <c r="O732" s="11"/>
    </row>
    <row r="733" spans="1:15" x14ac:dyDescent="0.25">
      <c r="A733" s="6">
        <v>2402</v>
      </c>
      <c r="B733" s="1" t="s">
        <v>737</v>
      </c>
      <c r="C733" s="3">
        <v>10.674404999999998</v>
      </c>
      <c r="D733" s="1" t="s">
        <v>1182</v>
      </c>
      <c r="E733" s="3">
        <f t="shared" si="55"/>
        <v>167.40199687679998</v>
      </c>
      <c r="F733" s="3">
        <v>153.92070056497172</v>
      </c>
      <c r="G733" s="4">
        <f t="shared" si="57"/>
        <v>167.40199687679998</v>
      </c>
      <c r="H733" s="1">
        <v>27.84</v>
      </c>
      <c r="I733" s="1">
        <f t="shared" si="58"/>
        <v>33.409999999999997</v>
      </c>
      <c r="J733" s="1" t="s">
        <v>1182</v>
      </c>
      <c r="K733" s="3">
        <f t="shared" si="59"/>
        <v>248.87830655999994</v>
      </c>
      <c r="L733" s="10">
        <f t="shared" si="56"/>
        <v>0.48671050049159637</v>
      </c>
      <c r="M733" s="18" t="str">
        <f>VLOOKUP(A733,Список!A:I,9,0)</f>
        <v>Основной ассортимент</v>
      </c>
      <c r="N733" s="12"/>
      <c r="O733" s="11"/>
    </row>
    <row r="734" spans="1:15" x14ac:dyDescent="0.25">
      <c r="A734" s="6">
        <v>4543</v>
      </c>
      <c r="B734" s="1" t="s">
        <v>738</v>
      </c>
      <c r="C734" s="3">
        <v>13.022774099999999</v>
      </c>
      <c r="D734" s="1" t="s">
        <v>1182</v>
      </c>
      <c r="E734" s="3">
        <f t="shared" si="55"/>
        <v>204.23043618969595</v>
      </c>
      <c r="F734" s="3">
        <v>186.88430215827336</v>
      </c>
      <c r="G734" s="4">
        <f t="shared" si="57"/>
        <v>204.23043618969595</v>
      </c>
      <c r="H734" s="1">
        <v>31.82</v>
      </c>
      <c r="I734" s="1">
        <f t="shared" si="58"/>
        <v>38.18</v>
      </c>
      <c r="J734" s="1" t="s">
        <v>1182</v>
      </c>
      <c r="K734" s="3">
        <f t="shared" si="59"/>
        <v>284.41106687999996</v>
      </c>
      <c r="L734" s="10">
        <f t="shared" si="56"/>
        <v>0.39259883191861578</v>
      </c>
      <c r="M734" s="18" t="str">
        <f>VLOOKUP(A734,Список!A:I,9,0)</f>
        <v>Основной ассортимент</v>
      </c>
      <c r="N734" s="12"/>
      <c r="O734" s="11"/>
    </row>
    <row r="735" spans="1:15" x14ac:dyDescent="0.25">
      <c r="A735" s="6">
        <v>4544</v>
      </c>
      <c r="B735" s="1" t="s">
        <v>739</v>
      </c>
      <c r="C735" s="3">
        <v>3.8214369899999996</v>
      </c>
      <c r="D735" s="1" t="s">
        <v>1182</v>
      </c>
      <c r="E735" s="3">
        <f t="shared" si="55"/>
        <v>59.929914881894391</v>
      </c>
      <c r="F735" s="3">
        <v>52.720260720411666</v>
      </c>
      <c r="G735" s="4">
        <f t="shared" si="57"/>
        <v>59.929914881894391</v>
      </c>
      <c r="H735" s="1">
        <v>9.91</v>
      </c>
      <c r="I735" s="1">
        <f t="shared" si="58"/>
        <v>11.89</v>
      </c>
      <c r="J735" s="1" t="s">
        <v>1182</v>
      </c>
      <c r="K735" s="3">
        <f t="shared" si="59"/>
        <v>88.571178239999995</v>
      </c>
      <c r="L735" s="10">
        <f t="shared" si="56"/>
        <v>0.47791263202275136</v>
      </c>
      <c r="M735" s="18" t="str">
        <f>VLOOKUP(A735,Список!A:I,9,0)</f>
        <v>Основной ассортимент</v>
      </c>
      <c r="N735" s="12"/>
      <c r="O735" s="11"/>
    </row>
    <row r="736" spans="1:15" x14ac:dyDescent="0.25">
      <c r="A736" s="6">
        <v>4545</v>
      </c>
      <c r="B736" s="1" t="s">
        <v>740</v>
      </c>
      <c r="C736" s="3">
        <v>4.6255755000000001</v>
      </c>
      <c r="D736" s="1" t="s">
        <v>1182</v>
      </c>
      <c r="E736" s="3">
        <f t="shared" si="55"/>
        <v>72.540865313279994</v>
      </c>
      <c r="F736" s="3">
        <v>60.707388349514552</v>
      </c>
      <c r="G736" s="4">
        <f t="shared" si="57"/>
        <v>72.540865313279994</v>
      </c>
      <c r="H736" s="1">
        <v>12.22</v>
      </c>
      <c r="I736" s="1">
        <f t="shared" si="58"/>
        <v>14.66</v>
      </c>
      <c r="J736" s="1" t="s">
        <v>1182</v>
      </c>
      <c r="K736" s="3">
        <f t="shared" si="59"/>
        <v>109.20550655999999</v>
      </c>
      <c r="L736" s="10">
        <f t="shared" si="56"/>
        <v>0.50543429677020724</v>
      </c>
      <c r="M736" s="18" t="str">
        <f>VLOOKUP(A736,Список!A:I,9,0)</f>
        <v>Основной ассортимент</v>
      </c>
      <c r="N736" s="12"/>
      <c r="O736" s="11"/>
    </row>
    <row r="737" spans="1:15" x14ac:dyDescent="0.25">
      <c r="A737" s="6">
        <v>4546</v>
      </c>
      <c r="B737" s="1" t="s">
        <v>741</v>
      </c>
      <c r="C737" s="3">
        <v>5.5862719500000004</v>
      </c>
      <c r="D737" s="1" t="s">
        <v>1182</v>
      </c>
      <c r="E737" s="3">
        <f t="shared" si="55"/>
        <v>87.607045032192005</v>
      </c>
      <c r="F737" s="3">
        <v>78.080162790697671</v>
      </c>
      <c r="G737" s="4">
        <f t="shared" si="57"/>
        <v>87.607045032192005</v>
      </c>
      <c r="H737" s="1">
        <v>14.54</v>
      </c>
      <c r="I737" s="1">
        <f t="shared" si="58"/>
        <v>17.45</v>
      </c>
      <c r="J737" s="1" t="s">
        <v>1182</v>
      </c>
      <c r="K737" s="3">
        <f t="shared" si="59"/>
        <v>129.98881919999999</v>
      </c>
      <c r="L737" s="10">
        <f t="shared" si="56"/>
        <v>0.48377130118056622</v>
      </c>
      <c r="M737" s="18" t="str">
        <f>VLOOKUP(A737,Список!A:I,9,0)</f>
        <v>Основной ассортимент</v>
      </c>
      <c r="N737" s="12"/>
      <c r="O737" s="11"/>
    </row>
    <row r="738" spans="1:15" x14ac:dyDescent="0.25">
      <c r="A738" s="6">
        <v>4547</v>
      </c>
      <c r="B738" s="1" t="s">
        <v>742</v>
      </c>
      <c r="C738" s="3">
        <v>6.4046430000000001</v>
      </c>
      <c r="D738" s="1" t="s">
        <v>1182</v>
      </c>
      <c r="E738" s="3">
        <f t="shared" si="55"/>
        <v>100.44119812607998</v>
      </c>
      <c r="F738" s="3">
        <v>74.656739195230983</v>
      </c>
      <c r="G738" s="4">
        <f t="shared" si="57"/>
        <v>100.44119812607998</v>
      </c>
      <c r="H738" s="1">
        <v>16.7</v>
      </c>
      <c r="I738" s="1">
        <f t="shared" si="58"/>
        <v>20.04</v>
      </c>
      <c r="J738" s="1" t="s">
        <v>1182</v>
      </c>
      <c r="K738" s="3">
        <f t="shared" si="59"/>
        <v>149.28228863999999</v>
      </c>
      <c r="L738" s="10">
        <f t="shared" si="56"/>
        <v>0.4862655108176992</v>
      </c>
      <c r="M738" s="18" t="str">
        <f>VLOOKUP(A738,Список!A:I,9,0)</f>
        <v>Основной ассортимент</v>
      </c>
      <c r="N738" s="12"/>
      <c r="O738" s="11"/>
    </row>
    <row r="739" spans="1:15" x14ac:dyDescent="0.25">
      <c r="A739" s="6">
        <v>4548</v>
      </c>
      <c r="B739" s="1" t="s">
        <v>743</v>
      </c>
      <c r="C739" s="3">
        <v>7.4009207999999989</v>
      </c>
      <c r="D739" s="1" t="s">
        <v>1182</v>
      </c>
      <c r="E739" s="3">
        <f t="shared" si="55"/>
        <v>116.06538450124796</v>
      </c>
      <c r="F739" s="3">
        <v>102.93758423645319</v>
      </c>
      <c r="G739" s="4">
        <f t="shared" si="57"/>
        <v>116.06538450124796</v>
      </c>
      <c r="H739" s="1">
        <v>18.89</v>
      </c>
      <c r="I739" s="1">
        <f t="shared" si="58"/>
        <v>22.67</v>
      </c>
      <c r="J739" s="1" t="s">
        <v>1182</v>
      </c>
      <c r="K739" s="3">
        <f t="shared" si="59"/>
        <v>168.87372671999998</v>
      </c>
      <c r="L739" s="10">
        <f t="shared" si="56"/>
        <v>0.45498787123894124</v>
      </c>
      <c r="M739" s="18" t="str">
        <f>VLOOKUP(A739,Список!A:I,9,0)</f>
        <v>Основной ассортимент</v>
      </c>
      <c r="N739" s="12"/>
      <c r="O739" s="11"/>
    </row>
    <row r="740" spans="1:15" x14ac:dyDescent="0.25">
      <c r="A740" s="6">
        <v>4549</v>
      </c>
      <c r="B740" s="1" t="s">
        <v>744</v>
      </c>
      <c r="C740" s="3">
        <v>9.4646390999999994</v>
      </c>
      <c r="D740" s="1" t="s">
        <v>1182</v>
      </c>
      <c r="E740" s="3">
        <f t="shared" si="55"/>
        <v>148.42977056409597</v>
      </c>
      <c r="F740" s="3">
        <v>119.80898583569405</v>
      </c>
      <c r="G740" s="4">
        <f t="shared" si="57"/>
        <v>148.42977056409597</v>
      </c>
      <c r="H740" s="1">
        <v>22.64</v>
      </c>
      <c r="I740" s="1">
        <f t="shared" si="58"/>
        <v>27.17</v>
      </c>
      <c r="J740" s="1" t="s">
        <v>1182</v>
      </c>
      <c r="K740" s="3">
        <f t="shared" si="59"/>
        <v>202.39519872</v>
      </c>
      <c r="L740" s="10">
        <f t="shared" si="56"/>
        <v>0.36357550072881306</v>
      </c>
      <c r="M740" s="18" t="str">
        <f>VLOOKUP(A740,Список!A:I,9,0)</f>
        <v>Основной ассортимент</v>
      </c>
      <c r="N740" s="12"/>
      <c r="O740" s="11"/>
    </row>
    <row r="741" spans="1:15" x14ac:dyDescent="0.25">
      <c r="A741" s="6">
        <v>4550</v>
      </c>
      <c r="B741" s="1" t="s">
        <v>745</v>
      </c>
      <c r="C741" s="3">
        <v>11.457194700000001</v>
      </c>
      <c r="D741" s="1" t="s">
        <v>1182</v>
      </c>
      <c r="E741" s="3">
        <f t="shared" si="55"/>
        <v>179.67814331443199</v>
      </c>
      <c r="F741" s="3">
        <v>153.80160219478736</v>
      </c>
      <c r="G741" s="4">
        <f t="shared" si="57"/>
        <v>179.67814331443199</v>
      </c>
      <c r="H741" s="1">
        <v>29.01</v>
      </c>
      <c r="I741" s="1">
        <f t="shared" si="58"/>
        <v>34.81</v>
      </c>
      <c r="J741" s="1" t="s">
        <v>1182</v>
      </c>
      <c r="K741" s="3">
        <f t="shared" si="59"/>
        <v>259.30720895999997</v>
      </c>
      <c r="L741" s="10">
        <f t="shared" si="56"/>
        <v>0.44317613804712597</v>
      </c>
      <c r="M741" s="18" t="str">
        <f>VLOOKUP(A741,Список!A:I,9,0)</f>
        <v>Основной ассортимент</v>
      </c>
      <c r="N741" s="12"/>
      <c r="O741" s="11"/>
    </row>
    <row r="742" spans="1:15" x14ac:dyDescent="0.25">
      <c r="A742" s="6">
        <v>2566</v>
      </c>
      <c r="B742" s="1" t="s">
        <v>746</v>
      </c>
      <c r="C742" s="3">
        <v>1.6367420999999998</v>
      </c>
      <c r="D742" s="1" t="s">
        <v>1182</v>
      </c>
      <c r="E742" s="3">
        <f t="shared" si="55"/>
        <v>25.668306187775993</v>
      </c>
      <c r="F742" s="3">
        <v>22.215741484716155</v>
      </c>
      <c r="G742" s="4">
        <f t="shared" si="57"/>
        <v>25.668306187775993</v>
      </c>
      <c r="H742" s="1">
        <v>4.28</v>
      </c>
      <c r="I742" s="1">
        <f t="shared" si="58"/>
        <v>5.14</v>
      </c>
      <c r="J742" s="1" t="s">
        <v>1182</v>
      </c>
      <c r="K742" s="3">
        <f t="shared" si="59"/>
        <v>38.288970239999998</v>
      </c>
      <c r="L742" s="10">
        <f t="shared" si="56"/>
        <v>0.49168277641297342</v>
      </c>
      <c r="M742" s="18" t="str">
        <f>VLOOKUP(A742,Список!A:I,9,0)</f>
        <v>Основной ассортимент</v>
      </c>
      <c r="N742" s="12"/>
      <c r="O742" s="11"/>
    </row>
    <row r="743" spans="1:15" x14ac:dyDescent="0.25">
      <c r="A743" s="6">
        <v>2469</v>
      </c>
      <c r="B743" s="1" t="s">
        <v>747</v>
      </c>
      <c r="C743" s="3">
        <v>2.3483691000000002</v>
      </c>
      <c r="D743" s="1" t="s">
        <v>1182</v>
      </c>
      <c r="E743" s="3">
        <f t="shared" si="55"/>
        <v>36.828439312896002</v>
      </c>
      <c r="F743" s="3">
        <v>29.630906832298134</v>
      </c>
      <c r="G743" s="4">
        <f t="shared" si="57"/>
        <v>36.828439312896002</v>
      </c>
      <c r="H743" s="1">
        <v>6.25</v>
      </c>
      <c r="I743" s="1">
        <f t="shared" si="58"/>
        <v>7.5</v>
      </c>
      <c r="J743" s="1" t="s">
        <v>1182</v>
      </c>
      <c r="K743" s="3">
        <f t="shared" si="59"/>
        <v>55.869119999999988</v>
      </c>
      <c r="L743" s="10">
        <f t="shared" si="56"/>
        <v>0.51701025192334504</v>
      </c>
      <c r="M743" s="18" t="str">
        <f>VLOOKUP(A743,Список!A:I,9,0)</f>
        <v>Основной ассортимент</v>
      </c>
      <c r="N743" s="12"/>
      <c r="O743" s="11"/>
    </row>
    <row r="744" spans="1:15" x14ac:dyDescent="0.25">
      <c r="A744" s="6">
        <v>2470</v>
      </c>
      <c r="B744" s="1" t="s">
        <v>748</v>
      </c>
      <c r="C744" s="3">
        <v>3.3446468999999999</v>
      </c>
      <c r="D744" s="1" t="s">
        <v>1182</v>
      </c>
      <c r="E744" s="3">
        <f t="shared" si="55"/>
        <v>52.452625688063996</v>
      </c>
      <c r="F744" s="3">
        <v>45.137960088691791</v>
      </c>
      <c r="G744" s="4">
        <f t="shared" si="57"/>
        <v>52.452625688063996</v>
      </c>
      <c r="H744" s="1">
        <v>8.69</v>
      </c>
      <c r="I744" s="1">
        <f t="shared" si="58"/>
        <v>10.43</v>
      </c>
      <c r="J744" s="1" t="s">
        <v>1182</v>
      </c>
      <c r="K744" s="3">
        <f t="shared" si="59"/>
        <v>77.695322879999992</v>
      </c>
      <c r="L744" s="10">
        <f t="shared" si="56"/>
        <v>0.48124754215459919</v>
      </c>
      <c r="M744" s="18" t="str">
        <f>VLOOKUP(A744,Список!A:I,9,0)</f>
        <v>Основной ассортимент</v>
      </c>
      <c r="N744" s="12"/>
      <c r="O744" s="11"/>
    </row>
    <row r="745" spans="1:15" x14ac:dyDescent="0.25">
      <c r="A745" s="6">
        <v>2471</v>
      </c>
      <c r="B745" s="1" t="s">
        <v>749</v>
      </c>
      <c r="C745" s="3">
        <v>4.2911108100000002</v>
      </c>
      <c r="D745" s="1" t="s">
        <v>1182</v>
      </c>
      <c r="E745" s="3">
        <f t="shared" si="55"/>
        <v>67.295602744473598</v>
      </c>
      <c r="F745" s="3">
        <v>56.358681274900398</v>
      </c>
      <c r="G745" s="4">
        <f t="shared" si="57"/>
        <v>67.295602744473598</v>
      </c>
      <c r="H745" s="1">
        <v>10.93</v>
      </c>
      <c r="I745" s="1">
        <f t="shared" si="58"/>
        <v>13.12</v>
      </c>
      <c r="J745" s="1" t="s">
        <v>1182</v>
      </c>
      <c r="K745" s="3">
        <f t="shared" si="59"/>
        <v>97.733713919999985</v>
      </c>
      <c r="L745" s="10">
        <f t="shared" si="56"/>
        <v>0.45230460734711242</v>
      </c>
      <c r="M745" s="18" t="str">
        <f>VLOOKUP(A745,Список!A:I,9,0)</f>
        <v>Основной ассортимент</v>
      </c>
      <c r="N745" s="12"/>
      <c r="O745" s="11"/>
    </row>
    <row r="746" spans="1:15" x14ac:dyDescent="0.25">
      <c r="A746" s="6">
        <v>2472</v>
      </c>
      <c r="B746" s="1" t="s">
        <v>750</v>
      </c>
      <c r="C746" s="3">
        <v>5.2304584499999995</v>
      </c>
      <c r="D746" s="1" t="s">
        <v>1182</v>
      </c>
      <c r="E746" s="3">
        <f t="shared" si="55"/>
        <v>82.026978469631999</v>
      </c>
      <c r="F746" s="3">
        <v>65.935843536425764</v>
      </c>
      <c r="G746" s="4">
        <f t="shared" si="57"/>
        <v>82.026978469631999</v>
      </c>
      <c r="H746" s="1">
        <v>12.78</v>
      </c>
      <c r="I746" s="1">
        <f t="shared" si="58"/>
        <v>15.34</v>
      </c>
      <c r="J746" s="1" t="s">
        <v>1182</v>
      </c>
      <c r="K746" s="3">
        <f t="shared" si="59"/>
        <v>114.27097343999999</v>
      </c>
      <c r="L746" s="10">
        <f t="shared" si="56"/>
        <v>0.39309012195670912</v>
      </c>
      <c r="M746" s="18" t="str">
        <f>VLOOKUP(A746,Список!A:I,9,0)</f>
        <v>Основной ассортимент</v>
      </c>
      <c r="N746" s="12"/>
      <c r="O746" s="11"/>
    </row>
    <row r="747" spans="1:15" x14ac:dyDescent="0.25">
      <c r="A747" s="6">
        <v>2473</v>
      </c>
      <c r="B747" s="1" t="s">
        <v>751</v>
      </c>
      <c r="C747" s="3">
        <v>6.1555735499999988</v>
      </c>
      <c r="D747" s="1" t="s">
        <v>1182</v>
      </c>
      <c r="E747" s="3">
        <f t="shared" si="55"/>
        <v>96.535151532287969</v>
      </c>
      <c r="F747" s="3">
        <v>88.753408118081182</v>
      </c>
      <c r="G747" s="4">
        <f t="shared" si="57"/>
        <v>96.535151532287969</v>
      </c>
      <c r="H747" s="1">
        <v>15.14</v>
      </c>
      <c r="I747" s="1">
        <f t="shared" si="58"/>
        <v>18.170000000000002</v>
      </c>
      <c r="J747" s="1" t="s">
        <v>1182</v>
      </c>
      <c r="K747" s="3">
        <f t="shared" si="59"/>
        <v>135.35225471999999</v>
      </c>
      <c r="L747" s="10">
        <f t="shared" si="56"/>
        <v>0.40210330197419242</v>
      </c>
      <c r="M747" s="18" t="str">
        <f>VLOOKUP(A747,Список!A:I,9,0)</f>
        <v>Основной ассортимент</v>
      </c>
      <c r="N747" s="12"/>
      <c r="O747" s="11"/>
    </row>
    <row r="748" spans="1:15" x14ac:dyDescent="0.25">
      <c r="A748" s="6">
        <v>2474</v>
      </c>
      <c r="B748" s="1" t="s">
        <v>752</v>
      </c>
      <c r="C748" s="3">
        <v>7.1162700000000001</v>
      </c>
      <c r="D748" s="1" t="s">
        <v>1182</v>
      </c>
      <c r="E748" s="3">
        <f t="shared" si="55"/>
        <v>111.60133125119999</v>
      </c>
      <c r="F748" s="3">
        <v>82.793314685314684</v>
      </c>
      <c r="G748" s="4">
        <f t="shared" si="57"/>
        <v>111.60133125119999</v>
      </c>
      <c r="H748" s="1">
        <v>17.53</v>
      </c>
      <c r="I748" s="1">
        <f t="shared" si="58"/>
        <v>21.04</v>
      </c>
      <c r="J748" s="1" t="s">
        <v>1182</v>
      </c>
      <c r="K748" s="3">
        <f t="shared" si="59"/>
        <v>156.73150463999997</v>
      </c>
      <c r="L748" s="10">
        <f t="shared" si="56"/>
        <v>0.40438741082055607</v>
      </c>
      <c r="M748" s="18" t="str">
        <f>VLOOKUP(A748,Список!A:I,9,0)</f>
        <v>Основной ассортимент</v>
      </c>
      <c r="N748" s="12"/>
      <c r="O748" s="11"/>
    </row>
    <row r="749" spans="1:15" x14ac:dyDescent="0.25">
      <c r="A749" s="6">
        <v>2475</v>
      </c>
      <c r="B749" s="1" t="s">
        <v>753</v>
      </c>
      <c r="C749" s="3">
        <v>8.0627339099999986</v>
      </c>
      <c r="D749" s="1" t="s">
        <v>1182</v>
      </c>
      <c r="E749" s="3">
        <f t="shared" si="55"/>
        <v>126.44430830760956</v>
      </c>
      <c r="F749" s="3">
        <v>110.88866735751294</v>
      </c>
      <c r="G749" s="4">
        <f t="shared" si="57"/>
        <v>126.44430830760956</v>
      </c>
      <c r="H749" s="1">
        <v>20.11</v>
      </c>
      <c r="I749" s="1">
        <f t="shared" si="58"/>
        <v>24.13</v>
      </c>
      <c r="J749" s="1" t="s">
        <v>1182</v>
      </c>
      <c r="K749" s="3">
        <f t="shared" si="59"/>
        <v>179.74958207999998</v>
      </c>
      <c r="L749" s="10">
        <f t="shared" si="56"/>
        <v>0.42157116034603237</v>
      </c>
      <c r="M749" s="18" t="str">
        <f>VLOOKUP(A749,Список!A:I,9,0)</f>
        <v>Основной ассортимент</v>
      </c>
      <c r="N749" s="12"/>
      <c r="O749" s="11"/>
    </row>
    <row r="750" spans="1:15" x14ac:dyDescent="0.25">
      <c r="A750" s="6">
        <v>2476</v>
      </c>
      <c r="B750" s="1" t="s">
        <v>754</v>
      </c>
      <c r="C750" s="3">
        <v>8.6818494000000008</v>
      </c>
      <c r="D750" s="1" t="s">
        <v>1182</v>
      </c>
      <c r="E750" s="3">
        <f t="shared" si="55"/>
        <v>136.153624126464</v>
      </c>
      <c r="F750" s="3">
        <v>117.66776036866359</v>
      </c>
      <c r="G750" s="4">
        <f t="shared" si="57"/>
        <v>136.153624126464</v>
      </c>
      <c r="H750" s="1">
        <v>22.14</v>
      </c>
      <c r="I750" s="1">
        <f t="shared" si="58"/>
        <v>26.57</v>
      </c>
      <c r="J750" s="1" t="s">
        <v>1182</v>
      </c>
      <c r="K750" s="3">
        <f t="shared" si="59"/>
        <v>197.92566911999998</v>
      </c>
      <c r="L750" s="10">
        <f t="shared" si="56"/>
        <v>0.45369372567093813</v>
      </c>
      <c r="M750" s="18" t="str">
        <f>VLOOKUP(A750,Список!A:I,9,0)</f>
        <v>Основной ассортимент</v>
      </c>
      <c r="N750" s="12"/>
      <c r="O750" s="11"/>
    </row>
    <row r="751" spans="1:15" x14ac:dyDescent="0.25">
      <c r="A751" s="6">
        <v>4551</v>
      </c>
      <c r="B751" s="1" t="s">
        <v>755</v>
      </c>
      <c r="C751" s="3">
        <v>10.887893099999998</v>
      </c>
      <c r="D751" s="1" t="s">
        <v>1182</v>
      </c>
      <c r="E751" s="3">
        <f t="shared" si="55"/>
        <v>170.75003681433597</v>
      </c>
      <c r="F751" s="3">
        <v>117.43321643835615</v>
      </c>
      <c r="G751" s="4">
        <f t="shared" si="57"/>
        <v>170.75003681433597</v>
      </c>
      <c r="H751" s="1">
        <v>28.1</v>
      </c>
      <c r="I751" s="1">
        <f t="shared" si="58"/>
        <v>33.72</v>
      </c>
      <c r="J751" s="1" t="s">
        <v>1182</v>
      </c>
      <c r="K751" s="3">
        <f t="shared" si="59"/>
        <v>251.18756351999994</v>
      </c>
      <c r="L751" s="10">
        <f t="shared" si="56"/>
        <v>0.47108351017884242</v>
      </c>
      <c r="M751" s="18" t="str">
        <f>VLOOKUP(A751,Список!A:I,9,0)</f>
        <v>Основной ассортимент</v>
      </c>
      <c r="N751" s="12"/>
      <c r="O751" s="11"/>
    </row>
    <row r="752" spans="1:15" x14ac:dyDescent="0.25">
      <c r="A752" s="6">
        <v>4552</v>
      </c>
      <c r="B752" s="1" t="s">
        <v>756</v>
      </c>
      <c r="C752" s="3">
        <v>13.734401099999998</v>
      </c>
      <c r="D752" s="1" t="s">
        <v>1182</v>
      </c>
      <c r="E752" s="3">
        <f t="shared" si="55"/>
        <v>215.39056931481593</v>
      </c>
      <c r="F752" s="3">
        <v>176.98782857142857</v>
      </c>
      <c r="G752" s="4">
        <f t="shared" si="57"/>
        <v>215.39056931481593</v>
      </c>
      <c r="H752" s="1">
        <v>34.78</v>
      </c>
      <c r="I752" s="1">
        <f t="shared" si="58"/>
        <v>41.74</v>
      </c>
      <c r="J752" s="1" t="s">
        <v>1182</v>
      </c>
      <c r="K752" s="3">
        <f t="shared" si="59"/>
        <v>310.93027583999998</v>
      </c>
      <c r="L752" s="10">
        <f t="shared" si="56"/>
        <v>0.44356494729136786</v>
      </c>
      <c r="M752" s="18" t="str">
        <f>VLOOKUP(A752,Список!A:I,9,0)</f>
        <v>Основной ассортимент</v>
      </c>
      <c r="N752" s="12"/>
      <c r="O752" s="11"/>
    </row>
    <row r="753" spans="1:15" x14ac:dyDescent="0.25">
      <c r="A753" s="6">
        <v>4553</v>
      </c>
      <c r="B753" s="1" t="s">
        <v>757</v>
      </c>
      <c r="C753" s="3">
        <v>18.431139300000002</v>
      </c>
      <c r="D753" s="1" t="s">
        <v>1182</v>
      </c>
      <c r="E753" s="3">
        <f t="shared" si="55"/>
        <v>289.04744794060804</v>
      </c>
      <c r="F753" s="3">
        <v>238.42567441860464</v>
      </c>
      <c r="G753" s="4">
        <f t="shared" si="57"/>
        <v>289.04744794060804</v>
      </c>
      <c r="H753" s="1">
        <v>47.73</v>
      </c>
      <c r="I753" s="1">
        <f t="shared" si="58"/>
        <v>57.28</v>
      </c>
      <c r="J753" s="1" t="s">
        <v>1182</v>
      </c>
      <c r="K753" s="3">
        <f t="shared" si="59"/>
        <v>426.69109247999995</v>
      </c>
      <c r="L753" s="10">
        <f t="shared" si="56"/>
        <v>0.47619740468241112</v>
      </c>
      <c r="M753" s="18" t="str">
        <f>VLOOKUP(A753,Список!A:I,9,0)</f>
        <v>Основной ассортимент</v>
      </c>
      <c r="N753" s="12"/>
      <c r="O753" s="11"/>
    </row>
    <row r="754" spans="1:15" x14ac:dyDescent="0.25">
      <c r="A754" s="6">
        <v>2551</v>
      </c>
      <c r="B754" s="1" t="s">
        <v>758</v>
      </c>
      <c r="C754" s="3">
        <v>0.90749385999999987</v>
      </c>
      <c r="D754" s="1" t="s">
        <v>1182</v>
      </c>
      <c r="E754" s="3">
        <f t="shared" si="55"/>
        <v>14.231826909081596</v>
      </c>
      <c r="F754" s="3">
        <v>11.568634172646949</v>
      </c>
      <c r="G754" s="4">
        <f t="shared" si="57"/>
        <v>14.231826909081596</v>
      </c>
      <c r="H754" s="1">
        <v>2.09</v>
      </c>
      <c r="I754" s="1">
        <f t="shared" si="58"/>
        <v>2.5099999999999998</v>
      </c>
      <c r="J754" s="1" t="s">
        <v>1182</v>
      </c>
      <c r="K754" s="3">
        <f t="shared" si="59"/>
        <v>18.697532159999998</v>
      </c>
      <c r="L754" s="10">
        <f t="shared" si="56"/>
        <v>0.3137829935290144</v>
      </c>
      <c r="M754" s="18" t="str">
        <f>VLOOKUP(A754,Список!A:I,9,0)</f>
        <v>Основной ассортимент</v>
      </c>
      <c r="N754" s="12"/>
      <c r="O754" s="11"/>
    </row>
    <row r="755" spans="1:15" x14ac:dyDescent="0.25">
      <c r="A755" s="6">
        <v>4498</v>
      </c>
      <c r="B755" s="1" t="s">
        <v>759</v>
      </c>
      <c r="C755" s="3">
        <v>5.6753269859999991</v>
      </c>
      <c r="D755" s="1" t="s">
        <v>1182</v>
      </c>
      <c r="E755" s="3">
        <f t="shared" si="55"/>
        <v>89.003655977564136</v>
      </c>
      <c r="F755" s="3">
        <v>63.939232653061218</v>
      </c>
      <c r="G755" s="4">
        <f t="shared" si="57"/>
        <v>89.003655977564136</v>
      </c>
      <c r="H755" s="1">
        <v>14.84</v>
      </c>
      <c r="I755" s="1">
        <f t="shared" si="58"/>
        <v>17.809999999999999</v>
      </c>
      <c r="J755" s="1" t="s">
        <v>1182</v>
      </c>
      <c r="K755" s="3">
        <f t="shared" si="59"/>
        <v>132.67053695999996</v>
      </c>
      <c r="L755" s="10">
        <f t="shared" si="56"/>
        <v>0.49061895832058044</v>
      </c>
      <c r="M755" s="18" t="str">
        <f>VLOOKUP(A755,Список!A:I,9,0)</f>
        <v>Основной ассортимент</v>
      </c>
      <c r="N755" s="12"/>
      <c r="O755" s="11"/>
    </row>
    <row r="756" spans="1:15" x14ac:dyDescent="0.25">
      <c r="A756" s="6">
        <v>2553</v>
      </c>
      <c r="B756" s="1" t="s">
        <v>760</v>
      </c>
      <c r="C756" s="3">
        <v>4.2582404199999999</v>
      </c>
      <c r="D756" s="1" t="s">
        <v>1182</v>
      </c>
      <c r="E756" s="3">
        <f t="shared" si="55"/>
        <v>66.780110881075203</v>
      </c>
      <c r="F756" s="3">
        <v>58.64570449574726</v>
      </c>
      <c r="G756" s="4">
        <f t="shared" si="57"/>
        <v>66.780110881075203</v>
      </c>
      <c r="H756" s="1">
        <v>9.0299999999999994</v>
      </c>
      <c r="I756" s="1">
        <f t="shared" si="58"/>
        <v>10.84</v>
      </c>
      <c r="J756" s="1" t="s">
        <v>1182</v>
      </c>
      <c r="K756" s="3">
        <f t="shared" si="59"/>
        <v>80.749501439999989</v>
      </c>
      <c r="L756" s="10">
        <f t="shared" si="56"/>
        <v>0.20918489614073943</v>
      </c>
      <c r="M756" s="18" t="str">
        <f>VLOOKUP(A756,Список!A:I,9,0)</f>
        <v>Основной ассортимент</v>
      </c>
      <c r="N756" s="12"/>
      <c r="O756" s="11"/>
    </row>
    <row r="757" spans="1:15" x14ac:dyDescent="0.25">
      <c r="A757" s="6">
        <v>2552</v>
      </c>
      <c r="B757" s="1" t="s">
        <v>761</v>
      </c>
      <c r="C757" s="3">
        <v>1.7800841099999998</v>
      </c>
      <c r="D757" s="1" t="s">
        <v>1182</v>
      </c>
      <c r="E757" s="3">
        <f t="shared" si="55"/>
        <v>27.916275860121594</v>
      </c>
      <c r="F757" s="3">
        <v>23.106175219658468</v>
      </c>
      <c r="G757" s="4">
        <f t="shared" si="57"/>
        <v>27.916275860121594</v>
      </c>
      <c r="H757" s="1">
        <v>3.68</v>
      </c>
      <c r="I757" s="1">
        <f t="shared" si="58"/>
        <v>4.42</v>
      </c>
      <c r="J757" s="1" t="s">
        <v>1182</v>
      </c>
      <c r="K757" s="3">
        <f t="shared" si="59"/>
        <v>32.925534719999995</v>
      </c>
      <c r="L757" s="10">
        <f t="shared" si="56"/>
        <v>0.17943865023321859</v>
      </c>
      <c r="M757" s="18" t="str">
        <f>VLOOKUP(A757,Список!A:I,9,0)</f>
        <v>Основной ассортимент</v>
      </c>
      <c r="N757" s="12"/>
      <c r="O757" s="11"/>
    </row>
    <row r="758" spans="1:15" x14ac:dyDescent="0.25">
      <c r="A758" s="6">
        <v>4499</v>
      </c>
      <c r="B758" s="1" t="s">
        <v>762</v>
      </c>
      <c r="C758" s="3">
        <v>7.259950879999999</v>
      </c>
      <c r="D758" s="1" t="s">
        <v>1182</v>
      </c>
      <c r="E758" s="3">
        <f t="shared" si="55"/>
        <v>113.85461527265277</v>
      </c>
      <c r="F758" s="3">
        <v>104.16306940874036</v>
      </c>
      <c r="G758" s="4">
        <f t="shared" si="57"/>
        <v>113.85461527265277</v>
      </c>
      <c r="H758" s="1">
        <v>19.350000000000001</v>
      </c>
      <c r="I758" s="1">
        <f t="shared" si="58"/>
        <v>23.22</v>
      </c>
      <c r="J758" s="1" t="s">
        <v>1182</v>
      </c>
      <c r="K758" s="3">
        <f t="shared" si="59"/>
        <v>172.97079551999997</v>
      </c>
      <c r="L758" s="10">
        <f t="shared" si="56"/>
        <v>0.5192251548677147</v>
      </c>
      <c r="M758" s="18" t="str">
        <f>VLOOKUP(A758,Список!A:I,9,0)</f>
        <v>Основной ассортимент</v>
      </c>
      <c r="N758" s="12"/>
      <c r="O758" s="11"/>
    </row>
    <row r="759" spans="1:15" x14ac:dyDescent="0.25">
      <c r="A759" s="6">
        <v>2555</v>
      </c>
      <c r="B759" s="1" t="s">
        <v>763</v>
      </c>
      <c r="C759" s="3">
        <v>5.6543848199999989</v>
      </c>
      <c r="D759" s="1" t="s">
        <v>1182</v>
      </c>
      <c r="E759" s="3">
        <f t="shared" si="55"/>
        <v>88.675229202739175</v>
      </c>
      <c r="F759" s="3">
        <v>76.660554123711336</v>
      </c>
      <c r="G759" s="4">
        <f t="shared" si="57"/>
        <v>88.675229202739175</v>
      </c>
      <c r="H759" s="1">
        <v>13.68</v>
      </c>
      <c r="I759" s="1">
        <f t="shared" si="58"/>
        <v>16.420000000000002</v>
      </c>
      <c r="J759" s="1" t="s">
        <v>1182</v>
      </c>
      <c r="K759" s="3">
        <f t="shared" si="59"/>
        <v>122.31612671999999</v>
      </c>
      <c r="L759" s="10">
        <f t="shared" si="56"/>
        <v>0.37937198268016026</v>
      </c>
      <c r="M759" s="18" t="str">
        <f>VLOOKUP(A759,Список!A:I,9,0)</f>
        <v>Основной ассортимент</v>
      </c>
      <c r="N759" s="12"/>
      <c r="O759" s="11"/>
    </row>
    <row r="760" spans="1:15" x14ac:dyDescent="0.25">
      <c r="A760" s="6">
        <v>2554</v>
      </c>
      <c r="B760" s="1" t="s">
        <v>764</v>
      </c>
      <c r="C760" s="3">
        <v>3.2250935639999998</v>
      </c>
      <c r="D760" s="1" t="s">
        <v>1182</v>
      </c>
      <c r="E760" s="3">
        <f t="shared" si="55"/>
        <v>50.577723323043834</v>
      </c>
      <c r="F760" s="3">
        <v>44.907883149996351</v>
      </c>
      <c r="G760" s="4">
        <f t="shared" si="57"/>
        <v>50.577723323043834</v>
      </c>
      <c r="H760" s="1">
        <v>6.31</v>
      </c>
      <c r="I760" s="1">
        <f t="shared" si="58"/>
        <v>7.57</v>
      </c>
      <c r="J760" s="1" t="s">
        <v>1182</v>
      </c>
      <c r="K760" s="3">
        <f t="shared" si="59"/>
        <v>56.390565119999998</v>
      </c>
      <c r="L760" s="10">
        <f t="shared" si="56"/>
        <v>0.11492889388929384</v>
      </c>
      <c r="M760" s="18" t="str">
        <f>VLOOKUP(A760,Список!A:I,9,0)</f>
        <v>Основной ассортимент</v>
      </c>
      <c r="N760" s="12"/>
      <c r="O760" s="11"/>
    </row>
    <row r="761" spans="1:15" x14ac:dyDescent="0.25">
      <c r="A761" s="6">
        <v>4500</v>
      </c>
      <c r="B761" s="1" t="s">
        <v>765</v>
      </c>
      <c r="C761" s="3">
        <v>10.471082999999998</v>
      </c>
      <c r="D761" s="1" t="s">
        <v>1182</v>
      </c>
      <c r="E761" s="3">
        <f t="shared" si="55"/>
        <v>164.21338741247996</v>
      </c>
      <c r="F761" s="3">
        <v>141.83981818181817</v>
      </c>
      <c r="G761" s="4">
        <f t="shared" si="57"/>
        <v>164.21338741247996</v>
      </c>
      <c r="H761" s="1">
        <v>27.9</v>
      </c>
      <c r="I761" s="1">
        <f t="shared" si="58"/>
        <v>33.479999999999997</v>
      </c>
      <c r="J761" s="1" t="s">
        <v>1182</v>
      </c>
      <c r="K761" s="3">
        <f t="shared" si="59"/>
        <v>249.39975167999995</v>
      </c>
      <c r="L761" s="10">
        <f t="shared" si="56"/>
        <v>0.51875407730031364</v>
      </c>
      <c r="M761" s="18" t="str">
        <f>VLOOKUP(A761,Список!A:I,9,0)</f>
        <v>Основной ассортимент</v>
      </c>
      <c r="N761" s="12"/>
      <c r="O761" s="11"/>
    </row>
    <row r="762" spans="1:15" x14ac:dyDescent="0.25">
      <c r="A762" s="6">
        <v>4503</v>
      </c>
      <c r="B762" s="1" t="s">
        <v>766</v>
      </c>
      <c r="C762" s="3">
        <v>9.8428180199999975</v>
      </c>
      <c r="D762" s="1" t="s">
        <v>1182</v>
      </c>
      <c r="E762" s="3">
        <f t="shared" si="55"/>
        <v>154.36058416773116</v>
      </c>
      <c r="F762" s="3">
        <v>139.2424297082228</v>
      </c>
      <c r="G762" s="4">
        <f t="shared" si="57"/>
        <v>154.36058416773116</v>
      </c>
      <c r="H762" s="1">
        <v>25.95</v>
      </c>
      <c r="I762" s="1">
        <f t="shared" si="58"/>
        <v>31.14</v>
      </c>
      <c r="J762" s="1" t="s">
        <v>1182</v>
      </c>
      <c r="K762" s="3">
        <f t="shared" si="59"/>
        <v>231.96858623999998</v>
      </c>
      <c r="L762" s="10">
        <f t="shared" si="56"/>
        <v>0.50277084976523856</v>
      </c>
      <c r="M762" s="18" t="str">
        <f>VLOOKUP(A762,Список!A:I,9,0)</f>
        <v>Основной ассортимент</v>
      </c>
      <c r="N762" s="12"/>
      <c r="O762" s="11"/>
    </row>
    <row r="763" spans="1:15" x14ac:dyDescent="0.25">
      <c r="A763" s="6">
        <v>2387</v>
      </c>
      <c r="B763" s="1" t="s">
        <v>767</v>
      </c>
      <c r="C763" s="3">
        <v>4.7119873500000002</v>
      </c>
      <c r="D763" s="1" t="s">
        <v>1182</v>
      </c>
      <c r="E763" s="3">
        <f t="shared" si="55"/>
        <v>73.896024335615991</v>
      </c>
      <c r="F763" s="3">
        <v>65.979413528336366</v>
      </c>
      <c r="G763" s="4">
        <f t="shared" si="57"/>
        <v>73.896024335615991</v>
      </c>
      <c r="H763" s="1">
        <v>11.44</v>
      </c>
      <c r="I763" s="1">
        <f t="shared" si="58"/>
        <v>13.73</v>
      </c>
      <c r="J763" s="1" t="s">
        <v>1182</v>
      </c>
      <c r="K763" s="3">
        <f t="shared" si="59"/>
        <v>102.27773567999998</v>
      </c>
      <c r="L763" s="10">
        <f t="shared" si="56"/>
        <v>0.3840762963847939</v>
      </c>
      <c r="M763" s="18" t="str">
        <f>VLOOKUP(A763,Список!A:I,9,0)</f>
        <v>Основной ассортимент</v>
      </c>
      <c r="N763" s="12"/>
      <c r="O763" s="11"/>
    </row>
    <row r="764" spans="1:15" x14ac:dyDescent="0.25">
      <c r="A764" s="6">
        <v>4502</v>
      </c>
      <c r="B764" s="1" t="s">
        <v>768</v>
      </c>
      <c r="C764" s="3">
        <v>10.331468559999998</v>
      </c>
      <c r="D764" s="1" t="s">
        <v>1182</v>
      </c>
      <c r="E764" s="3">
        <f t="shared" ref="E764:E827" si="60">IF(D764="RUB",C764*1.2,C764*$E$2*1.2)</f>
        <v>162.02387558031356</v>
      </c>
      <c r="F764" s="3">
        <v>148.65256809338521</v>
      </c>
      <c r="G764" s="4">
        <f t="shared" si="57"/>
        <v>162.02387558031356</v>
      </c>
      <c r="H764" s="1">
        <v>27.44</v>
      </c>
      <c r="I764" s="1">
        <f t="shared" si="58"/>
        <v>32.93</v>
      </c>
      <c r="J764" s="1" t="s">
        <v>1182</v>
      </c>
      <c r="K764" s="3">
        <f t="shared" si="59"/>
        <v>245.30268287999996</v>
      </c>
      <c r="L764" s="10">
        <f t="shared" ref="L764:L827" si="61">K764/E764-1</f>
        <v>0.51399095967437192</v>
      </c>
      <c r="M764" s="18" t="str">
        <f>VLOOKUP(A764,Список!A:I,9,0)</f>
        <v>Основной ассортимент</v>
      </c>
      <c r="N764" s="12"/>
      <c r="O764" s="11"/>
    </row>
    <row r="765" spans="1:15" x14ac:dyDescent="0.25">
      <c r="A765" s="6">
        <v>2386</v>
      </c>
      <c r="B765" s="1" t="s">
        <v>769</v>
      </c>
      <c r="C765" s="3">
        <v>7.5391797599999997</v>
      </c>
      <c r="D765" s="1" t="s">
        <v>1182</v>
      </c>
      <c r="E765" s="3">
        <f t="shared" si="60"/>
        <v>118.23363893698559</v>
      </c>
      <c r="F765" s="3">
        <v>107.21554657466731</v>
      </c>
      <c r="G765" s="4">
        <f t="shared" si="57"/>
        <v>118.23363893698559</v>
      </c>
      <c r="H765" s="1">
        <v>19.45</v>
      </c>
      <c r="I765" s="1">
        <f t="shared" si="58"/>
        <v>23.34</v>
      </c>
      <c r="J765" s="1" t="s">
        <v>1182</v>
      </c>
      <c r="K765" s="3">
        <f t="shared" si="59"/>
        <v>173.86470143999998</v>
      </c>
      <c r="L765" s="10">
        <f t="shared" si="61"/>
        <v>0.47051806070744218</v>
      </c>
      <c r="M765" s="18" t="str">
        <f>VLOOKUP(A765,Список!A:I,9,0)</f>
        <v>Основной ассортимент</v>
      </c>
      <c r="N765" s="12"/>
      <c r="O765" s="11"/>
    </row>
    <row r="766" spans="1:15" x14ac:dyDescent="0.25">
      <c r="A766" s="6">
        <v>2556</v>
      </c>
      <c r="B766" s="1" t="s">
        <v>770</v>
      </c>
      <c r="C766" s="3">
        <v>5.2076186120000001</v>
      </c>
      <c r="D766" s="1" t="s">
        <v>1182</v>
      </c>
      <c r="E766" s="3">
        <f t="shared" si="60"/>
        <v>81.668791339806702</v>
      </c>
      <c r="F766" s="3">
        <v>73.096884841992505</v>
      </c>
      <c r="G766" s="4">
        <f t="shared" si="57"/>
        <v>81.668791339806702</v>
      </c>
      <c r="H766" s="1">
        <v>11.45</v>
      </c>
      <c r="I766" s="1">
        <f t="shared" si="58"/>
        <v>13.74</v>
      </c>
      <c r="J766" s="1" t="s">
        <v>1182</v>
      </c>
      <c r="K766" s="3">
        <f t="shared" si="59"/>
        <v>102.35222784</v>
      </c>
      <c r="L766" s="10">
        <f t="shared" si="61"/>
        <v>0.25325998047569787</v>
      </c>
      <c r="M766" s="18" t="str">
        <f>VLOOKUP(A766,Список!A:I,9,0)</f>
        <v>Основной ассортимент</v>
      </c>
      <c r="N766" s="12"/>
      <c r="O766" s="11"/>
    </row>
    <row r="767" spans="1:15" x14ac:dyDescent="0.25">
      <c r="A767" s="6">
        <v>4501</v>
      </c>
      <c r="B767" s="1" t="s">
        <v>771</v>
      </c>
      <c r="C767" s="3">
        <v>10.540890219999998</v>
      </c>
      <c r="D767" s="1" t="s">
        <v>1182</v>
      </c>
      <c r="E767" s="3">
        <f t="shared" si="60"/>
        <v>165.30814332856318</v>
      </c>
      <c r="F767" s="3">
        <v>146.77010745233969</v>
      </c>
      <c r="G767" s="4">
        <f t="shared" si="57"/>
        <v>165.30814332856318</v>
      </c>
      <c r="H767" s="1">
        <v>28.51</v>
      </c>
      <c r="I767" s="1">
        <f t="shared" si="58"/>
        <v>34.21</v>
      </c>
      <c r="J767" s="1" t="s">
        <v>1182</v>
      </c>
      <c r="K767" s="3">
        <f t="shared" si="59"/>
        <v>254.83767935999998</v>
      </c>
      <c r="L767" s="10">
        <f t="shared" si="61"/>
        <v>0.54159180684456465</v>
      </c>
      <c r="M767" s="18" t="str">
        <f>VLOOKUP(A767,Список!A:I,9,0)</f>
        <v>Основной ассортимент</v>
      </c>
      <c r="N767" s="12"/>
      <c r="O767" s="11"/>
    </row>
    <row r="768" spans="1:15" x14ac:dyDescent="0.25">
      <c r="A768" s="6">
        <v>2686</v>
      </c>
      <c r="B768" s="1" t="s">
        <v>772</v>
      </c>
      <c r="C768" s="3">
        <v>1.6753732800000001</v>
      </c>
      <c r="D768" s="1" t="s">
        <v>1182</v>
      </c>
      <c r="E768" s="3">
        <f t="shared" si="60"/>
        <v>26.274141985996799</v>
      </c>
      <c r="F768" s="3">
        <v>22.976253393665157</v>
      </c>
      <c r="G768" s="4">
        <f t="shared" si="57"/>
        <v>26.274141985996799</v>
      </c>
      <c r="H768" s="1">
        <v>4.12</v>
      </c>
      <c r="I768" s="1">
        <f t="shared" si="58"/>
        <v>4.9400000000000004</v>
      </c>
      <c r="J768" s="1" t="s">
        <v>1182</v>
      </c>
      <c r="K768" s="3">
        <f t="shared" si="59"/>
        <v>36.799127039999995</v>
      </c>
      <c r="L768" s="10">
        <f t="shared" si="61"/>
        <v>0.4005833971519468</v>
      </c>
      <c r="M768" s="18" t="str">
        <f>VLOOKUP(A768,Список!A:I,9,0)</f>
        <v>Основной ассортимент</v>
      </c>
      <c r="N768" s="12"/>
      <c r="O768" s="11"/>
    </row>
    <row r="769" spans="1:15" x14ac:dyDescent="0.25">
      <c r="A769" s="6">
        <v>2687</v>
      </c>
      <c r="B769" s="1" t="s">
        <v>773</v>
      </c>
      <c r="C769" s="3">
        <v>1.8847949399999999</v>
      </c>
      <c r="D769" s="1" t="s">
        <v>1182</v>
      </c>
      <c r="E769" s="3">
        <f t="shared" si="60"/>
        <v>29.558409734246396</v>
      </c>
      <c r="F769" s="3">
        <v>27.705034372501995</v>
      </c>
      <c r="G769" s="4">
        <f t="shared" si="57"/>
        <v>29.558409734246396</v>
      </c>
      <c r="H769" s="1">
        <v>4.49</v>
      </c>
      <c r="I769" s="1">
        <f t="shared" si="58"/>
        <v>5.39</v>
      </c>
      <c r="J769" s="1" t="s">
        <v>1182</v>
      </c>
      <c r="K769" s="3">
        <f t="shared" si="59"/>
        <v>40.151274239999999</v>
      </c>
      <c r="L769" s="10">
        <f t="shared" si="61"/>
        <v>0.35837058221304452</v>
      </c>
      <c r="M769" s="18" t="str">
        <f>VLOOKUP(A769,Список!A:I,9,0)</f>
        <v>Основной ассортимент</v>
      </c>
      <c r="N769" s="12"/>
      <c r="O769" s="11"/>
    </row>
    <row r="770" spans="1:15" x14ac:dyDescent="0.25">
      <c r="A770" s="6">
        <v>2688</v>
      </c>
      <c r="B770" s="1" t="s">
        <v>774</v>
      </c>
      <c r="C770" s="3">
        <v>1.9546021600000001</v>
      </c>
      <c r="D770" s="1" t="s">
        <v>1182</v>
      </c>
      <c r="E770" s="3">
        <f t="shared" si="60"/>
        <v>30.653165650329598</v>
      </c>
      <c r="F770" s="3">
        <v>27.147731716018551</v>
      </c>
      <c r="G770" s="4">
        <f t="shared" si="57"/>
        <v>30.653165650329598</v>
      </c>
      <c r="H770" s="1">
        <v>4.54</v>
      </c>
      <c r="I770" s="1">
        <f t="shared" si="58"/>
        <v>5.45</v>
      </c>
      <c r="J770" s="1" t="s">
        <v>1182</v>
      </c>
      <c r="K770" s="3">
        <f t="shared" si="59"/>
        <v>40.598227199999997</v>
      </c>
      <c r="L770" s="10">
        <f t="shared" si="61"/>
        <v>0.32443831945831891</v>
      </c>
      <c r="M770" s="18" t="str">
        <f>VLOOKUP(A770,Список!A:I,9,0)</f>
        <v>Основной ассортимент</v>
      </c>
      <c r="N770" s="12"/>
      <c r="O770" s="11"/>
    </row>
    <row r="771" spans="1:15" x14ac:dyDescent="0.25">
      <c r="A771" s="6">
        <v>2689</v>
      </c>
      <c r="B771" s="1" t="s">
        <v>775</v>
      </c>
      <c r="C771" s="3">
        <v>2.017428658</v>
      </c>
      <c r="D771" s="1" t="s">
        <v>1182</v>
      </c>
      <c r="E771" s="3">
        <f t="shared" si="60"/>
        <v>31.63844597480448</v>
      </c>
      <c r="F771" s="3">
        <v>25.765373172282263</v>
      </c>
      <c r="G771" s="4">
        <f t="shared" si="57"/>
        <v>31.63844597480448</v>
      </c>
      <c r="H771" s="1">
        <v>4.72</v>
      </c>
      <c r="I771" s="1">
        <f t="shared" si="58"/>
        <v>5.66</v>
      </c>
      <c r="J771" s="1" t="s">
        <v>1182</v>
      </c>
      <c r="K771" s="3">
        <f t="shared" si="59"/>
        <v>42.162562559999998</v>
      </c>
      <c r="L771" s="10">
        <f t="shared" si="61"/>
        <v>0.33263696306627955</v>
      </c>
      <c r="M771" s="18" t="str">
        <f>VLOOKUP(A771,Список!A:I,9,0)</f>
        <v>Основной ассортимент</v>
      </c>
      <c r="N771" s="12"/>
      <c r="O771" s="11"/>
    </row>
    <row r="772" spans="1:15" x14ac:dyDescent="0.25">
      <c r="A772" s="6">
        <v>2690</v>
      </c>
      <c r="B772" s="1" t="s">
        <v>776</v>
      </c>
      <c r="C772" s="3">
        <v>2.0942165999999998</v>
      </c>
      <c r="D772" s="1" t="s">
        <v>1182</v>
      </c>
      <c r="E772" s="3">
        <f t="shared" si="60"/>
        <v>32.842677482495994</v>
      </c>
      <c r="F772" s="3">
        <v>27.921175148469622</v>
      </c>
      <c r="G772" s="4">
        <f t="shared" si="57"/>
        <v>32.842677482495994</v>
      </c>
      <c r="H772" s="1">
        <v>4.8099999999999996</v>
      </c>
      <c r="I772" s="1">
        <f t="shared" si="58"/>
        <v>5.77</v>
      </c>
      <c r="J772" s="1" t="s">
        <v>1182</v>
      </c>
      <c r="K772" s="3">
        <f t="shared" si="59"/>
        <v>42.981976319999987</v>
      </c>
      <c r="L772" s="10">
        <f t="shared" si="61"/>
        <v>0.30872327150878265</v>
      </c>
      <c r="M772" s="18" t="str">
        <f>VLOOKUP(A772,Список!A:I,9,0)</f>
        <v>Основной ассортимент</v>
      </c>
      <c r="N772" s="12"/>
      <c r="O772" s="11"/>
    </row>
    <row r="773" spans="1:15" x14ac:dyDescent="0.25">
      <c r="A773" s="6">
        <v>2691</v>
      </c>
      <c r="B773" s="1" t="s">
        <v>777</v>
      </c>
      <c r="C773" s="3">
        <v>2.3943876459999993</v>
      </c>
      <c r="D773" s="1" t="s">
        <v>1182</v>
      </c>
      <c r="E773" s="3">
        <f t="shared" si="60"/>
        <v>37.550127921653747</v>
      </c>
      <c r="F773" s="3">
        <v>29.75273035066505</v>
      </c>
      <c r="G773" s="4">
        <f t="shared" si="57"/>
        <v>37.550127921653747</v>
      </c>
      <c r="H773" s="1">
        <v>5.5</v>
      </c>
      <c r="I773" s="1">
        <f t="shared" si="58"/>
        <v>6.6</v>
      </c>
      <c r="J773" s="1" t="s">
        <v>1182</v>
      </c>
      <c r="K773" s="3">
        <f t="shared" si="59"/>
        <v>49.164825599999986</v>
      </c>
      <c r="L773" s="10">
        <f t="shared" si="61"/>
        <v>0.30931180055044449</v>
      </c>
      <c r="M773" s="18" t="str">
        <f>VLOOKUP(A773,Список!A:I,9,0)</f>
        <v>Основной ассортимент</v>
      </c>
      <c r="N773" s="12"/>
      <c r="O773" s="11"/>
    </row>
    <row r="774" spans="1:15" x14ac:dyDescent="0.25">
      <c r="A774" s="6">
        <v>2692</v>
      </c>
      <c r="B774" s="1" t="s">
        <v>778</v>
      </c>
      <c r="C774" s="3">
        <v>3.0854791240000004</v>
      </c>
      <c r="D774" s="1" t="s">
        <v>1182</v>
      </c>
      <c r="E774" s="3">
        <f t="shared" si="60"/>
        <v>48.388211490877438</v>
      </c>
      <c r="F774" s="3">
        <v>45.164254625968681</v>
      </c>
      <c r="G774" s="4">
        <f t="shared" ref="G774:G837" si="62">IF(M774="Вывод из ассортимента",F774,MAX(E774,F774))</f>
        <v>48.388211490877438</v>
      </c>
      <c r="H774" s="1">
        <v>7.09</v>
      </c>
      <c r="I774" s="1">
        <f t="shared" ref="I774:I837" si="63">ROUND(H774*1.2,2)</f>
        <v>8.51</v>
      </c>
      <c r="J774" s="1" t="s">
        <v>1182</v>
      </c>
      <c r="K774" s="3">
        <f t="shared" ref="K774:K837" si="64">IF(J774="RUB",I774*$K$4,I774*$E$2*$K$4)</f>
        <v>63.392828159999993</v>
      </c>
      <c r="L774" s="10">
        <f t="shared" si="61"/>
        <v>0.31008826751018392</v>
      </c>
      <c r="M774" s="18" t="str">
        <f>VLOOKUP(A774,Список!A:I,9,0)</f>
        <v>Основной ассортимент</v>
      </c>
      <c r="N774" s="12"/>
      <c r="O774" s="11"/>
    </row>
    <row r="775" spans="1:15" x14ac:dyDescent="0.25">
      <c r="A775" s="6">
        <v>4554</v>
      </c>
      <c r="B775" s="1" t="s">
        <v>779</v>
      </c>
      <c r="C775" s="3">
        <v>3.4624381120000001</v>
      </c>
      <c r="D775" s="1" t="s">
        <v>1182</v>
      </c>
      <c r="E775" s="3">
        <f t="shared" si="60"/>
        <v>54.299893437726716</v>
      </c>
      <c r="F775" s="3">
        <v>49.800008013355594</v>
      </c>
      <c r="G775" s="4">
        <f t="shared" si="62"/>
        <v>54.299893437726716</v>
      </c>
      <c r="H775" s="1">
        <v>9.32</v>
      </c>
      <c r="I775" s="1">
        <f t="shared" si="63"/>
        <v>11.18</v>
      </c>
      <c r="J775" s="1" t="s">
        <v>1182</v>
      </c>
      <c r="K775" s="3">
        <f t="shared" si="64"/>
        <v>83.28223487999999</v>
      </c>
      <c r="L775" s="10">
        <f t="shared" si="61"/>
        <v>0.53374582540408433</v>
      </c>
      <c r="M775" s="18" t="str">
        <f>VLOOKUP(A775,Список!A:I,9,0)</f>
        <v>Основной ассортимент</v>
      </c>
      <c r="N775" s="12"/>
      <c r="O775" s="11"/>
    </row>
    <row r="776" spans="1:15" x14ac:dyDescent="0.25">
      <c r="A776" s="6">
        <v>4555</v>
      </c>
      <c r="B776" s="1" t="s">
        <v>780</v>
      </c>
      <c r="C776" s="3">
        <v>4.5374692999999997</v>
      </c>
      <c r="D776" s="1" t="s">
        <v>1182</v>
      </c>
      <c r="E776" s="3">
        <f t="shared" si="60"/>
        <v>71.159134545407994</v>
      </c>
      <c r="F776" s="3">
        <v>64.259511111111109</v>
      </c>
      <c r="G776" s="4">
        <f t="shared" si="62"/>
        <v>71.159134545407994</v>
      </c>
      <c r="H776" s="1">
        <v>12.1</v>
      </c>
      <c r="I776" s="1">
        <f t="shared" si="63"/>
        <v>14.52</v>
      </c>
      <c r="J776" s="1" t="s">
        <v>1182</v>
      </c>
      <c r="K776" s="3">
        <f t="shared" si="64"/>
        <v>108.16261631999998</v>
      </c>
      <c r="L776" s="10">
        <f t="shared" si="61"/>
        <v>0.5200102841467158</v>
      </c>
      <c r="M776" s="18" t="str">
        <f>VLOOKUP(A776,Список!A:I,9,0)</f>
        <v>Основной ассортимент</v>
      </c>
      <c r="N776" s="12"/>
      <c r="O776" s="11"/>
    </row>
    <row r="777" spans="1:15" x14ac:dyDescent="0.25">
      <c r="A777" s="6">
        <v>4556</v>
      </c>
      <c r="B777" s="1" t="s">
        <v>781</v>
      </c>
      <c r="C777" s="3">
        <v>4.9563126199999994</v>
      </c>
      <c r="D777" s="1" t="s">
        <v>1182</v>
      </c>
      <c r="E777" s="3">
        <f t="shared" si="60"/>
        <v>77.727670041907189</v>
      </c>
      <c r="F777" s="3">
        <v>66.908458217567855</v>
      </c>
      <c r="G777" s="4">
        <f t="shared" si="62"/>
        <v>77.727670041907189</v>
      </c>
      <c r="H777" s="1">
        <v>13.22</v>
      </c>
      <c r="I777" s="1">
        <f t="shared" si="63"/>
        <v>15.86</v>
      </c>
      <c r="J777" s="1" t="s">
        <v>1182</v>
      </c>
      <c r="K777" s="3">
        <f t="shared" si="64"/>
        <v>118.14456575999998</v>
      </c>
      <c r="L777" s="10">
        <f t="shared" si="61"/>
        <v>0.5199807957230913</v>
      </c>
      <c r="M777" s="18" t="str">
        <f>VLOOKUP(A777,Список!A:I,9,0)</f>
        <v>Основной ассортимент</v>
      </c>
      <c r="N777" s="12"/>
      <c r="O777" s="11"/>
    </row>
    <row r="778" spans="1:15" x14ac:dyDescent="0.25">
      <c r="A778" s="6">
        <v>4557</v>
      </c>
      <c r="B778" s="1" t="s">
        <v>782</v>
      </c>
      <c r="C778" s="3">
        <v>5.1029077819999991</v>
      </c>
      <c r="D778" s="1" t="s">
        <v>1182</v>
      </c>
      <c r="E778" s="3">
        <f t="shared" si="60"/>
        <v>80.026657465681907</v>
      </c>
      <c r="F778" s="3">
        <v>74.940727722772266</v>
      </c>
      <c r="G778" s="4">
        <f t="shared" si="62"/>
        <v>80.026657465681907</v>
      </c>
      <c r="H778" s="1">
        <v>13.58</v>
      </c>
      <c r="I778" s="1">
        <f t="shared" si="63"/>
        <v>16.3</v>
      </c>
      <c r="J778" s="1" t="s">
        <v>1182</v>
      </c>
      <c r="K778" s="3">
        <f t="shared" si="64"/>
        <v>121.42222079999999</v>
      </c>
      <c r="L778" s="10">
        <f t="shared" si="61"/>
        <v>0.51727217711260631</v>
      </c>
      <c r="M778" s="18" t="str">
        <f>VLOOKUP(A778,Список!A:I,9,0)</f>
        <v>Основной ассортимент</v>
      </c>
      <c r="N778" s="12"/>
      <c r="O778" s="11"/>
    </row>
    <row r="779" spans="1:15" x14ac:dyDescent="0.25">
      <c r="A779" s="6">
        <v>2693</v>
      </c>
      <c r="B779" s="1" t="s">
        <v>783</v>
      </c>
      <c r="C779" s="3">
        <v>1.7940455540000002</v>
      </c>
      <c r="D779" s="1" t="s">
        <v>1182</v>
      </c>
      <c r="E779" s="3">
        <f t="shared" si="60"/>
        <v>28.13522704333824</v>
      </c>
      <c r="F779" s="3">
        <v>24.532276456569139</v>
      </c>
      <c r="G779" s="4">
        <f t="shared" si="62"/>
        <v>28.13522704333824</v>
      </c>
      <c r="H779" s="1">
        <v>4.09</v>
      </c>
      <c r="I779" s="1">
        <f t="shared" si="63"/>
        <v>4.91</v>
      </c>
      <c r="J779" s="1" t="s">
        <v>1182</v>
      </c>
      <c r="K779" s="3">
        <f t="shared" si="64"/>
        <v>36.575650559999993</v>
      </c>
      <c r="L779" s="10">
        <f t="shared" si="61"/>
        <v>0.29999486066561687</v>
      </c>
      <c r="M779" s="18" t="str">
        <f>VLOOKUP(A779,Список!A:I,9,0)</f>
        <v>Основной ассортимент</v>
      </c>
      <c r="N779" s="12"/>
      <c r="O779" s="11"/>
    </row>
    <row r="780" spans="1:15" x14ac:dyDescent="0.25">
      <c r="A780" s="6">
        <v>2694</v>
      </c>
      <c r="B780" s="1" t="s">
        <v>784</v>
      </c>
      <c r="C780" s="3">
        <v>1.8847949399999999</v>
      </c>
      <c r="D780" s="1" t="s">
        <v>1182</v>
      </c>
      <c r="E780" s="3">
        <f t="shared" si="60"/>
        <v>29.558409734246396</v>
      </c>
      <c r="F780" s="3">
        <v>24.937427955665022</v>
      </c>
      <c r="G780" s="4">
        <f t="shared" si="62"/>
        <v>29.558409734246396</v>
      </c>
      <c r="H780" s="1">
        <v>4.3499999999999996</v>
      </c>
      <c r="I780" s="1">
        <f t="shared" si="63"/>
        <v>5.22</v>
      </c>
      <c r="J780" s="1" t="s">
        <v>1182</v>
      </c>
      <c r="K780" s="3">
        <f t="shared" si="64"/>
        <v>38.884907519999992</v>
      </c>
      <c r="L780" s="10">
        <f t="shared" si="61"/>
        <v>0.31552772526012829</v>
      </c>
      <c r="M780" s="18" t="str">
        <f>VLOOKUP(A780,Список!A:I,9,0)</f>
        <v>Основной ассортимент</v>
      </c>
      <c r="N780" s="12"/>
      <c r="O780" s="11"/>
    </row>
    <row r="781" spans="1:15" x14ac:dyDescent="0.25">
      <c r="A781" s="6">
        <v>2695</v>
      </c>
      <c r="B781" s="1" t="s">
        <v>785</v>
      </c>
      <c r="C781" s="3">
        <v>2.045351546</v>
      </c>
      <c r="D781" s="1" t="s">
        <v>1182</v>
      </c>
      <c r="E781" s="3">
        <f t="shared" si="60"/>
        <v>32.076348341237754</v>
      </c>
      <c r="F781" s="3">
        <v>29.673874829713917</v>
      </c>
      <c r="G781" s="4">
        <f t="shared" si="62"/>
        <v>32.076348341237754</v>
      </c>
      <c r="H781" s="1">
        <v>4.67</v>
      </c>
      <c r="I781" s="1">
        <f t="shared" si="63"/>
        <v>5.6</v>
      </c>
      <c r="J781" s="1" t="s">
        <v>1182</v>
      </c>
      <c r="K781" s="3">
        <f t="shared" si="64"/>
        <v>41.715609599999993</v>
      </c>
      <c r="L781" s="10">
        <f t="shared" si="61"/>
        <v>0.30050993199777309</v>
      </c>
      <c r="M781" s="18" t="str">
        <f>VLOOKUP(A781,Список!A:I,9,0)</f>
        <v>Основной ассортимент</v>
      </c>
      <c r="N781" s="12"/>
      <c r="O781" s="11"/>
    </row>
    <row r="782" spans="1:15" x14ac:dyDescent="0.25">
      <c r="A782" s="6">
        <v>2696</v>
      </c>
      <c r="B782" s="1" t="s">
        <v>786</v>
      </c>
      <c r="C782" s="3">
        <v>2.1221394879999997</v>
      </c>
      <c r="D782" s="1" t="s">
        <v>1182</v>
      </c>
      <c r="E782" s="3">
        <f t="shared" si="60"/>
        <v>33.280579848929271</v>
      </c>
      <c r="F782" s="3">
        <v>30.757514917127072</v>
      </c>
      <c r="G782" s="4">
        <f t="shared" si="62"/>
        <v>33.280579848929271</v>
      </c>
      <c r="H782" s="1">
        <v>4.91</v>
      </c>
      <c r="I782" s="1">
        <f t="shared" si="63"/>
        <v>5.89</v>
      </c>
      <c r="J782" s="1" t="s">
        <v>1182</v>
      </c>
      <c r="K782" s="3">
        <f t="shared" si="64"/>
        <v>43.875882239999989</v>
      </c>
      <c r="L782" s="10">
        <f t="shared" si="61"/>
        <v>0.31836291432318897</v>
      </c>
      <c r="M782" s="18" t="str">
        <f>VLOOKUP(A782,Список!A:I,9,0)</f>
        <v>Основной ассортимент</v>
      </c>
      <c r="N782" s="12"/>
      <c r="O782" s="11"/>
    </row>
    <row r="783" spans="1:15" x14ac:dyDescent="0.25">
      <c r="A783" s="6">
        <v>2697</v>
      </c>
      <c r="B783" s="1" t="s">
        <v>787</v>
      </c>
      <c r="C783" s="3">
        <v>2.2128888739999995</v>
      </c>
      <c r="D783" s="1" t="s">
        <v>1182</v>
      </c>
      <c r="E783" s="3">
        <f t="shared" si="60"/>
        <v>34.703762539837427</v>
      </c>
      <c r="F783" s="3">
        <v>30.040171353429088</v>
      </c>
      <c r="G783" s="4">
        <f t="shared" si="62"/>
        <v>34.703762539837427</v>
      </c>
      <c r="H783" s="1">
        <v>5.14</v>
      </c>
      <c r="I783" s="1">
        <f t="shared" si="63"/>
        <v>6.17</v>
      </c>
      <c r="J783" s="1" t="s">
        <v>1182</v>
      </c>
      <c r="K783" s="3">
        <f t="shared" si="64"/>
        <v>45.961662719999993</v>
      </c>
      <c r="L783" s="10">
        <f t="shared" si="61"/>
        <v>0.32439998882655163</v>
      </c>
      <c r="M783" s="18" t="str">
        <f>VLOOKUP(A783,Список!A:I,9,0)</f>
        <v>Основной ассортимент</v>
      </c>
      <c r="N783" s="12"/>
      <c r="O783" s="11"/>
    </row>
    <row r="784" spans="1:15" x14ac:dyDescent="0.25">
      <c r="A784" s="6">
        <v>2698</v>
      </c>
      <c r="B784" s="1" t="s">
        <v>788</v>
      </c>
      <c r="C784" s="3">
        <v>2.6945586920000002</v>
      </c>
      <c r="D784" s="1" t="s">
        <v>1182</v>
      </c>
      <c r="E784" s="3">
        <f t="shared" si="60"/>
        <v>42.257578360811515</v>
      </c>
      <c r="F784" s="3">
        <v>36.451720174890696</v>
      </c>
      <c r="G784" s="4">
        <f t="shared" si="62"/>
        <v>42.257578360811515</v>
      </c>
      <c r="H784" s="1">
        <v>6.21</v>
      </c>
      <c r="I784" s="1">
        <f t="shared" si="63"/>
        <v>7.45</v>
      </c>
      <c r="J784" s="1" t="s">
        <v>1182</v>
      </c>
      <c r="K784" s="3">
        <f t="shared" si="64"/>
        <v>55.496659199999996</v>
      </c>
      <c r="L784" s="10">
        <f t="shared" si="61"/>
        <v>0.31329483024673355</v>
      </c>
      <c r="M784" s="18" t="str">
        <f>VLOOKUP(A784,Список!A:I,9,0)</f>
        <v>Основной ассортимент</v>
      </c>
      <c r="N784" s="12"/>
      <c r="O784" s="11"/>
    </row>
    <row r="785" spans="1:15" x14ac:dyDescent="0.25">
      <c r="A785" s="6">
        <v>2699</v>
      </c>
      <c r="B785" s="1" t="s">
        <v>789</v>
      </c>
      <c r="C785" s="3">
        <v>3.1413248999999999</v>
      </c>
      <c r="D785" s="1" t="s">
        <v>1182</v>
      </c>
      <c r="E785" s="3">
        <f t="shared" si="60"/>
        <v>49.264016223743994</v>
      </c>
      <c r="F785" s="3">
        <v>43.492775143843495</v>
      </c>
      <c r="G785" s="4">
        <f t="shared" si="62"/>
        <v>49.264016223743994</v>
      </c>
      <c r="H785" s="1">
        <v>7.28</v>
      </c>
      <c r="I785" s="1">
        <f t="shared" si="63"/>
        <v>8.74</v>
      </c>
      <c r="J785" s="1" t="s">
        <v>1182</v>
      </c>
      <c r="K785" s="3">
        <f t="shared" si="64"/>
        <v>65.106147839999991</v>
      </c>
      <c r="L785" s="10">
        <f t="shared" si="61"/>
        <v>0.32157612859465767</v>
      </c>
      <c r="M785" s="18" t="str">
        <f>VLOOKUP(A785,Список!A:I,9,0)</f>
        <v>Основной ассортимент</v>
      </c>
      <c r="N785" s="12"/>
      <c r="O785" s="11"/>
    </row>
    <row r="786" spans="1:15" x14ac:dyDescent="0.25">
      <c r="A786" s="6">
        <v>4558</v>
      </c>
      <c r="B786" s="1" t="s">
        <v>790</v>
      </c>
      <c r="C786" s="3">
        <v>3.6299754399999995</v>
      </c>
      <c r="D786" s="1" t="s">
        <v>1182</v>
      </c>
      <c r="E786" s="3">
        <f t="shared" si="60"/>
        <v>56.927307636326383</v>
      </c>
      <c r="F786" s="3">
        <v>52.562906019007386</v>
      </c>
      <c r="G786" s="4">
        <f t="shared" si="62"/>
        <v>56.927307636326383</v>
      </c>
      <c r="H786" s="1">
        <v>9.68</v>
      </c>
      <c r="I786" s="1">
        <f t="shared" si="63"/>
        <v>11.62</v>
      </c>
      <c r="J786" s="1" t="s">
        <v>1182</v>
      </c>
      <c r="K786" s="3">
        <f t="shared" si="64"/>
        <v>86.559889919999989</v>
      </c>
      <c r="L786" s="10">
        <f t="shared" si="61"/>
        <v>0.52053370366605045</v>
      </c>
      <c r="M786" s="18" t="str">
        <f>VLOOKUP(A786,Список!A:I,9,0)</f>
        <v>Основной ассортимент</v>
      </c>
      <c r="N786" s="12"/>
      <c r="O786" s="11"/>
    </row>
    <row r="787" spans="1:15" x14ac:dyDescent="0.25">
      <c r="A787" s="6">
        <v>4559</v>
      </c>
      <c r="B787" s="1" t="s">
        <v>791</v>
      </c>
      <c r="C787" s="3">
        <v>4.6421801299999998</v>
      </c>
      <c r="D787" s="1" t="s">
        <v>1182</v>
      </c>
      <c r="E787" s="3">
        <f t="shared" si="60"/>
        <v>72.801268419532789</v>
      </c>
      <c r="F787" s="3">
        <v>66.61666242038217</v>
      </c>
      <c r="G787" s="4">
        <f t="shared" si="62"/>
        <v>72.801268419532789</v>
      </c>
      <c r="H787" s="1">
        <v>12.32</v>
      </c>
      <c r="I787" s="1">
        <f t="shared" si="63"/>
        <v>14.78</v>
      </c>
      <c r="J787" s="1" t="s">
        <v>1182</v>
      </c>
      <c r="K787" s="3">
        <f t="shared" si="64"/>
        <v>110.09941247999998</v>
      </c>
      <c r="L787" s="10">
        <f t="shared" si="61"/>
        <v>0.51232821721633615</v>
      </c>
      <c r="M787" s="18" t="str">
        <f>VLOOKUP(A787,Список!A:I,9,0)</f>
        <v>Основной ассортимент</v>
      </c>
      <c r="N787" s="12"/>
      <c r="O787" s="11"/>
    </row>
    <row r="788" spans="1:15" x14ac:dyDescent="0.25">
      <c r="A788" s="6">
        <v>4560</v>
      </c>
      <c r="B788" s="1" t="s">
        <v>792</v>
      </c>
      <c r="C788" s="3">
        <v>5.0261198399999989</v>
      </c>
      <c r="D788" s="1" t="s">
        <v>1182</v>
      </c>
      <c r="E788" s="3">
        <f t="shared" si="60"/>
        <v>78.822425957990376</v>
      </c>
      <c r="F788" s="3">
        <v>69.99931480324797</v>
      </c>
      <c r="G788" s="4">
        <f t="shared" si="62"/>
        <v>78.822425957990376</v>
      </c>
      <c r="H788" s="1">
        <v>12.55</v>
      </c>
      <c r="I788" s="1">
        <f t="shared" si="63"/>
        <v>15.06</v>
      </c>
      <c r="J788" s="1" t="s">
        <v>1182</v>
      </c>
      <c r="K788" s="3">
        <f t="shared" si="64"/>
        <v>112.18519295999998</v>
      </c>
      <c r="L788" s="10">
        <f t="shared" si="61"/>
        <v>0.42326490965643204</v>
      </c>
      <c r="M788" s="18" t="str">
        <f>VLOOKUP(A788,Список!A:I,9,0)</f>
        <v>Основной ассортимент</v>
      </c>
      <c r="N788" s="12"/>
      <c r="O788" s="11"/>
    </row>
    <row r="789" spans="1:15" x14ac:dyDescent="0.25">
      <c r="A789" s="6">
        <v>4561</v>
      </c>
      <c r="B789" s="1" t="s">
        <v>793</v>
      </c>
      <c r="C789" s="3">
        <v>4.9563126199999994</v>
      </c>
      <c r="D789" s="1" t="s">
        <v>1182</v>
      </c>
      <c r="E789" s="3">
        <f t="shared" si="60"/>
        <v>77.727670041907189</v>
      </c>
      <c r="F789" s="3">
        <v>73.53058706467661</v>
      </c>
      <c r="G789" s="4">
        <f t="shared" si="62"/>
        <v>77.727670041907189</v>
      </c>
      <c r="H789" s="1">
        <v>13.18</v>
      </c>
      <c r="I789" s="1">
        <f t="shared" si="63"/>
        <v>15.82</v>
      </c>
      <c r="J789" s="1" t="s">
        <v>1182</v>
      </c>
      <c r="K789" s="3">
        <f t="shared" si="64"/>
        <v>117.84659711999998</v>
      </c>
      <c r="L789" s="10">
        <f t="shared" si="61"/>
        <v>0.51614730065191083</v>
      </c>
      <c r="M789" s="18" t="str">
        <f>VLOOKUP(A789,Список!A:I,9,0)</f>
        <v>Основной ассортимент</v>
      </c>
      <c r="N789" s="12"/>
      <c r="O789" s="11"/>
    </row>
    <row r="790" spans="1:15" x14ac:dyDescent="0.25">
      <c r="A790" s="6">
        <v>2389</v>
      </c>
      <c r="B790" s="1" t="s">
        <v>794</v>
      </c>
      <c r="C790" s="3">
        <v>3.2809393400000002</v>
      </c>
      <c r="D790" s="1" t="s">
        <v>1182</v>
      </c>
      <c r="E790" s="3">
        <f t="shared" si="60"/>
        <v>51.453528055910404</v>
      </c>
      <c r="F790" s="3">
        <v>36.140415076779895</v>
      </c>
      <c r="G790" s="4">
        <f t="shared" si="62"/>
        <v>51.453528055910404</v>
      </c>
      <c r="H790" s="1">
        <v>8.16</v>
      </c>
      <c r="I790" s="1">
        <f t="shared" si="63"/>
        <v>9.7899999999999991</v>
      </c>
      <c r="J790" s="1" t="s">
        <v>1182</v>
      </c>
      <c r="K790" s="3">
        <f t="shared" si="64"/>
        <v>72.927824639999983</v>
      </c>
      <c r="L790" s="10">
        <f t="shared" si="61"/>
        <v>0.41735323884409237</v>
      </c>
      <c r="M790" s="18" t="str">
        <f>VLOOKUP(A790,Список!A:I,9,0)</f>
        <v>Основной ассортимент</v>
      </c>
      <c r="N790" s="12"/>
      <c r="O790" s="11"/>
    </row>
    <row r="791" spans="1:15" x14ac:dyDescent="0.25">
      <c r="A791" s="6">
        <v>4593</v>
      </c>
      <c r="B791" s="1" t="s">
        <v>795</v>
      </c>
      <c r="C791" s="3">
        <v>41.18</v>
      </c>
      <c r="D791" s="1" t="s">
        <v>1182</v>
      </c>
      <c r="E791" s="3">
        <f t="shared" si="60"/>
        <v>645.80782079999994</v>
      </c>
      <c r="F791" s="3">
        <v>558.81451948051949</v>
      </c>
      <c r="G791" s="4">
        <f t="shared" si="62"/>
        <v>645.80782079999994</v>
      </c>
      <c r="H791" s="1">
        <v>103.64</v>
      </c>
      <c r="I791" s="1">
        <f t="shared" si="63"/>
        <v>124.37</v>
      </c>
      <c r="J791" s="1" t="s">
        <v>1182</v>
      </c>
      <c r="K791" s="3">
        <f t="shared" si="64"/>
        <v>926.4589939199999</v>
      </c>
      <c r="L791" s="10">
        <f t="shared" si="61"/>
        <v>0.43457382224380758</v>
      </c>
      <c r="M791" s="18" t="str">
        <f>VLOOKUP(A791,Список!A:I,9,0)</f>
        <v>Основной ассортимент</v>
      </c>
      <c r="N791" s="12"/>
      <c r="O791" s="11"/>
    </row>
    <row r="792" spans="1:15" x14ac:dyDescent="0.25">
      <c r="A792" s="6">
        <v>4594</v>
      </c>
      <c r="B792" s="1" t="s">
        <v>796</v>
      </c>
      <c r="C792" s="3">
        <v>32.248000000000005</v>
      </c>
      <c r="D792" s="1" t="s">
        <v>1182</v>
      </c>
      <c r="E792" s="3">
        <f t="shared" si="60"/>
        <v>505.73119487999998</v>
      </c>
      <c r="F792" s="3">
        <v>450.66818662747977</v>
      </c>
      <c r="G792" s="4">
        <f t="shared" si="62"/>
        <v>505.73119487999998</v>
      </c>
      <c r="H792" s="1">
        <v>76.97</v>
      </c>
      <c r="I792" s="1">
        <f t="shared" si="63"/>
        <v>92.36</v>
      </c>
      <c r="J792" s="1" t="s">
        <v>1182</v>
      </c>
      <c r="K792" s="3">
        <f t="shared" si="64"/>
        <v>688.00958975999981</v>
      </c>
      <c r="L792" s="10">
        <f t="shared" si="61"/>
        <v>0.36042545274125493</v>
      </c>
      <c r="M792" s="18" t="str">
        <f>VLOOKUP(A792,Список!A:I,9,0)</f>
        <v>Основной ассортимент</v>
      </c>
      <c r="N792" s="12"/>
      <c r="O792" s="11"/>
    </row>
    <row r="793" spans="1:15" x14ac:dyDescent="0.25">
      <c r="A793" s="6">
        <v>4595</v>
      </c>
      <c r="B793" s="1" t="s">
        <v>797</v>
      </c>
      <c r="C793" s="3">
        <v>95.12</v>
      </c>
      <c r="D793" s="1" t="s">
        <v>1182</v>
      </c>
      <c r="E793" s="3">
        <f t="shared" si="60"/>
        <v>1491.7251072000001</v>
      </c>
      <c r="F793" s="3">
        <v>1193.3987027027026</v>
      </c>
      <c r="G793" s="4">
        <f t="shared" si="62"/>
        <v>1491.7251072000001</v>
      </c>
      <c r="H793" s="1">
        <v>240.57</v>
      </c>
      <c r="I793" s="1">
        <f t="shared" si="63"/>
        <v>288.68</v>
      </c>
      <c r="J793" s="1" t="s">
        <v>1182</v>
      </c>
      <c r="K793" s="3">
        <f t="shared" si="64"/>
        <v>2150.43967488</v>
      </c>
      <c r="L793" s="10">
        <f t="shared" si="61"/>
        <v>0.4415790580319594</v>
      </c>
      <c r="M793" s="18" t="str">
        <f>VLOOKUP(A793,Список!A:I,9,0)</f>
        <v>Основной ассортимент</v>
      </c>
      <c r="N793" s="12"/>
      <c r="O793" s="11"/>
    </row>
    <row r="794" spans="1:15" x14ac:dyDescent="0.25">
      <c r="A794" s="6">
        <v>3701</v>
      </c>
      <c r="B794" s="1" t="s">
        <v>798</v>
      </c>
      <c r="C794" s="3">
        <v>168.2</v>
      </c>
      <c r="D794" s="1" t="s">
        <v>1182</v>
      </c>
      <c r="E794" s="3">
        <f t="shared" si="60"/>
        <v>2637.8065919999995</v>
      </c>
      <c r="F794" s="3">
        <v>2070.4288767123285</v>
      </c>
      <c r="G794" s="4">
        <f t="shared" si="62"/>
        <v>2637.8065919999995</v>
      </c>
      <c r="H794" s="1">
        <v>451.74</v>
      </c>
      <c r="I794" s="1">
        <f t="shared" si="63"/>
        <v>542.09</v>
      </c>
      <c r="J794" s="1" t="s">
        <v>1182</v>
      </c>
      <c r="K794" s="3">
        <f t="shared" si="64"/>
        <v>4038.1455014399994</v>
      </c>
      <c r="L794" s="10">
        <f t="shared" si="61"/>
        <v>0.53087247324613562</v>
      </c>
      <c r="M794" s="18" t="str">
        <f>VLOOKUP(A794,Список!A:I,9,0)</f>
        <v>Основной ассортимент</v>
      </c>
      <c r="N794" s="12"/>
      <c r="O794" s="11"/>
    </row>
    <row r="795" spans="1:15" x14ac:dyDescent="0.25">
      <c r="A795" s="6">
        <v>3702</v>
      </c>
      <c r="B795" s="1" t="s">
        <v>799</v>
      </c>
      <c r="C795" s="3">
        <v>2.7839999999999998</v>
      </c>
      <c r="D795" s="1" t="s">
        <v>1182</v>
      </c>
      <c r="E795" s="3">
        <f t="shared" si="60"/>
        <v>43.660247039999994</v>
      </c>
      <c r="F795" s="3">
        <v>38.719563829787234</v>
      </c>
      <c r="G795" s="4">
        <f t="shared" si="62"/>
        <v>43.660247039999994</v>
      </c>
      <c r="H795" s="1">
        <v>8.42</v>
      </c>
      <c r="I795" s="1">
        <f t="shared" si="63"/>
        <v>10.1</v>
      </c>
      <c r="J795" s="1" t="s">
        <v>1182</v>
      </c>
      <c r="K795" s="3">
        <f t="shared" si="64"/>
        <v>75.237081599999996</v>
      </c>
      <c r="L795" s="10">
        <f t="shared" si="61"/>
        <v>0.72323994252873569</v>
      </c>
      <c r="M795" s="18" t="str">
        <f>VLOOKUP(A795,Список!A:I,9,0)</f>
        <v>Основной ассортимент</v>
      </c>
      <c r="N795" s="12"/>
      <c r="O795" s="11"/>
    </row>
    <row r="796" spans="1:15" x14ac:dyDescent="0.25">
      <c r="A796" s="6">
        <v>3703</v>
      </c>
      <c r="B796" s="1" t="s">
        <v>800</v>
      </c>
      <c r="C796" s="3">
        <v>2.9</v>
      </c>
      <c r="D796" s="1" t="s">
        <v>1182</v>
      </c>
      <c r="E796" s="3">
        <f t="shared" si="60"/>
        <v>45.479423999999995</v>
      </c>
      <c r="F796" s="3">
        <v>37.596483870967745</v>
      </c>
      <c r="G796" s="4">
        <f t="shared" si="62"/>
        <v>45.479423999999995</v>
      </c>
      <c r="H796" s="1">
        <v>9.56</v>
      </c>
      <c r="I796" s="1">
        <f t="shared" si="63"/>
        <v>11.47</v>
      </c>
      <c r="J796" s="1" t="s">
        <v>1182</v>
      </c>
      <c r="K796" s="3">
        <f t="shared" si="64"/>
        <v>85.442507519999992</v>
      </c>
      <c r="L796" s="10">
        <f t="shared" si="61"/>
        <v>0.87870689655172418</v>
      </c>
      <c r="M796" s="18" t="str">
        <f>VLOOKUP(A796,Список!A:I,9,0)</f>
        <v>Основной ассортимент</v>
      </c>
      <c r="N796" s="12"/>
      <c r="O796" s="11"/>
    </row>
    <row r="797" spans="1:15" x14ac:dyDescent="0.25">
      <c r="A797" s="6">
        <v>1939</v>
      </c>
      <c r="B797" s="1" t="s">
        <v>801</v>
      </c>
      <c r="C797" s="3">
        <v>3.8860000000000001</v>
      </c>
      <c r="D797" s="1" t="s">
        <v>1182</v>
      </c>
      <c r="E797" s="3">
        <f t="shared" si="60"/>
        <v>60.942428159999999</v>
      </c>
      <c r="F797" s="3">
        <v>54.273060728744937</v>
      </c>
      <c r="G797" s="4">
        <f t="shared" si="62"/>
        <v>60.942428159999999</v>
      </c>
      <c r="H797" s="1">
        <v>12.03</v>
      </c>
      <c r="I797" s="1">
        <f t="shared" si="63"/>
        <v>14.44</v>
      </c>
      <c r="J797" s="1" t="s">
        <v>1182</v>
      </c>
      <c r="K797" s="3">
        <f t="shared" si="64"/>
        <v>107.56667903999998</v>
      </c>
      <c r="L797" s="10">
        <f t="shared" si="61"/>
        <v>0.76505404014410683</v>
      </c>
      <c r="M797" s="18" t="str">
        <f>VLOOKUP(A797,Список!A:I,9,0)</f>
        <v>Основной ассортимент</v>
      </c>
      <c r="N797" s="12"/>
      <c r="O797" s="11"/>
    </row>
    <row r="798" spans="1:15" x14ac:dyDescent="0.25">
      <c r="A798" s="6">
        <v>1940</v>
      </c>
      <c r="B798" s="1" t="s">
        <v>802</v>
      </c>
      <c r="C798" s="3">
        <v>5.3359999999999994</v>
      </c>
      <c r="D798" s="1" t="s">
        <v>1182</v>
      </c>
      <c r="E798" s="3">
        <f t="shared" si="60"/>
        <v>83.682140159999975</v>
      </c>
      <c r="F798" s="3">
        <v>75.894955523672877</v>
      </c>
      <c r="G798" s="4">
        <f t="shared" si="62"/>
        <v>83.682140159999975</v>
      </c>
      <c r="H798" s="1">
        <v>14.48</v>
      </c>
      <c r="I798" s="1">
        <f t="shared" si="63"/>
        <v>17.38</v>
      </c>
      <c r="J798" s="1" t="s">
        <v>1182</v>
      </c>
      <c r="K798" s="3">
        <f t="shared" si="64"/>
        <v>129.46737407999998</v>
      </c>
      <c r="L798" s="10">
        <f t="shared" si="61"/>
        <v>0.54713268365817114</v>
      </c>
      <c r="M798" s="18" t="str">
        <f>VLOOKUP(A798,Список!A:I,9,0)</f>
        <v>Основной ассортимент</v>
      </c>
      <c r="N798" s="12"/>
      <c r="O798" s="11"/>
    </row>
    <row r="799" spans="1:15" x14ac:dyDescent="0.25">
      <c r="A799" s="6">
        <v>1941</v>
      </c>
      <c r="B799" s="1" t="s">
        <v>803</v>
      </c>
      <c r="C799" s="3">
        <v>6.5540000000000003</v>
      </c>
      <c r="D799" s="1" t="s">
        <v>1182</v>
      </c>
      <c r="E799" s="3">
        <f t="shared" si="60"/>
        <v>102.78349823999999</v>
      </c>
      <c r="F799" s="3">
        <v>80.675042253521127</v>
      </c>
      <c r="G799" s="4">
        <f t="shared" si="62"/>
        <v>102.78349823999999</v>
      </c>
      <c r="H799" s="1">
        <v>18.920000000000002</v>
      </c>
      <c r="I799" s="1">
        <f t="shared" si="63"/>
        <v>22.7</v>
      </c>
      <c r="J799" s="1" t="s">
        <v>1182</v>
      </c>
      <c r="K799" s="3">
        <f t="shared" si="64"/>
        <v>169.09720319999997</v>
      </c>
      <c r="L799" s="10">
        <f t="shared" si="61"/>
        <v>0.64517851693622208</v>
      </c>
      <c r="M799" s="18" t="str">
        <f>VLOOKUP(A799,Список!A:I,9,0)</f>
        <v>Основной ассортимент</v>
      </c>
      <c r="N799" s="12"/>
      <c r="O799" s="11"/>
    </row>
    <row r="800" spans="1:15" x14ac:dyDescent="0.25">
      <c r="A800" s="6">
        <v>1942</v>
      </c>
      <c r="B800" s="1" t="s">
        <v>804</v>
      </c>
      <c r="C800" s="3">
        <v>7.1920000000000002</v>
      </c>
      <c r="D800" s="1" t="s">
        <v>1182</v>
      </c>
      <c r="E800" s="3">
        <f t="shared" si="60"/>
        <v>112.78897152</v>
      </c>
      <c r="F800" s="3">
        <v>101.2816179775281</v>
      </c>
      <c r="G800" s="4">
        <f t="shared" si="62"/>
        <v>112.78897152</v>
      </c>
      <c r="H800" s="1">
        <v>22.33</v>
      </c>
      <c r="I800" s="1">
        <f t="shared" si="63"/>
        <v>26.8</v>
      </c>
      <c r="J800" s="1" t="s">
        <v>1182</v>
      </c>
      <c r="K800" s="3">
        <f t="shared" si="64"/>
        <v>199.63898879999996</v>
      </c>
      <c r="L800" s="10">
        <f t="shared" si="61"/>
        <v>0.77002224694104515</v>
      </c>
      <c r="M800" s="18" t="str">
        <f>VLOOKUP(A800,Список!A:I,9,0)</f>
        <v>Основной ассортимент</v>
      </c>
      <c r="N800" s="12"/>
      <c r="O800" s="11"/>
    </row>
    <row r="801" spans="1:15" x14ac:dyDescent="0.25">
      <c r="A801" s="6">
        <v>7002</v>
      </c>
      <c r="B801" s="1" t="s">
        <v>805</v>
      </c>
      <c r="C801" s="3">
        <v>5.7199020000000003</v>
      </c>
      <c r="D801" s="1" t="s">
        <v>1182</v>
      </c>
      <c r="E801" s="3">
        <f t="shared" si="60"/>
        <v>89.702706309119989</v>
      </c>
      <c r="F801" s="3">
        <v>77.308225352112672</v>
      </c>
      <c r="G801" s="4">
        <f t="shared" si="62"/>
        <v>89.702706309119989</v>
      </c>
      <c r="H801" s="1">
        <v>14.04</v>
      </c>
      <c r="I801" s="1">
        <f t="shared" si="63"/>
        <v>16.850000000000001</v>
      </c>
      <c r="J801" s="1" t="s">
        <v>1182</v>
      </c>
      <c r="K801" s="3">
        <f t="shared" si="64"/>
        <v>125.51928959999999</v>
      </c>
      <c r="L801" s="10">
        <f t="shared" si="61"/>
        <v>0.39928096670187707</v>
      </c>
      <c r="M801" s="18" t="str">
        <f>VLOOKUP(A801,Список!A:I,9,0)</f>
        <v>Основной ассортимент</v>
      </c>
      <c r="N801" s="12"/>
      <c r="O801" s="11"/>
    </row>
    <row r="802" spans="1:15" x14ac:dyDescent="0.25">
      <c r="A802" s="6">
        <v>7000</v>
      </c>
      <c r="B802" s="1" t="s">
        <v>806</v>
      </c>
      <c r="C802" s="3">
        <v>4.3486079999999996</v>
      </c>
      <c r="D802" s="1" t="s">
        <v>1182</v>
      </c>
      <c r="E802" s="3">
        <f t="shared" si="60"/>
        <v>68.197305876479987</v>
      </c>
      <c r="F802" s="3">
        <v>58.544126878130214</v>
      </c>
      <c r="G802" s="4">
        <f t="shared" si="62"/>
        <v>68.197305876479987</v>
      </c>
      <c r="H802" s="1">
        <v>10.06</v>
      </c>
      <c r="I802" s="1">
        <f t="shared" si="63"/>
        <v>12.07</v>
      </c>
      <c r="J802" s="1" t="s">
        <v>1182</v>
      </c>
      <c r="K802" s="3">
        <f t="shared" si="64"/>
        <v>89.912037119999994</v>
      </c>
      <c r="L802" s="10">
        <f t="shared" si="61"/>
        <v>0.31841039707419028</v>
      </c>
      <c r="M802" s="18" t="str">
        <f>VLOOKUP(A802,Список!A:I,9,0)</f>
        <v>Основной ассортимент</v>
      </c>
      <c r="N802" s="12"/>
      <c r="O802" s="11"/>
    </row>
    <row r="803" spans="1:15" x14ac:dyDescent="0.25">
      <c r="A803" s="6">
        <v>7003</v>
      </c>
      <c r="B803" s="1" t="s">
        <v>807</v>
      </c>
      <c r="C803" s="3">
        <v>6.8070539999999999</v>
      </c>
      <c r="D803" s="1" t="s">
        <v>1182</v>
      </c>
      <c r="E803" s="3">
        <f t="shared" si="60"/>
        <v>106.75203277823999</v>
      </c>
      <c r="F803" s="3">
        <v>92.600620224719094</v>
      </c>
      <c r="G803" s="4">
        <f t="shared" si="62"/>
        <v>106.75203277823999</v>
      </c>
      <c r="H803" s="1">
        <v>15.75</v>
      </c>
      <c r="I803" s="1">
        <f t="shared" si="63"/>
        <v>18.899999999999999</v>
      </c>
      <c r="J803" s="1" t="s">
        <v>1182</v>
      </c>
      <c r="K803" s="3">
        <f t="shared" si="64"/>
        <v>140.79018239999996</v>
      </c>
      <c r="L803" s="10">
        <f t="shared" si="61"/>
        <v>0.3188524727437152</v>
      </c>
      <c r="M803" s="18" t="str">
        <f>VLOOKUP(A803,Список!A:I,9,0)</f>
        <v>Основной ассортимент</v>
      </c>
      <c r="N803" s="12"/>
      <c r="O803" s="11"/>
    </row>
    <row r="804" spans="1:15" x14ac:dyDescent="0.25">
      <c r="A804" s="6">
        <v>7001</v>
      </c>
      <c r="B804" s="1" t="s">
        <v>808</v>
      </c>
      <c r="C804" s="3">
        <v>5.8434420000000005</v>
      </c>
      <c r="D804" s="1" t="s">
        <v>1182</v>
      </c>
      <c r="E804" s="3">
        <f t="shared" si="60"/>
        <v>91.640129771519995</v>
      </c>
      <c r="F804" s="3">
        <v>79.945301369863017</v>
      </c>
      <c r="G804" s="4">
        <f t="shared" si="62"/>
        <v>91.640129771519995</v>
      </c>
      <c r="H804" s="1">
        <v>12.77</v>
      </c>
      <c r="I804" s="1">
        <f t="shared" si="63"/>
        <v>15.32</v>
      </c>
      <c r="J804" s="1" t="s">
        <v>1182</v>
      </c>
      <c r="K804" s="3">
        <f t="shared" si="64"/>
        <v>114.12198911999998</v>
      </c>
      <c r="L804" s="10">
        <f t="shared" si="61"/>
        <v>0.24532766817913121</v>
      </c>
      <c r="M804" s="18" t="str">
        <f>VLOOKUP(A804,Список!A:I,9,0)</f>
        <v>Основной ассортимент</v>
      </c>
      <c r="N804" s="12"/>
      <c r="O804" s="11"/>
    </row>
    <row r="805" spans="1:15" x14ac:dyDescent="0.25">
      <c r="A805" s="6">
        <v>7009</v>
      </c>
      <c r="B805" s="1" t="s">
        <v>809</v>
      </c>
      <c r="C805" s="3">
        <v>7.1711200000000002</v>
      </c>
      <c r="D805" s="1" t="s">
        <v>1182</v>
      </c>
      <c r="E805" s="3">
        <f t="shared" si="60"/>
        <v>112.46151966719999</v>
      </c>
      <c r="F805" s="3">
        <v>101.0806009569378</v>
      </c>
      <c r="G805" s="4">
        <f t="shared" si="62"/>
        <v>112.46151966719999</v>
      </c>
      <c r="H805" s="1">
        <v>14.89</v>
      </c>
      <c r="I805" s="1">
        <f t="shared" si="63"/>
        <v>17.87</v>
      </c>
      <c r="J805" s="1" t="s">
        <v>1182</v>
      </c>
      <c r="K805" s="3">
        <f t="shared" si="64"/>
        <v>133.11748992</v>
      </c>
      <c r="L805" s="10">
        <f t="shared" si="61"/>
        <v>0.18367144881134334</v>
      </c>
      <c r="M805" s="18" t="str">
        <f>VLOOKUP(A805,Список!A:I,9,0)</f>
        <v>Основной ассортимент</v>
      </c>
      <c r="N805" s="12"/>
      <c r="O805" s="11"/>
    </row>
    <row r="806" spans="1:15" x14ac:dyDescent="0.25">
      <c r="A806" s="6">
        <v>7010</v>
      </c>
      <c r="B806" s="1" t="s">
        <v>810</v>
      </c>
      <c r="C806" s="3">
        <v>7.8346400000000003</v>
      </c>
      <c r="D806" s="1" t="s">
        <v>1182</v>
      </c>
      <c r="E806" s="3">
        <f t="shared" si="60"/>
        <v>122.8672118784</v>
      </c>
      <c r="F806" s="3">
        <v>106.05966391184573</v>
      </c>
      <c r="G806" s="4">
        <f t="shared" si="62"/>
        <v>122.8672118784</v>
      </c>
      <c r="H806" s="1">
        <v>16.88</v>
      </c>
      <c r="I806" s="1">
        <f t="shared" si="63"/>
        <v>20.260000000000002</v>
      </c>
      <c r="J806" s="1" t="s">
        <v>1182</v>
      </c>
      <c r="K806" s="3">
        <f t="shared" si="64"/>
        <v>150.92111616</v>
      </c>
      <c r="L806" s="10">
        <f t="shared" si="61"/>
        <v>0.22832701949291856</v>
      </c>
      <c r="M806" s="18" t="str">
        <f>VLOOKUP(A806,Список!A:I,9,0)</f>
        <v>Основной ассортимент</v>
      </c>
      <c r="N806" s="12"/>
      <c r="O806" s="11"/>
    </row>
    <row r="807" spans="1:15" x14ac:dyDescent="0.25">
      <c r="A807" s="6">
        <v>7011</v>
      </c>
      <c r="B807" s="1" t="s">
        <v>811</v>
      </c>
      <c r="C807" s="3">
        <v>8.7788799999999991</v>
      </c>
      <c r="D807" s="1" t="s">
        <v>1182</v>
      </c>
      <c r="E807" s="3">
        <f t="shared" si="60"/>
        <v>137.67531233279996</v>
      </c>
      <c r="F807" s="3">
        <v>129.32118742724097</v>
      </c>
      <c r="G807" s="4">
        <f t="shared" si="62"/>
        <v>137.67531233279996</v>
      </c>
      <c r="H807" s="1">
        <v>18.399999999999999</v>
      </c>
      <c r="I807" s="1">
        <f t="shared" si="63"/>
        <v>22.08</v>
      </c>
      <c r="J807" s="1" t="s">
        <v>1182</v>
      </c>
      <c r="K807" s="3">
        <f t="shared" si="64"/>
        <v>164.47868927999997</v>
      </c>
      <c r="L807" s="10">
        <f t="shared" si="61"/>
        <v>0.19468542684260415</v>
      </c>
      <c r="M807" s="18" t="str">
        <f>VLOOKUP(A807,Список!A:I,9,0)</f>
        <v>Основной ассортимент</v>
      </c>
      <c r="N807" s="12"/>
      <c r="O807" s="11"/>
    </row>
    <row r="808" spans="1:15" x14ac:dyDescent="0.25">
      <c r="A808" s="6">
        <v>7012</v>
      </c>
      <c r="B808" s="1" t="s">
        <v>812</v>
      </c>
      <c r="C808" s="3">
        <v>9.7358799999999999</v>
      </c>
      <c r="D808" s="1" t="s">
        <v>1182</v>
      </c>
      <c r="E808" s="3">
        <f t="shared" si="60"/>
        <v>152.6835222528</v>
      </c>
      <c r="F808" s="3">
        <v>139.59662440870386</v>
      </c>
      <c r="G808" s="4">
        <f t="shared" si="62"/>
        <v>152.6835222528</v>
      </c>
      <c r="H808" s="1">
        <v>22.61</v>
      </c>
      <c r="I808" s="1">
        <f t="shared" si="63"/>
        <v>27.13</v>
      </c>
      <c r="J808" s="1" t="s">
        <v>1182</v>
      </c>
      <c r="K808" s="3">
        <f t="shared" si="64"/>
        <v>202.09723007999997</v>
      </c>
      <c r="L808" s="10">
        <f t="shared" si="61"/>
        <v>0.32363484348615623</v>
      </c>
      <c r="M808" s="18" t="str">
        <f>VLOOKUP(A808,Список!A:I,9,0)</f>
        <v>Основной ассортимент</v>
      </c>
      <c r="N808" s="12"/>
      <c r="O808" s="11"/>
    </row>
    <row r="809" spans="1:15" x14ac:dyDescent="0.25">
      <c r="A809" s="6">
        <v>7013</v>
      </c>
      <c r="B809" s="1" t="s">
        <v>813</v>
      </c>
      <c r="C809" s="3">
        <v>10.3994</v>
      </c>
      <c r="D809" s="1" t="s">
        <v>1182</v>
      </c>
      <c r="E809" s="3">
        <f t="shared" si="60"/>
        <v>163.08921446400001</v>
      </c>
      <c r="F809" s="3">
        <v>144.65477049180328</v>
      </c>
      <c r="G809" s="4">
        <f t="shared" si="62"/>
        <v>163.08921446400001</v>
      </c>
      <c r="H809" s="1">
        <v>24.15</v>
      </c>
      <c r="I809" s="1">
        <f t="shared" si="63"/>
        <v>28.98</v>
      </c>
      <c r="J809" s="1" t="s">
        <v>1182</v>
      </c>
      <c r="K809" s="3">
        <f t="shared" si="64"/>
        <v>215.87827967999996</v>
      </c>
      <c r="L809" s="10">
        <f t="shared" si="61"/>
        <v>0.32368213550781744</v>
      </c>
      <c r="M809" s="18" t="str">
        <f>VLOOKUP(A809,Список!A:I,9,0)</f>
        <v>Основной ассортимент</v>
      </c>
      <c r="N809" s="12"/>
      <c r="O809" s="11"/>
    </row>
    <row r="810" spans="1:15" x14ac:dyDescent="0.25">
      <c r="A810" s="6">
        <v>7014</v>
      </c>
      <c r="B810" s="1" t="s">
        <v>814</v>
      </c>
      <c r="C810" s="3">
        <v>11.981640000000001</v>
      </c>
      <c r="D810" s="1" t="s">
        <v>1182</v>
      </c>
      <c r="E810" s="3">
        <f t="shared" si="60"/>
        <v>187.9027881984</v>
      </c>
      <c r="F810" s="3">
        <v>166.70002005012529</v>
      </c>
      <c r="G810" s="4">
        <f t="shared" si="62"/>
        <v>187.9027881984</v>
      </c>
      <c r="H810" s="1">
        <v>27.82</v>
      </c>
      <c r="I810" s="1">
        <f t="shared" si="63"/>
        <v>33.380000000000003</v>
      </c>
      <c r="J810" s="1" t="s">
        <v>1182</v>
      </c>
      <c r="K810" s="3">
        <f t="shared" si="64"/>
        <v>248.65483008000001</v>
      </c>
      <c r="L810" s="10">
        <f t="shared" si="61"/>
        <v>0.3233163406678885</v>
      </c>
      <c r="M810" s="18" t="str">
        <f>VLOOKUP(A810,Список!A:I,9,0)</f>
        <v>Основной ассортимент</v>
      </c>
      <c r="N810" s="12"/>
      <c r="O810" s="11"/>
    </row>
    <row r="811" spans="1:15" x14ac:dyDescent="0.25">
      <c r="A811" s="6">
        <v>7004</v>
      </c>
      <c r="B811" s="1" t="s">
        <v>815</v>
      </c>
      <c r="C811" s="3">
        <v>4.0449200000000003</v>
      </c>
      <c r="D811" s="1" t="s">
        <v>1182</v>
      </c>
      <c r="E811" s="3">
        <f t="shared" si="60"/>
        <v>63.434700595199999</v>
      </c>
      <c r="F811" s="3">
        <v>54.237733213965981</v>
      </c>
      <c r="G811" s="4">
        <f t="shared" si="62"/>
        <v>63.434700595199999</v>
      </c>
      <c r="H811" s="1">
        <v>8.92</v>
      </c>
      <c r="I811" s="1">
        <f t="shared" si="63"/>
        <v>10.7</v>
      </c>
      <c r="J811" s="1" t="s">
        <v>1182</v>
      </c>
      <c r="K811" s="3">
        <f t="shared" si="64"/>
        <v>79.706611199999983</v>
      </c>
      <c r="L811" s="10">
        <f t="shared" si="61"/>
        <v>0.25651434391780281</v>
      </c>
      <c r="M811" s="18" t="str">
        <f>VLOOKUP(A811,Список!A:I,9,0)</f>
        <v>Основной ассортимент</v>
      </c>
      <c r="N811" s="12"/>
      <c r="O811" s="11"/>
    </row>
    <row r="812" spans="1:15" x14ac:dyDescent="0.25">
      <c r="A812" s="6">
        <v>7015</v>
      </c>
      <c r="B812" s="1" t="s">
        <v>816</v>
      </c>
      <c r="C812" s="3">
        <v>13.61492</v>
      </c>
      <c r="D812" s="1" t="s">
        <v>1182</v>
      </c>
      <c r="E812" s="3">
        <f t="shared" si="60"/>
        <v>213.51679979519997</v>
      </c>
      <c r="F812" s="3">
        <v>188.83019737991265</v>
      </c>
      <c r="G812" s="4">
        <f t="shared" si="62"/>
        <v>213.51679979519997</v>
      </c>
      <c r="H812" s="1">
        <v>31.6</v>
      </c>
      <c r="I812" s="1">
        <f t="shared" si="63"/>
        <v>37.92</v>
      </c>
      <c r="J812" s="1" t="s">
        <v>1182</v>
      </c>
      <c r="K812" s="3">
        <f t="shared" si="64"/>
        <v>282.47427071999999</v>
      </c>
      <c r="L812" s="10">
        <f t="shared" si="61"/>
        <v>0.32296039932662124</v>
      </c>
      <c r="M812" s="18" t="str">
        <f>VLOOKUP(A812,Список!A:I,9,0)</f>
        <v>Основной ассортимент</v>
      </c>
      <c r="N812" s="12"/>
      <c r="O812" s="11"/>
    </row>
    <row r="813" spans="1:15" x14ac:dyDescent="0.25">
      <c r="A813" s="6">
        <v>7005</v>
      </c>
      <c r="B813" s="1" t="s">
        <v>817</v>
      </c>
      <c r="C813" s="3">
        <v>4.3639200000000002</v>
      </c>
      <c r="D813" s="1" t="s">
        <v>1182</v>
      </c>
      <c r="E813" s="3">
        <f t="shared" si="60"/>
        <v>68.437437235199994</v>
      </c>
      <c r="F813" s="3">
        <v>63.407840283939663</v>
      </c>
      <c r="G813" s="4">
        <f t="shared" si="62"/>
        <v>68.437437235199994</v>
      </c>
      <c r="H813" s="1">
        <v>9.66</v>
      </c>
      <c r="I813" s="1">
        <f t="shared" si="63"/>
        <v>11.59</v>
      </c>
      <c r="J813" s="1" t="s">
        <v>1182</v>
      </c>
      <c r="K813" s="3">
        <f t="shared" si="64"/>
        <v>86.336413439999987</v>
      </c>
      <c r="L813" s="10">
        <f t="shared" si="61"/>
        <v>0.26153779171020552</v>
      </c>
      <c r="M813" s="18" t="str">
        <f>VLOOKUP(A813,Список!A:I,9,0)</f>
        <v>Основной ассортимент</v>
      </c>
      <c r="N813" s="12"/>
      <c r="O813" s="11"/>
    </row>
    <row r="814" spans="1:15" x14ac:dyDescent="0.25">
      <c r="A814" s="6">
        <v>7016</v>
      </c>
      <c r="B814" s="1" t="s">
        <v>818</v>
      </c>
      <c r="C814" s="3">
        <v>16.804919999999999</v>
      </c>
      <c r="D814" s="1" t="s">
        <v>1182</v>
      </c>
      <c r="E814" s="3">
        <f t="shared" si="60"/>
        <v>263.54416619519998</v>
      </c>
      <c r="F814" s="3">
        <v>235.61874497184229</v>
      </c>
      <c r="G814" s="4">
        <f t="shared" si="62"/>
        <v>263.54416619519998</v>
      </c>
      <c r="H814" s="1">
        <v>39</v>
      </c>
      <c r="I814" s="1">
        <f t="shared" si="63"/>
        <v>46.8</v>
      </c>
      <c r="J814" s="1" t="s">
        <v>1182</v>
      </c>
      <c r="K814" s="3">
        <f t="shared" si="64"/>
        <v>348.62330879999996</v>
      </c>
      <c r="L814" s="10">
        <f t="shared" si="61"/>
        <v>0.32282688641183643</v>
      </c>
      <c r="M814" s="18" t="str">
        <f>VLOOKUP(A814,Список!A:I,9,0)</f>
        <v>Основной ассортимент</v>
      </c>
      <c r="N814" s="12"/>
      <c r="O814" s="11"/>
    </row>
    <row r="815" spans="1:15" x14ac:dyDescent="0.25">
      <c r="A815" s="6">
        <v>7006</v>
      </c>
      <c r="B815" s="1" t="s">
        <v>819</v>
      </c>
      <c r="C815" s="3">
        <v>4.6829200000000002</v>
      </c>
      <c r="D815" s="1" t="s">
        <v>1182</v>
      </c>
      <c r="E815" s="3">
        <f t="shared" si="60"/>
        <v>73.440173875199989</v>
      </c>
      <c r="F815" s="3">
        <v>63.404570270270263</v>
      </c>
      <c r="G815" s="4">
        <f t="shared" si="62"/>
        <v>73.440173875199989</v>
      </c>
      <c r="H815" s="1">
        <v>10.86</v>
      </c>
      <c r="I815" s="1">
        <f t="shared" si="63"/>
        <v>13.03</v>
      </c>
      <c r="J815" s="1" t="s">
        <v>1182</v>
      </c>
      <c r="K815" s="3">
        <f t="shared" si="64"/>
        <v>97.063284479999993</v>
      </c>
      <c r="L815" s="10">
        <f t="shared" si="61"/>
        <v>0.32166468784433655</v>
      </c>
      <c r="M815" s="18" t="str">
        <f>VLOOKUP(A815,Список!A:I,9,0)</f>
        <v>Основной ассортимент</v>
      </c>
      <c r="N815" s="12"/>
      <c r="O815" s="11"/>
    </row>
    <row r="816" spans="1:15" x14ac:dyDescent="0.25">
      <c r="A816" s="6">
        <v>7017</v>
      </c>
      <c r="B816" s="1" t="s">
        <v>820</v>
      </c>
      <c r="C816" s="3">
        <v>19.99492</v>
      </c>
      <c r="D816" s="1" t="s">
        <v>1182</v>
      </c>
      <c r="E816" s="3">
        <f t="shared" si="60"/>
        <v>313.57153259519998</v>
      </c>
      <c r="F816" s="3">
        <v>264.98756470588233</v>
      </c>
      <c r="G816" s="4">
        <f t="shared" si="62"/>
        <v>313.57153259519998</v>
      </c>
      <c r="H816" s="1">
        <v>46.39</v>
      </c>
      <c r="I816" s="1">
        <f t="shared" si="63"/>
        <v>55.67</v>
      </c>
      <c r="J816" s="1" t="s">
        <v>1182</v>
      </c>
      <c r="K816" s="3">
        <f t="shared" si="64"/>
        <v>414.69785471999995</v>
      </c>
      <c r="L816" s="10">
        <f t="shared" si="61"/>
        <v>0.32249841459730755</v>
      </c>
      <c r="M816" s="18" t="str">
        <f>VLOOKUP(A816,Список!A:I,9,0)</f>
        <v>Основной ассортимент</v>
      </c>
      <c r="N816" s="12"/>
      <c r="O816" s="11"/>
    </row>
    <row r="817" spans="1:15" x14ac:dyDescent="0.25">
      <c r="A817" s="6">
        <v>7007</v>
      </c>
      <c r="B817" s="1" t="s">
        <v>821</v>
      </c>
      <c r="C817" s="3">
        <v>5.0019200000000001</v>
      </c>
      <c r="D817" s="1" t="s">
        <v>1182</v>
      </c>
      <c r="E817" s="3">
        <f t="shared" si="60"/>
        <v>78.442910515199998</v>
      </c>
      <c r="F817" s="3">
        <v>68.13047173489278</v>
      </c>
      <c r="G817" s="4">
        <f t="shared" si="62"/>
        <v>78.442910515199998</v>
      </c>
      <c r="H817" s="1">
        <v>11.63</v>
      </c>
      <c r="I817" s="1">
        <f t="shared" si="63"/>
        <v>13.96</v>
      </c>
      <c r="J817" s="1" t="s">
        <v>1182</v>
      </c>
      <c r="K817" s="3">
        <f t="shared" si="64"/>
        <v>103.99105535999999</v>
      </c>
      <c r="L817" s="10">
        <f t="shared" si="61"/>
        <v>0.32569093468108234</v>
      </c>
      <c r="M817" s="18" t="str">
        <f>VLOOKUP(A817,Список!A:I,9,0)</f>
        <v>Основной ассортимент</v>
      </c>
      <c r="N817" s="12"/>
      <c r="O817" s="11"/>
    </row>
    <row r="818" spans="1:15" x14ac:dyDescent="0.25">
      <c r="A818" s="6">
        <v>7008</v>
      </c>
      <c r="B818" s="1" t="s">
        <v>822</v>
      </c>
      <c r="C818" s="3">
        <v>6.0227199999999996</v>
      </c>
      <c r="D818" s="1" t="s">
        <v>1182</v>
      </c>
      <c r="E818" s="3">
        <f t="shared" si="60"/>
        <v>94.451667763199993</v>
      </c>
      <c r="F818" s="3">
        <v>81.992501437607814</v>
      </c>
      <c r="G818" s="4">
        <f t="shared" si="62"/>
        <v>94.451667763199993</v>
      </c>
      <c r="H818" s="1">
        <v>13.24</v>
      </c>
      <c r="I818" s="1">
        <f t="shared" si="63"/>
        <v>15.89</v>
      </c>
      <c r="J818" s="1" t="s">
        <v>1182</v>
      </c>
      <c r="K818" s="3">
        <f t="shared" si="64"/>
        <v>118.36804223999998</v>
      </c>
      <c r="L818" s="10">
        <f t="shared" si="61"/>
        <v>0.25321283406832773</v>
      </c>
      <c r="M818" s="18" t="str">
        <f>VLOOKUP(A818,Список!A:I,9,0)</f>
        <v>Основной ассортимент</v>
      </c>
      <c r="N818" s="12"/>
      <c r="O818" s="11"/>
    </row>
    <row r="819" spans="1:15" x14ac:dyDescent="0.25">
      <c r="A819" s="6">
        <v>7023</v>
      </c>
      <c r="B819" s="1" t="s">
        <v>823</v>
      </c>
      <c r="C819" s="3">
        <v>7.1711200000000002</v>
      </c>
      <c r="D819" s="1" t="s">
        <v>1182</v>
      </c>
      <c r="E819" s="3">
        <f t="shared" si="60"/>
        <v>112.46151966719999</v>
      </c>
      <c r="F819" s="3">
        <v>96.719160349854207</v>
      </c>
      <c r="G819" s="4">
        <f t="shared" si="62"/>
        <v>112.46151966719999</v>
      </c>
      <c r="H819" s="1">
        <v>14.89</v>
      </c>
      <c r="I819" s="1">
        <f t="shared" si="63"/>
        <v>17.87</v>
      </c>
      <c r="J819" s="1" t="s">
        <v>1182</v>
      </c>
      <c r="K819" s="3">
        <f t="shared" si="64"/>
        <v>133.11748992</v>
      </c>
      <c r="L819" s="10">
        <f t="shared" si="61"/>
        <v>0.18367144881134334</v>
      </c>
      <c r="M819" s="18" t="str">
        <f>VLOOKUP(A819,Список!A:I,9,0)</f>
        <v>Основной ассортимент</v>
      </c>
      <c r="N819" s="12"/>
      <c r="O819" s="11"/>
    </row>
    <row r="820" spans="1:15" x14ac:dyDescent="0.25">
      <c r="A820" s="6">
        <v>7024</v>
      </c>
      <c r="B820" s="1" t="s">
        <v>824</v>
      </c>
      <c r="C820" s="3">
        <v>7.8346400000000003</v>
      </c>
      <c r="D820" s="1" t="s">
        <v>1182</v>
      </c>
      <c r="E820" s="3">
        <f t="shared" si="60"/>
        <v>122.8672118784</v>
      </c>
      <c r="F820" s="3">
        <v>120.66691922005569</v>
      </c>
      <c r="G820" s="4">
        <f t="shared" si="62"/>
        <v>122.8672118784</v>
      </c>
      <c r="H820" s="1">
        <v>16.88</v>
      </c>
      <c r="I820" s="1">
        <f t="shared" si="63"/>
        <v>20.260000000000002</v>
      </c>
      <c r="J820" s="1" t="s">
        <v>1182</v>
      </c>
      <c r="K820" s="3">
        <f t="shared" si="64"/>
        <v>150.92111616</v>
      </c>
      <c r="L820" s="10">
        <f t="shared" si="61"/>
        <v>0.22832701949291856</v>
      </c>
      <c r="M820" s="18" t="str">
        <f>VLOOKUP(A820,Список!A:I,9,0)</f>
        <v>Основной ассортимент</v>
      </c>
      <c r="N820" s="12"/>
      <c r="O820" s="11"/>
    </row>
    <row r="821" spans="1:15" x14ac:dyDescent="0.25">
      <c r="A821" s="6">
        <v>7025</v>
      </c>
      <c r="B821" s="1" t="s">
        <v>825</v>
      </c>
      <c r="C821" s="3">
        <v>8.7788799999999991</v>
      </c>
      <c r="D821" s="1" t="s">
        <v>1182</v>
      </c>
      <c r="E821" s="3">
        <f t="shared" si="60"/>
        <v>137.67531233279996</v>
      </c>
      <c r="F821" s="3">
        <v>130.98423088023085</v>
      </c>
      <c r="G821" s="4">
        <f t="shared" si="62"/>
        <v>137.67531233279996</v>
      </c>
      <c r="H821" s="1">
        <v>18.399999999999999</v>
      </c>
      <c r="I821" s="1">
        <f t="shared" si="63"/>
        <v>22.08</v>
      </c>
      <c r="J821" s="1" t="s">
        <v>1182</v>
      </c>
      <c r="K821" s="3">
        <f t="shared" si="64"/>
        <v>164.47868927999997</v>
      </c>
      <c r="L821" s="10">
        <f t="shared" si="61"/>
        <v>0.19468542684260415</v>
      </c>
      <c r="M821" s="18" t="str">
        <f>VLOOKUP(A821,Список!A:I,9,0)</f>
        <v>Основной ассортимент</v>
      </c>
      <c r="N821" s="12"/>
      <c r="O821" s="11"/>
    </row>
    <row r="822" spans="1:15" x14ac:dyDescent="0.25">
      <c r="A822" s="6">
        <v>7026</v>
      </c>
      <c r="B822" s="1" t="s">
        <v>826</v>
      </c>
      <c r="C822" s="3">
        <v>9.7358799999999999</v>
      </c>
      <c r="D822" s="1" t="s">
        <v>1182</v>
      </c>
      <c r="E822" s="3">
        <f t="shared" si="60"/>
        <v>152.6835222528</v>
      </c>
      <c r="F822" s="3">
        <v>136.51883349753695</v>
      </c>
      <c r="G822" s="4">
        <f t="shared" si="62"/>
        <v>152.6835222528</v>
      </c>
      <c r="H822" s="1">
        <v>21.71</v>
      </c>
      <c r="I822" s="1">
        <f t="shared" si="63"/>
        <v>26.05</v>
      </c>
      <c r="J822" s="1" t="s">
        <v>1182</v>
      </c>
      <c r="K822" s="3">
        <f t="shared" si="64"/>
        <v>194.05207679999995</v>
      </c>
      <c r="L822" s="10">
        <f t="shared" si="61"/>
        <v>0.27094315049076156</v>
      </c>
      <c r="M822" s="18" t="str">
        <f>VLOOKUP(A822,Список!A:I,9,0)</f>
        <v>Основной ассортимент</v>
      </c>
      <c r="N822" s="12"/>
      <c r="O822" s="11"/>
    </row>
    <row r="823" spans="1:15" x14ac:dyDescent="0.25">
      <c r="A823" s="6">
        <v>7027</v>
      </c>
      <c r="B823" s="1" t="s">
        <v>827</v>
      </c>
      <c r="C823" s="3">
        <v>10.3994</v>
      </c>
      <c r="D823" s="1" t="s">
        <v>1182</v>
      </c>
      <c r="E823" s="3">
        <f t="shared" si="60"/>
        <v>163.08921446400001</v>
      </c>
      <c r="F823" s="3">
        <v>145.73931975199292</v>
      </c>
      <c r="G823" s="4">
        <f t="shared" si="62"/>
        <v>163.08921446400001</v>
      </c>
      <c r="H823" s="1">
        <v>24.15</v>
      </c>
      <c r="I823" s="1">
        <f t="shared" si="63"/>
        <v>28.98</v>
      </c>
      <c r="J823" s="1" t="s">
        <v>1182</v>
      </c>
      <c r="K823" s="3">
        <f t="shared" si="64"/>
        <v>215.87827967999996</v>
      </c>
      <c r="L823" s="10">
        <f t="shared" si="61"/>
        <v>0.32368213550781744</v>
      </c>
      <c r="M823" s="18" t="str">
        <f>VLOOKUP(A823,Список!A:I,9,0)</f>
        <v>Основной ассортимент</v>
      </c>
      <c r="N823" s="12"/>
      <c r="O823" s="11"/>
    </row>
    <row r="824" spans="1:15" x14ac:dyDescent="0.25">
      <c r="A824" s="6">
        <v>7028</v>
      </c>
      <c r="B824" s="1" t="s">
        <v>828</v>
      </c>
      <c r="C824" s="3">
        <v>11.981640000000001</v>
      </c>
      <c r="D824" s="1" t="s">
        <v>1182</v>
      </c>
      <c r="E824" s="3">
        <f t="shared" si="60"/>
        <v>187.9027881984</v>
      </c>
      <c r="F824" s="3">
        <v>162.65468354430379</v>
      </c>
      <c r="G824" s="4">
        <f t="shared" si="62"/>
        <v>187.9027881984</v>
      </c>
      <c r="H824" s="1">
        <v>27.82</v>
      </c>
      <c r="I824" s="1">
        <f t="shared" si="63"/>
        <v>33.380000000000003</v>
      </c>
      <c r="J824" s="1" t="s">
        <v>1182</v>
      </c>
      <c r="K824" s="3">
        <f t="shared" si="64"/>
        <v>248.65483008000001</v>
      </c>
      <c r="L824" s="10">
        <f t="shared" si="61"/>
        <v>0.3233163406678885</v>
      </c>
      <c r="M824" s="18" t="str">
        <f>VLOOKUP(A824,Список!A:I,9,0)</f>
        <v>Основной ассортимент</v>
      </c>
      <c r="N824" s="12"/>
      <c r="O824" s="11"/>
    </row>
    <row r="825" spans="1:15" x14ac:dyDescent="0.25">
      <c r="A825" s="6">
        <v>7018</v>
      </c>
      <c r="B825" s="1" t="s">
        <v>829</v>
      </c>
      <c r="C825" s="3">
        <v>4.0449200000000003</v>
      </c>
      <c r="D825" s="1" t="s">
        <v>1182</v>
      </c>
      <c r="E825" s="3">
        <f t="shared" si="60"/>
        <v>63.434700595199999</v>
      </c>
      <c r="F825" s="3">
        <v>54.737168880455407</v>
      </c>
      <c r="G825" s="4">
        <f t="shared" si="62"/>
        <v>63.434700595199999</v>
      </c>
      <c r="H825" s="1">
        <v>9.3800000000000008</v>
      </c>
      <c r="I825" s="1">
        <f t="shared" si="63"/>
        <v>11.26</v>
      </c>
      <c r="J825" s="1" t="s">
        <v>1182</v>
      </c>
      <c r="K825" s="3">
        <f t="shared" si="64"/>
        <v>83.878172159999991</v>
      </c>
      <c r="L825" s="10">
        <f t="shared" si="61"/>
        <v>0.3222758422910712</v>
      </c>
      <c r="M825" s="18" t="str">
        <f>VLOOKUP(A825,Список!A:I,9,0)</f>
        <v>Основной ассортимент</v>
      </c>
      <c r="N825" s="12"/>
      <c r="O825" s="11"/>
    </row>
    <row r="826" spans="1:15" x14ac:dyDescent="0.25">
      <c r="A826" s="6">
        <v>7029</v>
      </c>
      <c r="B826" s="1" t="s">
        <v>830</v>
      </c>
      <c r="C826" s="3">
        <v>13.61492</v>
      </c>
      <c r="D826" s="1" t="s">
        <v>1182</v>
      </c>
      <c r="E826" s="3">
        <f t="shared" si="60"/>
        <v>213.51679979519997</v>
      </c>
      <c r="F826" s="3">
        <v>196.29763975155279</v>
      </c>
      <c r="G826" s="4">
        <f t="shared" si="62"/>
        <v>213.51679979519997</v>
      </c>
      <c r="H826" s="1">
        <v>31.6</v>
      </c>
      <c r="I826" s="1">
        <f t="shared" si="63"/>
        <v>37.92</v>
      </c>
      <c r="J826" s="1" t="s">
        <v>1182</v>
      </c>
      <c r="K826" s="3">
        <f t="shared" si="64"/>
        <v>282.47427071999999</v>
      </c>
      <c r="L826" s="10">
        <f t="shared" si="61"/>
        <v>0.32296039932662124</v>
      </c>
      <c r="M826" s="18" t="str">
        <f>VLOOKUP(A826,Список!A:I,9,0)</f>
        <v>Основной ассортимент</v>
      </c>
      <c r="N826" s="12"/>
      <c r="O826" s="11"/>
    </row>
    <row r="827" spans="1:15" x14ac:dyDescent="0.25">
      <c r="A827" s="6">
        <v>7019</v>
      </c>
      <c r="B827" s="1" t="s">
        <v>831</v>
      </c>
      <c r="C827" s="3">
        <v>4.3639200000000002</v>
      </c>
      <c r="D827" s="1" t="s">
        <v>1182</v>
      </c>
      <c r="E827" s="3">
        <f t="shared" si="60"/>
        <v>68.437437235199994</v>
      </c>
      <c r="F827" s="3">
        <v>44.712825477707007</v>
      </c>
      <c r="G827" s="4">
        <f t="shared" si="62"/>
        <v>68.437437235199994</v>
      </c>
      <c r="H827" s="1">
        <v>10.15</v>
      </c>
      <c r="I827" s="1">
        <f t="shared" si="63"/>
        <v>12.18</v>
      </c>
      <c r="J827" s="1" t="s">
        <v>1182</v>
      </c>
      <c r="K827" s="3">
        <f t="shared" si="64"/>
        <v>90.731450879999983</v>
      </c>
      <c r="L827" s="10">
        <f t="shared" si="61"/>
        <v>0.32575757575757569</v>
      </c>
      <c r="M827" s="18" t="str">
        <f>VLOOKUP(A827,Список!A:I,9,0)</f>
        <v>Основной ассортимент</v>
      </c>
      <c r="N827" s="12"/>
      <c r="O827" s="11"/>
    </row>
    <row r="828" spans="1:15" x14ac:dyDescent="0.25">
      <c r="A828" s="6">
        <v>7030</v>
      </c>
      <c r="B828" s="1" t="s">
        <v>832</v>
      </c>
      <c r="C828" s="3">
        <v>16.804919999999999</v>
      </c>
      <c r="D828" s="1" t="s">
        <v>1182</v>
      </c>
      <c r="E828" s="3">
        <f t="shared" ref="E828:E891" si="65">IF(D828="RUB",C828*1.2,C828*$E$2*1.2)</f>
        <v>263.54416619519998</v>
      </c>
      <c r="F828" s="3">
        <v>213.371693877551</v>
      </c>
      <c r="G828" s="4">
        <f t="shared" si="62"/>
        <v>263.54416619519998</v>
      </c>
      <c r="H828" s="1">
        <v>39</v>
      </c>
      <c r="I828" s="1">
        <f t="shared" si="63"/>
        <v>46.8</v>
      </c>
      <c r="J828" s="1" t="s">
        <v>1182</v>
      </c>
      <c r="K828" s="3">
        <f t="shared" si="64"/>
        <v>348.62330879999996</v>
      </c>
      <c r="L828" s="10">
        <f t="shared" ref="L828:L891" si="66">K828/E828-1</f>
        <v>0.32282688641183643</v>
      </c>
      <c r="M828" s="18" t="str">
        <f>VLOOKUP(A828,Список!A:I,9,0)</f>
        <v>Основной ассортимент</v>
      </c>
      <c r="N828" s="12"/>
      <c r="O828" s="11"/>
    </row>
    <row r="829" spans="1:15" x14ac:dyDescent="0.25">
      <c r="A829" s="6">
        <v>7020</v>
      </c>
      <c r="B829" s="1" t="s">
        <v>833</v>
      </c>
      <c r="C829" s="3">
        <v>4.6829200000000002</v>
      </c>
      <c r="D829" s="1" t="s">
        <v>1182</v>
      </c>
      <c r="E829" s="3">
        <f t="shared" si="65"/>
        <v>73.440173875199989</v>
      </c>
      <c r="F829" s="3">
        <v>59.687485996705099</v>
      </c>
      <c r="G829" s="4">
        <f t="shared" si="62"/>
        <v>73.440173875199989</v>
      </c>
      <c r="H829" s="1">
        <v>10.86</v>
      </c>
      <c r="I829" s="1">
        <f t="shared" si="63"/>
        <v>13.03</v>
      </c>
      <c r="J829" s="1" t="s">
        <v>1182</v>
      </c>
      <c r="K829" s="3">
        <f t="shared" si="64"/>
        <v>97.063284479999993</v>
      </c>
      <c r="L829" s="10">
        <f t="shared" si="66"/>
        <v>0.32166468784433655</v>
      </c>
      <c r="M829" s="18" t="str">
        <f>VLOOKUP(A829,Список!A:I,9,0)</f>
        <v>Основной ассортимент</v>
      </c>
      <c r="N829" s="12"/>
      <c r="O829" s="11"/>
    </row>
    <row r="830" spans="1:15" x14ac:dyDescent="0.25">
      <c r="A830" s="6">
        <v>7031</v>
      </c>
      <c r="B830" s="1" t="s">
        <v>834</v>
      </c>
      <c r="C830" s="3">
        <v>19.99492</v>
      </c>
      <c r="D830" s="1" t="s">
        <v>1182</v>
      </c>
      <c r="E830" s="3">
        <f t="shared" si="65"/>
        <v>313.57153259519998</v>
      </c>
      <c r="F830" s="3">
        <v>206.67823529411766</v>
      </c>
      <c r="G830" s="4">
        <f t="shared" si="62"/>
        <v>313.57153259519998</v>
      </c>
      <c r="H830" s="1">
        <v>46.39</v>
      </c>
      <c r="I830" s="1">
        <f t="shared" si="63"/>
        <v>55.67</v>
      </c>
      <c r="J830" s="1" t="s">
        <v>1182</v>
      </c>
      <c r="K830" s="3">
        <f t="shared" si="64"/>
        <v>414.69785471999995</v>
      </c>
      <c r="L830" s="10">
        <f t="shared" si="66"/>
        <v>0.32249841459730755</v>
      </c>
      <c r="M830" s="18" t="str">
        <f>VLOOKUP(A830,Список!A:I,9,0)</f>
        <v>Основной ассортимент</v>
      </c>
      <c r="N830" s="12"/>
      <c r="O830" s="11"/>
    </row>
    <row r="831" spans="1:15" x14ac:dyDescent="0.25">
      <c r="A831" s="6">
        <v>7021</v>
      </c>
      <c r="B831" s="1" t="s">
        <v>835</v>
      </c>
      <c r="C831" s="3">
        <v>5.0019200000000001</v>
      </c>
      <c r="D831" s="1" t="s">
        <v>1182</v>
      </c>
      <c r="E831" s="3">
        <f t="shared" si="65"/>
        <v>78.442910515199998</v>
      </c>
      <c r="F831" s="3">
        <v>62.437455445544558</v>
      </c>
      <c r="G831" s="4">
        <f t="shared" si="62"/>
        <v>78.442910515199998</v>
      </c>
      <c r="H831" s="1">
        <v>11.63</v>
      </c>
      <c r="I831" s="1">
        <f t="shared" si="63"/>
        <v>13.96</v>
      </c>
      <c r="J831" s="1" t="s">
        <v>1182</v>
      </c>
      <c r="K831" s="3">
        <f t="shared" si="64"/>
        <v>103.99105535999999</v>
      </c>
      <c r="L831" s="10">
        <f t="shared" si="66"/>
        <v>0.32569093468108234</v>
      </c>
      <c r="M831" s="18" t="str">
        <f>VLOOKUP(A831,Список!A:I,9,0)</f>
        <v>Основной ассортимент</v>
      </c>
      <c r="N831" s="12"/>
      <c r="O831" s="11"/>
    </row>
    <row r="832" spans="1:15" x14ac:dyDescent="0.25">
      <c r="A832" s="6">
        <v>7022</v>
      </c>
      <c r="B832" s="1" t="s">
        <v>836</v>
      </c>
      <c r="C832" s="3">
        <v>6.0227199999999996</v>
      </c>
      <c r="D832" s="1" t="s">
        <v>1182</v>
      </c>
      <c r="E832" s="3">
        <f t="shared" si="65"/>
        <v>94.451667763199993</v>
      </c>
      <c r="F832" s="3">
        <v>80.176919191919183</v>
      </c>
      <c r="G832" s="4">
        <f t="shared" si="62"/>
        <v>94.451667763199993</v>
      </c>
      <c r="H832" s="1">
        <v>13.24</v>
      </c>
      <c r="I832" s="1">
        <f t="shared" si="63"/>
        <v>15.89</v>
      </c>
      <c r="J832" s="1" t="s">
        <v>1182</v>
      </c>
      <c r="K832" s="3">
        <f t="shared" si="64"/>
        <v>118.36804223999998</v>
      </c>
      <c r="L832" s="10">
        <f t="shared" si="66"/>
        <v>0.25321283406832773</v>
      </c>
      <c r="M832" s="18" t="str">
        <f>VLOOKUP(A832,Список!A:I,9,0)</f>
        <v>Основной ассортимент</v>
      </c>
      <c r="N832" s="12"/>
      <c r="O832" s="11"/>
    </row>
    <row r="833" spans="1:15" x14ac:dyDescent="0.25">
      <c r="A833" s="6">
        <v>7036</v>
      </c>
      <c r="B833" s="1" t="s">
        <v>837</v>
      </c>
      <c r="C833" s="3">
        <v>9.0085599999999992</v>
      </c>
      <c r="D833" s="1" t="s">
        <v>1182</v>
      </c>
      <c r="E833" s="3">
        <f t="shared" si="65"/>
        <v>141.27728271359999</v>
      </c>
      <c r="F833" s="3">
        <v>95.943111111111108</v>
      </c>
      <c r="G833" s="4">
        <f t="shared" si="62"/>
        <v>141.27728271359999</v>
      </c>
      <c r="H833" s="1">
        <v>21.22</v>
      </c>
      <c r="I833" s="1">
        <f t="shared" si="63"/>
        <v>25.46</v>
      </c>
      <c r="J833" s="1" t="s">
        <v>1182</v>
      </c>
      <c r="K833" s="3">
        <f t="shared" si="64"/>
        <v>189.65703936</v>
      </c>
      <c r="L833" s="10">
        <f t="shared" si="66"/>
        <v>0.34244540747910879</v>
      </c>
      <c r="M833" s="18" t="str">
        <f>VLOOKUP(A833,Список!A:I,9,0)</f>
        <v>Основной ассортимент</v>
      </c>
      <c r="N833" s="12"/>
      <c r="O833" s="11"/>
    </row>
    <row r="834" spans="1:15" x14ac:dyDescent="0.25">
      <c r="A834" s="6">
        <v>7037</v>
      </c>
      <c r="B834" s="1" t="s">
        <v>838</v>
      </c>
      <c r="C834" s="3">
        <v>9.7869200000000003</v>
      </c>
      <c r="D834" s="1" t="s">
        <v>1182</v>
      </c>
      <c r="E834" s="3">
        <f t="shared" si="65"/>
        <v>153.48396011519998</v>
      </c>
      <c r="F834" s="3">
        <v>103.78727314285713</v>
      </c>
      <c r="G834" s="4">
        <f t="shared" si="62"/>
        <v>153.48396011519998</v>
      </c>
      <c r="H834" s="1">
        <v>23.06</v>
      </c>
      <c r="I834" s="1">
        <f t="shared" si="63"/>
        <v>27.67</v>
      </c>
      <c r="J834" s="1" t="s">
        <v>1182</v>
      </c>
      <c r="K834" s="3">
        <f t="shared" si="64"/>
        <v>206.11980671999999</v>
      </c>
      <c r="L834" s="10">
        <f t="shared" si="66"/>
        <v>0.34294037347807094</v>
      </c>
      <c r="M834" s="18" t="str">
        <f>VLOOKUP(A834,Список!A:I,9,0)</f>
        <v>Основной ассортимент</v>
      </c>
      <c r="N834" s="12"/>
      <c r="O834" s="11"/>
    </row>
    <row r="835" spans="1:15" x14ac:dyDescent="0.25">
      <c r="A835" s="6">
        <v>7038</v>
      </c>
      <c r="B835" s="1" t="s">
        <v>839</v>
      </c>
      <c r="C835" s="3">
        <v>10.973599999999999</v>
      </c>
      <c r="D835" s="1" t="s">
        <v>1182</v>
      </c>
      <c r="E835" s="3">
        <f t="shared" si="65"/>
        <v>172.09414041599999</v>
      </c>
      <c r="F835" s="3">
        <v>116.90015999999999</v>
      </c>
      <c r="G835" s="4">
        <f t="shared" si="62"/>
        <v>172.09414041599999</v>
      </c>
      <c r="H835" s="1">
        <v>25.85</v>
      </c>
      <c r="I835" s="1">
        <f t="shared" si="63"/>
        <v>31.02</v>
      </c>
      <c r="J835" s="1" t="s">
        <v>1182</v>
      </c>
      <c r="K835" s="3">
        <f t="shared" si="64"/>
        <v>231.07468031999997</v>
      </c>
      <c r="L835" s="10">
        <f t="shared" si="66"/>
        <v>0.34272253408179632</v>
      </c>
      <c r="M835" s="18" t="str">
        <f>VLOOKUP(A835,Список!A:I,9,0)</f>
        <v>Основной ассортимент</v>
      </c>
      <c r="N835" s="12"/>
      <c r="O835" s="11"/>
    </row>
    <row r="836" spans="1:15" x14ac:dyDescent="0.25">
      <c r="A836" s="6">
        <v>7039</v>
      </c>
      <c r="B836" s="1" t="s">
        <v>840</v>
      </c>
      <c r="C836" s="3">
        <v>12.97692</v>
      </c>
      <c r="D836" s="1" t="s">
        <v>1182</v>
      </c>
      <c r="E836" s="3">
        <f t="shared" si="65"/>
        <v>203.51132651520001</v>
      </c>
      <c r="F836" s="3">
        <v>138.62174647887323</v>
      </c>
      <c r="G836" s="4">
        <f t="shared" si="62"/>
        <v>203.51132651520001</v>
      </c>
      <c r="H836" s="1">
        <v>30.57</v>
      </c>
      <c r="I836" s="1">
        <f t="shared" si="63"/>
        <v>36.68</v>
      </c>
      <c r="J836" s="1" t="s">
        <v>1182</v>
      </c>
      <c r="K836" s="3">
        <f t="shared" si="64"/>
        <v>273.23724288</v>
      </c>
      <c r="L836" s="10">
        <f t="shared" si="66"/>
        <v>0.34261442622748683</v>
      </c>
      <c r="M836" s="18" t="str">
        <f>VLOOKUP(A836,Список!A:I,9,0)</f>
        <v>Основной ассортимент</v>
      </c>
      <c r="N836" s="12"/>
      <c r="O836" s="11"/>
    </row>
    <row r="837" spans="1:15" x14ac:dyDescent="0.25">
      <c r="A837" s="6">
        <v>7040</v>
      </c>
      <c r="B837" s="1" t="s">
        <v>841</v>
      </c>
      <c r="C837" s="3">
        <v>14.941960000000002</v>
      </c>
      <c r="D837" s="1" t="s">
        <v>1182</v>
      </c>
      <c r="E837" s="3">
        <f t="shared" si="65"/>
        <v>234.32818421759998</v>
      </c>
      <c r="F837" s="3">
        <v>185.15930232558136</v>
      </c>
      <c r="G837" s="4">
        <f t="shared" si="62"/>
        <v>234.32818421759998</v>
      </c>
      <c r="H837" s="1">
        <v>35.200000000000003</v>
      </c>
      <c r="I837" s="1">
        <f t="shared" si="63"/>
        <v>42.24</v>
      </c>
      <c r="J837" s="1" t="s">
        <v>1182</v>
      </c>
      <c r="K837" s="3">
        <f t="shared" si="64"/>
        <v>314.65488383999997</v>
      </c>
      <c r="L837" s="10">
        <f t="shared" si="66"/>
        <v>0.34279572425572002</v>
      </c>
      <c r="M837" s="18" t="str">
        <f>VLOOKUP(A837,Список!A:I,9,0)</f>
        <v>Основной ассортимент</v>
      </c>
      <c r="N837" s="12"/>
      <c r="O837" s="11"/>
    </row>
    <row r="838" spans="1:15" x14ac:dyDescent="0.25">
      <c r="A838" s="6">
        <v>7041</v>
      </c>
      <c r="B838" s="1" t="s">
        <v>842</v>
      </c>
      <c r="C838" s="3">
        <v>16.91976</v>
      </c>
      <c r="D838" s="1" t="s">
        <v>1182</v>
      </c>
      <c r="E838" s="3">
        <f t="shared" si="65"/>
        <v>265.34515138559999</v>
      </c>
      <c r="F838" s="3">
        <v>225.05753846153846</v>
      </c>
      <c r="G838" s="4">
        <f t="shared" ref="G838:G901" si="67">IF(M838="Вывод из ассортимента",F838,MAX(E838,F838))</f>
        <v>265.34515138559999</v>
      </c>
      <c r="H838" s="1">
        <v>39.86</v>
      </c>
      <c r="I838" s="1">
        <f t="shared" ref="I838:I901" si="68">ROUND(H838*1.2,2)</f>
        <v>47.83</v>
      </c>
      <c r="J838" s="1" t="s">
        <v>1182</v>
      </c>
      <c r="K838" s="3">
        <f t="shared" ref="K838:K901" si="69">IF(J838="RUB",I838*$K$4,I838*$E$2*$K$4)</f>
        <v>356.29600127999993</v>
      </c>
      <c r="L838" s="10">
        <f t="shared" si="66"/>
        <v>0.34276431816999753</v>
      </c>
      <c r="M838" s="18" t="str">
        <f>VLOOKUP(A838,Список!A:I,9,0)</f>
        <v>Основной ассортимент</v>
      </c>
      <c r="N838" s="12"/>
      <c r="O838" s="11"/>
    </row>
    <row r="839" spans="1:15" x14ac:dyDescent="0.25">
      <c r="A839" s="6">
        <v>7032</v>
      </c>
      <c r="B839" s="1" t="s">
        <v>843</v>
      </c>
      <c r="C839" s="3">
        <v>6.6352000000000002</v>
      </c>
      <c r="D839" s="1" t="s">
        <v>1182</v>
      </c>
      <c r="E839" s="3">
        <f t="shared" si="65"/>
        <v>104.05692211200001</v>
      </c>
      <c r="F839" s="3">
        <v>86.711555555555549</v>
      </c>
      <c r="G839" s="4">
        <f t="shared" si="67"/>
        <v>104.05692211200001</v>
      </c>
      <c r="H839" s="1">
        <v>15.63</v>
      </c>
      <c r="I839" s="1">
        <f t="shared" si="68"/>
        <v>18.760000000000002</v>
      </c>
      <c r="J839" s="1" t="s">
        <v>1182</v>
      </c>
      <c r="K839" s="3">
        <f t="shared" si="69"/>
        <v>139.74729216</v>
      </c>
      <c r="L839" s="10">
        <f t="shared" si="66"/>
        <v>0.34298890764407997</v>
      </c>
      <c r="M839" s="18" t="str">
        <f>VLOOKUP(A839,Список!A:I,9,0)</f>
        <v>Основной ассортимент</v>
      </c>
      <c r="N839" s="12"/>
      <c r="O839" s="11"/>
    </row>
    <row r="840" spans="1:15" x14ac:dyDescent="0.25">
      <c r="A840" s="6">
        <v>7033</v>
      </c>
      <c r="B840" s="1" t="s">
        <v>844</v>
      </c>
      <c r="C840" s="3">
        <v>7.0307599999999999</v>
      </c>
      <c r="D840" s="1" t="s">
        <v>1182</v>
      </c>
      <c r="E840" s="3">
        <f t="shared" si="65"/>
        <v>110.26031554559999</v>
      </c>
      <c r="F840" s="3">
        <v>78.94067605633802</v>
      </c>
      <c r="G840" s="4">
        <f t="shared" si="67"/>
        <v>110.26031554559999</v>
      </c>
      <c r="H840" s="1">
        <v>16.559999999999999</v>
      </c>
      <c r="I840" s="1">
        <f t="shared" si="68"/>
        <v>19.87</v>
      </c>
      <c r="J840" s="1" t="s">
        <v>1182</v>
      </c>
      <c r="K840" s="3">
        <f t="shared" si="69"/>
        <v>148.01592191999998</v>
      </c>
      <c r="L840" s="10">
        <f t="shared" si="66"/>
        <v>0.34242244081720896</v>
      </c>
      <c r="M840" s="18" t="str">
        <f>VLOOKUP(A840,Список!A:I,9,0)</f>
        <v>Основной ассортимент</v>
      </c>
      <c r="N840" s="12"/>
      <c r="O840" s="11"/>
    </row>
    <row r="841" spans="1:15" x14ac:dyDescent="0.25">
      <c r="A841" s="6">
        <v>7034</v>
      </c>
      <c r="B841" s="1" t="s">
        <v>845</v>
      </c>
      <c r="C841" s="3">
        <v>7.3880400000000002</v>
      </c>
      <c r="D841" s="1" t="s">
        <v>1182</v>
      </c>
      <c r="E841" s="3">
        <f t="shared" si="65"/>
        <v>115.8633805824</v>
      </c>
      <c r="F841" s="3">
        <v>82.912847880299239</v>
      </c>
      <c r="G841" s="4">
        <f t="shared" si="67"/>
        <v>115.8633805824</v>
      </c>
      <c r="H841" s="1">
        <v>17.399999999999999</v>
      </c>
      <c r="I841" s="1">
        <f t="shared" si="68"/>
        <v>20.88</v>
      </c>
      <c r="J841" s="1" t="s">
        <v>1182</v>
      </c>
      <c r="K841" s="3">
        <f t="shared" si="69"/>
        <v>155.53963007999997</v>
      </c>
      <c r="L841" s="10">
        <f t="shared" si="66"/>
        <v>0.34243994347621265</v>
      </c>
      <c r="M841" s="18" t="str">
        <f>VLOOKUP(A841,Список!A:I,9,0)</f>
        <v>Основной ассортимент</v>
      </c>
      <c r="N841" s="12"/>
      <c r="O841" s="11"/>
    </row>
    <row r="842" spans="1:15" x14ac:dyDescent="0.25">
      <c r="A842" s="6">
        <v>7035</v>
      </c>
      <c r="B842" s="1" t="s">
        <v>846</v>
      </c>
      <c r="C842" s="3">
        <v>8.1919199999999996</v>
      </c>
      <c r="D842" s="1" t="s">
        <v>1182</v>
      </c>
      <c r="E842" s="3">
        <f t="shared" si="65"/>
        <v>128.4702769152</v>
      </c>
      <c r="F842" s="3">
        <v>91.6962748091603</v>
      </c>
      <c r="G842" s="4">
        <f t="shared" si="67"/>
        <v>128.4702769152</v>
      </c>
      <c r="H842" s="1">
        <v>19.3</v>
      </c>
      <c r="I842" s="1">
        <f t="shared" si="68"/>
        <v>23.16</v>
      </c>
      <c r="J842" s="1" t="s">
        <v>1182</v>
      </c>
      <c r="K842" s="3">
        <f t="shared" si="69"/>
        <v>172.52384255999999</v>
      </c>
      <c r="L842" s="10">
        <f t="shared" si="66"/>
        <v>0.34290862215451323</v>
      </c>
      <c r="M842" s="18" t="str">
        <f>VLOOKUP(A842,Список!A:I,9,0)</f>
        <v>Основной ассортимент</v>
      </c>
      <c r="N842" s="12"/>
      <c r="O842" s="11"/>
    </row>
    <row r="843" spans="1:15" x14ac:dyDescent="0.25">
      <c r="A843" s="6">
        <v>7046</v>
      </c>
      <c r="B843" s="1" t="s">
        <v>847</v>
      </c>
      <c r="C843" s="3">
        <v>9.3403200000000002</v>
      </c>
      <c r="D843" s="1" t="s">
        <v>1182</v>
      </c>
      <c r="E843" s="3">
        <f t="shared" si="65"/>
        <v>146.48012881919999</v>
      </c>
      <c r="F843" s="3">
        <v>100.02961547762999</v>
      </c>
      <c r="G843" s="4">
        <f t="shared" si="67"/>
        <v>146.48012881919999</v>
      </c>
      <c r="H843" s="1">
        <v>22</v>
      </c>
      <c r="I843" s="1">
        <f t="shared" si="68"/>
        <v>26.4</v>
      </c>
      <c r="J843" s="1" t="s">
        <v>1182</v>
      </c>
      <c r="K843" s="3">
        <f t="shared" si="69"/>
        <v>196.65930239999994</v>
      </c>
      <c r="L843" s="10">
        <f t="shared" si="66"/>
        <v>0.34256642170717888</v>
      </c>
      <c r="M843" s="18" t="str">
        <f>VLOOKUP(A843,Список!A:I,9,0)</f>
        <v>Основной ассортимент</v>
      </c>
      <c r="N843" s="12"/>
      <c r="O843" s="11"/>
    </row>
    <row r="844" spans="1:15" x14ac:dyDescent="0.25">
      <c r="A844" s="6">
        <v>7047</v>
      </c>
      <c r="B844" s="1" t="s">
        <v>848</v>
      </c>
      <c r="C844" s="3">
        <v>10.118679999999999</v>
      </c>
      <c r="D844" s="1" t="s">
        <v>1182</v>
      </c>
      <c r="E844" s="3">
        <f t="shared" si="65"/>
        <v>158.68680622079998</v>
      </c>
      <c r="F844" s="3">
        <v>106.98362203023758</v>
      </c>
      <c r="G844" s="4">
        <f t="shared" si="67"/>
        <v>158.68680622079998</v>
      </c>
      <c r="H844" s="1">
        <v>23.84</v>
      </c>
      <c r="I844" s="1">
        <f t="shared" si="68"/>
        <v>28.61</v>
      </c>
      <c r="J844" s="1" t="s">
        <v>1182</v>
      </c>
      <c r="K844" s="3">
        <f t="shared" si="69"/>
        <v>213.12206975999999</v>
      </c>
      <c r="L844" s="10">
        <f t="shared" si="66"/>
        <v>0.34303585052595809</v>
      </c>
      <c r="M844" s="18" t="str">
        <f>VLOOKUP(A844,Список!A:I,9,0)</f>
        <v>Основной ассортимент</v>
      </c>
      <c r="N844" s="12"/>
      <c r="O844" s="11"/>
    </row>
    <row r="845" spans="1:15" x14ac:dyDescent="0.25">
      <c r="A845" s="6">
        <v>7048</v>
      </c>
      <c r="B845" s="1" t="s">
        <v>849</v>
      </c>
      <c r="C845" s="3">
        <v>11.330880000000001</v>
      </c>
      <c r="D845" s="1" t="s">
        <v>1182</v>
      </c>
      <c r="E845" s="3">
        <f t="shared" si="65"/>
        <v>177.69720545279998</v>
      </c>
      <c r="F845" s="3">
        <v>121.33782276281495</v>
      </c>
      <c r="G845" s="4">
        <f t="shared" si="67"/>
        <v>177.69720545279998</v>
      </c>
      <c r="H845" s="1">
        <v>26.69</v>
      </c>
      <c r="I845" s="1">
        <f t="shared" si="68"/>
        <v>32.03</v>
      </c>
      <c r="J845" s="1" t="s">
        <v>1182</v>
      </c>
      <c r="K845" s="3">
        <f t="shared" si="69"/>
        <v>238.59838847999998</v>
      </c>
      <c r="L845" s="10">
        <f t="shared" si="66"/>
        <v>0.34272448388827703</v>
      </c>
      <c r="M845" s="18" t="str">
        <f>VLOOKUP(A845,Список!A:I,9,0)</f>
        <v>Основной ассортимент</v>
      </c>
      <c r="N845" s="12"/>
      <c r="O845" s="11"/>
    </row>
    <row r="846" spans="1:15" x14ac:dyDescent="0.25">
      <c r="A846" s="6">
        <v>7049</v>
      </c>
      <c r="B846" s="1" t="s">
        <v>850</v>
      </c>
      <c r="C846" s="3">
        <v>13.308679999999999</v>
      </c>
      <c r="D846" s="1" t="s">
        <v>1182</v>
      </c>
      <c r="E846" s="3">
        <f t="shared" si="65"/>
        <v>208.71417262079996</v>
      </c>
      <c r="F846" s="3">
        <v>143.60258385093167</v>
      </c>
      <c r="G846" s="4">
        <f t="shared" si="67"/>
        <v>208.71417262079996</v>
      </c>
      <c r="H846" s="1">
        <v>31.35</v>
      </c>
      <c r="I846" s="1">
        <f t="shared" si="68"/>
        <v>37.619999999999997</v>
      </c>
      <c r="J846" s="1" t="s">
        <v>1182</v>
      </c>
      <c r="K846" s="3">
        <f t="shared" si="69"/>
        <v>280.23950591999994</v>
      </c>
      <c r="L846" s="10">
        <f t="shared" si="66"/>
        <v>0.34269514331999873</v>
      </c>
      <c r="M846" s="18" t="str">
        <f>VLOOKUP(A846,Список!A:I,9,0)</f>
        <v>Основной ассортимент</v>
      </c>
      <c r="N846" s="12"/>
      <c r="O846" s="11"/>
    </row>
    <row r="847" spans="1:15" x14ac:dyDescent="0.25">
      <c r="A847" s="6">
        <v>7050</v>
      </c>
      <c r="B847" s="1" t="s">
        <v>851</v>
      </c>
      <c r="C847" s="3">
        <v>15.299240000000001</v>
      </c>
      <c r="D847" s="1" t="s">
        <v>1182</v>
      </c>
      <c r="E847" s="3">
        <f t="shared" si="65"/>
        <v>239.9312492544</v>
      </c>
      <c r="F847" s="3">
        <v>168.00031764705878</v>
      </c>
      <c r="G847" s="4">
        <f t="shared" si="67"/>
        <v>239.9312492544</v>
      </c>
      <c r="H847" s="1">
        <v>36.04</v>
      </c>
      <c r="I847" s="1">
        <f t="shared" si="68"/>
        <v>43.25</v>
      </c>
      <c r="J847" s="1" t="s">
        <v>1182</v>
      </c>
      <c r="K847" s="3">
        <f t="shared" si="69"/>
        <v>322.17859199999998</v>
      </c>
      <c r="L847" s="10">
        <f t="shared" si="66"/>
        <v>0.34279545912084508</v>
      </c>
      <c r="M847" s="18" t="str">
        <f>VLOOKUP(A847,Список!A:I,9,0)</f>
        <v>Основной ассортимент</v>
      </c>
      <c r="N847" s="12"/>
      <c r="O847" s="11"/>
    </row>
    <row r="848" spans="1:15" x14ac:dyDescent="0.25">
      <c r="A848" s="6">
        <v>7051</v>
      </c>
      <c r="B848" s="1" t="s">
        <v>852</v>
      </c>
      <c r="C848" s="3">
        <v>17.27704</v>
      </c>
      <c r="D848" s="1" t="s">
        <v>1182</v>
      </c>
      <c r="E848" s="3">
        <f t="shared" si="65"/>
        <v>270.94821642239998</v>
      </c>
      <c r="F848" s="3">
        <v>229.5490322580645</v>
      </c>
      <c r="G848" s="4">
        <f t="shared" si="67"/>
        <v>270.94821642239998</v>
      </c>
      <c r="H848" s="1">
        <v>40.700000000000003</v>
      </c>
      <c r="I848" s="1">
        <f t="shared" si="68"/>
        <v>48.84</v>
      </c>
      <c r="J848" s="1" t="s">
        <v>1182</v>
      </c>
      <c r="K848" s="3">
        <f t="shared" si="69"/>
        <v>363.81970944</v>
      </c>
      <c r="L848" s="10">
        <f t="shared" si="66"/>
        <v>0.34276473284775633</v>
      </c>
      <c r="M848" s="18" t="str">
        <f>VLOOKUP(A848,Список!A:I,9,0)</f>
        <v>Основной ассортимент</v>
      </c>
      <c r="N848" s="12"/>
      <c r="O848" s="11"/>
    </row>
    <row r="849" spans="1:15" x14ac:dyDescent="0.25">
      <c r="A849" s="6">
        <v>7042</v>
      </c>
      <c r="B849" s="1" t="s">
        <v>853</v>
      </c>
      <c r="C849" s="3">
        <v>6.9414400000000001</v>
      </c>
      <c r="D849" s="1" t="s">
        <v>1182</v>
      </c>
      <c r="E849" s="3">
        <f t="shared" si="65"/>
        <v>108.8595492864</v>
      </c>
      <c r="F849" s="3">
        <v>82.253724770642208</v>
      </c>
      <c r="G849" s="4">
        <f t="shared" si="67"/>
        <v>108.8595492864</v>
      </c>
      <c r="H849" s="1">
        <v>16.350000000000001</v>
      </c>
      <c r="I849" s="1">
        <f t="shared" si="68"/>
        <v>19.62</v>
      </c>
      <c r="J849" s="1" t="s">
        <v>1182</v>
      </c>
      <c r="K849" s="3">
        <f t="shared" si="69"/>
        <v>146.15361791999999</v>
      </c>
      <c r="L849" s="10">
        <f t="shared" si="66"/>
        <v>0.34258885764337066</v>
      </c>
      <c r="M849" s="18" t="str">
        <f>VLOOKUP(A849,Список!A:I,9,0)</f>
        <v>Основной ассортимент</v>
      </c>
      <c r="N849" s="12"/>
      <c r="O849" s="11"/>
    </row>
    <row r="850" spans="1:15" x14ac:dyDescent="0.25">
      <c r="A850" s="6">
        <v>7043</v>
      </c>
      <c r="B850" s="1" t="s">
        <v>854</v>
      </c>
      <c r="C850" s="3">
        <v>7.3625199999999991</v>
      </c>
      <c r="D850" s="1" t="s">
        <v>1182</v>
      </c>
      <c r="E850" s="3">
        <f t="shared" si="65"/>
        <v>115.46316165119998</v>
      </c>
      <c r="F850" s="3">
        <v>89.502622950819671</v>
      </c>
      <c r="G850" s="4">
        <f t="shared" si="67"/>
        <v>115.46316165119998</v>
      </c>
      <c r="H850" s="1">
        <v>17.34</v>
      </c>
      <c r="I850" s="1">
        <f t="shared" si="68"/>
        <v>20.81</v>
      </c>
      <c r="J850" s="1" t="s">
        <v>1182</v>
      </c>
      <c r="K850" s="3">
        <f t="shared" si="69"/>
        <v>155.01818495999999</v>
      </c>
      <c r="L850" s="10">
        <f t="shared" si="66"/>
        <v>0.3425769980930442</v>
      </c>
      <c r="M850" s="18" t="str">
        <f>VLOOKUP(A850,Список!A:I,9,0)</f>
        <v>Основной ассортимент</v>
      </c>
      <c r="N850" s="12"/>
      <c r="O850" s="11"/>
    </row>
    <row r="851" spans="1:15" x14ac:dyDescent="0.25">
      <c r="A851" s="6">
        <v>7044</v>
      </c>
      <c r="B851" s="1" t="s">
        <v>855</v>
      </c>
      <c r="C851" s="3">
        <v>7.7580800000000005</v>
      </c>
      <c r="D851" s="1" t="s">
        <v>1182</v>
      </c>
      <c r="E851" s="3">
        <f t="shared" si="65"/>
        <v>121.6665550848</v>
      </c>
      <c r="F851" s="3">
        <v>88.486033852403509</v>
      </c>
      <c r="G851" s="4">
        <f t="shared" si="67"/>
        <v>121.6665550848</v>
      </c>
      <c r="H851" s="1">
        <v>18.28</v>
      </c>
      <c r="I851" s="1">
        <f t="shared" si="68"/>
        <v>21.94</v>
      </c>
      <c r="J851" s="1" t="s">
        <v>1182</v>
      </c>
      <c r="K851" s="3">
        <f t="shared" si="69"/>
        <v>163.43579903999998</v>
      </c>
      <c r="L851" s="10">
        <f t="shared" si="66"/>
        <v>0.34330916927899668</v>
      </c>
      <c r="M851" s="18" t="str">
        <f>VLOOKUP(A851,Список!A:I,9,0)</f>
        <v>Основной ассортимент</v>
      </c>
      <c r="N851" s="12"/>
      <c r="O851" s="11"/>
    </row>
    <row r="852" spans="1:15" x14ac:dyDescent="0.25">
      <c r="A852" s="6">
        <v>7045</v>
      </c>
      <c r="B852" s="1" t="s">
        <v>856</v>
      </c>
      <c r="C852" s="3">
        <v>8.5364400000000007</v>
      </c>
      <c r="D852" s="1" t="s">
        <v>1182</v>
      </c>
      <c r="E852" s="3">
        <f t="shared" si="65"/>
        <v>133.87323248639998</v>
      </c>
      <c r="F852" s="3">
        <v>93.10498664292075</v>
      </c>
      <c r="G852" s="4">
        <f t="shared" si="67"/>
        <v>133.87323248639998</v>
      </c>
      <c r="H852" s="1">
        <v>20.11</v>
      </c>
      <c r="I852" s="1">
        <f t="shared" si="68"/>
        <v>24.13</v>
      </c>
      <c r="J852" s="1" t="s">
        <v>1182</v>
      </c>
      <c r="K852" s="3">
        <f t="shared" si="69"/>
        <v>179.74958207999998</v>
      </c>
      <c r="L852" s="10">
        <f t="shared" si="66"/>
        <v>0.34268500686468828</v>
      </c>
      <c r="M852" s="18" t="str">
        <f>VLOOKUP(A852,Список!A:I,9,0)</f>
        <v>Основной ассортимент</v>
      </c>
      <c r="N852" s="12"/>
      <c r="O852" s="11"/>
    </row>
    <row r="853" spans="1:15" x14ac:dyDescent="0.25">
      <c r="A853" s="6">
        <v>1560</v>
      </c>
      <c r="B853" s="1" t="s">
        <v>857</v>
      </c>
      <c r="C853" s="3">
        <v>52.973876097182654</v>
      </c>
      <c r="D853" s="1" t="s">
        <v>1172</v>
      </c>
      <c r="E853" s="3">
        <f t="shared" si="65"/>
        <v>63.568651316619182</v>
      </c>
      <c r="F853" s="3">
        <v>55.572645248562736</v>
      </c>
      <c r="G853" s="4">
        <f t="shared" si="67"/>
        <v>63.568651316619182</v>
      </c>
      <c r="H853" s="1">
        <v>106.16</v>
      </c>
      <c r="I853" s="1">
        <f t="shared" si="68"/>
        <v>127.39</v>
      </c>
      <c r="J853" s="1" t="s">
        <v>1172</v>
      </c>
      <c r="K853" s="3">
        <f t="shared" si="69"/>
        <v>72.612299999999991</v>
      </c>
      <c r="L853" s="10">
        <f t="shared" si="66"/>
        <v>0.14226585740094921</v>
      </c>
      <c r="M853" s="18" t="str">
        <f>VLOOKUP(A853,Список!A:I,9,0)</f>
        <v>Основной ассортимент</v>
      </c>
      <c r="N853" s="12"/>
      <c r="O853" s="11"/>
    </row>
    <row r="854" spans="1:15" x14ac:dyDescent="0.25">
      <c r="A854" s="6">
        <v>1561</v>
      </c>
      <c r="B854" s="1" t="s">
        <v>858</v>
      </c>
      <c r="C854" s="3">
        <v>62.908087114549517</v>
      </c>
      <c r="D854" s="1" t="s">
        <v>1172</v>
      </c>
      <c r="E854" s="3">
        <f t="shared" si="65"/>
        <v>75.489704537459417</v>
      </c>
      <c r="F854" s="3">
        <v>66.424422614840992</v>
      </c>
      <c r="G854" s="4">
        <f t="shared" si="67"/>
        <v>75.489704537459417</v>
      </c>
      <c r="H854" s="1">
        <v>126.61</v>
      </c>
      <c r="I854" s="1">
        <f t="shared" si="68"/>
        <v>151.93</v>
      </c>
      <c r="J854" s="1" t="s">
        <v>1172</v>
      </c>
      <c r="K854" s="3">
        <f t="shared" si="69"/>
        <v>86.600099999999998</v>
      </c>
      <c r="L854" s="10">
        <f t="shared" si="66"/>
        <v>0.14717762548702784</v>
      </c>
      <c r="M854" s="18" t="str">
        <f>VLOOKUP(A854,Список!A:I,9,0)</f>
        <v>Основной ассортимент</v>
      </c>
      <c r="N854" s="12"/>
      <c r="O854" s="11"/>
    </row>
    <row r="855" spans="1:15" x14ac:dyDescent="0.25">
      <c r="A855" s="6">
        <v>1562</v>
      </c>
      <c r="B855" s="1" t="s">
        <v>859</v>
      </c>
      <c r="C855" s="3">
        <v>74.121290822867479</v>
      </c>
      <c r="D855" s="1" t="s">
        <v>1172</v>
      </c>
      <c r="E855" s="3">
        <f t="shared" si="65"/>
        <v>88.945548987440972</v>
      </c>
      <c r="F855" s="3">
        <v>78.756968881412959</v>
      </c>
      <c r="G855" s="4">
        <f t="shared" si="67"/>
        <v>88.945548987440972</v>
      </c>
      <c r="H855" s="1">
        <v>151.49</v>
      </c>
      <c r="I855" s="1">
        <f t="shared" si="68"/>
        <v>181.79</v>
      </c>
      <c r="J855" s="1" t="s">
        <v>1172</v>
      </c>
      <c r="K855" s="3">
        <f t="shared" si="69"/>
        <v>103.62029999999999</v>
      </c>
      <c r="L855" s="10">
        <f t="shared" si="66"/>
        <v>0.16498578264586428</v>
      </c>
      <c r="M855" s="18" t="str">
        <f>VLOOKUP(A855,Список!A:I,9,0)</f>
        <v>Основной ассортимент</v>
      </c>
      <c r="N855" s="12"/>
      <c r="O855" s="11"/>
    </row>
    <row r="856" spans="1:15" x14ac:dyDescent="0.25">
      <c r="A856" s="6">
        <v>1563</v>
      </c>
      <c r="B856" s="1" t="s">
        <v>860</v>
      </c>
      <c r="C856" s="3">
        <v>86.453006926866721</v>
      </c>
      <c r="D856" s="1" t="s">
        <v>1172</v>
      </c>
      <c r="E856" s="3">
        <f t="shared" si="65"/>
        <v>103.74360831224006</v>
      </c>
      <c r="F856" s="3">
        <v>92.196611500701252</v>
      </c>
      <c r="G856" s="4">
        <f t="shared" si="67"/>
        <v>103.74360831224006</v>
      </c>
      <c r="H856" s="1">
        <v>177.46</v>
      </c>
      <c r="I856" s="1">
        <f t="shared" si="68"/>
        <v>212.95</v>
      </c>
      <c r="J856" s="1" t="s">
        <v>1172</v>
      </c>
      <c r="K856" s="3">
        <f t="shared" si="69"/>
        <v>121.38149999999999</v>
      </c>
      <c r="L856" s="10">
        <f t="shared" si="66"/>
        <v>0.17001424930849396</v>
      </c>
      <c r="M856" s="18" t="str">
        <f>VLOOKUP(A856,Список!A:I,9,0)</f>
        <v>Основной ассортимент</v>
      </c>
      <c r="N856" s="12"/>
      <c r="O856" s="11"/>
    </row>
    <row r="857" spans="1:15" x14ac:dyDescent="0.25">
      <c r="A857" s="6">
        <v>1564</v>
      </c>
      <c r="B857" s="1" t="s">
        <v>861</v>
      </c>
      <c r="C857" s="3">
        <v>97.364921870640359</v>
      </c>
      <c r="D857" s="1" t="s">
        <v>1172</v>
      </c>
      <c r="E857" s="3">
        <f t="shared" si="65"/>
        <v>116.83790624476842</v>
      </c>
      <c r="F857" s="3">
        <v>104.31150368550368</v>
      </c>
      <c r="G857" s="4">
        <f t="shared" si="67"/>
        <v>116.83790624476842</v>
      </c>
      <c r="H857" s="1">
        <v>197.68</v>
      </c>
      <c r="I857" s="1">
        <f t="shared" si="68"/>
        <v>237.22</v>
      </c>
      <c r="J857" s="1" t="s">
        <v>1172</v>
      </c>
      <c r="K857" s="3">
        <f t="shared" si="69"/>
        <v>135.21539999999999</v>
      </c>
      <c r="L857" s="10">
        <f t="shared" si="66"/>
        <v>0.15729050909840692</v>
      </c>
      <c r="M857" s="18" t="str">
        <f>VLOOKUP(A857,Список!A:I,9,0)</f>
        <v>Основной ассортимент</v>
      </c>
      <c r="N857" s="12"/>
      <c r="O857" s="11"/>
    </row>
    <row r="858" spans="1:15" x14ac:dyDescent="0.25">
      <c r="A858" s="6">
        <v>1565</v>
      </c>
      <c r="B858" s="1" t="s">
        <v>862</v>
      </c>
      <c r="C858" s="3">
        <v>109.0739126237264</v>
      </c>
      <c r="D858" s="1" t="s">
        <v>1172</v>
      </c>
      <c r="E858" s="3">
        <f t="shared" si="65"/>
        <v>130.88869514847167</v>
      </c>
      <c r="F858" s="3">
        <v>117.10808681672026</v>
      </c>
      <c r="G858" s="4">
        <f t="shared" si="67"/>
        <v>130.88869514847167</v>
      </c>
      <c r="H858" s="1">
        <v>223.2</v>
      </c>
      <c r="I858" s="1">
        <f t="shared" si="68"/>
        <v>267.83999999999997</v>
      </c>
      <c r="J858" s="1" t="s">
        <v>1172</v>
      </c>
      <c r="K858" s="3">
        <f t="shared" si="69"/>
        <v>152.66879999999998</v>
      </c>
      <c r="L858" s="10">
        <f t="shared" si="66"/>
        <v>0.16640172649610707</v>
      </c>
      <c r="M858" s="18" t="str">
        <f>VLOOKUP(A858,Список!A:I,9,0)</f>
        <v>Основной ассортимент</v>
      </c>
      <c r="N858" s="12"/>
      <c r="O858" s="11"/>
    </row>
    <row r="859" spans="1:15" x14ac:dyDescent="0.25">
      <c r="A859" s="6">
        <v>1566</v>
      </c>
      <c r="B859" s="1" t="s">
        <v>863</v>
      </c>
      <c r="C859" s="3">
        <v>120.5500336436271</v>
      </c>
      <c r="D859" s="1" t="s">
        <v>1172</v>
      </c>
      <c r="E859" s="3">
        <f t="shared" si="65"/>
        <v>144.66004037235251</v>
      </c>
      <c r="F859" s="3">
        <v>130.29244036697247</v>
      </c>
      <c r="G859" s="4">
        <f t="shared" si="67"/>
        <v>144.66004037235251</v>
      </c>
      <c r="H859" s="1">
        <v>249.68</v>
      </c>
      <c r="I859" s="1">
        <f t="shared" si="68"/>
        <v>299.62</v>
      </c>
      <c r="J859" s="1" t="s">
        <v>1172</v>
      </c>
      <c r="K859" s="3">
        <f t="shared" si="69"/>
        <v>170.7834</v>
      </c>
      <c r="L859" s="10">
        <f t="shared" si="66"/>
        <v>0.18058449009419886</v>
      </c>
      <c r="M859" s="18" t="str">
        <f>VLOOKUP(A859,Список!A:I,9,0)</f>
        <v>Основной ассортимент</v>
      </c>
      <c r="N859" s="12"/>
      <c r="O859" s="11"/>
    </row>
    <row r="860" spans="1:15" x14ac:dyDescent="0.25">
      <c r="A860" s="6">
        <v>1567</v>
      </c>
      <c r="B860" s="1" t="s">
        <v>864</v>
      </c>
      <c r="C860" s="3">
        <v>132.46075232729066</v>
      </c>
      <c r="D860" s="1" t="s">
        <v>1172</v>
      </c>
      <c r="E860" s="3">
        <f t="shared" si="65"/>
        <v>158.9529027927488</v>
      </c>
      <c r="F860" s="3">
        <v>143.32006468085106</v>
      </c>
      <c r="G860" s="4">
        <f t="shared" si="67"/>
        <v>158.9529027927488</v>
      </c>
      <c r="H860" s="1">
        <v>274.88</v>
      </c>
      <c r="I860" s="1">
        <f t="shared" si="68"/>
        <v>329.86</v>
      </c>
      <c r="J860" s="1" t="s">
        <v>1172</v>
      </c>
      <c r="K860" s="3">
        <f t="shared" si="69"/>
        <v>188.02019999999999</v>
      </c>
      <c r="L860" s="10">
        <f t="shared" si="66"/>
        <v>0.18286735691232181</v>
      </c>
      <c r="M860" s="18" t="str">
        <f>VLOOKUP(A860,Список!A:I,9,0)</f>
        <v>Основной ассортимент</v>
      </c>
      <c r="N860" s="12"/>
      <c r="O860" s="11"/>
    </row>
    <row r="861" spans="1:15" x14ac:dyDescent="0.25">
      <c r="A861" s="6">
        <v>1568</v>
      </c>
      <c r="B861" s="1" t="s">
        <v>865</v>
      </c>
      <c r="C861" s="3">
        <v>141.70515401549491</v>
      </c>
      <c r="D861" s="1" t="s">
        <v>1172</v>
      </c>
      <c r="E861" s="3">
        <f t="shared" si="65"/>
        <v>170.0461848185939</v>
      </c>
      <c r="F861" s="3">
        <v>153.74644490644488</v>
      </c>
      <c r="G861" s="4">
        <f t="shared" si="67"/>
        <v>170.0461848185939</v>
      </c>
      <c r="H861" s="1">
        <v>294.38</v>
      </c>
      <c r="I861" s="1">
        <f t="shared" si="68"/>
        <v>353.26</v>
      </c>
      <c r="J861" s="1" t="s">
        <v>1172</v>
      </c>
      <c r="K861" s="3">
        <f t="shared" si="69"/>
        <v>201.35819999999998</v>
      </c>
      <c r="L861" s="10">
        <f t="shared" si="66"/>
        <v>0.18413829874989496</v>
      </c>
      <c r="M861" s="18" t="str">
        <f>VLOOKUP(A861,Список!A:I,9,0)</f>
        <v>Основной ассортимент</v>
      </c>
      <c r="N861" s="12"/>
      <c r="O861" s="11"/>
    </row>
    <row r="862" spans="1:15" x14ac:dyDescent="0.25">
      <c r="A862" s="6">
        <v>1550</v>
      </c>
      <c r="B862" s="1" t="s">
        <v>866</v>
      </c>
      <c r="C862" s="3">
        <v>36.228244354990579</v>
      </c>
      <c r="D862" s="1" t="s">
        <v>1172</v>
      </c>
      <c r="E862" s="3">
        <f t="shared" si="65"/>
        <v>43.473893225988697</v>
      </c>
      <c r="F862" s="3">
        <v>37.012155117609659</v>
      </c>
      <c r="G862" s="4">
        <f t="shared" si="67"/>
        <v>43.473893225988697</v>
      </c>
      <c r="H862" s="1">
        <v>73.34</v>
      </c>
      <c r="I862" s="1">
        <f t="shared" si="68"/>
        <v>88.01</v>
      </c>
      <c r="J862" s="1" t="s">
        <v>1172</v>
      </c>
      <c r="K862" s="3">
        <f t="shared" si="69"/>
        <v>50.165700000000001</v>
      </c>
      <c r="L862" s="10">
        <f t="shared" si="66"/>
        <v>0.1539270186644095</v>
      </c>
      <c r="M862" s="18" t="str">
        <f>VLOOKUP(A862,Список!A:I,9,0)</f>
        <v>Основной ассортимент</v>
      </c>
      <c r="N862" s="12"/>
      <c r="O862" s="11"/>
    </row>
    <row r="863" spans="1:15" x14ac:dyDescent="0.25">
      <c r="A863" s="6">
        <v>1551</v>
      </c>
      <c r="B863" s="1" t="s">
        <v>867</v>
      </c>
      <c r="C863" s="3">
        <v>41.126683137466046</v>
      </c>
      <c r="D863" s="1" t="s">
        <v>1172</v>
      </c>
      <c r="E863" s="3">
        <f t="shared" si="65"/>
        <v>49.352019764959252</v>
      </c>
      <c r="F863" s="3">
        <v>42.592165122156693</v>
      </c>
      <c r="G863" s="4">
        <f t="shared" si="67"/>
        <v>49.352019764959252</v>
      </c>
      <c r="H863" s="1">
        <v>82.3</v>
      </c>
      <c r="I863" s="1">
        <f t="shared" si="68"/>
        <v>98.76</v>
      </c>
      <c r="J863" s="1" t="s">
        <v>1172</v>
      </c>
      <c r="K863" s="3">
        <f t="shared" si="69"/>
        <v>56.293199999999999</v>
      </c>
      <c r="L863" s="10">
        <f t="shared" si="66"/>
        <v>0.14064632548167966</v>
      </c>
      <c r="M863" s="18" t="str">
        <f>VLOOKUP(A863,Список!A:I,9,0)</f>
        <v>Основной ассортимент</v>
      </c>
      <c r="N863" s="12"/>
      <c r="O863" s="11"/>
    </row>
    <row r="864" spans="1:15" x14ac:dyDescent="0.25">
      <c r="A864" s="6">
        <v>1552</v>
      </c>
      <c r="B864" s="1" t="s">
        <v>868</v>
      </c>
      <c r="C864" s="3">
        <v>49.233489741571773</v>
      </c>
      <c r="D864" s="1" t="s">
        <v>1172</v>
      </c>
      <c r="E864" s="3">
        <f t="shared" si="65"/>
        <v>59.080187689886124</v>
      </c>
      <c r="F864" s="3">
        <v>51.598203045685274</v>
      </c>
      <c r="G864" s="4">
        <f t="shared" si="67"/>
        <v>59.080187689886124</v>
      </c>
      <c r="H864" s="1">
        <v>100.86</v>
      </c>
      <c r="I864" s="1">
        <f t="shared" si="68"/>
        <v>121.03</v>
      </c>
      <c r="J864" s="1" t="s">
        <v>1172</v>
      </c>
      <c r="K864" s="3">
        <f t="shared" si="69"/>
        <v>68.987099999999998</v>
      </c>
      <c r="L864" s="10">
        <f t="shared" si="66"/>
        <v>0.16768586386549056</v>
      </c>
      <c r="M864" s="18" t="str">
        <f>VLOOKUP(A864,Список!A:I,9,0)</f>
        <v>Основной ассортимент</v>
      </c>
      <c r="N864" s="12"/>
      <c r="O864" s="11"/>
    </row>
    <row r="865" spans="1:15" x14ac:dyDescent="0.25">
      <c r="A865" s="6">
        <v>1553</v>
      </c>
      <c r="B865" s="1" t="s">
        <v>869</v>
      </c>
      <c r="C865" s="3">
        <v>57.347795915733442</v>
      </c>
      <c r="D865" s="1" t="s">
        <v>1172</v>
      </c>
      <c r="E865" s="3">
        <f t="shared" si="65"/>
        <v>68.817355098880128</v>
      </c>
      <c r="F865" s="3">
        <v>60.322636168691922</v>
      </c>
      <c r="G865" s="4">
        <f t="shared" si="67"/>
        <v>68.817355098880128</v>
      </c>
      <c r="H865" s="1">
        <v>116.74</v>
      </c>
      <c r="I865" s="1">
        <f t="shared" si="68"/>
        <v>140.09</v>
      </c>
      <c r="J865" s="1" t="s">
        <v>1172</v>
      </c>
      <c r="K865" s="3">
        <f t="shared" si="69"/>
        <v>79.851299999999995</v>
      </c>
      <c r="L865" s="10">
        <f t="shared" si="66"/>
        <v>0.16033666050178419</v>
      </c>
      <c r="M865" s="18" t="str">
        <f>VLOOKUP(A865,Список!A:I,9,0)</f>
        <v>Основной ассортимент</v>
      </c>
      <c r="N865" s="12"/>
      <c r="O865" s="11"/>
    </row>
    <row r="866" spans="1:15" x14ac:dyDescent="0.25">
      <c r="A866" s="6">
        <v>1554</v>
      </c>
      <c r="B866" s="1" t="s">
        <v>870</v>
      </c>
      <c r="C866" s="3">
        <v>65.53567949990115</v>
      </c>
      <c r="D866" s="1" t="s">
        <v>1172</v>
      </c>
      <c r="E866" s="3">
        <f t="shared" si="65"/>
        <v>78.642815399881371</v>
      </c>
      <c r="F866" s="3">
        <v>69.583797811360085</v>
      </c>
      <c r="G866" s="4">
        <f t="shared" si="67"/>
        <v>78.642815399881371</v>
      </c>
      <c r="H866" s="1">
        <v>133.6</v>
      </c>
      <c r="I866" s="1">
        <f t="shared" si="68"/>
        <v>160.32</v>
      </c>
      <c r="J866" s="1" t="s">
        <v>1172</v>
      </c>
      <c r="K866" s="3">
        <f t="shared" si="69"/>
        <v>91.38239999999999</v>
      </c>
      <c r="L866" s="10">
        <f t="shared" si="66"/>
        <v>0.16199298734843914</v>
      </c>
      <c r="M866" s="18" t="str">
        <f>VLOOKUP(A866,Список!A:I,9,0)</f>
        <v>Основной ассортимент</v>
      </c>
      <c r="N866" s="12"/>
      <c r="O866" s="11"/>
    </row>
    <row r="867" spans="1:15" x14ac:dyDescent="0.25">
      <c r="A867" s="6">
        <v>1555</v>
      </c>
      <c r="B867" s="1" t="s">
        <v>871</v>
      </c>
      <c r="C867" s="3">
        <v>74.586549851692595</v>
      </c>
      <c r="D867" s="1" t="s">
        <v>1172</v>
      </c>
      <c r="E867" s="3">
        <f t="shared" si="65"/>
        <v>89.503859822031117</v>
      </c>
      <c r="F867" s="3">
        <v>81.535529411764713</v>
      </c>
      <c r="G867" s="4">
        <f t="shared" si="67"/>
        <v>89.503859822031117</v>
      </c>
      <c r="H867" s="1">
        <v>151.24</v>
      </c>
      <c r="I867" s="1">
        <f t="shared" si="68"/>
        <v>181.49</v>
      </c>
      <c r="J867" s="1" t="s">
        <v>1172</v>
      </c>
      <c r="K867" s="3">
        <f t="shared" si="69"/>
        <v>103.44929999999999</v>
      </c>
      <c r="L867" s="10">
        <f t="shared" si="66"/>
        <v>0.1558082545903372</v>
      </c>
      <c r="M867" s="18" t="str">
        <f>VLOOKUP(A867,Список!A:I,9,0)</f>
        <v>Основной ассортимент</v>
      </c>
      <c r="N867" s="12"/>
      <c r="O867" s="11"/>
    </row>
    <row r="868" spans="1:15" x14ac:dyDescent="0.25">
      <c r="A868" s="6">
        <v>1556</v>
      </c>
      <c r="B868" s="1" t="s">
        <v>872</v>
      </c>
      <c r="C868" s="3">
        <v>84.02005586779255</v>
      </c>
      <c r="D868" s="1" t="s">
        <v>1172</v>
      </c>
      <c r="E868" s="3">
        <f t="shared" si="65"/>
        <v>100.82406704135106</v>
      </c>
      <c r="F868" s="3">
        <v>91.029286376274328</v>
      </c>
      <c r="G868" s="4">
        <f t="shared" si="67"/>
        <v>100.82406704135106</v>
      </c>
      <c r="H868" s="1">
        <v>175.27</v>
      </c>
      <c r="I868" s="1">
        <f t="shared" si="68"/>
        <v>210.32</v>
      </c>
      <c r="J868" s="1" t="s">
        <v>1172</v>
      </c>
      <c r="K868" s="3">
        <f t="shared" si="69"/>
        <v>119.88239999999999</v>
      </c>
      <c r="L868" s="10">
        <f t="shared" si="66"/>
        <v>0.18902563165630415</v>
      </c>
      <c r="M868" s="18" t="str">
        <f>VLOOKUP(A868,Список!A:I,9,0)</f>
        <v>Основной ассортимент</v>
      </c>
      <c r="N868" s="12"/>
      <c r="O868" s="11"/>
    </row>
    <row r="869" spans="1:15" x14ac:dyDescent="0.25">
      <c r="A869" s="6">
        <v>1557</v>
      </c>
      <c r="B869" s="1" t="s">
        <v>873</v>
      </c>
      <c r="C869" s="3">
        <v>91.414431710099237</v>
      </c>
      <c r="D869" s="1" t="s">
        <v>1172</v>
      </c>
      <c r="E869" s="3">
        <f t="shared" si="65"/>
        <v>109.69731805211909</v>
      </c>
      <c r="F869" s="3">
        <v>97.784545054945056</v>
      </c>
      <c r="G869" s="4">
        <f t="shared" si="67"/>
        <v>109.69731805211909</v>
      </c>
      <c r="H869" s="1">
        <v>189.32</v>
      </c>
      <c r="I869" s="1">
        <f t="shared" si="68"/>
        <v>227.18</v>
      </c>
      <c r="J869" s="1" t="s">
        <v>1172</v>
      </c>
      <c r="K869" s="3">
        <f t="shared" si="69"/>
        <v>129.49259999999998</v>
      </c>
      <c r="L869" s="10">
        <f t="shared" si="66"/>
        <v>0.18045365465066165</v>
      </c>
      <c r="M869" s="18" t="str">
        <f>VLOOKUP(A869,Список!A:I,9,0)</f>
        <v>Основной ассортимент</v>
      </c>
      <c r="N869" s="12"/>
      <c r="O869" s="11"/>
    </row>
    <row r="870" spans="1:15" x14ac:dyDescent="0.25">
      <c r="A870" s="6">
        <v>1558</v>
      </c>
      <c r="B870" s="1" t="s">
        <v>874</v>
      </c>
      <c r="C870" s="3">
        <v>100.91683789239093</v>
      </c>
      <c r="D870" s="1" t="s">
        <v>1172</v>
      </c>
      <c r="E870" s="3">
        <f t="shared" si="65"/>
        <v>121.10020547086911</v>
      </c>
      <c r="F870" s="3">
        <v>109.86082479784368</v>
      </c>
      <c r="G870" s="4">
        <f t="shared" si="67"/>
        <v>121.10020547086911</v>
      </c>
      <c r="H870" s="1">
        <v>206.08</v>
      </c>
      <c r="I870" s="1">
        <f t="shared" si="68"/>
        <v>247.3</v>
      </c>
      <c r="J870" s="1" t="s">
        <v>1172</v>
      </c>
      <c r="K870" s="3">
        <f t="shared" si="69"/>
        <v>140.96099999999998</v>
      </c>
      <c r="L870" s="10">
        <f t="shared" si="66"/>
        <v>0.1640029796143363</v>
      </c>
      <c r="M870" s="18" t="str">
        <f>VLOOKUP(A870,Список!A:I,9,0)</f>
        <v>Основной ассортимент</v>
      </c>
      <c r="N870" s="12"/>
      <c r="O870" s="11"/>
    </row>
    <row r="871" spans="1:15" x14ac:dyDescent="0.25">
      <c r="A871" s="6">
        <v>2936</v>
      </c>
      <c r="B871" s="1" t="s">
        <v>875</v>
      </c>
      <c r="C871" s="3">
        <v>262.5</v>
      </c>
      <c r="D871" s="1" t="s">
        <v>1172</v>
      </c>
      <c r="E871" s="3">
        <f t="shared" si="65"/>
        <v>315</v>
      </c>
      <c r="F871" s="3">
        <v>310.88539130434782</v>
      </c>
      <c r="G871" s="4">
        <f t="shared" si="67"/>
        <v>315</v>
      </c>
      <c r="H871" s="1">
        <v>577.5</v>
      </c>
      <c r="I871" s="1">
        <f t="shared" si="68"/>
        <v>693</v>
      </c>
      <c r="J871" s="1" t="s">
        <v>1172</v>
      </c>
      <c r="K871" s="3">
        <f t="shared" si="69"/>
        <v>395.01</v>
      </c>
      <c r="L871" s="10">
        <f t="shared" si="66"/>
        <v>0.254</v>
      </c>
      <c r="M871" s="18" t="str">
        <f>VLOOKUP(A871,Список!A:I,9,0)</f>
        <v>Основной ассортимент</v>
      </c>
      <c r="N871" s="12"/>
      <c r="O871" s="11"/>
    </row>
    <row r="872" spans="1:15" x14ac:dyDescent="0.25">
      <c r="A872" s="6">
        <v>2933</v>
      </c>
      <c r="B872" s="1" t="s">
        <v>876</v>
      </c>
      <c r="C872" s="3">
        <v>57.5</v>
      </c>
      <c r="D872" s="1" t="s">
        <v>1172</v>
      </c>
      <c r="E872" s="3">
        <f t="shared" si="65"/>
        <v>69</v>
      </c>
      <c r="F872" s="3">
        <v>68.668574585635355</v>
      </c>
      <c r="G872" s="4">
        <f t="shared" si="67"/>
        <v>69</v>
      </c>
      <c r="H872" s="1">
        <v>121.83</v>
      </c>
      <c r="I872" s="1">
        <f t="shared" si="68"/>
        <v>146.19999999999999</v>
      </c>
      <c r="J872" s="1" t="s">
        <v>1172</v>
      </c>
      <c r="K872" s="3">
        <f t="shared" si="69"/>
        <v>83.333999999999989</v>
      </c>
      <c r="L872" s="10">
        <f t="shared" si="66"/>
        <v>0.20773913043478243</v>
      </c>
      <c r="M872" s="18" t="str">
        <f>VLOOKUP(A872,Список!A:I,9,0)</f>
        <v>Основной ассортимент</v>
      </c>
      <c r="N872" s="12"/>
      <c r="O872" s="11"/>
    </row>
    <row r="873" spans="1:15" x14ac:dyDescent="0.25">
      <c r="A873" s="6">
        <v>2934</v>
      </c>
      <c r="B873" s="1" t="s">
        <v>877</v>
      </c>
      <c r="C873" s="3">
        <v>111.66666666666667</v>
      </c>
      <c r="D873" s="1" t="s">
        <v>1172</v>
      </c>
      <c r="E873" s="3">
        <f t="shared" si="65"/>
        <v>134</v>
      </c>
      <c r="F873" s="3">
        <v>133.50803883495144</v>
      </c>
      <c r="G873" s="4">
        <f t="shared" si="67"/>
        <v>134</v>
      </c>
      <c r="H873" s="1">
        <v>236.59</v>
      </c>
      <c r="I873" s="1">
        <f t="shared" si="68"/>
        <v>283.91000000000003</v>
      </c>
      <c r="J873" s="1" t="s">
        <v>1172</v>
      </c>
      <c r="K873" s="3">
        <f t="shared" si="69"/>
        <v>161.8287</v>
      </c>
      <c r="L873" s="10">
        <f t="shared" si="66"/>
        <v>0.20767686567164167</v>
      </c>
      <c r="M873" s="18" t="str">
        <f>VLOOKUP(A873,Список!A:I,9,0)</f>
        <v>Основной ассортимент</v>
      </c>
      <c r="N873" s="12"/>
      <c r="O873" s="11"/>
    </row>
    <row r="874" spans="1:15" x14ac:dyDescent="0.25">
      <c r="A874" s="6">
        <v>2935</v>
      </c>
      <c r="B874" s="1" t="s">
        <v>878</v>
      </c>
      <c r="C874" s="3">
        <v>143.33333333333334</v>
      </c>
      <c r="D874" s="1" t="s">
        <v>1172</v>
      </c>
      <c r="E874" s="3">
        <f t="shared" si="65"/>
        <v>172</v>
      </c>
      <c r="F874" s="3">
        <v>171.4529394495413</v>
      </c>
      <c r="G874" s="4">
        <f t="shared" si="67"/>
        <v>172</v>
      </c>
      <c r="H874" s="1">
        <v>303.68</v>
      </c>
      <c r="I874" s="1">
        <f t="shared" si="68"/>
        <v>364.42</v>
      </c>
      <c r="J874" s="1" t="s">
        <v>1172</v>
      </c>
      <c r="K874" s="3">
        <f t="shared" si="69"/>
        <v>207.71939999999998</v>
      </c>
      <c r="L874" s="10">
        <f t="shared" si="66"/>
        <v>0.20767093023255812</v>
      </c>
      <c r="M874" s="18" t="str">
        <f>VLOOKUP(A874,Список!A:I,9,0)</f>
        <v>Основной ассортимент</v>
      </c>
      <c r="N874" s="12"/>
      <c r="O874" s="11"/>
    </row>
    <row r="875" spans="1:15" x14ac:dyDescent="0.25">
      <c r="A875" s="6">
        <v>2937</v>
      </c>
      <c r="B875" s="1" t="s">
        <v>879</v>
      </c>
      <c r="C875" s="3">
        <v>262.5</v>
      </c>
      <c r="D875" s="1" t="s">
        <v>1172</v>
      </c>
      <c r="E875" s="3">
        <f t="shared" si="65"/>
        <v>315</v>
      </c>
      <c r="F875" s="3">
        <v>314.81193333333329</v>
      </c>
      <c r="G875" s="4">
        <f t="shared" si="67"/>
        <v>315</v>
      </c>
      <c r="H875" s="1">
        <v>577.5</v>
      </c>
      <c r="I875" s="1">
        <f t="shared" si="68"/>
        <v>693</v>
      </c>
      <c r="J875" s="1" t="s">
        <v>1172</v>
      </c>
      <c r="K875" s="3">
        <f t="shared" si="69"/>
        <v>395.01</v>
      </c>
      <c r="L875" s="10">
        <f t="shared" si="66"/>
        <v>0.254</v>
      </c>
      <c r="M875" s="18" t="str">
        <f>VLOOKUP(A875,Список!A:I,9,0)</f>
        <v>Основной ассортимент</v>
      </c>
      <c r="N875" s="12"/>
      <c r="O875" s="11"/>
    </row>
    <row r="876" spans="1:15" x14ac:dyDescent="0.25">
      <c r="A876" s="6">
        <v>2930</v>
      </c>
      <c r="B876" s="1" t="s">
        <v>880</v>
      </c>
      <c r="C876" s="3">
        <v>57.5</v>
      </c>
      <c r="D876" s="1" t="s">
        <v>1172</v>
      </c>
      <c r="E876" s="3">
        <f t="shared" si="65"/>
        <v>69</v>
      </c>
      <c r="F876" s="3">
        <v>68.622590228013024</v>
      </c>
      <c r="G876" s="4">
        <f t="shared" si="67"/>
        <v>69</v>
      </c>
      <c r="H876" s="1">
        <v>121.83</v>
      </c>
      <c r="I876" s="1">
        <f t="shared" si="68"/>
        <v>146.19999999999999</v>
      </c>
      <c r="J876" s="1" t="s">
        <v>1172</v>
      </c>
      <c r="K876" s="3">
        <f t="shared" si="69"/>
        <v>83.333999999999989</v>
      </c>
      <c r="L876" s="10">
        <f t="shared" si="66"/>
        <v>0.20773913043478243</v>
      </c>
      <c r="M876" s="18" t="str">
        <f>VLOOKUP(A876,Список!A:I,9,0)</f>
        <v>Основной ассортимент</v>
      </c>
      <c r="N876" s="12"/>
      <c r="O876" s="11"/>
    </row>
    <row r="877" spans="1:15" x14ac:dyDescent="0.25">
      <c r="A877" s="6">
        <v>2931</v>
      </c>
      <c r="B877" s="1" t="s">
        <v>881</v>
      </c>
      <c r="C877" s="3">
        <v>111.66666666666667</v>
      </c>
      <c r="D877" s="1" t="s">
        <v>1172</v>
      </c>
      <c r="E877" s="3">
        <f t="shared" si="65"/>
        <v>134</v>
      </c>
      <c r="F877" s="3">
        <v>133.67066424021837</v>
      </c>
      <c r="G877" s="4">
        <f t="shared" si="67"/>
        <v>134</v>
      </c>
      <c r="H877" s="1">
        <v>236.59</v>
      </c>
      <c r="I877" s="1">
        <f t="shared" si="68"/>
        <v>283.91000000000003</v>
      </c>
      <c r="J877" s="1" t="s">
        <v>1172</v>
      </c>
      <c r="K877" s="3">
        <f t="shared" si="69"/>
        <v>161.8287</v>
      </c>
      <c r="L877" s="10">
        <f t="shared" si="66"/>
        <v>0.20767686567164167</v>
      </c>
      <c r="M877" s="18" t="str">
        <f>VLOOKUP(A877,Список!A:I,9,0)</f>
        <v>Основной ассортимент</v>
      </c>
      <c r="N877" s="12"/>
      <c r="O877" s="11"/>
    </row>
    <row r="878" spans="1:15" x14ac:dyDescent="0.25">
      <c r="A878" s="6">
        <v>2932</v>
      </c>
      <c r="B878" s="1" t="s">
        <v>882</v>
      </c>
      <c r="C878" s="3">
        <v>143.33333333333334</v>
      </c>
      <c r="D878" s="1" t="s">
        <v>1172</v>
      </c>
      <c r="E878" s="3">
        <f t="shared" si="65"/>
        <v>172</v>
      </c>
      <c r="F878" s="3">
        <v>170.86517385943282</v>
      </c>
      <c r="G878" s="4">
        <f t="shared" si="67"/>
        <v>172</v>
      </c>
      <c r="H878" s="1">
        <v>303.68</v>
      </c>
      <c r="I878" s="1">
        <f t="shared" si="68"/>
        <v>364.42</v>
      </c>
      <c r="J878" s="1" t="s">
        <v>1172</v>
      </c>
      <c r="K878" s="3">
        <f t="shared" si="69"/>
        <v>207.71939999999998</v>
      </c>
      <c r="L878" s="10">
        <f t="shared" si="66"/>
        <v>0.20767093023255812</v>
      </c>
      <c r="M878" s="18" t="str">
        <f>VLOOKUP(A878,Список!A:I,9,0)</f>
        <v>Основной ассортимент</v>
      </c>
      <c r="N878" s="12"/>
      <c r="O878" s="11"/>
    </row>
    <row r="879" spans="1:15" x14ac:dyDescent="0.25">
      <c r="A879" s="6">
        <v>2167</v>
      </c>
      <c r="B879" s="1" t="s">
        <v>883</v>
      </c>
      <c r="C879" s="3">
        <v>6.6329999999999991</v>
      </c>
      <c r="D879" s="1" t="s">
        <v>1172</v>
      </c>
      <c r="E879" s="3">
        <f t="shared" si="65"/>
        <v>7.9595999999999982</v>
      </c>
      <c r="F879" s="3">
        <v>8.3415175605771843</v>
      </c>
      <c r="G879" s="4">
        <f t="shared" si="67"/>
        <v>8.3415175605771843</v>
      </c>
      <c r="H879" s="1">
        <v>21.66</v>
      </c>
      <c r="I879" s="1">
        <f t="shared" si="68"/>
        <v>25.99</v>
      </c>
      <c r="J879" s="1" t="s">
        <v>1172</v>
      </c>
      <c r="K879" s="3">
        <f t="shared" si="69"/>
        <v>14.814299999999998</v>
      </c>
      <c r="L879" s="10">
        <f t="shared" si="66"/>
        <v>0.86118649178350681</v>
      </c>
      <c r="M879" s="18" t="str">
        <f>VLOOKUP(A879,Список!A:I,9,0)</f>
        <v>Основной ассортимент</v>
      </c>
      <c r="N879" s="12"/>
      <c r="O879" s="11"/>
    </row>
    <row r="880" spans="1:15" x14ac:dyDescent="0.25">
      <c r="A880" s="6">
        <v>2168</v>
      </c>
      <c r="B880" s="1" t="s">
        <v>884</v>
      </c>
      <c r="C880" s="3">
        <v>15.608611111111115</v>
      </c>
      <c r="D880" s="1" t="s">
        <v>1172</v>
      </c>
      <c r="E880" s="3">
        <f t="shared" si="65"/>
        <v>18.730333333333338</v>
      </c>
      <c r="F880" s="3">
        <v>19.887383964872335</v>
      </c>
      <c r="G880" s="4">
        <f t="shared" si="67"/>
        <v>19.887383964872335</v>
      </c>
      <c r="H880" s="1">
        <v>42.36</v>
      </c>
      <c r="I880" s="1">
        <f t="shared" si="68"/>
        <v>50.83</v>
      </c>
      <c r="J880" s="1" t="s">
        <v>1172</v>
      </c>
      <c r="K880" s="3">
        <f t="shared" si="69"/>
        <v>28.973099999999995</v>
      </c>
      <c r="L880" s="10">
        <f t="shared" si="66"/>
        <v>0.54685447847520008</v>
      </c>
      <c r="M880" s="18" t="str">
        <f>VLOOKUP(A880,Список!A:I,9,0)</f>
        <v>Основной ассортимент</v>
      </c>
      <c r="N880" s="12"/>
      <c r="O880" s="11"/>
    </row>
    <row r="881" spans="1:15" x14ac:dyDescent="0.25">
      <c r="A881" s="6">
        <v>2169</v>
      </c>
      <c r="B881" s="1" t="s">
        <v>885</v>
      </c>
      <c r="C881" s="3">
        <v>30.075000000000003</v>
      </c>
      <c r="D881" s="1" t="s">
        <v>1172</v>
      </c>
      <c r="E881" s="3">
        <f t="shared" si="65"/>
        <v>36.090000000000003</v>
      </c>
      <c r="F881" s="3">
        <v>38.285929480901075</v>
      </c>
      <c r="G881" s="4">
        <f t="shared" si="67"/>
        <v>38.285929480901075</v>
      </c>
      <c r="H881" s="1">
        <v>74.03</v>
      </c>
      <c r="I881" s="1">
        <f t="shared" si="68"/>
        <v>88.84</v>
      </c>
      <c r="J881" s="1" t="s">
        <v>1172</v>
      </c>
      <c r="K881" s="3">
        <f t="shared" si="69"/>
        <v>50.638799999999996</v>
      </c>
      <c r="L881" s="10">
        <f t="shared" si="66"/>
        <v>0.40312551953449693</v>
      </c>
      <c r="M881" s="18" t="str">
        <f>VLOOKUP(A881,Список!A:I,9,0)</f>
        <v>Основной ассортимент</v>
      </c>
      <c r="N881" s="12"/>
      <c r="O881" s="11"/>
    </row>
    <row r="882" spans="1:15" x14ac:dyDescent="0.25">
      <c r="A882" s="6">
        <v>2170</v>
      </c>
      <c r="B882" s="1" t="s">
        <v>886</v>
      </c>
      <c r="C882" s="3">
        <v>59.790000000000006</v>
      </c>
      <c r="D882" s="1" t="s">
        <v>1172</v>
      </c>
      <c r="E882" s="3">
        <f t="shared" si="65"/>
        <v>71.748000000000005</v>
      </c>
      <c r="F882" s="3">
        <v>75.655521336644838</v>
      </c>
      <c r="G882" s="4">
        <f t="shared" si="67"/>
        <v>75.655521336644838</v>
      </c>
      <c r="H882" s="1">
        <v>159.13999999999999</v>
      </c>
      <c r="I882" s="1">
        <f t="shared" si="68"/>
        <v>190.97</v>
      </c>
      <c r="J882" s="1" t="s">
        <v>1172</v>
      </c>
      <c r="K882" s="3">
        <f t="shared" si="69"/>
        <v>108.85289999999999</v>
      </c>
      <c r="L882" s="10">
        <f t="shared" si="66"/>
        <v>0.51715587890951631</v>
      </c>
      <c r="M882" s="18" t="str">
        <f>VLOOKUP(A882,Список!A:I,9,0)</f>
        <v>Основной ассортимент</v>
      </c>
      <c r="N882" s="12"/>
      <c r="O882" s="11"/>
    </row>
    <row r="883" spans="1:15" x14ac:dyDescent="0.25">
      <c r="A883" s="6">
        <v>2311</v>
      </c>
      <c r="B883" s="1" t="s">
        <v>887</v>
      </c>
      <c r="C883" s="3">
        <v>145.72083333333336</v>
      </c>
      <c r="D883" s="1" t="s">
        <v>1172</v>
      </c>
      <c r="E883" s="3">
        <f t="shared" si="65"/>
        <v>174.86500000000004</v>
      </c>
      <c r="F883" s="3">
        <v>187.58790939373748</v>
      </c>
      <c r="G883" s="4">
        <f t="shared" si="67"/>
        <v>187.58790939373748</v>
      </c>
      <c r="H883" s="1">
        <v>340.09</v>
      </c>
      <c r="I883" s="1">
        <f t="shared" si="68"/>
        <v>408.11</v>
      </c>
      <c r="J883" s="1" t="s">
        <v>1172</v>
      </c>
      <c r="K883" s="3">
        <f t="shared" si="69"/>
        <v>232.62269999999998</v>
      </c>
      <c r="L883" s="10">
        <f t="shared" si="66"/>
        <v>0.33029880193291938</v>
      </c>
      <c r="M883" s="18" t="str">
        <f>VLOOKUP(A883,Список!A:I,9,0)</f>
        <v>Основной ассортимент</v>
      </c>
      <c r="N883" s="12"/>
      <c r="O883" s="11"/>
    </row>
    <row r="884" spans="1:15" x14ac:dyDescent="0.25">
      <c r="A884" s="6">
        <v>2921</v>
      </c>
      <c r="B884" s="1" t="s">
        <v>888</v>
      </c>
      <c r="C884" s="3">
        <v>0.49778099999999997</v>
      </c>
      <c r="D884" s="1" t="s">
        <v>1182</v>
      </c>
      <c r="E884" s="3">
        <f t="shared" si="65"/>
        <v>7.8064803993599998</v>
      </c>
      <c r="F884" s="3">
        <v>5.6966939499742431</v>
      </c>
      <c r="G884" s="4">
        <f t="shared" si="67"/>
        <v>7.8064803993599998</v>
      </c>
      <c r="H884" s="1">
        <v>1.38</v>
      </c>
      <c r="I884" s="1">
        <f t="shared" si="68"/>
        <v>1.66</v>
      </c>
      <c r="J884" s="1" t="s">
        <v>1182</v>
      </c>
      <c r="K884" s="3">
        <f t="shared" si="69"/>
        <v>12.365698559999998</v>
      </c>
      <c r="L884" s="10">
        <f t="shared" si="66"/>
        <v>0.58402992480629012</v>
      </c>
      <c r="M884" s="18" t="str">
        <f>VLOOKUP(A884,Список!A:I,9,0)</f>
        <v>Основной ассортимент</v>
      </c>
      <c r="N884" s="12"/>
      <c r="O884" s="11"/>
    </row>
    <row r="885" spans="1:15" x14ac:dyDescent="0.25">
      <c r="A885" s="6">
        <v>2922</v>
      </c>
      <c r="B885" s="1" t="s">
        <v>889</v>
      </c>
      <c r="C885" s="3">
        <v>0.57669749999999997</v>
      </c>
      <c r="D885" s="1" t="s">
        <v>1182</v>
      </c>
      <c r="E885" s="3">
        <f t="shared" si="65"/>
        <v>9.0440931455999998</v>
      </c>
      <c r="F885" s="3">
        <v>6.6178706338939195</v>
      </c>
      <c r="G885" s="4">
        <f t="shared" si="67"/>
        <v>9.0440931455999998</v>
      </c>
      <c r="H885" s="1">
        <v>1.7</v>
      </c>
      <c r="I885" s="1">
        <f t="shared" si="68"/>
        <v>2.04</v>
      </c>
      <c r="J885" s="1" t="s">
        <v>1182</v>
      </c>
      <c r="K885" s="3">
        <f t="shared" si="69"/>
        <v>15.196400639999998</v>
      </c>
      <c r="L885" s="10">
        <f t="shared" si="66"/>
        <v>0.68025698047936722</v>
      </c>
      <c r="M885" s="18" t="str">
        <f>VLOOKUP(A885,Список!A:I,9,0)</f>
        <v>Основной ассортимент</v>
      </c>
      <c r="N885" s="12"/>
      <c r="O885" s="11"/>
    </row>
    <row r="886" spans="1:15" x14ac:dyDescent="0.25">
      <c r="A886" s="6">
        <v>3872</v>
      </c>
      <c r="B886" s="1" t="s">
        <v>890</v>
      </c>
      <c r="C886" s="3">
        <v>1.4083559999999999</v>
      </c>
      <c r="D886" s="1" t="s">
        <v>1182</v>
      </c>
      <c r="E886" s="3">
        <f t="shared" si="65"/>
        <v>22.086627471359996</v>
      </c>
      <c r="F886" s="3">
        <v>16.147255343007181</v>
      </c>
      <c r="G886" s="4">
        <f t="shared" si="67"/>
        <v>22.086627471359996</v>
      </c>
      <c r="H886" s="1">
        <v>4.17</v>
      </c>
      <c r="I886" s="1">
        <f t="shared" si="68"/>
        <v>5</v>
      </c>
      <c r="J886" s="1" t="s">
        <v>1182</v>
      </c>
      <c r="K886" s="3">
        <f t="shared" si="69"/>
        <v>37.246079999999992</v>
      </c>
      <c r="L886" s="10">
        <f t="shared" si="66"/>
        <v>0.6863633910744158</v>
      </c>
      <c r="M886" s="18" t="str">
        <f>VLOOKUP(A886,Список!A:I,9,0)</f>
        <v>Основной ассортимент</v>
      </c>
      <c r="N886" s="12"/>
      <c r="O886" s="11"/>
    </row>
    <row r="887" spans="1:15" x14ac:dyDescent="0.25">
      <c r="A887" s="6">
        <v>4580</v>
      </c>
      <c r="B887" s="1" t="s">
        <v>891</v>
      </c>
      <c r="C887" s="3">
        <v>18.666666666666668</v>
      </c>
      <c r="D887" s="1" t="s">
        <v>1172</v>
      </c>
      <c r="E887" s="3">
        <f t="shared" si="65"/>
        <v>22.400000000000002</v>
      </c>
      <c r="F887" s="3">
        <v>22.384603829160529</v>
      </c>
      <c r="G887" s="4">
        <f t="shared" si="67"/>
        <v>22.400000000000002</v>
      </c>
      <c r="H887" s="1">
        <v>38.18</v>
      </c>
      <c r="I887" s="1">
        <f t="shared" si="68"/>
        <v>45.82</v>
      </c>
      <c r="J887" s="1" t="s">
        <v>1172</v>
      </c>
      <c r="K887" s="3">
        <f t="shared" si="69"/>
        <v>26.117399999999996</v>
      </c>
      <c r="L887" s="10">
        <f t="shared" si="66"/>
        <v>0.16595535714285692</v>
      </c>
      <c r="M887" s="18" t="str">
        <f>VLOOKUP(A887,Список!A:I,9,0)</f>
        <v>Основной ассортимент</v>
      </c>
      <c r="N887" s="12"/>
      <c r="O887" s="11"/>
    </row>
    <row r="888" spans="1:15" x14ac:dyDescent="0.25">
      <c r="A888" s="6">
        <v>4582</v>
      </c>
      <c r="B888" s="1" t="s">
        <v>892</v>
      </c>
      <c r="C888" s="3">
        <v>88.266666666666666</v>
      </c>
      <c r="D888" s="1" t="s">
        <v>1172</v>
      </c>
      <c r="E888" s="3">
        <f t="shared" si="65"/>
        <v>105.92</v>
      </c>
      <c r="F888" s="3">
        <v>105.91607561929594</v>
      </c>
      <c r="G888" s="4">
        <f t="shared" si="67"/>
        <v>105.92</v>
      </c>
      <c r="H888" s="1">
        <v>175.1</v>
      </c>
      <c r="I888" s="1">
        <f t="shared" si="68"/>
        <v>210.12</v>
      </c>
      <c r="J888" s="1" t="s">
        <v>1172</v>
      </c>
      <c r="K888" s="3">
        <f t="shared" si="69"/>
        <v>119.76839999999999</v>
      </c>
      <c r="L888" s="10">
        <f t="shared" si="66"/>
        <v>0.13074395770392733</v>
      </c>
      <c r="M888" s="18" t="str">
        <f>VLOOKUP(A888,Список!A:I,9,0)</f>
        <v>Основной ассортимент</v>
      </c>
      <c r="N888" s="12"/>
      <c r="O888" s="11"/>
    </row>
    <row r="889" spans="1:15" x14ac:dyDescent="0.25">
      <c r="A889" s="6">
        <v>4581</v>
      </c>
      <c r="B889" s="1" t="s">
        <v>893</v>
      </c>
      <c r="C889" s="3">
        <v>30.724999999999998</v>
      </c>
      <c r="D889" s="1" t="s">
        <v>1172</v>
      </c>
      <c r="E889" s="3">
        <f t="shared" si="65"/>
        <v>36.869999999999997</v>
      </c>
      <c r="F889" s="3">
        <v>36.86504032258064</v>
      </c>
      <c r="G889" s="4">
        <f t="shared" si="67"/>
        <v>36.869999999999997</v>
      </c>
      <c r="H889" s="1">
        <v>59.99</v>
      </c>
      <c r="I889" s="1">
        <f t="shared" si="68"/>
        <v>71.989999999999995</v>
      </c>
      <c r="J889" s="1" t="s">
        <v>1172</v>
      </c>
      <c r="K889" s="3">
        <f t="shared" si="69"/>
        <v>41.034299999999995</v>
      </c>
      <c r="L889" s="10">
        <f t="shared" si="66"/>
        <v>0.11294548413344185</v>
      </c>
      <c r="M889" s="18" t="str">
        <f>VLOOKUP(A889,Список!A:I,9,0)</f>
        <v>Основной ассортимент</v>
      </c>
      <c r="N889" s="12"/>
      <c r="O889" s="11"/>
    </row>
    <row r="890" spans="1:15" x14ac:dyDescent="0.25">
      <c r="A890" s="6">
        <v>2354</v>
      </c>
      <c r="B890" s="1" t="s">
        <v>894</v>
      </c>
      <c r="C890" s="3">
        <v>110.44166666666668</v>
      </c>
      <c r="D890" s="1" t="s">
        <v>1172</v>
      </c>
      <c r="E890" s="3">
        <f t="shared" si="65"/>
        <v>132.53</v>
      </c>
      <c r="F890" s="3">
        <v>132.11468831627249</v>
      </c>
      <c r="G890" s="4">
        <f t="shared" si="67"/>
        <v>132.53</v>
      </c>
      <c r="H890" s="1">
        <v>238.2</v>
      </c>
      <c r="I890" s="1">
        <f t="shared" si="68"/>
        <v>285.83999999999997</v>
      </c>
      <c r="J890" s="1" t="s">
        <v>1172</v>
      </c>
      <c r="K890" s="3">
        <f t="shared" si="69"/>
        <v>162.92879999999997</v>
      </c>
      <c r="L890" s="10">
        <f t="shared" si="66"/>
        <v>0.22937297215724706</v>
      </c>
      <c r="M890" s="18" t="str">
        <f>VLOOKUP(A890,Список!A:I,9,0)</f>
        <v>Основной ассортимент</v>
      </c>
      <c r="N890" s="12"/>
      <c r="O890" s="11"/>
    </row>
    <row r="891" spans="1:15" x14ac:dyDescent="0.25">
      <c r="A891" s="6">
        <v>3724</v>
      </c>
      <c r="B891" s="1" t="s">
        <v>895</v>
      </c>
      <c r="C891" s="3">
        <v>10.166666666666666</v>
      </c>
      <c r="D891" s="1" t="s">
        <v>1172</v>
      </c>
      <c r="E891" s="3">
        <f t="shared" si="65"/>
        <v>12.2</v>
      </c>
      <c r="F891" s="3">
        <v>11.523921906981137</v>
      </c>
      <c r="G891" s="4">
        <f t="shared" si="67"/>
        <v>12.2</v>
      </c>
      <c r="H891" s="1">
        <v>22.3</v>
      </c>
      <c r="I891" s="1">
        <f t="shared" si="68"/>
        <v>26.76</v>
      </c>
      <c r="J891" s="1" t="s">
        <v>1172</v>
      </c>
      <c r="K891" s="3">
        <f t="shared" si="69"/>
        <v>15.2532</v>
      </c>
      <c r="L891" s="10">
        <f t="shared" si="66"/>
        <v>0.25026229508196729</v>
      </c>
      <c r="M891" s="18" t="str">
        <f>VLOOKUP(A891,Список!A:I,9,0)</f>
        <v>Основной ассортимент</v>
      </c>
      <c r="N891" s="12"/>
      <c r="O891" s="11"/>
    </row>
    <row r="892" spans="1:15" x14ac:dyDescent="0.25">
      <c r="A892" s="6">
        <v>3725</v>
      </c>
      <c r="B892" s="1" t="s">
        <v>896</v>
      </c>
      <c r="C892" s="3">
        <v>10.241666666666667</v>
      </c>
      <c r="D892" s="1" t="s">
        <v>1172</v>
      </c>
      <c r="E892" s="3">
        <f t="shared" ref="E892:E955" si="70">IF(D892="RUB",C892*1.2,C892*$E$2*1.2)</f>
        <v>12.290000000000001</v>
      </c>
      <c r="F892" s="3">
        <v>11.661028219599793</v>
      </c>
      <c r="G892" s="4">
        <f t="shared" si="67"/>
        <v>12.290000000000001</v>
      </c>
      <c r="H892" s="1">
        <v>22.46</v>
      </c>
      <c r="I892" s="1">
        <f t="shared" si="68"/>
        <v>26.95</v>
      </c>
      <c r="J892" s="1" t="s">
        <v>1172</v>
      </c>
      <c r="K892" s="3">
        <f t="shared" si="69"/>
        <v>15.361499999999998</v>
      </c>
      <c r="L892" s="10">
        <f t="shared" ref="L892:L955" si="71">K892/E892-1</f>
        <v>0.24991863303498763</v>
      </c>
      <c r="M892" s="18" t="str">
        <f>VLOOKUP(A892,Список!A:I,9,0)</f>
        <v>Основной ассортимент</v>
      </c>
      <c r="N892" s="12"/>
      <c r="O892" s="11"/>
    </row>
    <row r="893" spans="1:15" x14ac:dyDescent="0.25">
      <c r="A893" s="6">
        <v>3726</v>
      </c>
      <c r="B893" s="1" t="s">
        <v>897</v>
      </c>
      <c r="C893" s="3">
        <v>10.85</v>
      </c>
      <c r="D893" s="1" t="s">
        <v>1172</v>
      </c>
      <c r="E893" s="3">
        <f t="shared" si="70"/>
        <v>13.02</v>
      </c>
      <c r="F893" s="3">
        <v>12.326877080551844</v>
      </c>
      <c r="G893" s="4">
        <f t="shared" si="67"/>
        <v>13.02</v>
      </c>
      <c r="H893" s="1">
        <v>23.79</v>
      </c>
      <c r="I893" s="1">
        <f t="shared" si="68"/>
        <v>28.55</v>
      </c>
      <c r="J893" s="1" t="s">
        <v>1172</v>
      </c>
      <c r="K893" s="3">
        <f t="shared" si="69"/>
        <v>16.273499999999999</v>
      </c>
      <c r="L893" s="10">
        <f t="shared" si="71"/>
        <v>0.24988479262672803</v>
      </c>
      <c r="M893" s="18" t="str">
        <f>VLOOKUP(A893,Список!A:I,9,0)</f>
        <v>Основной ассортимент</v>
      </c>
      <c r="N893" s="12"/>
      <c r="O893" s="11"/>
    </row>
    <row r="894" spans="1:15" x14ac:dyDescent="0.25">
      <c r="A894" s="6">
        <v>3728</v>
      </c>
      <c r="B894" s="1" t="s">
        <v>898</v>
      </c>
      <c r="C894" s="3">
        <v>12.766666666666667</v>
      </c>
      <c r="D894" s="1" t="s">
        <v>1172</v>
      </c>
      <c r="E894" s="3">
        <f t="shared" si="70"/>
        <v>15.32</v>
      </c>
      <c r="F894" s="3">
        <v>14.485040486701841</v>
      </c>
      <c r="G894" s="4">
        <f t="shared" si="67"/>
        <v>15.32</v>
      </c>
      <c r="H894" s="1">
        <v>28</v>
      </c>
      <c r="I894" s="1">
        <f t="shared" si="68"/>
        <v>33.6</v>
      </c>
      <c r="J894" s="1" t="s">
        <v>1172</v>
      </c>
      <c r="K894" s="3">
        <f t="shared" si="69"/>
        <v>19.151999999999997</v>
      </c>
      <c r="L894" s="10">
        <f t="shared" si="71"/>
        <v>0.25013054830287196</v>
      </c>
      <c r="M894" s="18" t="str">
        <f>VLOOKUP(A894,Список!A:I,9,0)</f>
        <v>Основной ассортимент</v>
      </c>
      <c r="N894" s="12"/>
      <c r="O894" s="11"/>
    </row>
    <row r="895" spans="1:15" x14ac:dyDescent="0.25">
      <c r="A895" s="6">
        <v>3727</v>
      </c>
      <c r="B895" s="1" t="s">
        <v>899</v>
      </c>
      <c r="C895" s="3">
        <v>11.775</v>
      </c>
      <c r="D895" s="1" t="s">
        <v>1172</v>
      </c>
      <c r="E895" s="3">
        <f t="shared" si="70"/>
        <v>14.13</v>
      </c>
      <c r="F895" s="3">
        <v>13.399804893409327</v>
      </c>
      <c r="G895" s="4">
        <f t="shared" si="67"/>
        <v>14.13</v>
      </c>
      <c r="H895" s="1">
        <v>25.82</v>
      </c>
      <c r="I895" s="1">
        <f t="shared" si="68"/>
        <v>30.98</v>
      </c>
      <c r="J895" s="1" t="s">
        <v>1172</v>
      </c>
      <c r="K895" s="3">
        <f t="shared" si="69"/>
        <v>17.6586</v>
      </c>
      <c r="L895" s="10">
        <f t="shared" si="71"/>
        <v>0.24972399150743096</v>
      </c>
      <c r="M895" s="18" t="str">
        <f>VLOOKUP(A895,Список!A:I,9,0)</f>
        <v>Основной ассортимент</v>
      </c>
      <c r="N895" s="12"/>
      <c r="O895" s="11"/>
    </row>
    <row r="896" spans="1:15" x14ac:dyDescent="0.25">
      <c r="A896" s="6">
        <v>3729</v>
      </c>
      <c r="B896" s="1" t="s">
        <v>900</v>
      </c>
      <c r="C896" s="3">
        <v>14.424999999999999</v>
      </c>
      <c r="D896" s="1" t="s">
        <v>1172</v>
      </c>
      <c r="E896" s="3">
        <f t="shared" si="70"/>
        <v>17.309999999999999</v>
      </c>
      <c r="F896" s="3">
        <v>16.694476337527984</v>
      </c>
      <c r="G896" s="4">
        <f t="shared" si="67"/>
        <v>17.309999999999999</v>
      </c>
      <c r="H896" s="1">
        <v>31.63</v>
      </c>
      <c r="I896" s="1">
        <f t="shared" si="68"/>
        <v>37.96</v>
      </c>
      <c r="J896" s="1" t="s">
        <v>1172</v>
      </c>
      <c r="K896" s="3">
        <f t="shared" si="69"/>
        <v>21.6372</v>
      </c>
      <c r="L896" s="10">
        <f t="shared" si="71"/>
        <v>0.24998266897746979</v>
      </c>
      <c r="M896" s="18" t="str">
        <f>VLOOKUP(A896,Список!A:I,9,0)</f>
        <v>Основной ассортимент</v>
      </c>
      <c r="N896" s="12"/>
      <c r="O896" s="11"/>
    </row>
    <row r="897" spans="1:15" x14ac:dyDescent="0.25">
      <c r="A897" s="6">
        <v>3732</v>
      </c>
      <c r="B897" s="1" t="s">
        <v>901</v>
      </c>
      <c r="C897" s="3">
        <v>19.083333333333332</v>
      </c>
      <c r="D897" s="1" t="s">
        <v>1172</v>
      </c>
      <c r="E897" s="3">
        <f t="shared" si="70"/>
        <v>22.9</v>
      </c>
      <c r="F897" s="3">
        <v>22.131840351519585</v>
      </c>
      <c r="G897" s="4">
        <f t="shared" si="67"/>
        <v>22.9</v>
      </c>
      <c r="H897" s="1">
        <v>41.85</v>
      </c>
      <c r="I897" s="1">
        <f t="shared" si="68"/>
        <v>50.22</v>
      </c>
      <c r="J897" s="1" t="s">
        <v>1172</v>
      </c>
      <c r="K897" s="3">
        <f t="shared" si="69"/>
        <v>28.625399999999996</v>
      </c>
      <c r="L897" s="10">
        <f t="shared" si="71"/>
        <v>0.25001746724890817</v>
      </c>
      <c r="M897" s="18" t="str">
        <f>VLOOKUP(A897,Список!A:I,9,0)</f>
        <v>Основной ассортимент</v>
      </c>
      <c r="N897" s="12"/>
      <c r="O897" s="11"/>
    </row>
    <row r="898" spans="1:15" x14ac:dyDescent="0.25">
      <c r="A898" s="6">
        <v>3730</v>
      </c>
      <c r="B898" s="1" t="s">
        <v>902</v>
      </c>
      <c r="C898" s="3">
        <v>20.291666666666668</v>
      </c>
      <c r="D898" s="1" t="s">
        <v>1172</v>
      </c>
      <c r="E898" s="3">
        <f t="shared" si="70"/>
        <v>24.35</v>
      </c>
      <c r="F898" s="3">
        <v>24.217366242038214</v>
      </c>
      <c r="G898" s="4">
        <f t="shared" si="67"/>
        <v>24.35</v>
      </c>
      <c r="H898" s="1">
        <v>44.5</v>
      </c>
      <c r="I898" s="1">
        <f t="shared" si="68"/>
        <v>53.4</v>
      </c>
      <c r="J898" s="1" t="s">
        <v>1172</v>
      </c>
      <c r="K898" s="3">
        <f t="shared" si="69"/>
        <v>30.437999999999995</v>
      </c>
      <c r="L898" s="10">
        <f t="shared" si="71"/>
        <v>0.25002053388090317</v>
      </c>
      <c r="M898" s="18" t="str">
        <f>VLOOKUP(A898,Список!A:I,9,0)</f>
        <v>Основной ассортимент</v>
      </c>
      <c r="N898" s="12"/>
      <c r="O898" s="11"/>
    </row>
    <row r="899" spans="1:15" x14ac:dyDescent="0.25">
      <c r="A899" s="6">
        <v>3731</v>
      </c>
      <c r="B899" s="1" t="s">
        <v>903</v>
      </c>
      <c r="C899" s="3">
        <v>21.425000000000001</v>
      </c>
      <c r="D899" s="1" t="s">
        <v>1172</v>
      </c>
      <c r="E899" s="3">
        <f t="shared" si="70"/>
        <v>25.71</v>
      </c>
      <c r="F899" s="3">
        <v>24.513370753114383</v>
      </c>
      <c r="G899" s="4">
        <f t="shared" si="67"/>
        <v>25.71</v>
      </c>
      <c r="H899" s="1">
        <v>46.98</v>
      </c>
      <c r="I899" s="1">
        <f t="shared" si="68"/>
        <v>56.38</v>
      </c>
      <c r="J899" s="1" t="s">
        <v>1172</v>
      </c>
      <c r="K899" s="3">
        <f t="shared" si="69"/>
        <v>32.136600000000001</v>
      </c>
      <c r="L899" s="10">
        <f t="shared" si="71"/>
        <v>0.24996499416569429</v>
      </c>
      <c r="M899" s="18" t="str">
        <f>VLOOKUP(A899,Список!A:I,9,0)</f>
        <v>Основной ассортимент</v>
      </c>
      <c r="N899" s="12"/>
      <c r="O899" s="11"/>
    </row>
    <row r="900" spans="1:15" x14ac:dyDescent="0.25">
      <c r="A900" s="6">
        <v>4706</v>
      </c>
      <c r="B900" s="1" t="s">
        <v>904</v>
      </c>
      <c r="C900" s="3">
        <v>110.05200000000001</v>
      </c>
      <c r="D900" s="1" t="s">
        <v>1182</v>
      </c>
      <c r="E900" s="3">
        <f t="shared" si="70"/>
        <v>1725.8970931200001</v>
      </c>
      <c r="F900" s="3">
        <v>1458.9707113402062</v>
      </c>
      <c r="G900" s="4">
        <f t="shared" si="67"/>
        <v>1725.8970931200001</v>
      </c>
      <c r="H900" s="1">
        <v>246.03</v>
      </c>
      <c r="I900" s="1">
        <f t="shared" si="68"/>
        <v>295.24</v>
      </c>
      <c r="J900" s="1" t="s">
        <v>1182</v>
      </c>
      <c r="K900" s="3">
        <f t="shared" si="69"/>
        <v>2199.3065318399999</v>
      </c>
      <c r="L900" s="10">
        <f t="shared" si="71"/>
        <v>0.27429760476865472</v>
      </c>
      <c r="M900" s="18" t="str">
        <f>VLOOKUP(A900,Список!A:I,9,0)</f>
        <v>Основной ассортимент</v>
      </c>
      <c r="N900" s="12"/>
      <c r="O900" s="11"/>
    </row>
    <row r="901" spans="1:15" x14ac:dyDescent="0.25">
      <c r="A901" s="6">
        <v>4707</v>
      </c>
      <c r="B901" s="1" t="s">
        <v>905</v>
      </c>
      <c r="C901" s="3">
        <v>85.276799999999994</v>
      </c>
      <c r="D901" s="1" t="s">
        <v>1182</v>
      </c>
      <c r="E901" s="3">
        <f t="shared" si="70"/>
        <v>1337.3585326079997</v>
      </c>
      <c r="F901" s="3">
        <v>1133.9437296318647</v>
      </c>
      <c r="G901" s="4">
        <f t="shared" si="67"/>
        <v>1337.3585326079997</v>
      </c>
      <c r="H901" s="1">
        <v>178.68</v>
      </c>
      <c r="I901" s="1">
        <f t="shared" si="68"/>
        <v>214.42</v>
      </c>
      <c r="J901" s="1" t="s">
        <v>1182</v>
      </c>
      <c r="K901" s="3">
        <f t="shared" si="69"/>
        <v>1597.2608947199997</v>
      </c>
      <c r="L901" s="10">
        <f t="shared" si="71"/>
        <v>0.194340078426958</v>
      </c>
      <c r="M901" s="18" t="str">
        <f>VLOOKUP(A901,Список!A:I,9,0)</f>
        <v>Основной ассортимент</v>
      </c>
      <c r="N901" s="12"/>
      <c r="O901" s="11"/>
    </row>
    <row r="902" spans="1:15" x14ac:dyDescent="0.25">
      <c r="A902" s="6">
        <v>4700</v>
      </c>
      <c r="B902" s="1" t="s">
        <v>906</v>
      </c>
      <c r="C902" s="3">
        <v>85.708799999999997</v>
      </c>
      <c r="D902" s="1" t="s">
        <v>1182</v>
      </c>
      <c r="E902" s="3">
        <f t="shared" si="70"/>
        <v>1344.1333985279998</v>
      </c>
      <c r="F902" s="3">
        <v>1106.288943427166</v>
      </c>
      <c r="G902" s="4">
        <f t="shared" ref="G902:G965" si="72">IF(M902="Вывод из ассортимента",F902,MAX(E902,F902))</f>
        <v>1344.1333985279998</v>
      </c>
      <c r="H902" s="1">
        <v>181.46</v>
      </c>
      <c r="I902" s="1">
        <f t="shared" ref="I902:I965" si="73">ROUND(H902*1.2,2)</f>
        <v>217.75</v>
      </c>
      <c r="J902" s="1" t="s">
        <v>1182</v>
      </c>
      <c r="K902" s="3">
        <f t="shared" ref="K902:K965" si="74">IF(J902="RUB",I902*$K$4,I902*$E$2*$K$4)</f>
        <v>1622.0667839999996</v>
      </c>
      <c r="L902" s="10">
        <f t="shared" si="71"/>
        <v>0.20677515027628424</v>
      </c>
      <c r="M902" s="18" t="str">
        <f>VLOOKUP(A902,Список!A:I,9,0)</f>
        <v>Основной ассортимент</v>
      </c>
      <c r="N902" s="12"/>
      <c r="O902" s="11"/>
    </row>
    <row r="903" spans="1:15" x14ac:dyDescent="0.25">
      <c r="A903" s="6">
        <v>4708</v>
      </c>
      <c r="B903" s="1" t="s">
        <v>907</v>
      </c>
      <c r="C903" s="3">
        <v>90.622799999999998</v>
      </c>
      <c r="D903" s="1" t="s">
        <v>1182</v>
      </c>
      <c r="E903" s="3">
        <f t="shared" si="70"/>
        <v>1421.197498368</v>
      </c>
      <c r="F903" s="3">
        <v>1158.4883232916973</v>
      </c>
      <c r="G903" s="4">
        <f t="shared" si="72"/>
        <v>1421.197498368</v>
      </c>
      <c r="H903" s="1">
        <v>207.53</v>
      </c>
      <c r="I903" s="1">
        <f t="shared" si="73"/>
        <v>249.04</v>
      </c>
      <c r="J903" s="1" t="s">
        <v>1182</v>
      </c>
      <c r="K903" s="3">
        <f t="shared" si="74"/>
        <v>1855.1527526399996</v>
      </c>
      <c r="L903" s="10">
        <f t="shared" si="71"/>
        <v>0.30534479181839425</v>
      </c>
      <c r="M903" s="18" t="str">
        <f>VLOOKUP(A903,Список!A:I,9,0)</f>
        <v>Основной ассортимент</v>
      </c>
      <c r="N903" s="12"/>
      <c r="O903" s="11"/>
    </row>
    <row r="904" spans="1:15" x14ac:dyDescent="0.25">
      <c r="A904" s="6">
        <v>4701</v>
      </c>
      <c r="B904" s="1" t="s">
        <v>908</v>
      </c>
      <c r="C904" s="3">
        <v>91.16279999999999</v>
      </c>
      <c r="D904" s="1" t="s">
        <v>1182</v>
      </c>
      <c r="E904" s="3">
        <f t="shared" si="70"/>
        <v>1429.6660807679998</v>
      </c>
      <c r="F904" s="3">
        <v>1235.9922306733165</v>
      </c>
      <c r="G904" s="4">
        <f t="shared" si="72"/>
        <v>1429.6660807679998</v>
      </c>
      <c r="H904" s="1">
        <v>209.99</v>
      </c>
      <c r="I904" s="1">
        <f t="shared" si="73"/>
        <v>251.99</v>
      </c>
      <c r="J904" s="1" t="s">
        <v>1182</v>
      </c>
      <c r="K904" s="3">
        <f t="shared" si="74"/>
        <v>1877.12793984</v>
      </c>
      <c r="L904" s="10">
        <f t="shared" si="71"/>
        <v>0.31298347571597196</v>
      </c>
      <c r="M904" s="18" t="str">
        <f>VLOOKUP(A904,Список!A:I,9,0)</f>
        <v>Основной ассортимент</v>
      </c>
      <c r="N904" s="12"/>
      <c r="O904" s="11"/>
    </row>
    <row r="905" spans="1:15" x14ac:dyDescent="0.25">
      <c r="A905" s="6">
        <v>4702</v>
      </c>
      <c r="B905" s="1" t="s">
        <v>909</v>
      </c>
      <c r="C905" s="3">
        <v>174.1284</v>
      </c>
      <c r="D905" s="1" t="s">
        <v>1182</v>
      </c>
      <c r="E905" s="3">
        <f t="shared" si="70"/>
        <v>2730.7790807039996</v>
      </c>
      <c r="F905" s="3">
        <v>2393.8153248554909</v>
      </c>
      <c r="G905" s="4">
        <f t="shared" si="72"/>
        <v>2730.7790807039996</v>
      </c>
      <c r="H905" s="1">
        <v>398.14</v>
      </c>
      <c r="I905" s="1">
        <f t="shared" si="73"/>
        <v>477.77</v>
      </c>
      <c r="J905" s="1" t="s">
        <v>1182</v>
      </c>
      <c r="K905" s="3">
        <f t="shared" si="74"/>
        <v>3559.0119283199992</v>
      </c>
      <c r="L905" s="10">
        <f t="shared" si="71"/>
        <v>0.30329544175447531</v>
      </c>
      <c r="M905" s="18" t="str">
        <f>VLOOKUP(A905,Список!A:I,9,0)</f>
        <v>Основной ассортимент</v>
      </c>
      <c r="N905" s="12"/>
      <c r="O905" s="11"/>
    </row>
    <row r="906" spans="1:15" x14ac:dyDescent="0.25">
      <c r="A906" s="6">
        <v>4703</v>
      </c>
      <c r="B906" s="1" t="s">
        <v>910</v>
      </c>
      <c r="C906" s="3">
        <v>88.959600000000009</v>
      </c>
      <c r="D906" s="1" t="s">
        <v>1182</v>
      </c>
      <c r="E906" s="3">
        <f t="shared" si="70"/>
        <v>1395.1142645760001</v>
      </c>
      <c r="F906" s="3">
        <v>1177.3175058823529</v>
      </c>
      <c r="G906" s="4">
        <f t="shared" si="72"/>
        <v>1395.1142645760001</v>
      </c>
      <c r="H906" s="1">
        <v>215.9</v>
      </c>
      <c r="I906" s="1">
        <f t="shared" si="73"/>
        <v>259.08</v>
      </c>
      <c r="J906" s="1" t="s">
        <v>1182</v>
      </c>
      <c r="K906" s="3">
        <f t="shared" si="74"/>
        <v>1929.9428812799997</v>
      </c>
      <c r="L906" s="10">
        <f t="shared" si="71"/>
        <v>0.38335828848151254</v>
      </c>
      <c r="M906" s="18" t="str">
        <f>VLOOKUP(A906,Список!A:I,9,0)</f>
        <v>Основной ассортимент</v>
      </c>
      <c r="N906" s="12"/>
      <c r="O906" s="11"/>
    </row>
    <row r="907" spans="1:15" x14ac:dyDescent="0.25">
      <c r="A907" s="6">
        <v>4704</v>
      </c>
      <c r="B907" s="1" t="s">
        <v>911</v>
      </c>
      <c r="C907" s="3">
        <v>95.277599999999993</v>
      </c>
      <c r="D907" s="1" t="s">
        <v>1182</v>
      </c>
      <c r="E907" s="3">
        <f t="shared" si="70"/>
        <v>1494.1966786559997</v>
      </c>
      <c r="F907" s="3">
        <v>1300.1706692015207</v>
      </c>
      <c r="G907" s="4">
        <f t="shared" si="72"/>
        <v>1494.1966786559997</v>
      </c>
      <c r="H907" s="1">
        <v>230.37</v>
      </c>
      <c r="I907" s="1">
        <f t="shared" si="73"/>
        <v>276.44</v>
      </c>
      <c r="J907" s="1" t="s">
        <v>1182</v>
      </c>
      <c r="K907" s="3">
        <f t="shared" si="74"/>
        <v>2059.2612710399999</v>
      </c>
      <c r="L907" s="10">
        <f t="shared" si="71"/>
        <v>0.37817283390849488</v>
      </c>
      <c r="M907" s="18" t="str">
        <f>VLOOKUP(A907,Список!A:I,9,0)</f>
        <v>Основной ассортимент</v>
      </c>
      <c r="N907" s="12"/>
      <c r="O907" s="11"/>
    </row>
    <row r="908" spans="1:15" x14ac:dyDescent="0.25">
      <c r="A908" s="6">
        <v>4705</v>
      </c>
      <c r="B908" s="1" t="s">
        <v>912</v>
      </c>
      <c r="C908" s="3">
        <v>178.7724</v>
      </c>
      <c r="D908" s="1" t="s">
        <v>1182</v>
      </c>
      <c r="E908" s="3">
        <f t="shared" si="70"/>
        <v>2803.6088893440001</v>
      </c>
      <c r="F908" s="3">
        <v>2471.8923937232521</v>
      </c>
      <c r="G908" s="4">
        <f t="shared" si="72"/>
        <v>2803.6088893440001</v>
      </c>
      <c r="H908" s="1">
        <v>409.47</v>
      </c>
      <c r="I908" s="1">
        <f t="shared" si="73"/>
        <v>491.36</v>
      </c>
      <c r="J908" s="1" t="s">
        <v>1182</v>
      </c>
      <c r="K908" s="3">
        <f t="shared" si="74"/>
        <v>3660.2467737599995</v>
      </c>
      <c r="L908" s="10">
        <f t="shared" si="71"/>
        <v>0.30554828373954801</v>
      </c>
      <c r="M908" s="18" t="str">
        <f>VLOOKUP(A908,Список!A:I,9,0)</f>
        <v>Основной ассортимент</v>
      </c>
      <c r="N908" s="12"/>
      <c r="O908" s="11"/>
    </row>
    <row r="909" spans="1:15" x14ac:dyDescent="0.25">
      <c r="A909" s="6">
        <v>3968</v>
      </c>
      <c r="B909" s="1" t="s">
        <v>913</v>
      </c>
      <c r="C909" s="3">
        <v>13.618351000000001</v>
      </c>
      <c r="D909" s="1" t="s">
        <v>1182</v>
      </c>
      <c r="E909" s="3">
        <f t="shared" si="70"/>
        <v>213.57060665855997</v>
      </c>
      <c r="F909" s="3">
        <v>156.21177512776833</v>
      </c>
      <c r="G909" s="4">
        <f t="shared" si="72"/>
        <v>213.57060665855997</v>
      </c>
      <c r="H909" s="1">
        <v>33.01</v>
      </c>
      <c r="I909" s="1">
        <f t="shared" si="73"/>
        <v>39.61</v>
      </c>
      <c r="J909" s="1" t="s">
        <v>1182</v>
      </c>
      <c r="K909" s="3">
        <f t="shared" si="74"/>
        <v>295.06344575999998</v>
      </c>
      <c r="L909" s="10">
        <f t="shared" si="71"/>
        <v>0.38157329033449061</v>
      </c>
      <c r="M909" s="18" t="str">
        <f>VLOOKUP(A909,Список!A:I,9,0)</f>
        <v>Основной ассортимент</v>
      </c>
      <c r="N909" s="12"/>
      <c r="O909" s="11"/>
    </row>
    <row r="910" spans="1:15" x14ac:dyDescent="0.25">
      <c r="A910" s="6">
        <v>4475</v>
      </c>
      <c r="B910" s="1" t="s">
        <v>914</v>
      </c>
      <c r="C910" s="3">
        <v>3.558135</v>
      </c>
      <c r="D910" s="1" t="s">
        <v>1182</v>
      </c>
      <c r="E910" s="3">
        <f t="shared" si="70"/>
        <v>55.800665625599997</v>
      </c>
      <c r="F910" s="3">
        <v>39.956576385542164</v>
      </c>
      <c r="G910" s="4">
        <f t="shared" si="72"/>
        <v>55.800665625599997</v>
      </c>
      <c r="H910" s="1">
        <v>8.15</v>
      </c>
      <c r="I910" s="1">
        <f t="shared" si="73"/>
        <v>9.7799999999999994</v>
      </c>
      <c r="J910" s="1" t="s">
        <v>1182</v>
      </c>
      <c r="K910" s="3">
        <f t="shared" si="74"/>
        <v>72.853332479999992</v>
      </c>
      <c r="L910" s="10">
        <f t="shared" si="71"/>
        <v>0.30559970321530794</v>
      </c>
      <c r="M910" s="18" t="str">
        <f>VLOOKUP(A910,Список!A:I,9,0)</f>
        <v>Основной ассортимент</v>
      </c>
      <c r="N910" s="12"/>
      <c r="O910" s="11"/>
    </row>
    <row r="911" spans="1:15" x14ac:dyDescent="0.25">
      <c r="A911" s="6">
        <v>2421</v>
      </c>
      <c r="B911" s="1" t="s">
        <v>915</v>
      </c>
      <c r="C911" s="3">
        <v>16.027830000000002</v>
      </c>
      <c r="D911" s="1" t="s">
        <v>1182</v>
      </c>
      <c r="E911" s="3">
        <f t="shared" si="70"/>
        <v>251.3574056448</v>
      </c>
      <c r="F911" s="3">
        <v>209.18505882352943</v>
      </c>
      <c r="G911" s="4">
        <f t="shared" si="72"/>
        <v>251.3574056448</v>
      </c>
      <c r="H911" s="1">
        <v>37.729999999999997</v>
      </c>
      <c r="I911" s="1">
        <f t="shared" si="73"/>
        <v>45.28</v>
      </c>
      <c r="J911" s="1" t="s">
        <v>1182</v>
      </c>
      <c r="K911" s="3">
        <f t="shared" si="74"/>
        <v>337.30050047999998</v>
      </c>
      <c r="L911" s="10">
        <f t="shared" si="71"/>
        <v>0.34191590502270119</v>
      </c>
      <c r="M911" s="18" t="str">
        <f>VLOOKUP(A911,Список!A:I,9,0)</f>
        <v>Основной ассортимент</v>
      </c>
      <c r="N911" s="12"/>
      <c r="O911" s="11"/>
    </row>
    <row r="912" spans="1:15" x14ac:dyDescent="0.25">
      <c r="A912" s="6">
        <v>2422</v>
      </c>
      <c r="B912" s="1" t="s">
        <v>916</v>
      </c>
      <c r="C912" s="3">
        <v>21.781410000000001</v>
      </c>
      <c r="D912" s="1" t="s">
        <v>1182</v>
      </c>
      <c r="E912" s="3">
        <f t="shared" si="70"/>
        <v>341.58826920960001</v>
      </c>
      <c r="F912" s="3">
        <v>299.18202197802196</v>
      </c>
      <c r="G912" s="4">
        <f t="shared" si="72"/>
        <v>341.58826920960001</v>
      </c>
      <c r="H912" s="1">
        <v>51.21</v>
      </c>
      <c r="I912" s="1">
        <f t="shared" si="73"/>
        <v>61.45</v>
      </c>
      <c r="J912" s="1" t="s">
        <v>1182</v>
      </c>
      <c r="K912" s="3">
        <f t="shared" si="74"/>
        <v>457.75432319999999</v>
      </c>
      <c r="L912" s="10">
        <f t="shared" si="71"/>
        <v>0.34007623932518594</v>
      </c>
      <c r="M912" s="18" t="str">
        <f>VLOOKUP(A912,Список!A:I,9,0)</f>
        <v>Основной ассортимент</v>
      </c>
      <c r="N912" s="12"/>
      <c r="O912" s="11"/>
    </row>
    <row r="913" spans="1:15" x14ac:dyDescent="0.25">
      <c r="A913" s="6">
        <v>2423</v>
      </c>
      <c r="B913" s="1" t="s">
        <v>917</v>
      </c>
      <c r="C913" s="3">
        <v>27.945960000000003</v>
      </c>
      <c r="D913" s="1" t="s">
        <v>1182</v>
      </c>
      <c r="E913" s="3">
        <f t="shared" si="70"/>
        <v>438.26419445760001</v>
      </c>
      <c r="F913" s="3">
        <v>336.82</v>
      </c>
      <c r="G913" s="4">
        <f t="shared" si="72"/>
        <v>438.26419445760001</v>
      </c>
      <c r="H913" s="1">
        <v>65.75</v>
      </c>
      <c r="I913" s="1">
        <f t="shared" si="73"/>
        <v>78.900000000000006</v>
      </c>
      <c r="J913" s="1" t="s">
        <v>1182</v>
      </c>
      <c r="K913" s="3">
        <f t="shared" si="74"/>
        <v>587.74314240000001</v>
      </c>
      <c r="L913" s="10">
        <f t="shared" si="71"/>
        <v>0.34107040874602257</v>
      </c>
      <c r="M913" s="18" t="str">
        <f>VLOOKUP(A913,Список!A:I,9,0)</f>
        <v>Основной ассортимент</v>
      </c>
      <c r="N913" s="12"/>
      <c r="O913" s="11"/>
    </row>
    <row r="914" spans="1:15" x14ac:dyDescent="0.25">
      <c r="A914" s="6">
        <v>4476</v>
      </c>
      <c r="B914" s="1" t="s">
        <v>918</v>
      </c>
      <c r="C914" s="3">
        <v>30.225264000000003</v>
      </c>
      <c r="D914" s="1" t="s">
        <v>1182</v>
      </c>
      <c r="E914" s="3">
        <f t="shared" si="70"/>
        <v>474.00951619583998</v>
      </c>
      <c r="F914" s="3">
        <v>338.75928785357735</v>
      </c>
      <c r="G914" s="4">
        <f t="shared" si="72"/>
        <v>474.00951619583998</v>
      </c>
      <c r="H914" s="1">
        <v>68.540000000000006</v>
      </c>
      <c r="I914" s="1">
        <f t="shared" si="73"/>
        <v>82.25</v>
      </c>
      <c r="J914" s="1" t="s">
        <v>1182</v>
      </c>
      <c r="K914" s="3">
        <f t="shared" si="74"/>
        <v>612.69801599999994</v>
      </c>
      <c r="L914" s="10">
        <f t="shared" si="71"/>
        <v>0.29258589767818077</v>
      </c>
      <c r="M914" s="18" t="str">
        <f>VLOOKUP(A914,Список!A:I,9,0)</f>
        <v>Основной ассортимент</v>
      </c>
      <c r="N914" s="12"/>
      <c r="O914" s="11"/>
    </row>
    <row r="915" spans="1:15" x14ac:dyDescent="0.25">
      <c r="A915" s="6">
        <v>4477</v>
      </c>
      <c r="B915" s="1" t="s">
        <v>919</v>
      </c>
      <c r="C915" s="3">
        <v>39.040965999999997</v>
      </c>
      <c r="D915" s="1" t="s">
        <v>1182</v>
      </c>
      <c r="E915" s="3">
        <f t="shared" si="70"/>
        <v>612.26229175295998</v>
      </c>
      <c r="F915" s="3">
        <v>434.45481734880877</v>
      </c>
      <c r="G915" s="4">
        <f t="shared" si="72"/>
        <v>612.26229175295998</v>
      </c>
      <c r="H915" s="1">
        <v>88.63</v>
      </c>
      <c r="I915" s="1">
        <f t="shared" si="73"/>
        <v>106.36</v>
      </c>
      <c r="J915" s="1" t="s">
        <v>1182</v>
      </c>
      <c r="K915" s="3">
        <f t="shared" si="74"/>
        <v>792.29861375999997</v>
      </c>
      <c r="L915" s="10">
        <f t="shared" si="71"/>
        <v>0.29405097199695307</v>
      </c>
      <c r="M915" s="18" t="str">
        <f>VLOOKUP(A915,Список!A:I,9,0)</f>
        <v>Основной ассортимент</v>
      </c>
      <c r="N915" s="12"/>
      <c r="O915" s="11"/>
    </row>
    <row r="916" spans="1:15" x14ac:dyDescent="0.25">
      <c r="A916" s="6">
        <v>4478</v>
      </c>
      <c r="B916" s="1" t="s">
        <v>920</v>
      </c>
      <c r="C916" s="3">
        <v>50.814492000000001</v>
      </c>
      <c r="D916" s="1" t="s">
        <v>1182</v>
      </c>
      <c r="E916" s="3">
        <f t="shared" si="70"/>
        <v>796.90131965951991</v>
      </c>
      <c r="F916" s="3">
        <v>577.45705853051061</v>
      </c>
      <c r="G916" s="4">
        <f t="shared" si="72"/>
        <v>796.90131965951991</v>
      </c>
      <c r="H916" s="1">
        <v>115.27</v>
      </c>
      <c r="I916" s="1">
        <f t="shared" si="73"/>
        <v>138.32</v>
      </c>
      <c r="J916" s="1" t="s">
        <v>1182</v>
      </c>
      <c r="K916" s="3">
        <f t="shared" si="74"/>
        <v>1030.3755571199997</v>
      </c>
      <c r="L916" s="10">
        <f t="shared" si="71"/>
        <v>0.29297760174400622</v>
      </c>
      <c r="M916" s="18" t="str">
        <f>VLOOKUP(A916,Список!A:I,9,0)</f>
        <v>Основной ассортимент</v>
      </c>
      <c r="N916" s="12"/>
      <c r="O916" s="11"/>
    </row>
    <row r="917" spans="1:15" x14ac:dyDescent="0.25">
      <c r="A917" s="6">
        <v>2424</v>
      </c>
      <c r="B917" s="1" t="s">
        <v>921</v>
      </c>
      <c r="C917" s="3">
        <v>24.101749999999999</v>
      </c>
      <c r="D917" s="1" t="s">
        <v>1182</v>
      </c>
      <c r="E917" s="3">
        <f t="shared" si="70"/>
        <v>377.97714047999995</v>
      </c>
      <c r="F917" s="3">
        <v>341.14566705471481</v>
      </c>
      <c r="G917" s="4">
        <f t="shared" si="72"/>
        <v>377.97714047999995</v>
      </c>
      <c r="H917" s="1">
        <v>54.7</v>
      </c>
      <c r="I917" s="1">
        <f t="shared" si="73"/>
        <v>65.64</v>
      </c>
      <c r="J917" s="1" t="s">
        <v>1182</v>
      </c>
      <c r="K917" s="3">
        <f t="shared" si="74"/>
        <v>488.96653823999992</v>
      </c>
      <c r="L917" s="10">
        <f t="shared" si="71"/>
        <v>0.29364050328295654</v>
      </c>
      <c r="M917" s="18" t="str">
        <f>VLOOKUP(A917,Список!A:I,9,0)</f>
        <v>Основной ассортимент</v>
      </c>
      <c r="N917" s="12"/>
      <c r="O917" s="11"/>
    </row>
    <row r="918" spans="1:15" x14ac:dyDescent="0.25">
      <c r="A918" s="6">
        <v>2425</v>
      </c>
      <c r="B918" s="1" t="s">
        <v>922</v>
      </c>
      <c r="C918" s="3">
        <v>36.498556000000001</v>
      </c>
      <c r="D918" s="1" t="s">
        <v>1182</v>
      </c>
      <c r="E918" s="3">
        <f t="shared" si="70"/>
        <v>572.39079438336</v>
      </c>
      <c r="F918" s="3">
        <v>475.69006611570245</v>
      </c>
      <c r="G918" s="4">
        <f t="shared" si="72"/>
        <v>572.39079438336</v>
      </c>
      <c r="H918" s="1">
        <v>82.2</v>
      </c>
      <c r="I918" s="1">
        <f t="shared" si="73"/>
        <v>98.64</v>
      </c>
      <c r="J918" s="1" t="s">
        <v>1182</v>
      </c>
      <c r="K918" s="3">
        <f t="shared" si="74"/>
        <v>734.79066623999995</v>
      </c>
      <c r="L918" s="10">
        <f t="shared" si="71"/>
        <v>0.28372201903001293</v>
      </c>
      <c r="M918" s="18" t="str">
        <f>VLOOKUP(A918,Список!A:I,9,0)</f>
        <v>Основной ассортимент</v>
      </c>
      <c r="N918" s="12"/>
      <c r="O918" s="11"/>
    </row>
    <row r="919" spans="1:15" x14ac:dyDescent="0.25">
      <c r="A919" s="6">
        <v>2426</v>
      </c>
      <c r="B919" s="1" t="s">
        <v>923</v>
      </c>
      <c r="C919" s="3">
        <v>45.617524000000003</v>
      </c>
      <c r="D919" s="1" t="s">
        <v>1182</v>
      </c>
      <c r="E919" s="3">
        <f t="shared" si="70"/>
        <v>715.39955718143995</v>
      </c>
      <c r="F919" s="3">
        <v>596.40305602716467</v>
      </c>
      <c r="G919" s="4">
        <f t="shared" si="72"/>
        <v>715.39955718143995</v>
      </c>
      <c r="H919" s="1">
        <v>97.1</v>
      </c>
      <c r="I919" s="1">
        <f t="shared" si="73"/>
        <v>116.52</v>
      </c>
      <c r="J919" s="1" t="s">
        <v>1182</v>
      </c>
      <c r="K919" s="3">
        <f t="shared" si="74"/>
        <v>867.98264831999995</v>
      </c>
      <c r="L919" s="10">
        <f t="shared" si="71"/>
        <v>0.21328373718836646</v>
      </c>
      <c r="M919" s="18" t="str">
        <f>VLOOKUP(A919,Список!A:I,9,0)</f>
        <v>Основной ассортимент</v>
      </c>
      <c r="N919" s="12"/>
      <c r="O919" s="11"/>
    </row>
    <row r="920" spans="1:15" x14ac:dyDescent="0.25">
      <c r="A920" s="6">
        <v>3933</v>
      </c>
      <c r="B920" s="1" t="s">
        <v>924</v>
      </c>
      <c r="C920" s="3">
        <v>34.139420000000001</v>
      </c>
      <c r="D920" s="1" t="s">
        <v>1182</v>
      </c>
      <c r="E920" s="3">
        <f t="shared" si="70"/>
        <v>535.3935025152</v>
      </c>
      <c r="F920" s="3">
        <v>381.87809302325581</v>
      </c>
      <c r="G920" s="4">
        <f t="shared" si="72"/>
        <v>535.3935025152</v>
      </c>
      <c r="H920" s="1">
        <v>73.8</v>
      </c>
      <c r="I920" s="1">
        <f t="shared" si="73"/>
        <v>88.56</v>
      </c>
      <c r="J920" s="1" t="s">
        <v>1182</v>
      </c>
      <c r="K920" s="3">
        <f t="shared" si="74"/>
        <v>659.70256895999989</v>
      </c>
      <c r="L920" s="10">
        <f t="shared" si="71"/>
        <v>0.23218262056004457</v>
      </c>
      <c r="M920" s="18" t="str">
        <f>VLOOKUP(A920,Список!A:I,9,0)</f>
        <v>Основной ассортимент</v>
      </c>
      <c r="N920" s="12"/>
      <c r="O920" s="11"/>
    </row>
    <row r="921" spans="1:15" x14ac:dyDescent="0.25">
      <c r="A921" s="6">
        <v>3934</v>
      </c>
      <c r="B921" s="1" t="s">
        <v>925</v>
      </c>
      <c r="C921" s="3">
        <v>48.487049999999996</v>
      </c>
      <c r="D921" s="1" t="s">
        <v>1182</v>
      </c>
      <c r="E921" s="3">
        <f t="shared" si="70"/>
        <v>760.4010708479999</v>
      </c>
      <c r="F921" s="3">
        <v>523.9297354085603</v>
      </c>
      <c r="G921" s="4">
        <f t="shared" si="72"/>
        <v>760.4010708479999</v>
      </c>
      <c r="H921" s="1">
        <v>105.21</v>
      </c>
      <c r="I921" s="1">
        <f t="shared" si="73"/>
        <v>126.25</v>
      </c>
      <c r="J921" s="1" t="s">
        <v>1182</v>
      </c>
      <c r="K921" s="3">
        <f t="shared" si="74"/>
        <v>940.4635199999999</v>
      </c>
      <c r="L921" s="10">
        <f t="shared" si="71"/>
        <v>0.23679931033131529</v>
      </c>
      <c r="M921" s="18" t="str">
        <f>VLOOKUP(A921,Список!A:I,9,0)</f>
        <v>Основной ассортимент</v>
      </c>
      <c r="N921" s="12"/>
      <c r="O921" s="11"/>
    </row>
    <row r="922" spans="1:15" x14ac:dyDescent="0.25">
      <c r="A922" s="6">
        <v>3935</v>
      </c>
      <c r="B922" s="1" t="s">
        <v>926</v>
      </c>
      <c r="C922" s="3">
        <v>64.150352000000012</v>
      </c>
      <c r="D922" s="1" t="s">
        <v>1182</v>
      </c>
      <c r="E922" s="3">
        <f t="shared" si="70"/>
        <v>1006.0417442611201</v>
      </c>
      <c r="F922" s="3">
        <v>818.18583293556071</v>
      </c>
      <c r="G922" s="4">
        <f t="shared" si="72"/>
        <v>1006.0417442611201</v>
      </c>
      <c r="H922" s="1">
        <v>136.91</v>
      </c>
      <c r="I922" s="1">
        <f t="shared" si="73"/>
        <v>164.29</v>
      </c>
      <c r="J922" s="1" t="s">
        <v>1182</v>
      </c>
      <c r="K922" s="3">
        <f t="shared" si="74"/>
        <v>1223.8316966399998</v>
      </c>
      <c r="L922" s="10">
        <f t="shared" si="71"/>
        <v>0.21648202335662914</v>
      </c>
      <c r="M922" s="18" t="str">
        <f>VLOOKUP(A922,Список!A:I,9,0)</f>
        <v>Основной ассортимент</v>
      </c>
      <c r="N922" s="12"/>
      <c r="O922" s="11"/>
    </row>
    <row r="923" spans="1:15" x14ac:dyDescent="0.25">
      <c r="A923" s="6">
        <v>1324</v>
      </c>
      <c r="B923" s="1" t="s">
        <v>927</v>
      </c>
      <c r="C923" s="3">
        <v>6.6125999999999996</v>
      </c>
      <c r="D923" s="1" t="s">
        <v>1182</v>
      </c>
      <c r="E923" s="3">
        <f t="shared" si="70"/>
        <v>103.70249625599998</v>
      </c>
      <c r="F923" s="3">
        <v>90.992036956272244</v>
      </c>
      <c r="G923" s="4">
        <f t="shared" si="72"/>
        <v>103.70249625599998</v>
      </c>
      <c r="H923" s="1">
        <v>15.17</v>
      </c>
      <c r="I923" s="1">
        <f t="shared" si="73"/>
        <v>18.2</v>
      </c>
      <c r="J923" s="1" t="s">
        <v>1182</v>
      </c>
      <c r="K923" s="3">
        <f t="shared" si="74"/>
        <v>135.57573119999998</v>
      </c>
      <c r="L923" s="10">
        <f t="shared" si="71"/>
        <v>0.30735262982790434</v>
      </c>
      <c r="M923" s="18" t="str">
        <f>VLOOKUP(A923,Список!A:I,9,0)</f>
        <v>Основной ассортимент</v>
      </c>
      <c r="N923" s="12"/>
      <c r="O923" s="11"/>
    </row>
    <row r="924" spans="1:15" x14ac:dyDescent="0.25">
      <c r="A924" s="6">
        <v>1325</v>
      </c>
      <c r="B924" s="1" t="s">
        <v>928</v>
      </c>
      <c r="C924" s="3">
        <v>9.7644000000000002</v>
      </c>
      <c r="D924" s="1" t="s">
        <v>1182</v>
      </c>
      <c r="E924" s="3">
        <f t="shared" si="70"/>
        <v>153.13078886399998</v>
      </c>
      <c r="F924" s="3">
        <v>140.20657710607333</v>
      </c>
      <c r="G924" s="4">
        <f t="shared" si="72"/>
        <v>153.13078886399998</v>
      </c>
      <c r="H924" s="1">
        <v>23.5</v>
      </c>
      <c r="I924" s="1">
        <f t="shared" si="73"/>
        <v>28.2</v>
      </c>
      <c r="J924" s="1" t="s">
        <v>1182</v>
      </c>
      <c r="K924" s="3">
        <f t="shared" si="74"/>
        <v>210.06789119999996</v>
      </c>
      <c r="L924" s="10">
        <f t="shared" si="71"/>
        <v>0.37182008111097442</v>
      </c>
      <c r="M924" s="18" t="str">
        <f>VLOOKUP(A924,Список!A:I,9,0)</f>
        <v>Основной ассортимент</v>
      </c>
      <c r="N924" s="12"/>
      <c r="O924" s="11"/>
    </row>
    <row r="925" spans="1:15" x14ac:dyDescent="0.25">
      <c r="A925" s="6">
        <v>2335</v>
      </c>
      <c r="B925" s="1" t="s">
        <v>929</v>
      </c>
      <c r="C925" s="3">
        <v>13.884400000000001</v>
      </c>
      <c r="D925" s="1" t="s">
        <v>1182</v>
      </c>
      <c r="E925" s="3">
        <f t="shared" si="70"/>
        <v>217.74293606400002</v>
      </c>
      <c r="F925" s="3">
        <v>188.09695129400419</v>
      </c>
      <c r="G925" s="4">
        <f t="shared" si="72"/>
        <v>217.74293606400002</v>
      </c>
      <c r="H925" s="1">
        <v>34.65</v>
      </c>
      <c r="I925" s="1">
        <f t="shared" si="73"/>
        <v>41.58</v>
      </c>
      <c r="J925" s="1" t="s">
        <v>1182</v>
      </c>
      <c r="K925" s="3">
        <f t="shared" si="74"/>
        <v>309.73840127999989</v>
      </c>
      <c r="L925" s="10">
        <f t="shared" si="71"/>
        <v>0.42249575062660183</v>
      </c>
      <c r="M925" s="18" t="str">
        <f>VLOOKUP(A925,Список!A:I,9,0)</f>
        <v>Основной ассортимент</v>
      </c>
      <c r="N925" s="12"/>
      <c r="O925" s="11"/>
    </row>
    <row r="926" spans="1:15" x14ac:dyDescent="0.25">
      <c r="A926" s="6">
        <v>3953</v>
      </c>
      <c r="B926" s="1" t="s">
        <v>930</v>
      </c>
      <c r="C926" s="3">
        <v>22.8248</v>
      </c>
      <c r="D926" s="1" t="s">
        <v>1182</v>
      </c>
      <c r="E926" s="3">
        <f t="shared" si="70"/>
        <v>357.95129548799997</v>
      </c>
      <c r="F926" s="3">
        <v>296.71446756032168</v>
      </c>
      <c r="G926" s="4">
        <f t="shared" si="72"/>
        <v>357.95129548799997</v>
      </c>
      <c r="H926" s="1">
        <v>68.81</v>
      </c>
      <c r="I926" s="1">
        <f t="shared" si="73"/>
        <v>82.57</v>
      </c>
      <c r="J926" s="1" t="s">
        <v>1182</v>
      </c>
      <c r="K926" s="3">
        <f t="shared" si="74"/>
        <v>615.08176511999989</v>
      </c>
      <c r="L926" s="10">
        <f t="shared" si="71"/>
        <v>0.71833926255651726</v>
      </c>
      <c r="M926" s="18" t="str">
        <f>VLOOKUP(A926,Список!A:I,9,0)</f>
        <v>Основной ассортимент</v>
      </c>
      <c r="N926" s="12"/>
      <c r="O926" s="11"/>
    </row>
    <row r="927" spans="1:15" x14ac:dyDescent="0.25">
      <c r="A927" s="6">
        <v>1319</v>
      </c>
      <c r="B927" s="1" t="s">
        <v>931</v>
      </c>
      <c r="C927" s="3">
        <v>6.3653999999999993</v>
      </c>
      <c r="D927" s="1" t="s">
        <v>1182</v>
      </c>
      <c r="E927" s="3">
        <f t="shared" si="70"/>
        <v>99.825767423999991</v>
      </c>
      <c r="F927" s="3">
        <v>86.293414704532054</v>
      </c>
      <c r="G927" s="4">
        <f t="shared" si="72"/>
        <v>99.825767423999991</v>
      </c>
      <c r="H927" s="1">
        <v>15.85</v>
      </c>
      <c r="I927" s="1">
        <f t="shared" si="73"/>
        <v>19.02</v>
      </c>
      <c r="J927" s="1" t="s">
        <v>1182</v>
      </c>
      <c r="K927" s="3">
        <f t="shared" si="74"/>
        <v>141.68408831999997</v>
      </c>
      <c r="L927" s="10">
        <f t="shared" si="71"/>
        <v>0.41931379017815051</v>
      </c>
      <c r="M927" s="18" t="str">
        <f>VLOOKUP(A927,Список!A:I,9,0)</f>
        <v>Основной ассортимент</v>
      </c>
      <c r="N927" s="12"/>
      <c r="O927" s="11"/>
    </row>
    <row r="928" spans="1:15" x14ac:dyDescent="0.25">
      <c r="A928" s="6">
        <v>1333</v>
      </c>
      <c r="B928" s="1" t="s">
        <v>932</v>
      </c>
      <c r="C928" s="3">
        <v>9.3215000000000003</v>
      </c>
      <c r="D928" s="1" t="s">
        <v>1182</v>
      </c>
      <c r="E928" s="3">
        <f t="shared" si="70"/>
        <v>146.18498303999999</v>
      </c>
      <c r="F928" s="3">
        <v>109.82999764982374</v>
      </c>
      <c r="G928" s="4">
        <f t="shared" si="72"/>
        <v>146.18498303999999</v>
      </c>
      <c r="H928" s="1">
        <v>25.41</v>
      </c>
      <c r="I928" s="1">
        <f t="shared" si="73"/>
        <v>30.49</v>
      </c>
      <c r="J928" s="1" t="s">
        <v>1182</v>
      </c>
      <c r="K928" s="3">
        <f t="shared" si="74"/>
        <v>227.12659583999996</v>
      </c>
      <c r="L928" s="10">
        <f t="shared" si="71"/>
        <v>0.55369307514884936</v>
      </c>
      <c r="M928" s="18" t="str">
        <f>VLOOKUP(A928,Список!A:I,9,0)</f>
        <v>Основной ассортимент</v>
      </c>
      <c r="N928" s="12"/>
      <c r="O928" s="11"/>
    </row>
    <row r="929" spans="1:15" x14ac:dyDescent="0.25">
      <c r="A929" s="6">
        <v>2419</v>
      </c>
      <c r="B929" s="1" t="s">
        <v>933</v>
      </c>
      <c r="C929" s="3">
        <v>13.585699999999999</v>
      </c>
      <c r="D929" s="1" t="s">
        <v>1182</v>
      </c>
      <c r="E929" s="3">
        <f t="shared" si="70"/>
        <v>213.05855539199999</v>
      </c>
      <c r="F929" s="3">
        <v>187.69281818181818</v>
      </c>
      <c r="G929" s="4">
        <f t="shared" si="72"/>
        <v>213.05855539199999</v>
      </c>
      <c r="H929" s="1">
        <v>33.770000000000003</v>
      </c>
      <c r="I929" s="1">
        <f t="shared" si="73"/>
        <v>40.520000000000003</v>
      </c>
      <c r="J929" s="1" t="s">
        <v>1182</v>
      </c>
      <c r="K929" s="3">
        <f t="shared" si="74"/>
        <v>301.84223231999999</v>
      </c>
      <c r="L929" s="10">
        <f t="shared" si="71"/>
        <v>0.41671021736090164</v>
      </c>
      <c r="M929" s="18" t="str">
        <f>VLOOKUP(A929,Список!A:I,9,0)</f>
        <v>Основной ассортимент</v>
      </c>
      <c r="N929" s="12"/>
      <c r="O929" s="11"/>
    </row>
    <row r="930" spans="1:15" x14ac:dyDescent="0.25">
      <c r="A930" s="6">
        <v>3956</v>
      </c>
      <c r="B930" s="1" t="s">
        <v>934</v>
      </c>
      <c r="C930" s="3">
        <v>6.6538000000000004</v>
      </c>
      <c r="D930" s="1" t="s">
        <v>1182</v>
      </c>
      <c r="E930" s="3">
        <f t="shared" si="70"/>
        <v>104.34861772799999</v>
      </c>
      <c r="F930" s="3">
        <v>100.87091691269507</v>
      </c>
      <c r="G930" s="4">
        <f t="shared" si="72"/>
        <v>104.34861772799999</v>
      </c>
      <c r="H930" s="1">
        <v>16.760000000000002</v>
      </c>
      <c r="I930" s="1">
        <f t="shared" si="73"/>
        <v>20.11</v>
      </c>
      <c r="J930" s="1" t="s">
        <v>1182</v>
      </c>
      <c r="K930" s="3">
        <f t="shared" si="74"/>
        <v>149.80373375999997</v>
      </c>
      <c r="L930" s="10">
        <f t="shared" si="71"/>
        <v>0.43560822387207287</v>
      </c>
      <c r="M930" s="18" t="str">
        <f>VLOOKUP(A930,Список!A:I,9,0)</f>
        <v>Основной ассортимент</v>
      </c>
      <c r="N930" s="12"/>
      <c r="O930" s="11"/>
    </row>
    <row r="931" spans="1:15" x14ac:dyDescent="0.25">
      <c r="A931" s="6">
        <v>1155</v>
      </c>
      <c r="B931" s="1" t="s">
        <v>935</v>
      </c>
      <c r="C931" s="3">
        <v>9.0372199999999996</v>
      </c>
      <c r="D931" s="1" t="s">
        <v>1182</v>
      </c>
      <c r="E931" s="3">
        <f t="shared" si="70"/>
        <v>141.72674488319998</v>
      </c>
      <c r="F931" s="3">
        <v>114.09396616840823</v>
      </c>
      <c r="G931" s="4">
        <f t="shared" si="72"/>
        <v>141.72674488319998</v>
      </c>
      <c r="H931" s="1">
        <v>20.46</v>
      </c>
      <c r="I931" s="1">
        <f t="shared" si="73"/>
        <v>24.55</v>
      </c>
      <c r="J931" s="1" t="s">
        <v>1182</v>
      </c>
      <c r="K931" s="3">
        <f t="shared" si="74"/>
        <v>182.87825279999998</v>
      </c>
      <c r="L931" s="10">
        <f t="shared" si="71"/>
        <v>0.29035809684836722</v>
      </c>
      <c r="M931" s="18" t="str">
        <f>VLOOKUP(A931,Список!A:I,9,0)</f>
        <v>Основной ассортимент</v>
      </c>
      <c r="N931" s="12"/>
      <c r="O931" s="11"/>
    </row>
    <row r="932" spans="1:15" x14ac:dyDescent="0.25">
      <c r="A932" s="6">
        <v>1143</v>
      </c>
      <c r="B932" s="1" t="s">
        <v>936</v>
      </c>
      <c r="C932" s="3">
        <v>9.0041570000000011</v>
      </c>
      <c r="D932" s="1" t="s">
        <v>1182</v>
      </c>
      <c r="E932" s="3">
        <f t="shared" si="70"/>
        <v>141.20823240192001</v>
      </c>
      <c r="F932" s="3">
        <v>105.26014009618002</v>
      </c>
      <c r="G932" s="4">
        <f t="shared" si="72"/>
        <v>141.20823240192001</v>
      </c>
      <c r="H932" s="1">
        <v>20.43</v>
      </c>
      <c r="I932" s="1">
        <f t="shared" si="73"/>
        <v>24.52</v>
      </c>
      <c r="J932" s="1" t="s">
        <v>1182</v>
      </c>
      <c r="K932" s="3">
        <f t="shared" si="74"/>
        <v>182.65477632</v>
      </c>
      <c r="L932" s="10">
        <f t="shared" si="71"/>
        <v>0.29351365152784425</v>
      </c>
      <c r="M932" s="18" t="str">
        <f>VLOOKUP(A932,Список!A:I,9,0)</f>
        <v>Основной ассортимент</v>
      </c>
      <c r="N932" s="12"/>
      <c r="O932" s="11"/>
    </row>
    <row r="933" spans="1:15" x14ac:dyDescent="0.25">
      <c r="A933" s="6">
        <v>1156</v>
      </c>
      <c r="B933" s="1" t="s">
        <v>937</v>
      </c>
      <c r="C933" s="3">
        <v>11.616133999999999</v>
      </c>
      <c r="D933" s="1" t="s">
        <v>1182</v>
      </c>
      <c r="E933" s="3">
        <f t="shared" si="70"/>
        <v>182.17071842303997</v>
      </c>
      <c r="F933" s="3">
        <v>149.43402125664269</v>
      </c>
      <c r="G933" s="4">
        <f t="shared" si="72"/>
        <v>182.17071842303997</v>
      </c>
      <c r="H933" s="1">
        <v>28.59</v>
      </c>
      <c r="I933" s="1">
        <f t="shared" si="73"/>
        <v>34.31</v>
      </c>
      <c r="J933" s="1" t="s">
        <v>1182</v>
      </c>
      <c r="K933" s="3">
        <f t="shared" si="74"/>
        <v>255.58260095999998</v>
      </c>
      <c r="L933" s="10">
        <f t="shared" si="71"/>
        <v>0.40298398761584542</v>
      </c>
      <c r="M933" s="18" t="str">
        <f>VLOOKUP(A933,Список!A:I,9,0)</f>
        <v>Основной ассортимент</v>
      </c>
      <c r="N933" s="12"/>
      <c r="O933" s="11"/>
    </row>
    <row r="934" spans="1:15" x14ac:dyDescent="0.25">
      <c r="A934" s="6">
        <v>1144</v>
      </c>
      <c r="B934" s="1" t="s">
        <v>938</v>
      </c>
      <c r="C934" s="3">
        <v>11.572049999999999</v>
      </c>
      <c r="D934" s="1" t="s">
        <v>1182</v>
      </c>
      <c r="E934" s="3">
        <f t="shared" si="70"/>
        <v>181.47936844799997</v>
      </c>
      <c r="F934" s="3">
        <v>160.8968887613033</v>
      </c>
      <c r="G934" s="4">
        <f t="shared" si="72"/>
        <v>181.47936844799997</v>
      </c>
      <c r="H934" s="1">
        <v>28.65</v>
      </c>
      <c r="I934" s="1">
        <f t="shared" si="73"/>
        <v>34.380000000000003</v>
      </c>
      <c r="J934" s="1" t="s">
        <v>1182</v>
      </c>
      <c r="K934" s="3">
        <f t="shared" si="74"/>
        <v>256.10404607999999</v>
      </c>
      <c r="L934" s="10">
        <f t="shared" si="71"/>
        <v>0.41120199100418686</v>
      </c>
      <c r="M934" s="18" t="str">
        <f>VLOOKUP(A934,Список!A:I,9,0)</f>
        <v>Основной ассортимент</v>
      </c>
      <c r="N934" s="12"/>
      <c r="O934" s="11"/>
    </row>
    <row r="935" spans="1:15" x14ac:dyDescent="0.25">
      <c r="A935" s="6">
        <v>1157</v>
      </c>
      <c r="B935" s="1" t="s">
        <v>939</v>
      </c>
      <c r="C935" s="3">
        <v>20.113325</v>
      </c>
      <c r="D935" s="1" t="s">
        <v>1182</v>
      </c>
      <c r="E935" s="3">
        <f t="shared" si="70"/>
        <v>315.42842611200001</v>
      </c>
      <c r="F935" s="3">
        <v>278.17621753908907</v>
      </c>
      <c r="G935" s="4">
        <f t="shared" si="72"/>
        <v>315.42842611200001</v>
      </c>
      <c r="H935" s="1">
        <v>48.71</v>
      </c>
      <c r="I935" s="1">
        <f t="shared" si="73"/>
        <v>58.45</v>
      </c>
      <c r="J935" s="1" t="s">
        <v>1182</v>
      </c>
      <c r="K935" s="3">
        <f t="shared" si="74"/>
        <v>435.40667519999994</v>
      </c>
      <c r="L935" s="10">
        <f t="shared" si="71"/>
        <v>0.38036600114600616</v>
      </c>
      <c r="M935" s="18" t="str">
        <f>VLOOKUP(A935,Список!A:I,9,0)</f>
        <v>Основной ассортимент</v>
      </c>
      <c r="N935" s="12"/>
      <c r="O935" s="11"/>
    </row>
    <row r="936" spans="1:15" x14ac:dyDescent="0.25">
      <c r="A936" s="6">
        <v>1145</v>
      </c>
      <c r="B936" s="1" t="s">
        <v>940</v>
      </c>
      <c r="C936" s="3">
        <v>20.311703000000001</v>
      </c>
      <c r="D936" s="1" t="s">
        <v>1182</v>
      </c>
      <c r="E936" s="3">
        <f t="shared" si="70"/>
        <v>318.53950099968</v>
      </c>
      <c r="F936" s="3">
        <v>282.36726186895811</v>
      </c>
      <c r="G936" s="4">
        <f t="shared" si="72"/>
        <v>318.53950099968</v>
      </c>
      <c r="H936" s="1">
        <v>48.68</v>
      </c>
      <c r="I936" s="1">
        <f t="shared" si="73"/>
        <v>58.42</v>
      </c>
      <c r="J936" s="1" t="s">
        <v>1182</v>
      </c>
      <c r="K936" s="3">
        <f t="shared" si="74"/>
        <v>435.18319871999995</v>
      </c>
      <c r="L936" s="10">
        <f t="shared" si="71"/>
        <v>0.36618283558005937</v>
      </c>
      <c r="M936" s="18" t="str">
        <f>VLOOKUP(A936,Список!A:I,9,0)</f>
        <v>Основной ассортимент</v>
      </c>
      <c r="N936" s="12"/>
      <c r="O936" s="11"/>
    </row>
    <row r="937" spans="1:15" x14ac:dyDescent="0.25">
      <c r="A937" s="6">
        <v>1147</v>
      </c>
      <c r="B937" s="1" t="s">
        <v>941</v>
      </c>
      <c r="C937" s="3">
        <v>43.984810999999993</v>
      </c>
      <c r="D937" s="1" t="s">
        <v>1182</v>
      </c>
      <c r="E937" s="3">
        <f t="shared" si="70"/>
        <v>689.79443759615981</v>
      </c>
      <c r="F937" s="3">
        <v>639.46854867954278</v>
      </c>
      <c r="G937" s="4">
        <f t="shared" si="72"/>
        <v>689.79443759615981</v>
      </c>
      <c r="H937" s="1">
        <v>111.18</v>
      </c>
      <c r="I937" s="1">
        <f t="shared" si="73"/>
        <v>133.41999999999999</v>
      </c>
      <c r="J937" s="1" t="s">
        <v>1182</v>
      </c>
      <c r="K937" s="3">
        <f t="shared" si="74"/>
        <v>993.87439871999982</v>
      </c>
      <c r="L937" s="10">
        <f t="shared" si="71"/>
        <v>0.44082692545842717</v>
      </c>
      <c r="M937" s="18" t="str">
        <f>VLOOKUP(A937,Список!A:I,9,0)</f>
        <v>Основной ассортимент</v>
      </c>
      <c r="N937" s="12"/>
      <c r="O937" s="11"/>
    </row>
    <row r="938" spans="1:15" x14ac:dyDescent="0.25">
      <c r="A938" s="6">
        <v>1146</v>
      </c>
      <c r="B938" s="1" t="s">
        <v>942</v>
      </c>
      <c r="C938" s="3">
        <v>28.908083000000001</v>
      </c>
      <c r="D938" s="1" t="s">
        <v>1182</v>
      </c>
      <c r="E938" s="3">
        <f t="shared" si="70"/>
        <v>453.35274613248004</v>
      </c>
      <c r="F938" s="3">
        <v>422.10865914585014</v>
      </c>
      <c r="G938" s="4">
        <f t="shared" si="72"/>
        <v>453.35274613248004</v>
      </c>
      <c r="H938" s="1">
        <v>74.680000000000007</v>
      </c>
      <c r="I938" s="1">
        <f t="shared" si="73"/>
        <v>89.62</v>
      </c>
      <c r="J938" s="1" t="s">
        <v>1182</v>
      </c>
      <c r="K938" s="3">
        <f t="shared" si="74"/>
        <v>667.59873791999996</v>
      </c>
      <c r="L938" s="10">
        <f t="shared" si="71"/>
        <v>0.47258121543375919</v>
      </c>
      <c r="M938" s="18" t="str">
        <f>VLOOKUP(A938,Список!A:I,9,0)</f>
        <v>Основной ассортимент</v>
      </c>
      <c r="N938" s="12"/>
      <c r="O938" s="11"/>
    </row>
    <row r="939" spans="1:15" x14ac:dyDescent="0.25">
      <c r="A939" s="6">
        <v>1148</v>
      </c>
      <c r="B939" s="1" t="s">
        <v>943</v>
      </c>
      <c r="C939" s="3">
        <v>64.164261999999994</v>
      </c>
      <c r="D939" s="1" t="s">
        <v>1182</v>
      </c>
      <c r="E939" s="3">
        <f t="shared" si="70"/>
        <v>1006.2598886707199</v>
      </c>
      <c r="F939" s="3">
        <v>907.20024604869707</v>
      </c>
      <c r="G939" s="4">
        <f t="shared" si="72"/>
        <v>1006.2598886707199</v>
      </c>
      <c r="H939" s="1">
        <v>178.81</v>
      </c>
      <c r="I939" s="1">
        <f t="shared" si="73"/>
        <v>214.57</v>
      </c>
      <c r="J939" s="1" t="s">
        <v>1182</v>
      </c>
      <c r="K939" s="3">
        <f t="shared" si="74"/>
        <v>1598.3782771199999</v>
      </c>
      <c r="L939" s="10">
        <f t="shared" si="71"/>
        <v>0.58843485178712118</v>
      </c>
      <c r="M939" s="18" t="str">
        <f>VLOOKUP(A939,Список!A:I,9,0)</f>
        <v>Основной ассортимент</v>
      </c>
      <c r="N939" s="12"/>
      <c r="O939" s="11"/>
    </row>
    <row r="940" spans="1:15" x14ac:dyDescent="0.25">
      <c r="A940" s="6">
        <v>3944</v>
      </c>
      <c r="B940" s="1" t="s">
        <v>944</v>
      </c>
      <c r="C940" s="3">
        <v>146.380922</v>
      </c>
      <c r="D940" s="1" t="s">
        <v>1182</v>
      </c>
      <c r="E940" s="3">
        <f t="shared" si="70"/>
        <v>2295.6275921203196</v>
      </c>
      <c r="F940" s="3">
        <v>1946.5460652818992</v>
      </c>
      <c r="G940" s="4">
        <f t="shared" si="72"/>
        <v>2295.6275921203196</v>
      </c>
      <c r="H940" s="1">
        <v>430.07</v>
      </c>
      <c r="I940" s="1">
        <f t="shared" si="73"/>
        <v>516.08000000000004</v>
      </c>
      <c r="J940" s="1" t="s">
        <v>1182</v>
      </c>
      <c r="K940" s="3">
        <f t="shared" si="74"/>
        <v>3844.3913932800001</v>
      </c>
      <c r="L940" s="10">
        <f t="shared" si="71"/>
        <v>0.67465812245669587</v>
      </c>
      <c r="M940" s="18" t="str">
        <f>VLOOKUP(A940,Список!A:I,9,0)</f>
        <v>Основной ассортимент</v>
      </c>
      <c r="N940" s="12"/>
      <c r="O940" s="11"/>
    </row>
    <row r="941" spans="1:15" x14ac:dyDescent="0.25">
      <c r="A941" s="6">
        <v>3945</v>
      </c>
      <c r="B941" s="1" t="s">
        <v>945</v>
      </c>
      <c r="C941" s="3">
        <v>251.080422</v>
      </c>
      <c r="D941" s="1" t="s">
        <v>1182</v>
      </c>
      <c r="E941" s="3">
        <f t="shared" si="70"/>
        <v>3937.5837828403196</v>
      </c>
      <c r="F941" s="3">
        <v>3254.5825142857143</v>
      </c>
      <c r="G941" s="4">
        <f t="shared" si="72"/>
        <v>3937.5837828403196</v>
      </c>
      <c r="H941" s="1">
        <v>650.04999999999995</v>
      </c>
      <c r="I941" s="1">
        <f t="shared" si="73"/>
        <v>780.06</v>
      </c>
      <c r="J941" s="1" t="s">
        <v>1182</v>
      </c>
      <c r="K941" s="3">
        <f t="shared" si="74"/>
        <v>5810.8354329599988</v>
      </c>
      <c r="L941" s="10">
        <f t="shared" si="71"/>
        <v>0.47573632802003152</v>
      </c>
      <c r="M941" s="18" t="str">
        <f>VLOOKUP(A941,Список!A:I,9,0)</f>
        <v>Основной ассортимент</v>
      </c>
      <c r="N941" s="12"/>
      <c r="O941" s="11"/>
    </row>
    <row r="942" spans="1:15" x14ac:dyDescent="0.25">
      <c r="A942" s="6">
        <v>3946</v>
      </c>
      <c r="B942" s="1" t="s">
        <v>946</v>
      </c>
      <c r="C942" s="3">
        <v>419.54742799999997</v>
      </c>
      <c r="D942" s="1" t="s">
        <v>1182</v>
      </c>
      <c r="E942" s="3">
        <f t="shared" si="70"/>
        <v>6579.5777124556789</v>
      </c>
      <c r="F942" s="3">
        <v>6144.4012631578944</v>
      </c>
      <c r="G942" s="4">
        <f t="shared" si="72"/>
        <v>6579.5777124556789</v>
      </c>
      <c r="H942" s="1">
        <v>1122.3900000000001</v>
      </c>
      <c r="I942" s="1">
        <f t="shared" si="73"/>
        <v>1346.87</v>
      </c>
      <c r="J942" s="1" t="s">
        <v>1182</v>
      </c>
      <c r="K942" s="3">
        <f t="shared" si="74"/>
        <v>10033.125553919997</v>
      </c>
      <c r="L942" s="10">
        <f t="shared" si="71"/>
        <v>0.52488898108559012</v>
      </c>
      <c r="M942" s="18" t="str">
        <f>VLOOKUP(A942,Список!A:I,9,0)</f>
        <v>Основной ассортимент</v>
      </c>
      <c r="N942" s="12"/>
      <c r="O942" s="11"/>
    </row>
    <row r="943" spans="1:15" x14ac:dyDescent="0.25">
      <c r="A943" s="6">
        <v>1158</v>
      </c>
      <c r="B943" s="1" t="s">
        <v>947</v>
      </c>
      <c r="C943" s="3">
        <v>8.8168000000000006</v>
      </c>
      <c r="D943" s="1" t="s">
        <v>1182</v>
      </c>
      <c r="E943" s="3">
        <f t="shared" si="70"/>
        <v>138.269995008</v>
      </c>
      <c r="F943" s="3">
        <v>131.97587517825684</v>
      </c>
      <c r="G943" s="4">
        <f t="shared" si="72"/>
        <v>138.269995008</v>
      </c>
      <c r="H943" s="1">
        <v>20.77</v>
      </c>
      <c r="I943" s="1">
        <f t="shared" si="73"/>
        <v>24.92</v>
      </c>
      <c r="J943" s="1" t="s">
        <v>1182</v>
      </c>
      <c r="K943" s="3">
        <f t="shared" si="74"/>
        <v>185.63446272000002</v>
      </c>
      <c r="L943" s="10">
        <f t="shared" si="71"/>
        <v>0.34255058524634796</v>
      </c>
      <c r="M943" s="18" t="str">
        <f>VLOOKUP(A943,Список!A:I,9,0)</f>
        <v>Основной ассортимент</v>
      </c>
      <c r="N943" s="12"/>
      <c r="O943" s="11"/>
    </row>
    <row r="944" spans="1:15" x14ac:dyDescent="0.25">
      <c r="A944" s="6">
        <v>1149</v>
      </c>
      <c r="B944" s="1" t="s">
        <v>948</v>
      </c>
      <c r="C944" s="3">
        <v>9.0261989999999983</v>
      </c>
      <c r="D944" s="1" t="s">
        <v>1182</v>
      </c>
      <c r="E944" s="3">
        <f t="shared" si="70"/>
        <v>141.55390738943996</v>
      </c>
      <c r="F944" s="3">
        <v>126.97552649106873</v>
      </c>
      <c r="G944" s="4">
        <f t="shared" si="72"/>
        <v>141.55390738943996</v>
      </c>
      <c r="H944" s="1">
        <v>21.25</v>
      </c>
      <c r="I944" s="1">
        <f t="shared" si="73"/>
        <v>25.5</v>
      </c>
      <c r="J944" s="1" t="s">
        <v>1182</v>
      </c>
      <c r="K944" s="3">
        <f t="shared" si="74"/>
        <v>189.95500799999996</v>
      </c>
      <c r="L944" s="10">
        <f t="shared" si="71"/>
        <v>0.34192698388324927</v>
      </c>
      <c r="M944" s="18" t="str">
        <f>VLOOKUP(A944,Список!A:I,9,0)</f>
        <v>Основной ассортимент</v>
      </c>
      <c r="N944" s="12"/>
      <c r="O944" s="11"/>
    </row>
    <row r="945" spans="1:15" x14ac:dyDescent="0.25">
      <c r="A945" s="6">
        <v>1159</v>
      </c>
      <c r="B945" s="1" t="s">
        <v>949</v>
      </c>
      <c r="C945" s="3">
        <v>11.483881999999999</v>
      </c>
      <c r="D945" s="1" t="s">
        <v>1182</v>
      </c>
      <c r="E945" s="3">
        <f t="shared" si="70"/>
        <v>180.09666849791998</v>
      </c>
      <c r="F945" s="3">
        <v>173.65749454905847</v>
      </c>
      <c r="G945" s="4">
        <f t="shared" si="72"/>
        <v>180.09666849791998</v>
      </c>
      <c r="H945" s="1">
        <v>29.42</v>
      </c>
      <c r="I945" s="1">
        <f t="shared" si="73"/>
        <v>35.299999999999997</v>
      </c>
      <c r="J945" s="1" t="s">
        <v>1182</v>
      </c>
      <c r="K945" s="3">
        <f t="shared" si="74"/>
        <v>262.95732479999992</v>
      </c>
      <c r="L945" s="10">
        <f t="shared" si="71"/>
        <v>0.46008988946420715</v>
      </c>
      <c r="M945" s="18" t="str">
        <f>VLOOKUP(A945,Список!A:I,9,0)</f>
        <v>Основной ассортимент</v>
      </c>
      <c r="N945" s="12"/>
      <c r="O945" s="11"/>
    </row>
    <row r="946" spans="1:15" x14ac:dyDescent="0.25">
      <c r="A946" s="6">
        <v>1150</v>
      </c>
      <c r="B946" s="1" t="s">
        <v>950</v>
      </c>
      <c r="C946" s="3">
        <v>11.527966000000001</v>
      </c>
      <c r="D946" s="1" t="s">
        <v>1182</v>
      </c>
      <c r="E946" s="3">
        <f t="shared" si="70"/>
        <v>180.78801847295998</v>
      </c>
      <c r="F946" s="3">
        <v>175.80685652015981</v>
      </c>
      <c r="G946" s="4">
        <f t="shared" si="72"/>
        <v>180.78801847295998</v>
      </c>
      <c r="H946" s="1">
        <v>29.43</v>
      </c>
      <c r="I946" s="1">
        <f t="shared" si="73"/>
        <v>35.32</v>
      </c>
      <c r="J946" s="1" t="s">
        <v>1182</v>
      </c>
      <c r="K946" s="3">
        <f t="shared" si="74"/>
        <v>263.10630911999999</v>
      </c>
      <c r="L946" s="10">
        <f t="shared" si="71"/>
        <v>0.45533045465262489</v>
      </c>
      <c r="M946" s="18" t="str">
        <f>VLOOKUP(A946,Список!A:I,9,0)</f>
        <v>Основной ассортимент</v>
      </c>
      <c r="N946" s="12"/>
      <c r="O946" s="11"/>
    </row>
    <row r="947" spans="1:15" x14ac:dyDescent="0.25">
      <c r="A947" s="6">
        <v>1160</v>
      </c>
      <c r="B947" s="1" t="s">
        <v>951</v>
      </c>
      <c r="C947" s="3">
        <v>20.333745</v>
      </c>
      <c r="D947" s="1" t="s">
        <v>1182</v>
      </c>
      <c r="E947" s="3">
        <f t="shared" si="70"/>
        <v>318.88517598719994</v>
      </c>
      <c r="F947" s="3">
        <v>289.30737568165068</v>
      </c>
      <c r="G947" s="4">
        <f t="shared" si="72"/>
        <v>318.88517598719994</v>
      </c>
      <c r="H947" s="1">
        <v>50.67</v>
      </c>
      <c r="I947" s="1">
        <f t="shared" si="73"/>
        <v>60.8</v>
      </c>
      <c r="J947" s="1" t="s">
        <v>1182</v>
      </c>
      <c r="K947" s="3">
        <f t="shared" si="74"/>
        <v>452.91233279999994</v>
      </c>
      <c r="L947" s="10">
        <f t="shared" si="71"/>
        <v>0.42029911361630634</v>
      </c>
      <c r="M947" s="18" t="str">
        <f>VLOOKUP(A947,Список!A:I,9,0)</f>
        <v>Основной ассортимент</v>
      </c>
      <c r="N947" s="12"/>
      <c r="O947" s="11"/>
    </row>
    <row r="948" spans="1:15" x14ac:dyDescent="0.25">
      <c r="A948" s="6">
        <v>1151</v>
      </c>
      <c r="B948" s="1" t="s">
        <v>952</v>
      </c>
      <c r="C948" s="3">
        <v>20.708459000000001</v>
      </c>
      <c r="D948" s="1" t="s">
        <v>1182</v>
      </c>
      <c r="E948" s="3">
        <f t="shared" si="70"/>
        <v>324.76165077503998</v>
      </c>
      <c r="F948" s="3">
        <v>311.00871645569617</v>
      </c>
      <c r="G948" s="4">
        <f t="shared" si="72"/>
        <v>324.76165077503998</v>
      </c>
      <c r="H948" s="1">
        <v>50.55</v>
      </c>
      <c r="I948" s="1">
        <f t="shared" si="73"/>
        <v>60.66</v>
      </c>
      <c r="J948" s="1" t="s">
        <v>1182</v>
      </c>
      <c r="K948" s="3">
        <f t="shared" si="74"/>
        <v>451.86944255999992</v>
      </c>
      <c r="L948" s="10">
        <f t="shared" si="71"/>
        <v>0.39138793475651656</v>
      </c>
      <c r="M948" s="18" t="str">
        <f>VLOOKUP(A948,Список!A:I,9,0)</f>
        <v>Основной ассортимент</v>
      </c>
      <c r="N948" s="12"/>
      <c r="O948" s="11"/>
    </row>
    <row r="949" spans="1:15" x14ac:dyDescent="0.25">
      <c r="A949" s="6">
        <v>1153</v>
      </c>
      <c r="B949" s="1" t="s">
        <v>953</v>
      </c>
      <c r="C949" s="3">
        <v>44.778323</v>
      </c>
      <c r="D949" s="1" t="s">
        <v>1182</v>
      </c>
      <c r="E949" s="3">
        <f t="shared" si="70"/>
        <v>702.23873714687988</v>
      </c>
      <c r="F949" s="3">
        <v>588.00947616965459</v>
      </c>
      <c r="G949" s="4">
        <f t="shared" si="72"/>
        <v>702.23873714687988</v>
      </c>
      <c r="H949" s="1">
        <v>117.56</v>
      </c>
      <c r="I949" s="1">
        <f t="shared" si="73"/>
        <v>141.07</v>
      </c>
      <c r="J949" s="1" t="s">
        <v>1182</v>
      </c>
      <c r="K949" s="3">
        <f t="shared" si="74"/>
        <v>1050.8609011199999</v>
      </c>
      <c r="L949" s="10">
        <f t="shared" si="71"/>
        <v>0.49644393784019125</v>
      </c>
      <c r="M949" s="18" t="str">
        <f>VLOOKUP(A949,Список!A:I,9,0)</f>
        <v>Основной ассортимент</v>
      </c>
      <c r="N949" s="12"/>
      <c r="O949" s="11"/>
    </row>
    <row r="950" spans="1:15" x14ac:dyDescent="0.25">
      <c r="A950" s="6">
        <v>1152</v>
      </c>
      <c r="B950" s="1" t="s">
        <v>954</v>
      </c>
      <c r="C950" s="3">
        <v>29.712616000000004</v>
      </c>
      <c r="D950" s="1" t="s">
        <v>1182</v>
      </c>
      <c r="E950" s="3">
        <f t="shared" si="70"/>
        <v>465.96988317696002</v>
      </c>
      <c r="F950" s="3">
        <v>435.20616132596683</v>
      </c>
      <c r="G950" s="4">
        <f t="shared" si="72"/>
        <v>465.96988317696002</v>
      </c>
      <c r="H950" s="1">
        <v>83.45</v>
      </c>
      <c r="I950" s="1">
        <f t="shared" si="73"/>
        <v>100.14</v>
      </c>
      <c r="J950" s="1" t="s">
        <v>1182</v>
      </c>
      <c r="K950" s="3">
        <f t="shared" si="74"/>
        <v>745.96449023999992</v>
      </c>
      <c r="L950" s="10">
        <f t="shared" si="71"/>
        <v>0.600885630534854</v>
      </c>
      <c r="M950" s="18" t="str">
        <f>VLOOKUP(A950,Список!A:I,9,0)</f>
        <v>Основной ассортимент</v>
      </c>
      <c r="N950" s="12"/>
      <c r="O950" s="11"/>
    </row>
    <row r="951" spans="1:15" x14ac:dyDescent="0.25">
      <c r="A951" s="6">
        <v>1154</v>
      </c>
      <c r="B951" s="1" t="s">
        <v>955</v>
      </c>
      <c r="C951" s="3">
        <v>66.798280999999989</v>
      </c>
      <c r="D951" s="1" t="s">
        <v>1182</v>
      </c>
      <c r="E951" s="3">
        <f t="shared" si="70"/>
        <v>1047.5680496793598</v>
      </c>
      <c r="F951" s="3">
        <v>983.1688971528182</v>
      </c>
      <c r="G951" s="4">
        <f t="shared" si="72"/>
        <v>1047.5680496793598</v>
      </c>
      <c r="H951" s="1">
        <v>183.23</v>
      </c>
      <c r="I951" s="1">
        <f t="shared" si="73"/>
        <v>219.88</v>
      </c>
      <c r="J951" s="1" t="s">
        <v>1182</v>
      </c>
      <c r="K951" s="3">
        <f t="shared" si="74"/>
        <v>1637.9336140799999</v>
      </c>
      <c r="L951" s="10">
        <f t="shared" si="71"/>
        <v>0.56355819994828926</v>
      </c>
      <c r="M951" s="18" t="str">
        <f>VLOOKUP(A951,Список!A:I,9,0)</f>
        <v>Основной ассортимент</v>
      </c>
      <c r="N951" s="12"/>
      <c r="O951" s="11"/>
    </row>
    <row r="952" spans="1:15" x14ac:dyDescent="0.25">
      <c r="A952" s="6">
        <v>2336</v>
      </c>
      <c r="B952" s="1" t="s">
        <v>956</v>
      </c>
      <c r="C952" s="3">
        <v>8.5963799999999999</v>
      </c>
      <c r="D952" s="1" t="s">
        <v>1182</v>
      </c>
      <c r="E952" s="3">
        <f t="shared" si="70"/>
        <v>134.81324513279998</v>
      </c>
      <c r="F952" s="3">
        <v>122.60929541532226</v>
      </c>
      <c r="G952" s="4">
        <f t="shared" si="72"/>
        <v>134.81324513279998</v>
      </c>
      <c r="H952" s="1">
        <v>21.79</v>
      </c>
      <c r="I952" s="1">
        <f t="shared" si="73"/>
        <v>26.15</v>
      </c>
      <c r="J952" s="1" t="s">
        <v>1182</v>
      </c>
      <c r="K952" s="3">
        <f t="shared" si="74"/>
        <v>194.79699839999995</v>
      </c>
      <c r="L952" s="10">
        <f t="shared" si="71"/>
        <v>0.44493961411663974</v>
      </c>
      <c r="M952" s="18" t="str">
        <f>VLOOKUP(A952,Список!A:I,9,0)</f>
        <v>Основной ассортимент</v>
      </c>
      <c r="N952" s="12"/>
      <c r="O952" s="11"/>
    </row>
    <row r="953" spans="1:15" x14ac:dyDescent="0.25">
      <c r="A953" s="6">
        <v>2427</v>
      </c>
      <c r="B953" s="1" t="s">
        <v>957</v>
      </c>
      <c r="C953" s="3">
        <v>8.8168000000000006</v>
      </c>
      <c r="D953" s="1" t="s">
        <v>1182</v>
      </c>
      <c r="E953" s="3">
        <f t="shared" si="70"/>
        <v>138.269995008</v>
      </c>
      <c r="F953" s="3">
        <v>128.61632174650276</v>
      </c>
      <c r="G953" s="4">
        <f t="shared" si="72"/>
        <v>138.269995008</v>
      </c>
      <c r="H953" s="1">
        <v>21.74</v>
      </c>
      <c r="I953" s="1">
        <f t="shared" si="73"/>
        <v>26.09</v>
      </c>
      <c r="J953" s="1" t="s">
        <v>1182</v>
      </c>
      <c r="K953" s="3">
        <f t="shared" si="74"/>
        <v>194.35004543999997</v>
      </c>
      <c r="L953" s="10">
        <f t="shared" si="71"/>
        <v>0.40558365847019306</v>
      </c>
      <c r="M953" s="18" t="str">
        <f>VLOOKUP(A953,Список!A:I,9,0)</f>
        <v>Основной ассортимент</v>
      </c>
      <c r="N953" s="12"/>
      <c r="O953" s="11"/>
    </row>
    <row r="954" spans="1:15" x14ac:dyDescent="0.25">
      <c r="A954" s="6">
        <v>2337</v>
      </c>
      <c r="B954" s="1" t="s">
        <v>958</v>
      </c>
      <c r="C954" s="3">
        <v>10.899769000000001</v>
      </c>
      <c r="D954" s="1" t="s">
        <v>1182</v>
      </c>
      <c r="E954" s="3">
        <f t="shared" si="70"/>
        <v>170.93628132864001</v>
      </c>
      <c r="F954" s="3">
        <v>158.26390434176923</v>
      </c>
      <c r="G954" s="4">
        <f t="shared" si="72"/>
        <v>170.93628132864001</v>
      </c>
      <c r="H954" s="1">
        <v>30.91</v>
      </c>
      <c r="I954" s="1">
        <f t="shared" si="73"/>
        <v>37.090000000000003</v>
      </c>
      <c r="J954" s="1" t="s">
        <v>1182</v>
      </c>
      <c r="K954" s="3">
        <f t="shared" si="74"/>
        <v>276.29142144000002</v>
      </c>
      <c r="L954" s="10">
        <f t="shared" si="71"/>
        <v>0.61634159402827726</v>
      </c>
      <c r="M954" s="18" t="str">
        <f>VLOOKUP(A954,Список!A:I,9,0)</f>
        <v>Основной ассортимент</v>
      </c>
      <c r="N954" s="12"/>
      <c r="O954" s="11"/>
    </row>
    <row r="955" spans="1:15" x14ac:dyDescent="0.25">
      <c r="A955" s="6">
        <v>2428</v>
      </c>
      <c r="B955" s="1" t="s">
        <v>959</v>
      </c>
      <c r="C955" s="3">
        <v>11.550008000000002</v>
      </c>
      <c r="D955" s="1" t="s">
        <v>1182</v>
      </c>
      <c r="E955" s="3">
        <f t="shared" si="70"/>
        <v>181.13369346048003</v>
      </c>
      <c r="F955" s="3">
        <v>167.13341058941057</v>
      </c>
      <c r="G955" s="4">
        <f t="shared" si="72"/>
        <v>181.13369346048003</v>
      </c>
      <c r="H955" s="1">
        <v>30.89</v>
      </c>
      <c r="I955" s="1">
        <f t="shared" si="73"/>
        <v>37.07</v>
      </c>
      <c r="J955" s="1" t="s">
        <v>1182</v>
      </c>
      <c r="K955" s="3">
        <f t="shared" si="74"/>
        <v>276.14243711999995</v>
      </c>
      <c r="L955" s="10">
        <f t="shared" si="71"/>
        <v>0.52452275357731293</v>
      </c>
      <c r="M955" s="18" t="str">
        <f>VLOOKUP(A955,Список!A:I,9,0)</f>
        <v>Основной ассортимент</v>
      </c>
      <c r="N955" s="12"/>
      <c r="O955" s="11"/>
    </row>
    <row r="956" spans="1:15" x14ac:dyDescent="0.25">
      <c r="A956" s="6">
        <v>2338</v>
      </c>
      <c r="B956" s="1" t="s">
        <v>960</v>
      </c>
      <c r="C956" s="3">
        <v>19.231644999999997</v>
      </c>
      <c r="D956" s="1" t="s">
        <v>1182</v>
      </c>
      <c r="E956" s="3">
        <f t="shared" ref="E956:E1019" si="75">IF(D956="RUB",C956*1.2,C956*$E$2*1.2)</f>
        <v>301.60142661119994</v>
      </c>
      <c r="F956" s="3">
        <v>265.31322050059595</v>
      </c>
      <c r="G956" s="4">
        <f t="shared" si="72"/>
        <v>301.60142661119994</v>
      </c>
      <c r="H956" s="1">
        <v>58.23</v>
      </c>
      <c r="I956" s="1">
        <f t="shared" si="73"/>
        <v>69.88</v>
      </c>
      <c r="J956" s="1" t="s">
        <v>1182</v>
      </c>
      <c r="K956" s="3">
        <f t="shared" si="74"/>
        <v>520.55121407999991</v>
      </c>
      <c r="L956" s="10">
        <f t="shared" ref="L956:L1019" si="76">K956/E956-1</f>
        <v>0.72595739990000863</v>
      </c>
      <c r="M956" s="18" t="str">
        <f>VLOOKUP(A956,Список!A:I,9,0)</f>
        <v>Основной ассортимент</v>
      </c>
      <c r="N956" s="12"/>
      <c r="O956" s="11"/>
    </row>
    <row r="957" spans="1:15" x14ac:dyDescent="0.25">
      <c r="A957" s="6">
        <v>2429</v>
      </c>
      <c r="B957" s="1" t="s">
        <v>961</v>
      </c>
      <c r="C957" s="3">
        <v>20.366808000000002</v>
      </c>
      <c r="D957" s="1" t="s">
        <v>1182</v>
      </c>
      <c r="E957" s="3">
        <f t="shared" si="75"/>
        <v>319.40368846848003</v>
      </c>
      <c r="F957" s="3">
        <v>297.41110455764078</v>
      </c>
      <c r="G957" s="4">
        <f t="shared" si="72"/>
        <v>319.40368846848003</v>
      </c>
      <c r="H957" s="1">
        <v>58</v>
      </c>
      <c r="I957" s="1">
        <f t="shared" si="73"/>
        <v>69.599999999999994</v>
      </c>
      <c r="J957" s="1" t="s">
        <v>1182</v>
      </c>
      <c r="K957" s="3">
        <f t="shared" si="74"/>
        <v>518.46543359999987</v>
      </c>
      <c r="L957" s="10">
        <f t="shared" si="76"/>
        <v>0.62322932488979066</v>
      </c>
      <c r="M957" s="18" t="str">
        <f>VLOOKUP(A957,Список!A:I,9,0)</f>
        <v>Основной ассортимент</v>
      </c>
      <c r="N957" s="12"/>
      <c r="O957" s="11"/>
    </row>
    <row r="958" spans="1:15" x14ac:dyDescent="0.25">
      <c r="A958" s="6">
        <v>1316</v>
      </c>
      <c r="B958" s="1" t="s">
        <v>962</v>
      </c>
      <c r="C958" s="3">
        <v>9.8086900000000004</v>
      </c>
      <c r="D958" s="1" t="s">
        <v>1182</v>
      </c>
      <c r="E958" s="3">
        <f t="shared" si="75"/>
        <v>153.8253694464</v>
      </c>
      <c r="F958" s="3">
        <v>126.02832610321614</v>
      </c>
      <c r="G958" s="4">
        <f t="shared" si="72"/>
        <v>153.8253694464</v>
      </c>
      <c r="H958" s="1">
        <v>23.78</v>
      </c>
      <c r="I958" s="1">
        <f t="shared" si="73"/>
        <v>28.54</v>
      </c>
      <c r="J958" s="1" t="s">
        <v>1182</v>
      </c>
      <c r="K958" s="3">
        <f t="shared" si="74"/>
        <v>212.60062463999998</v>
      </c>
      <c r="L958" s="10">
        <f t="shared" si="76"/>
        <v>0.38209077868706198</v>
      </c>
      <c r="M958" s="18" t="str">
        <f>VLOOKUP(A958,Список!A:I,9,0)</f>
        <v>Основной ассортимент</v>
      </c>
      <c r="N958" s="12"/>
      <c r="O958" s="11"/>
    </row>
    <row r="959" spans="1:15" x14ac:dyDescent="0.25">
      <c r="A959" s="6">
        <v>1320</v>
      </c>
      <c r="B959" s="1" t="s">
        <v>963</v>
      </c>
      <c r="C959" s="3">
        <v>7.6926579999999998</v>
      </c>
      <c r="D959" s="1" t="s">
        <v>1182</v>
      </c>
      <c r="E959" s="3">
        <f t="shared" si="75"/>
        <v>120.64057064447999</v>
      </c>
      <c r="F959" s="3">
        <v>93.721595254710394</v>
      </c>
      <c r="G959" s="4">
        <f t="shared" si="72"/>
        <v>120.64057064447999</v>
      </c>
      <c r="H959" s="1">
        <v>19.100000000000001</v>
      </c>
      <c r="I959" s="1">
        <f t="shared" si="73"/>
        <v>22.92</v>
      </c>
      <c r="J959" s="1" t="s">
        <v>1182</v>
      </c>
      <c r="K959" s="3">
        <f t="shared" si="74"/>
        <v>170.73603072</v>
      </c>
      <c r="L959" s="10">
        <f t="shared" si="76"/>
        <v>0.41524554971766592</v>
      </c>
      <c r="M959" s="18" t="str">
        <f>VLOOKUP(A959,Список!A:I,9,0)</f>
        <v>Основной ассортимент</v>
      </c>
      <c r="N959" s="12"/>
      <c r="O959" s="11"/>
    </row>
    <row r="960" spans="1:15" x14ac:dyDescent="0.25">
      <c r="A960" s="6">
        <v>1318</v>
      </c>
      <c r="B960" s="1" t="s">
        <v>964</v>
      </c>
      <c r="C960" s="3">
        <v>8.144518999999999</v>
      </c>
      <c r="D960" s="1" t="s">
        <v>1182</v>
      </c>
      <c r="E960" s="3">
        <f t="shared" si="75"/>
        <v>127.72690788863997</v>
      </c>
      <c r="F960" s="3">
        <v>113.51860314389359</v>
      </c>
      <c r="G960" s="4">
        <f t="shared" si="72"/>
        <v>127.72690788863997</v>
      </c>
      <c r="H960" s="1">
        <v>22.42</v>
      </c>
      <c r="I960" s="1">
        <f t="shared" si="73"/>
        <v>26.9</v>
      </c>
      <c r="J960" s="1" t="s">
        <v>1182</v>
      </c>
      <c r="K960" s="3">
        <f t="shared" si="74"/>
        <v>200.38391039999996</v>
      </c>
      <c r="L960" s="10">
        <f t="shared" si="76"/>
        <v>0.56884648436574348</v>
      </c>
      <c r="M960" s="18" t="str">
        <f>VLOOKUP(A960,Список!A:I,9,0)</f>
        <v>Основной ассортимент</v>
      </c>
      <c r="N960" s="12"/>
      <c r="O960" s="11"/>
    </row>
    <row r="961" spans="1:15" x14ac:dyDescent="0.25">
      <c r="A961" s="6">
        <v>1321</v>
      </c>
      <c r="B961" s="1" t="s">
        <v>965</v>
      </c>
      <c r="C961" s="3">
        <v>7.1856919999999995</v>
      </c>
      <c r="D961" s="1" t="s">
        <v>1182</v>
      </c>
      <c r="E961" s="3">
        <f t="shared" si="75"/>
        <v>112.69004593151999</v>
      </c>
      <c r="F961" s="3">
        <v>90.230465060240945</v>
      </c>
      <c r="G961" s="4">
        <f t="shared" si="72"/>
        <v>112.69004593151999</v>
      </c>
      <c r="H961" s="1">
        <v>18.399999999999999</v>
      </c>
      <c r="I961" s="1">
        <f t="shared" si="73"/>
        <v>22.08</v>
      </c>
      <c r="J961" s="1" t="s">
        <v>1182</v>
      </c>
      <c r="K961" s="3">
        <f t="shared" si="74"/>
        <v>164.47868927999997</v>
      </c>
      <c r="L961" s="10">
        <f t="shared" si="76"/>
        <v>0.4595671509438477</v>
      </c>
      <c r="M961" s="18" t="str">
        <f>VLOOKUP(A961,Список!A:I,9,0)</f>
        <v>Основной ассортимент</v>
      </c>
      <c r="N961" s="12"/>
      <c r="O961" s="11"/>
    </row>
    <row r="962" spans="1:15" x14ac:dyDescent="0.25">
      <c r="A962" s="6">
        <v>1487</v>
      </c>
      <c r="B962" s="1" t="s">
        <v>966</v>
      </c>
      <c r="C962" s="3">
        <v>11.230399</v>
      </c>
      <c r="D962" s="1" t="s">
        <v>1182</v>
      </c>
      <c r="E962" s="3">
        <f t="shared" si="75"/>
        <v>176.12140614143999</v>
      </c>
      <c r="F962" s="3">
        <v>146.58893181818181</v>
      </c>
      <c r="G962" s="4">
        <f t="shared" si="72"/>
        <v>176.12140614143999</v>
      </c>
      <c r="H962" s="1">
        <v>27.24</v>
      </c>
      <c r="I962" s="1">
        <f t="shared" si="73"/>
        <v>32.69</v>
      </c>
      <c r="J962" s="1" t="s">
        <v>1182</v>
      </c>
      <c r="K962" s="3">
        <f t="shared" si="74"/>
        <v>243.51487103999997</v>
      </c>
      <c r="L962" s="10">
        <f t="shared" si="76"/>
        <v>0.38265345692526154</v>
      </c>
      <c r="M962" s="18" t="str">
        <f>VLOOKUP(A962,Список!A:I,9,0)</f>
        <v>Основной ассортимент</v>
      </c>
      <c r="N962" s="12"/>
      <c r="O962" s="11"/>
    </row>
    <row r="963" spans="1:15" x14ac:dyDescent="0.25">
      <c r="A963" s="6">
        <v>1322</v>
      </c>
      <c r="B963" s="1" t="s">
        <v>967</v>
      </c>
      <c r="C963" s="3">
        <v>7.3730490000000009</v>
      </c>
      <c r="D963" s="1" t="s">
        <v>1182</v>
      </c>
      <c r="E963" s="3">
        <f t="shared" si="75"/>
        <v>115.62828332544001</v>
      </c>
      <c r="F963" s="3">
        <v>107.43622434017595</v>
      </c>
      <c r="G963" s="4">
        <f t="shared" si="72"/>
        <v>115.62828332544001</v>
      </c>
      <c r="H963" s="1">
        <v>18.71</v>
      </c>
      <c r="I963" s="1">
        <f t="shared" si="73"/>
        <v>22.45</v>
      </c>
      <c r="J963" s="1" t="s">
        <v>1182</v>
      </c>
      <c r="K963" s="3">
        <f t="shared" si="74"/>
        <v>167.23489919999997</v>
      </c>
      <c r="L963" s="10">
        <f t="shared" si="76"/>
        <v>0.44631481494290859</v>
      </c>
      <c r="M963" s="18" t="str">
        <f>VLOOKUP(A963,Список!A:I,9,0)</f>
        <v>Основной ассортимент</v>
      </c>
      <c r="N963" s="12"/>
      <c r="O963" s="11"/>
    </row>
    <row r="964" spans="1:15" x14ac:dyDescent="0.25">
      <c r="A964" s="6">
        <v>1323</v>
      </c>
      <c r="B964" s="1" t="s">
        <v>968</v>
      </c>
      <c r="C964" s="3">
        <v>10.822621999999999</v>
      </c>
      <c r="D964" s="1" t="s">
        <v>1182</v>
      </c>
      <c r="E964" s="3">
        <f t="shared" si="75"/>
        <v>169.72641887231995</v>
      </c>
      <c r="F964" s="3">
        <v>146.74626427847244</v>
      </c>
      <c r="G964" s="4">
        <f t="shared" si="72"/>
        <v>169.72641887231995</v>
      </c>
      <c r="H964" s="1">
        <v>27.71</v>
      </c>
      <c r="I964" s="1">
        <f t="shared" si="73"/>
        <v>33.25</v>
      </c>
      <c r="J964" s="1" t="s">
        <v>1182</v>
      </c>
      <c r="K964" s="3">
        <f t="shared" si="74"/>
        <v>247.68643199999997</v>
      </c>
      <c r="L964" s="10">
        <f t="shared" si="76"/>
        <v>0.45932750862036964</v>
      </c>
      <c r="M964" s="18" t="str">
        <f>VLOOKUP(A964,Список!A:I,9,0)</f>
        <v>Основной ассортимент</v>
      </c>
      <c r="N964" s="12"/>
      <c r="O964" s="11"/>
    </row>
    <row r="965" spans="1:15" x14ac:dyDescent="0.25">
      <c r="A965" s="6">
        <v>3965</v>
      </c>
      <c r="B965" s="1" t="s">
        <v>969</v>
      </c>
      <c r="C965" s="3">
        <v>4.5109060000000003</v>
      </c>
      <c r="D965" s="1" t="s">
        <v>1182</v>
      </c>
      <c r="E965" s="3">
        <f t="shared" si="75"/>
        <v>70.742553999359998</v>
      </c>
      <c r="F965" s="3">
        <v>59.354439231944141</v>
      </c>
      <c r="G965" s="4">
        <f t="shared" si="72"/>
        <v>70.742553999359998</v>
      </c>
      <c r="H965" s="1">
        <v>9.83</v>
      </c>
      <c r="I965" s="1">
        <f t="shared" si="73"/>
        <v>11.8</v>
      </c>
      <c r="J965" s="1" t="s">
        <v>1182</v>
      </c>
      <c r="K965" s="3">
        <f t="shared" si="74"/>
        <v>87.900748799999988</v>
      </c>
      <c r="L965" s="10">
        <f t="shared" si="76"/>
        <v>0.24254418070338857</v>
      </c>
      <c r="M965" s="18" t="str">
        <f>VLOOKUP(A965,Список!A:I,9,0)</f>
        <v>Основной ассортимент</v>
      </c>
      <c r="N965" s="12"/>
      <c r="O965" s="11"/>
    </row>
    <row r="966" spans="1:15" x14ac:dyDescent="0.25">
      <c r="A966" s="6">
        <v>1489</v>
      </c>
      <c r="B966" s="1" t="s">
        <v>970</v>
      </c>
      <c r="C966" s="3">
        <v>11.505924</v>
      </c>
      <c r="D966" s="1" t="s">
        <v>1182</v>
      </c>
      <c r="E966" s="3">
        <f t="shared" si="75"/>
        <v>180.44234348543998</v>
      </c>
      <c r="F966" s="3">
        <v>140.15686716394222</v>
      </c>
      <c r="G966" s="4">
        <f t="shared" ref="G966:G1029" si="77">IF(M966="Вывод из ассортимента",F966,MAX(E966,F966))</f>
        <v>180.44234348543998</v>
      </c>
      <c r="H966" s="1">
        <v>27.16</v>
      </c>
      <c r="I966" s="1">
        <f t="shared" ref="I966:I1029" si="78">ROUND(H966*1.2,2)</f>
        <v>32.590000000000003</v>
      </c>
      <c r="J966" s="1" t="s">
        <v>1182</v>
      </c>
      <c r="K966" s="3">
        <f t="shared" ref="K966:K1029" si="79">IF(J966="RUB",I966*$K$4,I966*$E$2*$K$4)</f>
        <v>242.76994943999998</v>
      </c>
      <c r="L966" s="10">
        <f t="shared" si="76"/>
        <v>0.34541563111315532</v>
      </c>
      <c r="M966" s="18" t="str">
        <f>VLOOKUP(A966,Список!A:I,9,0)</f>
        <v>Основной ассортимент</v>
      </c>
      <c r="N966" s="12"/>
      <c r="O966" s="11"/>
    </row>
    <row r="967" spans="1:15" x14ac:dyDescent="0.25">
      <c r="A967" s="6">
        <v>3951</v>
      </c>
      <c r="B967" s="1" t="s">
        <v>971</v>
      </c>
      <c r="C967" s="3">
        <v>15.749008999999997</v>
      </c>
      <c r="D967" s="1" t="s">
        <v>1182</v>
      </c>
      <c r="E967" s="3">
        <f t="shared" si="75"/>
        <v>246.98477858303994</v>
      </c>
      <c r="F967" s="3">
        <v>224.91151292785028</v>
      </c>
      <c r="G967" s="4">
        <f t="shared" si="77"/>
        <v>246.98477858303994</v>
      </c>
      <c r="H967" s="1">
        <v>37.47</v>
      </c>
      <c r="I967" s="1">
        <f t="shared" si="78"/>
        <v>44.96</v>
      </c>
      <c r="J967" s="1" t="s">
        <v>1182</v>
      </c>
      <c r="K967" s="3">
        <f t="shared" si="79"/>
        <v>334.91675135999998</v>
      </c>
      <c r="L967" s="10">
        <f t="shared" si="76"/>
        <v>0.35602182969099849</v>
      </c>
      <c r="M967" s="18" t="str">
        <f>VLOOKUP(A967,Список!A:I,9,0)</f>
        <v>Основной ассортимент</v>
      </c>
      <c r="N967" s="12"/>
      <c r="O967" s="11"/>
    </row>
    <row r="968" spans="1:15" x14ac:dyDescent="0.25">
      <c r="A968" s="6">
        <v>3966</v>
      </c>
      <c r="B968" s="1" t="s">
        <v>972</v>
      </c>
      <c r="C968" s="3">
        <v>6.228256</v>
      </c>
      <c r="D968" s="1" t="s">
        <v>1182</v>
      </c>
      <c r="E968" s="3">
        <f t="shared" si="75"/>
        <v>97.674998415359994</v>
      </c>
      <c r="F968" s="3">
        <v>88.431539015959416</v>
      </c>
      <c r="G968" s="4">
        <f t="shared" si="77"/>
        <v>97.674998415359994</v>
      </c>
      <c r="H968" s="1">
        <v>14.04</v>
      </c>
      <c r="I968" s="1">
        <f t="shared" si="78"/>
        <v>16.850000000000001</v>
      </c>
      <c r="J968" s="1" t="s">
        <v>1182</v>
      </c>
      <c r="K968" s="3">
        <f t="shared" si="79"/>
        <v>125.51928959999999</v>
      </c>
      <c r="L968" s="10">
        <f t="shared" si="76"/>
        <v>0.28507081276042601</v>
      </c>
      <c r="M968" s="18" t="str">
        <f>VLOOKUP(A968,Список!A:I,9,0)</f>
        <v>Основной ассортимент</v>
      </c>
      <c r="N968" s="12"/>
      <c r="O968" s="11"/>
    </row>
    <row r="969" spans="1:15" x14ac:dyDescent="0.25">
      <c r="A969" s="6">
        <v>1490</v>
      </c>
      <c r="B969" s="1" t="s">
        <v>973</v>
      </c>
      <c r="C969" s="3">
        <v>16.289037999999998</v>
      </c>
      <c r="D969" s="1" t="s">
        <v>1182</v>
      </c>
      <c r="E969" s="3">
        <f t="shared" si="75"/>
        <v>255.45381577727994</v>
      </c>
      <c r="F969" s="3">
        <v>169.42116760224536</v>
      </c>
      <c r="G969" s="4">
        <f t="shared" si="77"/>
        <v>255.45381577727994</v>
      </c>
      <c r="H969" s="1">
        <v>37.39</v>
      </c>
      <c r="I969" s="1">
        <f t="shared" si="78"/>
        <v>44.87</v>
      </c>
      <c r="J969" s="1" t="s">
        <v>1182</v>
      </c>
      <c r="K969" s="3">
        <f t="shared" si="79"/>
        <v>334.2463219199999</v>
      </c>
      <c r="L969" s="10">
        <f t="shared" si="76"/>
        <v>0.30844129653328811</v>
      </c>
      <c r="M969" s="18" t="str">
        <f>VLOOKUP(A969,Список!A:I,9,0)</f>
        <v>Основной ассортимент</v>
      </c>
      <c r="N969" s="12"/>
      <c r="O969" s="11"/>
    </row>
    <row r="970" spans="1:15" x14ac:dyDescent="0.25">
      <c r="A970" s="6">
        <v>872</v>
      </c>
      <c r="B970" s="1" t="s">
        <v>974</v>
      </c>
      <c r="C970" s="3">
        <v>12.387604</v>
      </c>
      <c r="D970" s="1" t="s">
        <v>1182</v>
      </c>
      <c r="E970" s="3">
        <f t="shared" si="75"/>
        <v>194.26934298623999</v>
      </c>
      <c r="F970" s="3">
        <v>185.88223606744785</v>
      </c>
      <c r="G970" s="4">
        <f t="shared" si="77"/>
        <v>194.26934298623999</v>
      </c>
      <c r="H970" s="1">
        <v>31.41</v>
      </c>
      <c r="I970" s="1">
        <f t="shared" si="78"/>
        <v>37.69</v>
      </c>
      <c r="J970" s="1" t="s">
        <v>1182</v>
      </c>
      <c r="K970" s="3">
        <f t="shared" si="79"/>
        <v>280.76095103999995</v>
      </c>
      <c r="L970" s="10">
        <f t="shared" si="76"/>
        <v>0.44521491000196622</v>
      </c>
      <c r="M970" s="18" t="str">
        <f>VLOOKUP(A970,Список!A:I,9,0)</f>
        <v>Основной ассортимент</v>
      </c>
      <c r="N970" s="12"/>
      <c r="O970" s="11"/>
    </row>
    <row r="971" spans="1:15" x14ac:dyDescent="0.25">
      <c r="A971" s="6">
        <v>873</v>
      </c>
      <c r="B971" s="1" t="s">
        <v>975</v>
      </c>
      <c r="C971" s="3">
        <v>16.796004</v>
      </c>
      <c r="D971" s="1" t="s">
        <v>1182</v>
      </c>
      <c r="E971" s="3">
        <f t="shared" si="75"/>
        <v>263.40434049023997</v>
      </c>
      <c r="F971" s="3">
        <v>236.83866368715084</v>
      </c>
      <c r="G971" s="4">
        <f t="shared" si="77"/>
        <v>263.40434049023997</v>
      </c>
      <c r="H971" s="1">
        <v>45.51</v>
      </c>
      <c r="I971" s="1">
        <f t="shared" si="78"/>
        <v>54.61</v>
      </c>
      <c r="J971" s="1" t="s">
        <v>1182</v>
      </c>
      <c r="K971" s="3">
        <f t="shared" si="79"/>
        <v>406.80168575999994</v>
      </c>
      <c r="L971" s="10">
        <f t="shared" si="76"/>
        <v>0.54440008468681</v>
      </c>
      <c r="M971" s="18" t="str">
        <f>VLOOKUP(A971,Список!A:I,9,0)</f>
        <v>Основной ассортимент</v>
      </c>
      <c r="N971" s="12"/>
      <c r="O971" s="11"/>
    </row>
    <row r="972" spans="1:15" x14ac:dyDescent="0.25">
      <c r="A972" s="6">
        <v>874</v>
      </c>
      <c r="B972" s="1" t="s">
        <v>976</v>
      </c>
      <c r="C972" s="3">
        <v>10.194425000000001</v>
      </c>
      <c r="D972" s="1" t="s">
        <v>1182</v>
      </c>
      <c r="E972" s="3">
        <f t="shared" si="75"/>
        <v>159.87468172800001</v>
      </c>
      <c r="F972" s="3">
        <v>142.27764957434169</v>
      </c>
      <c r="G972" s="4">
        <f t="shared" si="77"/>
        <v>159.87468172800001</v>
      </c>
      <c r="H972" s="1">
        <v>25.78</v>
      </c>
      <c r="I972" s="1">
        <f t="shared" si="78"/>
        <v>30.94</v>
      </c>
      <c r="J972" s="1" t="s">
        <v>1182</v>
      </c>
      <c r="K972" s="3">
        <f t="shared" si="79"/>
        <v>230.47874303999998</v>
      </c>
      <c r="L972" s="10">
        <f t="shared" si="76"/>
        <v>0.44162127829671594</v>
      </c>
      <c r="M972" s="18" t="str">
        <f>VLOOKUP(A972,Список!A:I,9,0)</f>
        <v>Основной ассортимент</v>
      </c>
      <c r="N972" s="12"/>
      <c r="O972" s="11"/>
    </row>
    <row r="973" spans="1:15" x14ac:dyDescent="0.25">
      <c r="A973" s="6">
        <v>1165</v>
      </c>
      <c r="B973" s="1" t="s">
        <v>977</v>
      </c>
      <c r="C973" s="3">
        <v>11.439798000000001</v>
      </c>
      <c r="D973" s="1" t="s">
        <v>1182</v>
      </c>
      <c r="E973" s="3">
        <f t="shared" si="75"/>
        <v>179.40531852288001</v>
      </c>
      <c r="F973" s="3">
        <v>152.88679545454545</v>
      </c>
      <c r="G973" s="4">
        <f t="shared" si="77"/>
        <v>179.40531852288001</v>
      </c>
      <c r="H973" s="1">
        <v>32.69</v>
      </c>
      <c r="I973" s="1">
        <f t="shared" si="78"/>
        <v>39.229999999999997</v>
      </c>
      <c r="J973" s="1" t="s">
        <v>1182</v>
      </c>
      <c r="K973" s="3">
        <f t="shared" si="79"/>
        <v>292.23274367999994</v>
      </c>
      <c r="L973" s="10">
        <f t="shared" si="76"/>
        <v>0.62889676898141</v>
      </c>
      <c r="M973" s="18" t="str">
        <f>VLOOKUP(A973,Список!A:I,9,0)</f>
        <v>Основной ассортимент</v>
      </c>
      <c r="N973" s="12"/>
      <c r="O973" s="11"/>
    </row>
    <row r="974" spans="1:15" x14ac:dyDescent="0.25">
      <c r="A974" s="6">
        <v>875</v>
      </c>
      <c r="B974" s="1" t="s">
        <v>978</v>
      </c>
      <c r="C974" s="3">
        <v>14.007691000000001</v>
      </c>
      <c r="D974" s="1" t="s">
        <v>1182</v>
      </c>
      <c r="E974" s="3">
        <f t="shared" si="75"/>
        <v>219.67645456896003</v>
      </c>
      <c r="F974" s="3">
        <v>174.97771552660151</v>
      </c>
      <c r="G974" s="4">
        <f t="shared" si="77"/>
        <v>219.67645456896003</v>
      </c>
      <c r="H974" s="1">
        <v>37.43</v>
      </c>
      <c r="I974" s="1">
        <f t="shared" si="78"/>
        <v>44.92</v>
      </c>
      <c r="J974" s="1" t="s">
        <v>1182</v>
      </c>
      <c r="K974" s="3">
        <f t="shared" si="79"/>
        <v>334.61878271999996</v>
      </c>
      <c r="L974" s="10">
        <f t="shared" si="76"/>
        <v>0.52323462874787818</v>
      </c>
      <c r="M974" s="18" t="str">
        <f>VLOOKUP(A974,Список!A:I,9,0)</f>
        <v>Основной ассортимент</v>
      </c>
      <c r="N974" s="12"/>
      <c r="O974" s="11"/>
    </row>
    <row r="975" spans="1:15" x14ac:dyDescent="0.25">
      <c r="A975" s="6">
        <v>876</v>
      </c>
      <c r="B975" s="1" t="s">
        <v>979</v>
      </c>
      <c r="C975" s="3">
        <v>10.205445999999998</v>
      </c>
      <c r="D975" s="1" t="s">
        <v>1182</v>
      </c>
      <c r="E975" s="3">
        <f t="shared" si="75"/>
        <v>160.04751922175996</v>
      </c>
      <c r="F975" s="3">
        <v>150.70461559432934</v>
      </c>
      <c r="G975" s="4">
        <f t="shared" si="77"/>
        <v>160.04751922175996</v>
      </c>
      <c r="H975" s="1">
        <v>25.34</v>
      </c>
      <c r="I975" s="1">
        <f t="shared" si="78"/>
        <v>30.41</v>
      </c>
      <c r="J975" s="1" t="s">
        <v>1182</v>
      </c>
      <c r="K975" s="3">
        <f t="shared" si="79"/>
        <v>226.53065855999998</v>
      </c>
      <c r="L975" s="10">
        <f t="shared" si="76"/>
        <v>0.41539625019817872</v>
      </c>
      <c r="M975" s="18" t="str">
        <f>VLOOKUP(A975,Список!A:I,9,0)</f>
        <v>Основной ассортимент</v>
      </c>
      <c r="N975" s="12"/>
      <c r="O975" s="11"/>
    </row>
    <row r="976" spans="1:15" x14ac:dyDescent="0.25">
      <c r="A976" s="6">
        <v>2430</v>
      </c>
      <c r="B976" s="1" t="s">
        <v>980</v>
      </c>
      <c r="C976" s="3">
        <v>11.90268</v>
      </c>
      <c r="D976" s="1" t="s">
        <v>1182</v>
      </c>
      <c r="E976" s="3">
        <f t="shared" si="75"/>
        <v>186.66449326079999</v>
      </c>
      <c r="F976" s="3">
        <v>174.6571658291457</v>
      </c>
      <c r="G976" s="4">
        <f t="shared" si="77"/>
        <v>186.66449326079999</v>
      </c>
      <c r="H976" s="1">
        <v>32.42</v>
      </c>
      <c r="I976" s="1">
        <f t="shared" si="78"/>
        <v>38.9</v>
      </c>
      <c r="J976" s="1" t="s">
        <v>1182</v>
      </c>
      <c r="K976" s="3">
        <f t="shared" si="79"/>
        <v>289.77450239999996</v>
      </c>
      <c r="L976" s="10">
        <f t="shared" si="76"/>
        <v>0.55238148047330515</v>
      </c>
      <c r="M976" s="18" t="str">
        <f>VLOOKUP(A976,Список!A:I,9,0)</f>
        <v>Основной ассортимент</v>
      </c>
      <c r="N976" s="12"/>
      <c r="O976" s="11"/>
    </row>
    <row r="977" spans="1:15" x14ac:dyDescent="0.25">
      <c r="A977" s="6">
        <v>1310</v>
      </c>
      <c r="B977" s="1" t="s">
        <v>981</v>
      </c>
      <c r="C977" s="3">
        <v>13.919523</v>
      </c>
      <c r="D977" s="1" t="s">
        <v>1182</v>
      </c>
      <c r="E977" s="3">
        <f t="shared" si="75"/>
        <v>218.29375461887997</v>
      </c>
      <c r="F977" s="3">
        <v>166.22770488081724</v>
      </c>
      <c r="G977" s="4">
        <f t="shared" si="77"/>
        <v>218.29375461887997</v>
      </c>
      <c r="H977" s="1">
        <v>37.729999999999997</v>
      </c>
      <c r="I977" s="1">
        <f t="shared" si="78"/>
        <v>45.28</v>
      </c>
      <c r="J977" s="1" t="s">
        <v>1182</v>
      </c>
      <c r="K977" s="3">
        <f t="shared" si="79"/>
        <v>337.30050047999998</v>
      </c>
      <c r="L977" s="10">
        <f t="shared" si="76"/>
        <v>0.54516789116983411</v>
      </c>
      <c r="M977" s="18" t="str">
        <f>VLOOKUP(A977,Список!A:I,9,0)</f>
        <v>Основной ассортимент</v>
      </c>
      <c r="N977" s="12"/>
      <c r="O977" s="11"/>
    </row>
    <row r="978" spans="1:15" x14ac:dyDescent="0.25">
      <c r="A978" s="6">
        <v>1163</v>
      </c>
      <c r="B978" s="1" t="s">
        <v>982</v>
      </c>
      <c r="C978" s="3">
        <v>13.522767</v>
      </c>
      <c r="D978" s="1" t="s">
        <v>1182</v>
      </c>
      <c r="E978" s="3">
        <f t="shared" si="75"/>
        <v>212.07160484351999</v>
      </c>
      <c r="F978" s="3">
        <v>188.23642115509409</v>
      </c>
      <c r="G978" s="4">
        <f t="shared" si="77"/>
        <v>212.07160484351999</v>
      </c>
      <c r="H978" s="1">
        <v>35.24</v>
      </c>
      <c r="I978" s="1">
        <f t="shared" si="78"/>
        <v>42.29</v>
      </c>
      <c r="J978" s="1" t="s">
        <v>1182</v>
      </c>
      <c r="K978" s="3">
        <f t="shared" si="79"/>
        <v>315.02734463999997</v>
      </c>
      <c r="L978" s="10">
        <f t="shared" si="76"/>
        <v>0.48547630821413978</v>
      </c>
      <c r="M978" s="18" t="str">
        <f>VLOOKUP(A978,Список!A:I,9,0)</f>
        <v>Основной ассортимент</v>
      </c>
      <c r="N978" s="12"/>
      <c r="O978" s="11"/>
    </row>
    <row r="979" spans="1:15" x14ac:dyDescent="0.25">
      <c r="A979" s="6">
        <v>1161</v>
      </c>
      <c r="B979" s="1" t="s">
        <v>983</v>
      </c>
      <c r="C979" s="3">
        <v>13.137032</v>
      </c>
      <c r="D979" s="1" t="s">
        <v>1182</v>
      </c>
      <c r="E979" s="3">
        <f t="shared" si="75"/>
        <v>206.02229256191998</v>
      </c>
      <c r="F979" s="3">
        <v>189.38686149275901</v>
      </c>
      <c r="G979" s="4">
        <f t="shared" si="77"/>
        <v>206.02229256191998</v>
      </c>
      <c r="H979" s="1">
        <v>35.229999999999997</v>
      </c>
      <c r="I979" s="1">
        <f t="shared" si="78"/>
        <v>42.28</v>
      </c>
      <c r="J979" s="1" t="s">
        <v>1182</v>
      </c>
      <c r="K979" s="3">
        <f t="shared" si="79"/>
        <v>314.95285247999999</v>
      </c>
      <c r="L979" s="10">
        <f t="shared" si="76"/>
        <v>0.52873190839452944</v>
      </c>
      <c r="M979" s="18" t="str">
        <f>VLOOKUP(A979,Список!A:I,9,0)</f>
        <v>Основной ассортимент</v>
      </c>
      <c r="N979" s="12"/>
      <c r="O979" s="11"/>
    </row>
    <row r="980" spans="1:15" x14ac:dyDescent="0.25">
      <c r="A980" s="6">
        <v>1164</v>
      </c>
      <c r="B980" s="1" t="s">
        <v>984</v>
      </c>
      <c r="C980" s="3">
        <v>18.537322</v>
      </c>
      <c r="D980" s="1" t="s">
        <v>1182</v>
      </c>
      <c r="E980" s="3">
        <f t="shared" si="75"/>
        <v>290.71266450432</v>
      </c>
      <c r="F980" s="3">
        <v>199.86233292831105</v>
      </c>
      <c r="G980" s="4">
        <f t="shared" si="77"/>
        <v>290.71266450432</v>
      </c>
      <c r="H980" s="1">
        <v>54.22</v>
      </c>
      <c r="I980" s="1">
        <f t="shared" si="78"/>
        <v>65.06</v>
      </c>
      <c r="J980" s="1" t="s">
        <v>1182</v>
      </c>
      <c r="K980" s="3">
        <f t="shared" si="79"/>
        <v>484.64599295999994</v>
      </c>
      <c r="L980" s="10">
        <f t="shared" si="76"/>
        <v>0.66709625047242516</v>
      </c>
      <c r="M980" s="18" t="str">
        <f>VLOOKUP(A980,Список!A:I,9,0)</f>
        <v>Основной ассортимент</v>
      </c>
      <c r="N980" s="12"/>
      <c r="O980" s="11"/>
    </row>
    <row r="981" spans="1:15" x14ac:dyDescent="0.25">
      <c r="A981" s="6">
        <v>1162</v>
      </c>
      <c r="B981" s="1" t="s">
        <v>985</v>
      </c>
      <c r="C981" s="3">
        <v>18.151586999999999</v>
      </c>
      <c r="D981" s="1" t="s">
        <v>1182</v>
      </c>
      <c r="E981" s="3">
        <f t="shared" si="75"/>
        <v>284.66335222271999</v>
      </c>
      <c r="F981" s="3">
        <v>304.74329411764705</v>
      </c>
      <c r="G981" s="4">
        <f t="shared" si="77"/>
        <v>304.74329411764705</v>
      </c>
      <c r="H981" s="1">
        <v>54.19</v>
      </c>
      <c r="I981" s="1">
        <f t="shared" si="78"/>
        <v>65.03</v>
      </c>
      <c r="J981" s="1" t="s">
        <v>1182</v>
      </c>
      <c r="K981" s="3">
        <f t="shared" si="79"/>
        <v>484.42251647999996</v>
      </c>
      <c r="L981" s="10">
        <f t="shared" si="76"/>
        <v>0.70173825572386583</v>
      </c>
      <c r="M981" s="18" t="str">
        <f>VLOOKUP(A981,Список!A:I,9,0)</f>
        <v>Основной ассортимент</v>
      </c>
      <c r="N981" s="12"/>
      <c r="O981" s="11"/>
    </row>
    <row r="982" spans="1:15" x14ac:dyDescent="0.25">
      <c r="A982" s="6">
        <v>2065</v>
      </c>
      <c r="B982" s="1" t="s">
        <v>986</v>
      </c>
      <c r="C982" s="3">
        <v>31.420871000000002</v>
      </c>
      <c r="D982" s="1" t="s">
        <v>1182</v>
      </c>
      <c r="E982" s="3">
        <f t="shared" si="75"/>
        <v>492.75969470976003</v>
      </c>
      <c r="F982" s="3">
        <v>470.64226156941646</v>
      </c>
      <c r="G982" s="4">
        <f t="shared" si="77"/>
        <v>492.75969470976003</v>
      </c>
      <c r="H982" s="1">
        <v>77.23</v>
      </c>
      <c r="I982" s="1">
        <f t="shared" si="78"/>
        <v>92.68</v>
      </c>
      <c r="J982" s="1" t="s">
        <v>1182</v>
      </c>
      <c r="K982" s="3">
        <f t="shared" si="79"/>
        <v>690.39333887999999</v>
      </c>
      <c r="L982" s="10">
        <f t="shared" si="76"/>
        <v>0.40107510068705587</v>
      </c>
      <c r="M982" s="18" t="str">
        <f>VLOOKUP(A982,Список!A:I,9,0)</f>
        <v>Основной ассортимент</v>
      </c>
      <c r="N982" s="12"/>
      <c r="O982" s="11"/>
    </row>
    <row r="983" spans="1:15" x14ac:dyDescent="0.25">
      <c r="A983" s="6">
        <v>1169</v>
      </c>
      <c r="B983" s="1" t="s">
        <v>987</v>
      </c>
      <c r="C983" s="3">
        <v>13.00478</v>
      </c>
      <c r="D983" s="1" t="s">
        <v>1182</v>
      </c>
      <c r="E983" s="3">
        <f t="shared" si="75"/>
        <v>203.94824263679999</v>
      </c>
      <c r="F983" s="3">
        <v>162.7625930969711</v>
      </c>
      <c r="G983" s="4">
        <f t="shared" si="77"/>
        <v>203.94824263679999</v>
      </c>
      <c r="H983" s="1">
        <v>31.96</v>
      </c>
      <c r="I983" s="1">
        <f t="shared" si="78"/>
        <v>38.35</v>
      </c>
      <c r="J983" s="1" t="s">
        <v>1182</v>
      </c>
      <c r="K983" s="3">
        <f t="shared" si="79"/>
        <v>285.67743359999997</v>
      </c>
      <c r="L983" s="10">
        <f t="shared" si="76"/>
        <v>0.40073496052989732</v>
      </c>
      <c r="M983" s="18" t="str">
        <f>VLOOKUP(A983,Список!A:I,9,0)</f>
        <v>Основной ассортимент</v>
      </c>
      <c r="N983" s="12"/>
      <c r="O983" s="11"/>
    </row>
    <row r="984" spans="1:15" x14ac:dyDescent="0.25">
      <c r="A984" s="6">
        <v>1167</v>
      </c>
      <c r="B984" s="1" t="s">
        <v>988</v>
      </c>
      <c r="C984" s="3">
        <v>12.608023999999999</v>
      </c>
      <c r="D984" s="1" t="s">
        <v>1182</v>
      </c>
      <c r="E984" s="3">
        <f t="shared" si="75"/>
        <v>197.72609286143998</v>
      </c>
      <c r="F984" s="3">
        <v>183.7096949682026</v>
      </c>
      <c r="G984" s="4">
        <f t="shared" si="77"/>
        <v>197.72609286143998</v>
      </c>
      <c r="H984" s="1">
        <v>28.54</v>
      </c>
      <c r="I984" s="1">
        <f t="shared" si="78"/>
        <v>34.25</v>
      </c>
      <c r="J984" s="1" t="s">
        <v>1182</v>
      </c>
      <c r="K984" s="3">
        <f t="shared" si="79"/>
        <v>255.13564799999997</v>
      </c>
      <c r="L984" s="10">
        <f t="shared" si="76"/>
        <v>0.29034890796527679</v>
      </c>
      <c r="M984" s="18" t="str">
        <f>VLOOKUP(A984,Список!A:I,9,0)</f>
        <v>Основной ассортимент</v>
      </c>
      <c r="N984" s="12"/>
      <c r="O984" s="11"/>
    </row>
    <row r="985" spans="1:15" x14ac:dyDescent="0.25">
      <c r="A985" s="6">
        <v>1170</v>
      </c>
      <c r="B985" s="1" t="s">
        <v>989</v>
      </c>
      <c r="C985" s="3">
        <v>17.336033000000004</v>
      </c>
      <c r="D985" s="1" t="s">
        <v>1182</v>
      </c>
      <c r="E985" s="3">
        <f t="shared" si="75"/>
        <v>271.87337768448003</v>
      </c>
      <c r="F985" s="3">
        <v>255.19584622030237</v>
      </c>
      <c r="G985" s="4">
        <f t="shared" si="77"/>
        <v>271.87337768448003</v>
      </c>
      <c r="H985" s="1">
        <v>47.83</v>
      </c>
      <c r="I985" s="1">
        <f t="shared" si="78"/>
        <v>57.4</v>
      </c>
      <c r="J985" s="1" t="s">
        <v>1182</v>
      </c>
      <c r="K985" s="3">
        <f t="shared" si="79"/>
        <v>427.5849983999999</v>
      </c>
      <c r="L985" s="10">
        <f t="shared" si="76"/>
        <v>0.57273581562748466</v>
      </c>
      <c r="M985" s="18" t="str">
        <f>VLOOKUP(A985,Список!A:I,9,0)</f>
        <v>Основной ассортимент</v>
      </c>
      <c r="N985" s="12"/>
      <c r="O985" s="11"/>
    </row>
    <row r="986" spans="1:15" x14ac:dyDescent="0.25">
      <c r="A986" s="6">
        <v>1168</v>
      </c>
      <c r="B986" s="1" t="s">
        <v>990</v>
      </c>
      <c r="C986" s="3">
        <v>17.115613</v>
      </c>
      <c r="D986" s="1" t="s">
        <v>1182</v>
      </c>
      <c r="E986" s="3">
        <f t="shared" si="75"/>
        <v>268.41662780927999</v>
      </c>
      <c r="F986" s="3">
        <v>214.67961118201654</v>
      </c>
      <c r="G986" s="4">
        <f t="shared" si="77"/>
        <v>268.41662780927999</v>
      </c>
      <c r="H986" s="1">
        <v>41.96</v>
      </c>
      <c r="I986" s="1">
        <f t="shared" si="78"/>
        <v>50.35</v>
      </c>
      <c r="J986" s="1" t="s">
        <v>1182</v>
      </c>
      <c r="K986" s="3">
        <f t="shared" si="79"/>
        <v>375.0680256</v>
      </c>
      <c r="L986" s="10">
        <f t="shared" si="76"/>
        <v>0.39733528679340901</v>
      </c>
      <c r="M986" s="18" t="str">
        <f>VLOOKUP(A986,Список!A:I,9,0)</f>
        <v>Основной ассортимент</v>
      </c>
      <c r="N986" s="12"/>
      <c r="O986" s="11"/>
    </row>
    <row r="987" spans="1:15" x14ac:dyDescent="0.25">
      <c r="A987" s="6">
        <v>3947</v>
      </c>
      <c r="B987" s="1" t="s">
        <v>991</v>
      </c>
      <c r="C987" s="3">
        <v>29.955078</v>
      </c>
      <c r="D987" s="1" t="s">
        <v>1182</v>
      </c>
      <c r="E987" s="3">
        <f t="shared" si="75"/>
        <v>469.77230803967996</v>
      </c>
      <c r="F987" s="3">
        <v>476.8349258241758</v>
      </c>
      <c r="G987" s="4">
        <f t="shared" si="77"/>
        <v>476.8349258241758</v>
      </c>
      <c r="H987" s="1">
        <v>86.93</v>
      </c>
      <c r="I987" s="1">
        <f t="shared" si="78"/>
        <v>104.32</v>
      </c>
      <c r="J987" s="1" t="s">
        <v>1182</v>
      </c>
      <c r="K987" s="3">
        <f t="shared" si="79"/>
        <v>777.10221311999987</v>
      </c>
      <c r="L987" s="10">
        <f t="shared" si="76"/>
        <v>0.65421034790829102</v>
      </c>
      <c r="M987" s="18" t="str">
        <f>VLOOKUP(A987,Список!A:I,9,0)</f>
        <v>Основной ассортимент</v>
      </c>
      <c r="N987" s="12"/>
      <c r="O987" s="11"/>
    </row>
    <row r="988" spans="1:15" x14ac:dyDescent="0.25">
      <c r="A988" s="6">
        <v>1462</v>
      </c>
      <c r="B988" s="1" t="s">
        <v>992</v>
      </c>
      <c r="C988" s="3">
        <v>29.117482000000003</v>
      </c>
      <c r="D988" s="1" t="s">
        <v>1182</v>
      </c>
      <c r="E988" s="3">
        <f t="shared" si="75"/>
        <v>456.63665851392</v>
      </c>
      <c r="F988" s="3">
        <v>380.5638178096213</v>
      </c>
      <c r="G988" s="4">
        <f t="shared" si="77"/>
        <v>456.63665851392</v>
      </c>
      <c r="H988" s="1">
        <v>79.27</v>
      </c>
      <c r="I988" s="1">
        <f t="shared" si="78"/>
        <v>95.12</v>
      </c>
      <c r="J988" s="1" t="s">
        <v>1182</v>
      </c>
      <c r="K988" s="3">
        <f t="shared" si="79"/>
        <v>708.56942591999996</v>
      </c>
      <c r="L988" s="10">
        <f t="shared" si="76"/>
        <v>0.55171384668495715</v>
      </c>
      <c r="M988" s="18" t="str">
        <f>VLOOKUP(A988,Список!A:I,9,0)</f>
        <v>Основной ассортимент</v>
      </c>
      <c r="N988" s="12"/>
      <c r="O988" s="11"/>
    </row>
    <row r="989" spans="1:15" x14ac:dyDescent="0.25">
      <c r="A989" s="6">
        <v>3948</v>
      </c>
      <c r="B989" s="1" t="s">
        <v>993</v>
      </c>
      <c r="C989" s="3">
        <v>41.923883999999994</v>
      </c>
      <c r="D989" s="1" t="s">
        <v>1182</v>
      </c>
      <c r="E989" s="3">
        <f t="shared" si="75"/>
        <v>657.47382626303988</v>
      </c>
      <c r="F989" s="3">
        <v>603.91603252032519</v>
      </c>
      <c r="G989" s="4">
        <f t="shared" si="77"/>
        <v>657.47382626303988</v>
      </c>
      <c r="H989" s="1">
        <v>161.22999999999999</v>
      </c>
      <c r="I989" s="1">
        <f t="shared" si="78"/>
        <v>193.48</v>
      </c>
      <c r="J989" s="1" t="s">
        <v>1182</v>
      </c>
      <c r="K989" s="3">
        <f t="shared" si="79"/>
        <v>1441.2743116799998</v>
      </c>
      <c r="L989" s="10">
        <f t="shared" si="76"/>
        <v>1.192139449675035</v>
      </c>
      <c r="M989" s="18" t="str">
        <f>VLOOKUP(A989,Список!A:I,9,0)</f>
        <v>Основной ассортимент</v>
      </c>
      <c r="N989" s="12"/>
      <c r="O989" s="11"/>
    </row>
    <row r="990" spans="1:15" x14ac:dyDescent="0.25">
      <c r="A990" s="6">
        <v>1171</v>
      </c>
      <c r="B990" s="1" t="s">
        <v>994</v>
      </c>
      <c r="C990" s="3">
        <v>13.048864</v>
      </c>
      <c r="D990" s="1" t="s">
        <v>1182</v>
      </c>
      <c r="E990" s="3">
        <f t="shared" si="75"/>
        <v>204.63959261183999</v>
      </c>
      <c r="F990" s="3">
        <v>185.33442840298702</v>
      </c>
      <c r="G990" s="4">
        <f t="shared" si="77"/>
        <v>204.63959261183999</v>
      </c>
      <c r="H990" s="1">
        <v>36.54</v>
      </c>
      <c r="I990" s="1">
        <f t="shared" si="78"/>
        <v>43.85</v>
      </c>
      <c r="J990" s="1" t="s">
        <v>1182</v>
      </c>
      <c r="K990" s="3">
        <f t="shared" si="79"/>
        <v>326.64812159999997</v>
      </c>
      <c r="L990" s="10">
        <f t="shared" si="76"/>
        <v>0.59621174686164236</v>
      </c>
      <c r="M990" s="18" t="str">
        <f>VLOOKUP(A990,Список!A:I,9,0)</f>
        <v>Основной ассортимент</v>
      </c>
      <c r="N990" s="12"/>
      <c r="O990" s="11"/>
    </row>
    <row r="991" spans="1:15" x14ac:dyDescent="0.25">
      <c r="A991" s="6">
        <v>1172</v>
      </c>
      <c r="B991" s="1" t="s">
        <v>995</v>
      </c>
      <c r="C991" s="3">
        <v>18.030356000000001</v>
      </c>
      <c r="D991" s="1" t="s">
        <v>1182</v>
      </c>
      <c r="E991" s="3">
        <f t="shared" si="75"/>
        <v>282.76213979135997</v>
      </c>
      <c r="F991" s="3">
        <v>264.66561488904796</v>
      </c>
      <c r="G991" s="4">
        <f t="shared" si="77"/>
        <v>282.76213979135997</v>
      </c>
      <c r="H991" s="1">
        <v>54.76</v>
      </c>
      <c r="I991" s="1">
        <f t="shared" si="78"/>
        <v>65.709999999999994</v>
      </c>
      <c r="J991" s="1" t="s">
        <v>1182</v>
      </c>
      <c r="K991" s="3">
        <f t="shared" si="79"/>
        <v>489.48798335999993</v>
      </c>
      <c r="L991" s="10">
        <f t="shared" si="76"/>
        <v>0.73109449419634309</v>
      </c>
      <c r="M991" s="18" t="str">
        <f>VLOOKUP(A991,Список!A:I,9,0)</f>
        <v>Основной ассортимент</v>
      </c>
      <c r="N991" s="12"/>
      <c r="O991" s="11"/>
    </row>
    <row r="992" spans="1:15" x14ac:dyDescent="0.25">
      <c r="A992" s="6">
        <v>1175</v>
      </c>
      <c r="B992" s="1" t="s">
        <v>996</v>
      </c>
      <c r="C992" s="3">
        <v>11.307546</v>
      </c>
      <c r="D992" s="1" t="s">
        <v>1182</v>
      </c>
      <c r="E992" s="3">
        <f t="shared" si="75"/>
        <v>177.33126859775999</v>
      </c>
      <c r="F992" s="3">
        <v>169.62381092970963</v>
      </c>
      <c r="G992" s="4">
        <f t="shared" si="77"/>
        <v>177.33126859775999</v>
      </c>
      <c r="H992" s="1">
        <v>24.88</v>
      </c>
      <c r="I992" s="1">
        <f t="shared" si="78"/>
        <v>29.86</v>
      </c>
      <c r="J992" s="1" t="s">
        <v>1182</v>
      </c>
      <c r="K992" s="3">
        <f t="shared" si="79"/>
        <v>222.43358975999996</v>
      </c>
      <c r="L992" s="10">
        <f t="shared" si="76"/>
        <v>0.25433935886707859</v>
      </c>
      <c r="M992" s="18" t="str">
        <f>VLOOKUP(A992,Список!A:I,9,0)</f>
        <v>Основной ассортимент</v>
      </c>
      <c r="N992" s="12"/>
      <c r="O992" s="11"/>
    </row>
    <row r="993" spans="1:15" x14ac:dyDescent="0.25">
      <c r="A993" s="6">
        <v>1331</v>
      </c>
      <c r="B993" s="1" t="s">
        <v>997</v>
      </c>
      <c r="C993" s="3">
        <v>9.6654169999999997</v>
      </c>
      <c r="D993" s="1" t="s">
        <v>1182</v>
      </c>
      <c r="E993" s="3">
        <f t="shared" si="75"/>
        <v>151.57848202751998</v>
      </c>
      <c r="F993" s="3">
        <v>118.43661222531426</v>
      </c>
      <c r="G993" s="4">
        <f t="shared" si="77"/>
        <v>151.57848202751998</v>
      </c>
      <c r="H993" s="1">
        <v>20.98</v>
      </c>
      <c r="I993" s="1">
        <f t="shared" si="78"/>
        <v>25.18</v>
      </c>
      <c r="J993" s="1" t="s">
        <v>1182</v>
      </c>
      <c r="K993" s="3">
        <f t="shared" si="79"/>
        <v>187.57125887999999</v>
      </c>
      <c r="L993" s="10">
        <f t="shared" si="76"/>
        <v>0.23745307626147949</v>
      </c>
      <c r="M993" s="18" t="str">
        <f>VLOOKUP(A993,Список!A:I,9,0)</f>
        <v>Основной ассортимент</v>
      </c>
      <c r="N993" s="12"/>
      <c r="O993" s="11"/>
    </row>
    <row r="994" spans="1:15" x14ac:dyDescent="0.25">
      <c r="A994" s="6">
        <v>3971</v>
      </c>
      <c r="B994" s="1" t="s">
        <v>998</v>
      </c>
      <c r="C994" s="3">
        <v>12.541898000000002</v>
      </c>
      <c r="D994" s="1" t="s">
        <v>1182</v>
      </c>
      <c r="E994" s="3">
        <f t="shared" si="75"/>
        <v>196.68906789888001</v>
      </c>
      <c r="F994" s="3">
        <v>147.6079163602941</v>
      </c>
      <c r="G994" s="4">
        <f t="shared" si="77"/>
        <v>196.68906789888001</v>
      </c>
      <c r="H994" s="1">
        <v>31.38</v>
      </c>
      <c r="I994" s="1">
        <f t="shared" si="78"/>
        <v>37.659999999999997</v>
      </c>
      <c r="J994" s="1" t="s">
        <v>1182</v>
      </c>
      <c r="K994" s="3">
        <f t="shared" si="79"/>
        <v>280.53747455999991</v>
      </c>
      <c r="L994" s="10">
        <f t="shared" si="76"/>
        <v>0.42629927304463755</v>
      </c>
      <c r="M994" s="18" t="str">
        <f>VLOOKUP(A994,Список!A:I,9,0)</f>
        <v>Основной ассортимент</v>
      </c>
      <c r="N994" s="12"/>
      <c r="O994" s="11"/>
    </row>
    <row r="995" spans="1:15" x14ac:dyDescent="0.25">
      <c r="A995" s="6">
        <v>3969</v>
      </c>
      <c r="B995" s="1" t="s">
        <v>999</v>
      </c>
      <c r="C995" s="3">
        <v>9.4560180000000003</v>
      </c>
      <c r="D995" s="1" t="s">
        <v>1182</v>
      </c>
      <c r="E995" s="3">
        <f t="shared" si="75"/>
        <v>148.29456964607999</v>
      </c>
      <c r="F995" s="3">
        <v>136.98202925752139</v>
      </c>
      <c r="G995" s="4">
        <f t="shared" si="77"/>
        <v>148.29456964607999</v>
      </c>
      <c r="H995" s="1">
        <v>27.77</v>
      </c>
      <c r="I995" s="1">
        <f t="shared" si="78"/>
        <v>33.32</v>
      </c>
      <c r="J995" s="1" t="s">
        <v>1182</v>
      </c>
      <c r="K995" s="3">
        <f t="shared" si="79"/>
        <v>248.20787711999995</v>
      </c>
      <c r="L995" s="10">
        <f t="shared" si="76"/>
        <v>0.67374892898892513</v>
      </c>
      <c r="M995" s="18" t="str">
        <f>VLOOKUP(A995,Список!A:I,9,0)</f>
        <v>Основной ассортимент</v>
      </c>
      <c r="N995" s="12"/>
      <c r="O995" s="11"/>
    </row>
    <row r="996" spans="1:15" x14ac:dyDescent="0.25">
      <c r="A996" s="6">
        <v>3970</v>
      </c>
      <c r="B996" s="1" t="s">
        <v>1000</v>
      </c>
      <c r="C996" s="3">
        <v>12.740276</v>
      </c>
      <c r="D996" s="1" t="s">
        <v>1182</v>
      </c>
      <c r="E996" s="3">
        <f t="shared" si="75"/>
        <v>199.80014278655997</v>
      </c>
      <c r="F996" s="3">
        <v>144.70891322901849</v>
      </c>
      <c r="G996" s="4">
        <f t="shared" si="77"/>
        <v>199.80014278655997</v>
      </c>
      <c r="H996" s="1">
        <v>28.62</v>
      </c>
      <c r="I996" s="1">
        <f t="shared" si="78"/>
        <v>34.340000000000003</v>
      </c>
      <c r="J996" s="1" t="s">
        <v>1182</v>
      </c>
      <c r="K996" s="3">
        <f t="shared" si="79"/>
        <v>255.80607744</v>
      </c>
      <c r="L996" s="10">
        <f t="shared" si="76"/>
        <v>0.28030978292777964</v>
      </c>
      <c r="M996" s="18" t="str">
        <f>VLOOKUP(A996,Список!A:I,9,0)</f>
        <v>Основной ассортимент</v>
      </c>
      <c r="N996" s="12"/>
      <c r="O996" s="11"/>
    </row>
    <row r="997" spans="1:15" x14ac:dyDescent="0.25">
      <c r="A997" s="6">
        <v>2339</v>
      </c>
      <c r="B997" s="1" t="s">
        <v>1001</v>
      </c>
      <c r="C997" s="3">
        <v>8.3869810000000005</v>
      </c>
      <c r="D997" s="1" t="s">
        <v>1182</v>
      </c>
      <c r="E997" s="3">
        <f t="shared" si="75"/>
        <v>131.52933275136002</v>
      </c>
      <c r="F997" s="3">
        <v>102.83293803766566</v>
      </c>
      <c r="G997" s="4">
        <f t="shared" si="77"/>
        <v>131.52933275136002</v>
      </c>
      <c r="H997" s="1">
        <v>19.87</v>
      </c>
      <c r="I997" s="1">
        <f t="shared" si="78"/>
        <v>23.84</v>
      </c>
      <c r="J997" s="1" t="s">
        <v>1182</v>
      </c>
      <c r="K997" s="3">
        <f t="shared" si="79"/>
        <v>177.58930943999997</v>
      </c>
      <c r="L997" s="10">
        <f t="shared" si="76"/>
        <v>0.35018786855484674</v>
      </c>
      <c r="M997" s="18" t="str">
        <f>VLOOKUP(A997,Список!A:I,9,0)</f>
        <v>Основной ассортимент</v>
      </c>
      <c r="N997" s="12"/>
      <c r="O997" s="11"/>
    </row>
    <row r="998" spans="1:15" x14ac:dyDescent="0.25">
      <c r="A998" s="6">
        <v>2340</v>
      </c>
      <c r="B998" s="1" t="s">
        <v>1002</v>
      </c>
      <c r="C998" s="3">
        <v>12.674150000000001</v>
      </c>
      <c r="D998" s="1" t="s">
        <v>1182</v>
      </c>
      <c r="E998" s="3">
        <f t="shared" si="75"/>
        <v>198.76311782400001</v>
      </c>
      <c r="F998" s="3">
        <v>181.36996050980648</v>
      </c>
      <c r="G998" s="4">
        <f t="shared" si="77"/>
        <v>198.76311782400001</v>
      </c>
      <c r="H998" s="1">
        <v>29.82</v>
      </c>
      <c r="I998" s="1">
        <f t="shared" si="78"/>
        <v>35.78</v>
      </c>
      <c r="J998" s="1" t="s">
        <v>1182</v>
      </c>
      <c r="K998" s="3">
        <f t="shared" si="79"/>
        <v>266.53294847999996</v>
      </c>
      <c r="L998" s="10">
        <f t="shared" si="76"/>
        <v>0.34095777626112977</v>
      </c>
      <c r="M998" s="18" t="str">
        <f>VLOOKUP(A998,Список!A:I,9,0)</f>
        <v>Основной ассортимент</v>
      </c>
      <c r="N998" s="12"/>
      <c r="O998" s="11"/>
    </row>
    <row r="999" spans="1:15" x14ac:dyDescent="0.25">
      <c r="A999" s="6">
        <v>2341</v>
      </c>
      <c r="B999" s="1" t="s">
        <v>1003</v>
      </c>
      <c r="C999" s="3">
        <v>18.173628999999998</v>
      </c>
      <c r="D999" s="1" t="s">
        <v>1182</v>
      </c>
      <c r="E999" s="3">
        <f t="shared" si="75"/>
        <v>285.00902721023994</v>
      </c>
      <c r="F999" s="3">
        <v>268.00319310649581</v>
      </c>
      <c r="G999" s="4">
        <f t="shared" si="77"/>
        <v>285.00902721023994</v>
      </c>
      <c r="H999" s="1">
        <v>42.77</v>
      </c>
      <c r="I999" s="1">
        <f t="shared" si="78"/>
        <v>51.32</v>
      </c>
      <c r="J999" s="1" t="s">
        <v>1182</v>
      </c>
      <c r="K999" s="3">
        <f t="shared" si="79"/>
        <v>382.29376511999993</v>
      </c>
      <c r="L999" s="10">
        <f t="shared" si="76"/>
        <v>0.34133914585799019</v>
      </c>
      <c r="M999" s="18" t="str">
        <f>VLOOKUP(A999,Список!A:I,9,0)</f>
        <v>Основной ассортимент</v>
      </c>
      <c r="N999" s="12"/>
      <c r="O999" s="11"/>
    </row>
    <row r="1000" spans="1:15" x14ac:dyDescent="0.25">
      <c r="A1000" s="6">
        <v>3957</v>
      </c>
      <c r="B1000" s="1" t="s">
        <v>1004</v>
      </c>
      <c r="C1000" s="3">
        <v>25.249110999999999</v>
      </c>
      <c r="D1000" s="1" t="s">
        <v>1182</v>
      </c>
      <c r="E1000" s="3">
        <f t="shared" si="75"/>
        <v>395.97069820415993</v>
      </c>
      <c r="F1000" s="3">
        <v>361.39250061349691</v>
      </c>
      <c r="G1000" s="4">
        <f t="shared" si="77"/>
        <v>395.97069820415993</v>
      </c>
      <c r="H1000" s="1">
        <v>59.51</v>
      </c>
      <c r="I1000" s="1">
        <f t="shared" si="78"/>
        <v>71.41</v>
      </c>
      <c r="J1000" s="1" t="s">
        <v>1182</v>
      </c>
      <c r="K1000" s="3">
        <f t="shared" si="79"/>
        <v>531.94851455999992</v>
      </c>
      <c r="L1000" s="10">
        <f t="shared" si="76"/>
        <v>0.34340373409582625</v>
      </c>
      <c r="M1000" s="18" t="str">
        <f>VLOOKUP(A1000,Список!A:I,9,0)</f>
        <v>Основной ассортимент</v>
      </c>
      <c r="N1000" s="12"/>
      <c r="O1000" s="11"/>
    </row>
    <row r="1001" spans="1:15" x14ac:dyDescent="0.25">
      <c r="A1001" s="6">
        <v>2342</v>
      </c>
      <c r="B1001" s="1" t="s">
        <v>1005</v>
      </c>
      <c r="C1001" s="3">
        <v>5.4664159999999997</v>
      </c>
      <c r="D1001" s="1" t="s">
        <v>1182</v>
      </c>
      <c r="E1001" s="3">
        <f t="shared" si="75"/>
        <v>85.727396904959988</v>
      </c>
      <c r="F1001" s="3">
        <v>76.104980690950839</v>
      </c>
      <c r="G1001" s="4">
        <f t="shared" si="77"/>
        <v>85.727396904959988</v>
      </c>
      <c r="H1001" s="1">
        <v>13.51</v>
      </c>
      <c r="I1001" s="1">
        <f t="shared" si="78"/>
        <v>16.21</v>
      </c>
      <c r="J1001" s="1" t="s">
        <v>1182</v>
      </c>
      <c r="K1001" s="3">
        <f t="shared" si="79"/>
        <v>120.75179135999998</v>
      </c>
      <c r="L1001" s="10">
        <f t="shared" si="76"/>
        <v>0.40855544107876174</v>
      </c>
      <c r="M1001" s="18" t="str">
        <f>VLOOKUP(A1001,Список!A:I,9,0)</f>
        <v>Основной ассортимент</v>
      </c>
      <c r="N1001" s="12"/>
      <c r="O1001" s="11"/>
    </row>
    <row r="1002" spans="1:15" x14ac:dyDescent="0.25">
      <c r="A1002" s="6">
        <v>2343</v>
      </c>
      <c r="B1002" s="1" t="s">
        <v>1006</v>
      </c>
      <c r="C1002" s="3">
        <v>7.4832590000000003</v>
      </c>
      <c r="D1002" s="1" t="s">
        <v>1182</v>
      </c>
      <c r="E1002" s="3">
        <f t="shared" si="75"/>
        <v>117.35665826303999</v>
      </c>
      <c r="F1002" s="3">
        <v>103.86736914041644</v>
      </c>
      <c r="G1002" s="4">
        <f t="shared" si="77"/>
        <v>117.35665826303999</v>
      </c>
      <c r="H1002" s="1">
        <v>18.64</v>
      </c>
      <c r="I1002" s="1">
        <f t="shared" si="78"/>
        <v>22.37</v>
      </c>
      <c r="J1002" s="1" t="s">
        <v>1182</v>
      </c>
      <c r="K1002" s="3">
        <f t="shared" si="79"/>
        <v>166.63896191999999</v>
      </c>
      <c r="L1002" s="10">
        <f t="shared" si="76"/>
        <v>0.41993615348606794</v>
      </c>
      <c r="M1002" s="18" t="str">
        <f>VLOOKUP(A1002,Список!A:I,9,0)</f>
        <v>Основной ассортимент</v>
      </c>
      <c r="N1002" s="12"/>
      <c r="O1002" s="11"/>
    </row>
    <row r="1003" spans="1:15" x14ac:dyDescent="0.25">
      <c r="A1003" s="6">
        <v>1166</v>
      </c>
      <c r="B1003" s="1" t="s">
        <v>1007</v>
      </c>
      <c r="C1003" s="3">
        <v>11.362651000000001</v>
      </c>
      <c r="D1003" s="1" t="s">
        <v>1182</v>
      </c>
      <c r="E1003" s="3">
        <f t="shared" si="75"/>
        <v>178.19545606656001</v>
      </c>
      <c r="F1003" s="3">
        <v>163.67746593132895</v>
      </c>
      <c r="G1003" s="4">
        <f t="shared" si="77"/>
        <v>178.19545606656001</v>
      </c>
      <c r="H1003" s="1">
        <v>29.13</v>
      </c>
      <c r="I1003" s="1">
        <f t="shared" si="78"/>
        <v>34.96</v>
      </c>
      <c r="J1003" s="1" t="s">
        <v>1182</v>
      </c>
      <c r="K1003" s="3">
        <f t="shared" si="79"/>
        <v>260.42459135999997</v>
      </c>
      <c r="L1003" s="10">
        <f t="shared" si="76"/>
        <v>0.46145472566217127</v>
      </c>
      <c r="M1003" s="18" t="str">
        <f>VLOOKUP(A1003,Список!A:I,9,0)</f>
        <v>Основной ассортимент</v>
      </c>
      <c r="N1003" s="12"/>
      <c r="O1003" s="11"/>
    </row>
    <row r="1004" spans="1:15" x14ac:dyDescent="0.25">
      <c r="A1004" s="6">
        <v>3960</v>
      </c>
      <c r="B1004" s="1" t="s">
        <v>1008</v>
      </c>
      <c r="C1004" s="3">
        <v>17.457264000000002</v>
      </c>
      <c r="D1004" s="1" t="s">
        <v>1182</v>
      </c>
      <c r="E1004" s="3">
        <f t="shared" si="75"/>
        <v>273.77459011584</v>
      </c>
      <c r="F1004" s="3">
        <v>264.42201846965702</v>
      </c>
      <c r="G1004" s="4">
        <f t="shared" si="77"/>
        <v>273.77459011584</v>
      </c>
      <c r="H1004" s="1">
        <v>44.31</v>
      </c>
      <c r="I1004" s="1">
        <f t="shared" si="78"/>
        <v>53.17</v>
      </c>
      <c r="J1004" s="1" t="s">
        <v>1182</v>
      </c>
      <c r="K1004" s="3">
        <f t="shared" si="79"/>
        <v>396.07481472000001</v>
      </c>
      <c r="L1004" s="10">
        <f t="shared" si="76"/>
        <v>0.44671868398163661</v>
      </c>
      <c r="M1004" s="18" t="str">
        <f>VLOOKUP(A1004,Список!A:I,9,0)</f>
        <v>Основной ассортимент</v>
      </c>
      <c r="N1004" s="12"/>
      <c r="O1004" s="11"/>
    </row>
    <row r="1005" spans="1:15" x14ac:dyDescent="0.25">
      <c r="A1005" s="6">
        <v>2058</v>
      </c>
      <c r="B1005" s="1" t="s">
        <v>1009</v>
      </c>
      <c r="C1005" s="3">
        <v>4.474526</v>
      </c>
      <c r="D1005" s="1" t="s">
        <v>1182</v>
      </c>
      <c r="E1005" s="3">
        <f t="shared" si="75"/>
        <v>70.172022466559994</v>
      </c>
      <c r="F1005" s="3">
        <v>61.786525798525801</v>
      </c>
      <c r="G1005" s="4">
        <f t="shared" si="77"/>
        <v>70.172022466559994</v>
      </c>
      <c r="H1005" s="1">
        <v>10.63</v>
      </c>
      <c r="I1005" s="1">
        <f t="shared" si="78"/>
        <v>12.76</v>
      </c>
      <c r="J1005" s="1" t="s">
        <v>1182</v>
      </c>
      <c r="K1005" s="3">
        <f t="shared" si="79"/>
        <v>95.051996159999987</v>
      </c>
      <c r="L1005" s="10">
        <f t="shared" si="76"/>
        <v>0.35455688490803272</v>
      </c>
      <c r="M1005" s="18" t="str">
        <f>VLOOKUP(A1005,Список!A:I,9,0)</f>
        <v>Основной ассортимент</v>
      </c>
      <c r="N1005" s="12"/>
      <c r="O1005" s="11"/>
    </row>
    <row r="1006" spans="1:15" x14ac:dyDescent="0.25">
      <c r="A1006" s="6">
        <v>2059</v>
      </c>
      <c r="B1006" s="1" t="s">
        <v>1010</v>
      </c>
      <c r="C1006" s="3">
        <v>5.6537730000000002</v>
      </c>
      <c r="D1006" s="1" t="s">
        <v>1182</v>
      </c>
      <c r="E1006" s="3">
        <f t="shared" si="75"/>
        <v>88.665634298879993</v>
      </c>
      <c r="F1006" s="3">
        <v>83.478417012448134</v>
      </c>
      <c r="G1006" s="4">
        <f t="shared" si="77"/>
        <v>88.665634298879993</v>
      </c>
      <c r="H1006" s="1">
        <v>15.42</v>
      </c>
      <c r="I1006" s="1">
        <f t="shared" si="78"/>
        <v>18.5</v>
      </c>
      <c r="J1006" s="1" t="s">
        <v>1182</v>
      </c>
      <c r="K1006" s="3">
        <f t="shared" si="79"/>
        <v>137.81049599999997</v>
      </c>
      <c r="L1006" s="10">
        <f t="shared" si="76"/>
        <v>0.554271811054317</v>
      </c>
      <c r="M1006" s="18" t="str">
        <f>VLOOKUP(A1006,Список!A:I,9,0)</f>
        <v>Основной ассортимент</v>
      </c>
      <c r="N1006" s="12"/>
      <c r="O1006" s="11"/>
    </row>
    <row r="1007" spans="1:15" x14ac:dyDescent="0.25">
      <c r="A1007" s="6">
        <v>2060</v>
      </c>
      <c r="B1007" s="1" t="s">
        <v>1011</v>
      </c>
      <c r="C1007" s="3">
        <v>8.2657499999999988</v>
      </c>
      <c r="D1007" s="1" t="s">
        <v>1182</v>
      </c>
      <c r="E1007" s="3">
        <f t="shared" si="75"/>
        <v>129.62812031999997</v>
      </c>
      <c r="F1007" s="3">
        <v>111.1433108108108</v>
      </c>
      <c r="G1007" s="4">
        <f t="shared" si="77"/>
        <v>129.62812031999997</v>
      </c>
      <c r="H1007" s="1">
        <v>22.24</v>
      </c>
      <c r="I1007" s="1">
        <f t="shared" si="78"/>
        <v>26.69</v>
      </c>
      <c r="J1007" s="1" t="s">
        <v>1182</v>
      </c>
      <c r="K1007" s="3">
        <f t="shared" si="79"/>
        <v>198.81957503999996</v>
      </c>
      <c r="L1007" s="10">
        <f t="shared" si="76"/>
        <v>0.53376886549919855</v>
      </c>
      <c r="M1007" s="18" t="str">
        <f>VLOOKUP(A1007,Список!A:I,9,0)</f>
        <v>Основной ассортимент</v>
      </c>
      <c r="N1007" s="12"/>
      <c r="O1007" s="11"/>
    </row>
    <row r="1008" spans="1:15" x14ac:dyDescent="0.25">
      <c r="A1008" s="6">
        <v>3963</v>
      </c>
      <c r="B1008" s="1" t="s">
        <v>1012</v>
      </c>
      <c r="C1008" s="3">
        <v>13.269283999999999</v>
      </c>
      <c r="D1008" s="1" t="s">
        <v>1182</v>
      </c>
      <c r="E1008" s="3">
        <f t="shared" si="75"/>
        <v>208.09634248703998</v>
      </c>
      <c r="F1008" s="3">
        <v>156.27442622950818</v>
      </c>
      <c r="G1008" s="4">
        <f t="shared" si="77"/>
        <v>208.09634248703998</v>
      </c>
      <c r="H1008" s="1">
        <v>35.71</v>
      </c>
      <c r="I1008" s="1">
        <f t="shared" si="78"/>
        <v>42.85</v>
      </c>
      <c r="J1008" s="1" t="s">
        <v>1182</v>
      </c>
      <c r="K1008" s="3">
        <f t="shared" si="79"/>
        <v>319.19890559999993</v>
      </c>
      <c r="L1008" s="10">
        <f t="shared" si="76"/>
        <v>0.5338996437185306</v>
      </c>
      <c r="M1008" s="18" t="str">
        <f>VLOOKUP(A1008,Список!A:I,9,0)</f>
        <v>Основной ассортимент</v>
      </c>
      <c r="N1008" s="12"/>
      <c r="O1008" s="11"/>
    </row>
    <row r="1009" spans="1:15" x14ac:dyDescent="0.25">
      <c r="A1009" s="6">
        <v>4774</v>
      </c>
      <c r="B1009" s="1" t="s">
        <v>1013</v>
      </c>
      <c r="C1009" s="3">
        <v>6.3040119999999993</v>
      </c>
      <c r="D1009" s="1" t="s">
        <v>1182</v>
      </c>
      <c r="E1009" s="3">
        <f t="shared" si="75"/>
        <v>98.86304643071999</v>
      </c>
      <c r="F1009" s="3">
        <v>75.660753902031999</v>
      </c>
      <c r="G1009" s="4">
        <f t="shared" si="77"/>
        <v>98.86304643071999</v>
      </c>
      <c r="H1009" s="1">
        <v>13.5</v>
      </c>
      <c r="I1009" s="1">
        <f t="shared" si="78"/>
        <v>16.2</v>
      </c>
      <c r="J1009" s="1" t="s">
        <v>1182</v>
      </c>
      <c r="K1009" s="3">
        <f t="shared" si="79"/>
        <v>120.67729919999998</v>
      </c>
      <c r="L1009" s="10">
        <f t="shared" si="76"/>
        <v>0.22065122972481643</v>
      </c>
      <c r="M1009" s="18" t="str">
        <f>VLOOKUP(A1009,Список!A:I,9,0)</f>
        <v>Основной ассортимент</v>
      </c>
      <c r="N1009" s="12"/>
      <c r="O1009" s="11"/>
    </row>
    <row r="1010" spans="1:15" x14ac:dyDescent="0.25">
      <c r="A1010" s="6">
        <v>4770</v>
      </c>
      <c r="B1010" s="1" t="s">
        <v>1014</v>
      </c>
      <c r="C1010" s="3">
        <v>6.3370750000000005</v>
      </c>
      <c r="D1010" s="1" t="s">
        <v>1182</v>
      </c>
      <c r="E1010" s="3">
        <f t="shared" si="75"/>
        <v>99.381558912000003</v>
      </c>
      <c r="F1010" s="3">
        <v>76.63779367262724</v>
      </c>
      <c r="G1010" s="4">
        <f t="shared" si="77"/>
        <v>99.381558912000003</v>
      </c>
      <c r="H1010" s="1">
        <v>13.06</v>
      </c>
      <c r="I1010" s="1">
        <f t="shared" si="78"/>
        <v>15.67</v>
      </c>
      <c r="J1010" s="1" t="s">
        <v>1182</v>
      </c>
      <c r="K1010" s="3">
        <f t="shared" si="79"/>
        <v>116.72921471999999</v>
      </c>
      <c r="L1010" s="10">
        <f t="shared" si="76"/>
        <v>0.17455608462894934</v>
      </c>
      <c r="M1010" s="18" t="str">
        <f>VLOOKUP(A1010,Список!A:I,9,0)</f>
        <v>Основной ассортимент</v>
      </c>
      <c r="N1010" s="12"/>
      <c r="O1010" s="11"/>
    </row>
    <row r="1011" spans="1:15" x14ac:dyDescent="0.25">
      <c r="A1011" s="6">
        <v>4775</v>
      </c>
      <c r="B1011" s="1" t="s">
        <v>1015</v>
      </c>
      <c r="C1011" s="3">
        <v>8.2877919999999996</v>
      </c>
      <c r="D1011" s="1" t="s">
        <v>1182</v>
      </c>
      <c r="E1011" s="3">
        <f t="shared" si="75"/>
        <v>129.97379530751996</v>
      </c>
      <c r="F1011" s="3">
        <v>97.022071988595869</v>
      </c>
      <c r="G1011" s="4">
        <f t="shared" si="77"/>
        <v>129.97379530751996</v>
      </c>
      <c r="H1011" s="1">
        <v>17.54</v>
      </c>
      <c r="I1011" s="1">
        <f t="shared" si="78"/>
        <v>21.05</v>
      </c>
      <c r="J1011" s="1" t="s">
        <v>1182</v>
      </c>
      <c r="K1011" s="3">
        <f t="shared" si="79"/>
        <v>156.80599679999997</v>
      </c>
      <c r="L1011" s="10">
        <f t="shared" si="76"/>
        <v>0.20644316363151982</v>
      </c>
      <c r="M1011" s="18" t="str">
        <f>VLOOKUP(A1011,Список!A:I,9,0)</f>
        <v>Основной ассортимент</v>
      </c>
      <c r="N1011" s="12"/>
      <c r="O1011" s="11"/>
    </row>
    <row r="1012" spans="1:15" x14ac:dyDescent="0.25">
      <c r="A1012" s="6">
        <v>4771</v>
      </c>
      <c r="B1012" s="1" t="s">
        <v>1016</v>
      </c>
      <c r="C1012" s="3">
        <v>8.1334979999999995</v>
      </c>
      <c r="D1012" s="1" t="s">
        <v>1182</v>
      </c>
      <c r="E1012" s="3">
        <f t="shared" si="75"/>
        <v>127.55407039487999</v>
      </c>
      <c r="F1012" s="3">
        <v>98.293766497461931</v>
      </c>
      <c r="G1012" s="4">
        <f t="shared" si="77"/>
        <v>127.55407039487999</v>
      </c>
      <c r="H1012" s="1">
        <v>16.72</v>
      </c>
      <c r="I1012" s="1">
        <f t="shared" si="78"/>
        <v>20.059999999999999</v>
      </c>
      <c r="J1012" s="1" t="s">
        <v>1182</v>
      </c>
      <c r="K1012" s="3">
        <f t="shared" si="79"/>
        <v>149.43127295999997</v>
      </c>
      <c r="L1012" s="10">
        <f t="shared" si="76"/>
        <v>0.17151316690555518</v>
      </c>
      <c r="M1012" s="18" t="str">
        <f>VLOOKUP(A1012,Список!A:I,9,0)</f>
        <v>Основной ассортимент</v>
      </c>
      <c r="N1012" s="12"/>
      <c r="O1012" s="11"/>
    </row>
    <row r="1013" spans="1:15" x14ac:dyDescent="0.25">
      <c r="A1013" s="6">
        <v>4788</v>
      </c>
      <c r="B1013" s="1" t="s">
        <v>1017</v>
      </c>
      <c r="C1013" s="3">
        <v>13.809313</v>
      </c>
      <c r="D1013" s="1" t="s">
        <v>1182</v>
      </c>
      <c r="E1013" s="3">
        <f t="shared" si="75"/>
        <v>216.56537968128001</v>
      </c>
      <c r="F1013" s="3">
        <v>173.86657425742575</v>
      </c>
      <c r="G1013" s="4">
        <f t="shared" si="77"/>
        <v>216.56537968128001</v>
      </c>
      <c r="H1013" s="1">
        <v>29.45</v>
      </c>
      <c r="I1013" s="1">
        <f t="shared" si="78"/>
        <v>35.340000000000003</v>
      </c>
      <c r="J1013" s="1" t="s">
        <v>1182</v>
      </c>
      <c r="K1013" s="3">
        <f t="shared" si="79"/>
        <v>263.25529344</v>
      </c>
      <c r="L1013" s="10">
        <f t="shared" si="76"/>
        <v>0.21559269458227215</v>
      </c>
      <c r="M1013" s="18" t="str">
        <f>VLOOKUP(A1013,Список!A:I,9,0)</f>
        <v>Основной ассортимент</v>
      </c>
      <c r="N1013" s="12"/>
      <c r="O1013" s="11"/>
    </row>
    <row r="1014" spans="1:15" x14ac:dyDescent="0.25">
      <c r="A1014" s="6">
        <v>4780</v>
      </c>
      <c r="B1014" s="1" t="s">
        <v>1018</v>
      </c>
      <c r="C1014" s="3">
        <v>13.721145</v>
      </c>
      <c r="D1014" s="1" t="s">
        <v>1182</v>
      </c>
      <c r="E1014" s="3">
        <f t="shared" si="75"/>
        <v>215.18267973119998</v>
      </c>
      <c r="F1014" s="3">
        <v>168.00810526315789</v>
      </c>
      <c r="G1014" s="4">
        <f t="shared" si="77"/>
        <v>215.18267973119998</v>
      </c>
      <c r="H1014" s="1">
        <v>28.82</v>
      </c>
      <c r="I1014" s="1">
        <f t="shared" si="78"/>
        <v>34.58</v>
      </c>
      <c r="J1014" s="1" t="s">
        <v>1182</v>
      </c>
      <c r="K1014" s="3">
        <f t="shared" si="79"/>
        <v>257.59388927999993</v>
      </c>
      <c r="L1014" s="10">
        <f t="shared" si="76"/>
        <v>0.19709397430024955</v>
      </c>
      <c r="M1014" s="18" t="str">
        <f>VLOOKUP(A1014,Список!A:I,9,0)</f>
        <v>Основной ассортимент</v>
      </c>
      <c r="N1014" s="12"/>
      <c r="O1014" s="11"/>
    </row>
    <row r="1015" spans="1:15" x14ac:dyDescent="0.25">
      <c r="A1015" s="6">
        <v>4782</v>
      </c>
      <c r="B1015" s="1" t="s">
        <v>1019</v>
      </c>
      <c r="C1015" s="3">
        <v>36.104795999999993</v>
      </c>
      <c r="D1015" s="1" t="s">
        <v>1182</v>
      </c>
      <c r="E1015" s="3">
        <f t="shared" si="75"/>
        <v>566.21562955775983</v>
      </c>
      <c r="F1015" s="3">
        <v>416.02999204771373</v>
      </c>
      <c r="G1015" s="4">
        <f t="shared" si="77"/>
        <v>566.21562955775983</v>
      </c>
      <c r="H1015" s="1">
        <v>77.64</v>
      </c>
      <c r="I1015" s="1">
        <f t="shared" si="78"/>
        <v>93.17</v>
      </c>
      <c r="J1015" s="1" t="s">
        <v>1182</v>
      </c>
      <c r="K1015" s="3">
        <f t="shared" si="79"/>
        <v>694.04345471999989</v>
      </c>
      <c r="L1015" s="10">
        <f t="shared" si="76"/>
        <v>0.22575820674904268</v>
      </c>
      <c r="M1015" s="18" t="str">
        <f>VLOOKUP(A1015,Список!A:I,9,0)</f>
        <v>Основной ассортимент</v>
      </c>
      <c r="N1015" s="12"/>
      <c r="O1015" s="11"/>
    </row>
    <row r="1016" spans="1:15" x14ac:dyDescent="0.25">
      <c r="A1016" s="6">
        <v>4781</v>
      </c>
      <c r="B1016" s="1" t="s">
        <v>1020</v>
      </c>
      <c r="C1016" s="3">
        <v>23.529835000000002</v>
      </c>
      <c r="D1016" s="1" t="s">
        <v>1182</v>
      </c>
      <c r="E1016" s="3">
        <f t="shared" si="75"/>
        <v>369.00804917760001</v>
      </c>
      <c r="F1016" s="3">
        <v>0</v>
      </c>
      <c r="G1016" s="4">
        <f t="shared" si="77"/>
        <v>369.00804917760001</v>
      </c>
      <c r="H1016" s="1">
        <v>50.08</v>
      </c>
      <c r="I1016" s="1">
        <f t="shared" si="78"/>
        <v>60.1</v>
      </c>
      <c r="J1016" s="1" t="s">
        <v>1182</v>
      </c>
      <c r="K1016" s="3">
        <f t="shared" si="79"/>
        <v>447.69788159999996</v>
      </c>
      <c r="L1016" s="10">
        <f t="shared" si="76"/>
        <v>0.21324692672090539</v>
      </c>
      <c r="M1016" s="18" t="str">
        <f>VLOOKUP(A1016,Список!A:I,9,0)</f>
        <v>Основной ассортимент</v>
      </c>
      <c r="N1016" s="12"/>
      <c r="O1016" s="11"/>
    </row>
    <row r="1017" spans="1:15" x14ac:dyDescent="0.25">
      <c r="A1017" s="6">
        <v>4783</v>
      </c>
      <c r="B1017" s="1" t="s">
        <v>1021</v>
      </c>
      <c r="C1017" s="3">
        <v>54.091068</v>
      </c>
      <c r="D1017" s="1" t="s">
        <v>1182</v>
      </c>
      <c r="E1017" s="3">
        <f t="shared" si="75"/>
        <v>848.28641937407997</v>
      </c>
      <c r="F1017" s="3">
        <v>636.96748453608245</v>
      </c>
      <c r="G1017" s="4">
        <f t="shared" si="77"/>
        <v>848.28641937407997</v>
      </c>
      <c r="H1017" s="1">
        <v>116.92</v>
      </c>
      <c r="I1017" s="1">
        <f t="shared" si="78"/>
        <v>140.30000000000001</v>
      </c>
      <c r="J1017" s="1" t="s">
        <v>1182</v>
      </c>
      <c r="K1017" s="3">
        <f t="shared" si="79"/>
        <v>1045.1250047999999</v>
      </c>
      <c r="L1017" s="10">
        <f t="shared" si="76"/>
        <v>0.2320425989740118</v>
      </c>
      <c r="M1017" s="18" t="str">
        <f>VLOOKUP(A1017,Список!A:I,9,0)</f>
        <v>Основной ассортимент</v>
      </c>
      <c r="N1017" s="12"/>
      <c r="O1017" s="11"/>
    </row>
    <row r="1018" spans="1:15" x14ac:dyDescent="0.25">
      <c r="A1018" s="6">
        <v>4776</v>
      </c>
      <c r="B1018" s="1" t="s">
        <v>1022</v>
      </c>
      <c r="C1018" s="3">
        <v>6.6456630000000008</v>
      </c>
      <c r="D1018" s="1" t="s">
        <v>1182</v>
      </c>
      <c r="E1018" s="3">
        <f t="shared" si="75"/>
        <v>104.22100873728002</v>
      </c>
      <c r="F1018" s="3">
        <v>84.54</v>
      </c>
      <c r="G1018" s="4">
        <f t="shared" si="77"/>
        <v>104.22100873728002</v>
      </c>
      <c r="H1018" s="1">
        <v>14.17</v>
      </c>
      <c r="I1018" s="1">
        <f t="shared" si="78"/>
        <v>17</v>
      </c>
      <c r="J1018" s="1" t="s">
        <v>1182</v>
      </c>
      <c r="K1018" s="3">
        <f t="shared" si="79"/>
        <v>126.63667199999999</v>
      </c>
      <c r="L1018" s="10">
        <f t="shared" si="76"/>
        <v>0.21507816451120054</v>
      </c>
      <c r="M1018" s="18" t="str">
        <f>VLOOKUP(A1018,Список!A:I,9,0)</f>
        <v>Основной ассортимент</v>
      </c>
      <c r="N1018" s="12"/>
      <c r="O1018" s="11"/>
    </row>
    <row r="1019" spans="1:15" x14ac:dyDescent="0.25">
      <c r="A1019" s="6">
        <v>4772</v>
      </c>
      <c r="B1019" s="1" t="s">
        <v>1023</v>
      </c>
      <c r="C1019" s="3">
        <v>6.5464740000000008</v>
      </c>
      <c r="D1019" s="1" t="s">
        <v>1182</v>
      </c>
      <c r="E1019" s="3">
        <f t="shared" si="75"/>
        <v>102.66547129344001</v>
      </c>
      <c r="F1019" s="3">
        <v>78.880812609457095</v>
      </c>
      <c r="G1019" s="4">
        <f t="shared" si="77"/>
        <v>102.66547129344001</v>
      </c>
      <c r="H1019" s="1">
        <v>13.93</v>
      </c>
      <c r="I1019" s="1">
        <f t="shared" si="78"/>
        <v>16.72</v>
      </c>
      <c r="J1019" s="1" t="s">
        <v>1182</v>
      </c>
      <c r="K1019" s="3">
        <f t="shared" si="79"/>
        <v>124.55089151999996</v>
      </c>
      <c r="L1019" s="10">
        <f t="shared" si="76"/>
        <v>0.2131721595472611</v>
      </c>
      <c r="M1019" s="18" t="str">
        <f>VLOOKUP(A1019,Список!A:I,9,0)</f>
        <v>Основной ассортимент</v>
      </c>
      <c r="N1019" s="12"/>
      <c r="O1019" s="11"/>
    </row>
    <row r="1020" spans="1:15" x14ac:dyDescent="0.25">
      <c r="A1020" s="6">
        <v>4777</v>
      </c>
      <c r="B1020" s="1" t="s">
        <v>1024</v>
      </c>
      <c r="C1020" s="3">
        <v>8.8388419999999996</v>
      </c>
      <c r="D1020" s="1" t="s">
        <v>1182</v>
      </c>
      <c r="E1020" s="3">
        <f t="shared" ref="E1020:E1083" si="80">IF(D1020="RUB",C1020*1.2,C1020*$E$2*1.2)</f>
        <v>138.61566999551997</v>
      </c>
      <c r="F1020" s="3">
        <v>0</v>
      </c>
      <c r="G1020" s="4">
        <f t="shared" si="77"/>
        <v>138.61566999551997</v>
      </c>
      <c r="H1020" s="1">
        <v>18.850000000000001</v>
      </c>
      <c r="I1020" s="1">
        <f t="shared" si="78"/>
        <v>22.62</v>
      </c>
      <c r="J1020" s="1" t="s">
        <v>1182</v>
      </c>
      <c r="K1020" s="3">
        <f t="shared" si="79"/>
        <v>168.50126592000001</v>
      </c>
      <c r="L1020" s="10">
        <f t="shared" ref="L1020:L1083" si="81">K1020/E1020-1</f>
        <v>0.21560041462445012</v>
      </c>
      <c r="M1020" s="18" t="str">
        <f>VLOOKUP(A1020,Список!A:I,9,0)</f>
        <v>Основной ассортимент</v>
      </c>
      <c r="N1020" s="12"/>
      <c r="O1020" s="11"/>
    </row>
    <row r="1021" spans="1:15" x14ac:dyDescent="0.25">
      <c r="A1021" s="6">
        <v>4773</v>
      </c>
      <c r="B1021" s="1" t="s">
        <v>1025</v>
      </c>
      <c r="C1021" s="3">
        <v>8.5522959999999983</v>
      </c>
      <c r="D1021" s="1" t="s">
        <v>1182</v>
      </c>
      <c r="E1021" s="3">
        <f t="shared" si="80"/>
        <v>134.12189515775995</v>
      </c>
      <c r="F1021" s="3">
        <v>106.75247619047619</v>
      </c>
      <c r="G1021" s="4">
        <f t="shared" si="77"/>
        <v>134.12189515775995</v>
      </c>
      <c r="H1021" s="1">
        <v>18.36</v>
      </c>
      <c r="I1021" s="1">
        <f t="shared" si="78"/>
        <v>22.03</v>
      </c>
      <c r="J1021" s="1" t="s">
        <v>1182</v>
      </c>
      <c r="K1021" s="3">
        <f t="shared" si="79"/>
        <v>164.10622848</v>
      </c>
      <c r="L1021" s="10">
        <f t="shared" si="81"/>
        <v>0.22356031643432406</v>
      </c>
      <c r="M1021" s="18" t="str">
        <f>VLOOKUP(A1021,Список!A:I,9,0)</f>
        <v>Основной ассортимент</v>
      </c>
      <c r="N1021" s="12"/>
      <c r="O1021" s="11"/>
    </row>
    <row r="1022" spans="1:15" x14ac:dyDescent="0.25">
      <c r="A1022" s="6">
        <v>4789</v>
      </c>
      <c r="B1022" s="1" t="s">
        <v>1026</v>
      </c>
      <c r="C1022" s="3">
        <v>14.823244999999998</v>
      </c>
      <c r="D1022" s="1" t="s">
        <v>1182</v>
      </c>
      <c r="E1022" s="3">
        <f t="shared" si="80"/>
        <v>232.46642910719996</v>
      </c>
      <c r="F1022" s="3">
        <v>180.44474666666665</v>
      </c>
      <c r="G1022" s="4">
        <f t="shared" si="77"/>
        <v>232.46642910719996</v>
      </c>
      <c r="H1022" s="1">
        <v>31.65</v>
      </c>
      <c r="I1022" s="1">
        <f t="shared" si="78"/>
        <v>37.979999999999997</v>
      </c>
      <c r="J1022" s="1" t="s">
        <v>1182</v>
      </c>
      <c r="K1022" s="3">
        <f t="shared" si="79"/>
        <v>282.92122367999997</v>
      </c>
      <c r="L1022" s="10">
        <f t="shared" si="81"/>
        <v>0.21704120791365189</v>
      </c>
      <c r="M1022" s="18" t="str">
        <f>VLOOKUP(A1022,Список!A:I,9,0)</f>
        <v>Основной ассортимент</v>
      </c>
      <c r="N1022" s="12"/>
      <c r="O1022" s="11"/>
    </row>
    <row r="1023" spans="1:15" x14ac:dyDescent="0.25">
      <c r="A1023" s="6">
        <v>4784</v>
      </c>
      <c r="B1023" s="1" t="s">
        <v>1027</v>
      </c>
      <c r="C1023" s="3">
        <v>15.153874999999999</v>
      </c>
      <c r="D1023" s="1" t="s">
        <v>1182</v>
      </c>
      <c r="E1023" s="3">
        <f t="shared" si="80"/>
        <v>237.65155391999997</v>
      </c>
      <c r="F1023" s="3">
        <v>184.35879545454543</v>
      </c>
      <c r="G1023" s="4">
        <f t="shared" si="77"/>
        <v>237.65155391999997</v>
      </c>
      <c r="H1023" s="1">
        <v>32.299999999999997</v>
      </c>
      <c r="I1023" s="1">
        <f t="shared" si="78"/>
        <v>38.76</v>
      </c>
      <c r="J1023" s="1" t="s">
        <v>1182</v>
      </c>
      <c r="K1023" s="3">
        <f t="shared" si="79"/>
        <v>288.73161215999994</v>
      </c>
      <c r="L1023" s="10">
        <f t="shared" si="81"/>
        <v>0.21493677359751207</v>
      </c>
      <c r="M1023" s="18" t="str">
        <f>VLOOKUP(A1023,Список!A:I,9,0)</f>
        <v>Основной ассортимент</v>
      </c>
      <c r="N1023" s="12"/>
      <c r="O1023" s="11"/>
    </row>
    <row r="1024" spans="1:15" x14ac:dyDescent="0.25">
      <c r="A1024" s="6">
        <v>4786</v>
      </c>
      <c r="B1024" s="1" t="s">
        <v>1028</v>
      </c>
      <c r="C1024" s="3">
        <v>38.650647000000006</v>
      </c>
      <c r="D1024" s="1" t="s">
        <v>1182</v>
      </c>
      <c r="E1024" s="3">
        <f t="shared" si="80"/>
        <v>606.14109061632007</v>
      </c>
      <c r="F1024" s="3">
        <v>461.54686666666669</v>
      </c>
      <c r="G1024" s="4">
        <f t="shared" si="77"/>
        <v>606.14109061632007</v>
      </c>
      <c r="H1024" s="1">
        <v>82.19</v>
      </c>
      <c r="I1024" s="1">
        <f t="shared" si="78"/>
        <v>98.63</v>
      </c>
      <c r="J1024" s="1" t="s">
        <v>1182</v>
      </c>
      <c r="K1024" s="3">
        <f t="shared" si="79"/>
        <v>734.71617407999986</v>
      </c>
      <c r="L1024" s="10">
        <f t="shared" si="81"/>
        <v>0.21212071818616618</v>
      </c>
      <c r="M1024" s="18" t="str">
        <f>VLOOKUP(A1024,Список!A:I,9,0)</f>
        <v>Основной ассортимент</v>
      </c>
      <c r="N1024" s="12"/>
      <c r="O1024" s="11"/>
    </row>
    <row r="1025" spans="1:15" x14ac:dyDescent="0.25">
      <c r="A1025" s="6">
        <v>4785</v>
      </c>
      <c r="B1025" s="1" t="s">
        <v>1029</v>
      </c>
      <c r="C1025" s="3">
        <v>25.359321000000001</v>
      </c>
      <c r="D1025" s="1" t="s">
        <v>1182</v>
      </c>
      <c r="E1025" s="3">
        <f t="shared" si="80"/>
        <v>397.69907314175998</v>
      </c>
      <c r="F1025" s="3">
        <v>323.34548571428564</v>
      </c>
      <c r="G1025" s="4">
        <f t="shared" si="77"/>
        <v>397.69907314175998</v>
      </c>
      <c r="H1025" s="1">
        <v>53.97</v>
      </c>
      <c r="I1025" s="1">
        <f t="shared" si="78"/>
        <v>64.760000000000005</v>
      </c>
      <c r="J1025" s="1" t="s">
        <v>1182</v>
      </c>
      <c r="K1025" s="3">
        <f t="shared" si="79"/>
        <v>482.41122816000001</v>
      </c>
      <c r="L1025" s="10">
        <f t="shared" si="81"/>
        <v>0.21300566367687845</v>
      </c>
      <c r="M1025" s="18" t="str">
        <f>VLOOKUP(A1025,Список!A:I,9,0)</f>
        <v>Основной ассортимент</v>
      </c>
      <c r="N1025" s="12"/>
      <c r="O1025" s="11"/>
    </row>
    <row r="1026" spans="1:15" x14ac:dyDescent="0.25">
      <c r="A1026" s="6">
        <v>4787</v>
      </c>
      <c r="B1026" s="1" t="s">
        <v>1030</v>
      </c>
      <c r="C1026" s="3">
        <v>58.290069000000003</v>
      </c>
      <c r="D1026" s="1" t="s">
        <v>1182</v>
      </c>
      <c r="E1026" s="3">
        <f t="shared" si="80"/>
        <v>914.13750449663996</v>
      </c>
      <c r="F1026" s="3">
        <v>680.33368421052626</v>
      </c>
      <c r="G1026" s="4">
        <f t="shared" si="77"/>
        <v>914.13750449663996</v>
      </c>
      <c r="H1026" s="1">
        <v>123.92</v>
      </c>
      <c r="I1026" s="1">
        <f t="shared" si="78"/>
        <v>148.69999999999999</v>
      </c>
      <c r="J1026" s="1" t="s">
        <v>1182</v>
      </c>
      <c r="K1026" s="3">
        <f t="shared" si="79"/>
        <v>1107.6984191999998</v>
      </c>
      <c r="L1026" s="10">
        <f t="shared" si="81"/>
        <v>0.21174157470975019</v>
      </c>
      <c r="M1026" s="18" t="str">
        <f>VLOOKUP(A1026,Список!A:I,9,0)</f>
        <v>Основной ассортимент</v>
      </c>
      <c r="N1026" s="12"/>
      <c r="O1026" s="11"/>
    </row>
    <row r="1027" spans="1:15" x14ac:dyDescent="0.25">
      <c r="A1027" s="6">
        <v>4778</v>
      </c>
      <c r="B1027" s="1" t="s">
        <v>1031</v>
      </c>
      <c r="C1027" s="3">
        <v>9.202535000000001</v>
      </c>
      <c r="D1027" s="1" t="s">
        <v>1182</v>
      </c>
      <c r="E1027" s="3">
        <f t="shared" si="80"/>
        <v>144.3193072896</v>
      </c>
      <c r="F1027" s="3">
        <v>108.72239365918099</v>
      </c>
      <c r="G1027" s="4">
        <f t="shared" si="77"/>
        <v>144.3193072896</v>
      </c>
      <c r="H1027" s="1">
        <v>19.579999999999998</v>
      </c>
      <c r="I1027" s="1">
        <f t="shared" si="78"/>
        <v>23.5</v>
      </c>
      <c r="J1027" s="1" t="s">
        <v>1182</v>
      </c>
      <c r="K1027" s="3">
        <f t="shared" si="79"/>
        <v>175.05657599999998</v>
      </c>
      <c r="L1027" s="10">
        <f t="shared" si="81"/>
        <v>0.21298098839069879</v>
      </c>
      <c r="M1027" s="18" t="str">
        <f>VLOOKUP(A1027,Список!A:I,9,0)</f>
        <v>Основной ассортимент</v>
      </c>
      <c r="N1027" s="12"/>
      <c r="O1027" s="11"/>
    </row>
    <row r="1028" spans="1:15" x14ac:dyDescent="0.25">
      <c r="A1028" s="6">
        <v>4779</v>
      </c>
      <c r="B1028" s="1" t="s">
        <v>1032</v>
      </c>
      <c r="C1028" s="3">
        <v>13.236221</v>
      </c>
      <c r="D1028" s="1" t="s">
        <v>1182</v>
      </c>
      <c r="E1028" s="3">
        <f t="shared" si="80"/>
        <v>207.57783000576001</v>
      </c>
      <c r="F1028" s="3">
        <v>165.15960975609755</v>
      </c>
      <c r="G1028" s="4">
        <f t="shared" si="77"/>
        <v>207.57783000576001</v>
      </c>
      <c r="H1028" s="1">
        <v>28.76</v>
      </c>
      <c r="I1028" s="1">
        <f t="shared" si="78"/>
        <v>34.51</v>
      </c>
      <c r="J1028" s="1" t="s">
        <v>1182</v>
      </c>
      <c r="K1028" s="3">
        <f t="shared" si="79"/>
        <v>257.07244415999997</v>
      </c>
      <c r="L1028" s="10">
        <f t="shared" si="81"/>
        <v>0.23843882630850577</v>
      </c>
      <c r="M1028" s="18" t="str">
        <f>VLOOKUP(A1028,Список!A:I,9,0)</f>
        <v>Основной ассортимент</v>
      </c>
      <c r="N1028" s="12"/>
      <c r="O1028" s="11"/>
    </row>
    <row r="1029" spans="1:15" x14ac:dyDescent="0.25">
      <c r="A1029" s="6">
        <v>4790</v>
      </c>
      <c r="B1029" s="1" t="s">
        <v>1033</v>
      </c>
      <c r="C1029" s="3">
        <v>24.676019000000004</v>
      </c>
      <c r="D1029" s="1" t="s">
        <v>1182</v>
      </c>
      <c r="E1029" s="3">
        <f t="shared" si="80"/>
        <v>386.98314852864002</v>
      </c>
      <c r="F1029" s="3">
        <v>298.42492035398232</v>
      </c>
      <c r="G1029" s="4">
        <f t="shared" si="77"/>
        <v>386.98314852864002</v>
      </c>
      <c r="H1029" s="1">
        <v>52.56</v>
      </c>
      <c r="I1029" s="1">
        <f t="shared" si="78"/>
        <v>63.07</v>
      </c>
      <c r="J1029" s="1" t="s">
        <v>1182</v>
      </c>
      <c r="K1029" s="3">
        <f t="shared" si="79"/>
        <v>469.82205311999991</v>
      </c>
      <c r="L1029" s="10">
        <f t="shared" si="81"/>
        <v>0.21406333817460554</v>
      </c>
      <c r="M1029" s="18" t="str">
        <f>VLOOKUP(A1029,Список!A:I,9,0)</f>
        <v>Основной ассортимент</v>
      </c>
      <c r="N1029" s="12"/>
      <c r="O1029" s="11"/>
    </row>
    <row r="1030" spans="1:15" x14ac:dyDescent="0.25">
      <c r="A1030" s="6">
        <v>4791</v>
      </c>
      <c r="B1030" s="1" t="s">
        <v>1034</v>
      </c>
      <c r="C1030" s="3">
        <v>39.289864999999999</v>
      </c>
      <c r="D1030" s="1" t="s">
        <v>1182</v>
      </c>
      <c r="E1030" s="3">
        <f t="shared" si="80"/>
        <v>616.16566525439998</v>
      </c>
      <c r="F1030" s="3">
        <v>459.01031578947374</v>
      </c>
      <c r="G1030" s="4">
        <f t="shared" ref="G1030:G1093" si="82">IF(M1030="Вывод из ассортимента",F1030,MAX(E1030,F1030))</f>
        <v>616.16566525439998</v>
      </c>
      <c r="H1030" s="1">
        <v>83.93</v>
      </c>
      <c r="I1030" s="1">
        <f t="shared" ref="I1030:I1093" si="83">ROUND(H1030*1.2,2)</f>
        <v>100.72</v>
      </c>
      <c r="J1030" s="1" t="s">
        <v>1182</v>
      </c>
      <c r="K1030" s="3">
        <f t="shared" ref="K1030:K1093" si="84">IF(J1030="RUB",I1030*$K$4,I1030*$E$2*$K$4)</f>
        <v>750.28503551999995</v>
      </c>
      <c r="L1030" s="10">
        <f t="shared" si="81"/>
        <v>0.21766771150778963</v>
      </c>
      <c r="M1030" s="18" t="str">
        <f>VLOOKUP(A1030,Список!A:I,9,0)</f>
        <v>Основной ассортимент</v>
      </c>
      <c r="N1030" s="12"/>
      <c r="O1030" s="11"/>
    </row>
    <row r="1031" spans="1:15" x14ac:dyDescent="0.25">
      <c r="A1031" s="6">
        <v>7103</v>
      </c>
      <c r="B1031" s="1" t="s">
        <v>1035</v>
      </c>
      <c r="C1031" s="3">
        <v>20.311703000000001</v>
      </c>
      <c r="D1031" s="1" t="s">
        <v>1182</v>
      </c>
      <c r="E1031" s="3">
        <f t="shared" si="80"/>
        <v>318.53950099968</v>
      </c>
      <c r="F1031" s="3">
        <v>290.94133142448106</v>
      </c>
      <c r="G1031" s="4">
        <f t="shared" si="82"/>
        <v>318.53950099968</v>
      </c>
      <c r="H1031" s="1">
        <v>48.86</v>
      </c>
      <c r="I1031" s="1">
        <f t="shared" si="83"/>
        <v>58.63</v>
      </c>
      <c r="J1031" s="1" t="s">
        <v>1182</v>
      </c>
      <c r="K1031" s="3">
        <f t="shared" si="84"/>
        <v>436.74753407999998</v>
      </c>
      <c r="L1031" s="10">
        <f t="shared" si="81"/>
        <v>0.37109379750186378</v>
      </c>
      <c r="M1031" s="18" t="str">
        <f>VLOOKUP(A1031,Список!A:I,9,0)</f>
        <v>Основной ассортимент</v>
      </c>
      <c r="N1031" s="12"/>
      <c r="O1031" s="11"/>
    </row>
    <row r="1032" spans="1:15" x14ac:dyDescent="0.25">
      <c r="A1032" s="6">
        <v>7106</v>
      </c>
      <c r="B1032" s="1" t="s">
        <v>1036</v>
      </c>
      <c r="C1032" s="3">
        <v>20.708459000000001</v>
      </c>
      <c r="D1032" s="1" t="s">
        <v>1182</v>
      </c>
      <c r="E1032" s="3">
        <f t="shared" si="80"/>
        <v>324.76165077503998</v>
      </c>
      <c r="F1032" s="3">
        <v>173.24324175824174</v>
      </c>
      <c r="G1032" s="4">
        <f t="shared" si="82"/>
        <v>324.76165077503998</v>
      </c>
      <c r="H1032" s="1">
        <v>51.71</v>
      </c>
      <c r="I1032" s="1">
        <f t="shared" si="83"/>
        <v>62.05</v>
      </c>
      <c r="J1032" s="1" t="s">
        <v>1182</v>
      </c>
      <c r="K1032" s="3">
        <f t="shared" si="84"/>
        <v>462.22385279999992</v>
      </c>
      <c r="L1032" s="10">
        <f t="shared" si="81"/>
        <v>0.42327104107553315</v>
      </c>
      <c r="M1032" s="18" t="str">
        <f>VLOOKUP(A1032,Список!A:I,9,0)</f>
        <v>Основной ассортимент</v>
      </c>
      <c r="N1032" s="12"/>
      <c r="O1032" s="11"/>
    </row>
    <row r="1033" spans="1:15" x14ac:dyDescent="0.25">
      <c r="A1033" s="6">
        <v>7107</v>
      </c>
      <c r="B1033" s="1" t="s">
        <v>1037</v>
      </c>
      <c r="C1033" s="3">
        <v>8.8939470000000007</v>
      </c>
      <c r="D1033" s="1" t="s">
        <v>1182</v>
      </c>
      <c r="E1033" s="3">
        <f t="shared" si="80"/>
        <v>139.47985746431999</v>
      </c>
      <c r="F1033" s="3">
        <v>130.8053693413639</v>
      </c>
      <c r="G1033" s="4">
        <f t="shared" si="82"/>
        <v>139.47985746431999</v>
      </c>
      <c r="H1033" s="1">
        <v>18.87</v>
      </c>
      <c r="I1033" s="1">
        <f t="shared" si="83"/>
        <v>22.64</v>
      </c>
      <c r="J1033" s="1" t="s">
        <v>1182</v>
      </c>
      <c r="K1033" s="3">
        <f t="shared" si="84"/>
        <v>168.65025023999999</v>
      </c>
      <c r="L1033" s="10">
        <f t="shared" si="81"/>
        <v>0.20913695572955415</v>
      </c>
      <c r="M1033" s="18" t="str">
        <f>VLOOKUP(A1033,Список!A:I,9,0)</f>
        <v>Основной ассортимент</v>
      </c>
      <c r="N1033" s="12"/>
      <c r="O1033" s="11"/>
    </row>
    <row r="1034" spans="1:15" x14ac:dyDescent="0.25">
      <c r="A1034" s="6">
        <v>7101</v>
      </c>
      <c r="B1034" s="1" t="s">
        <v>1038</v>
      </c>
      <c r="C1034" s="3">
        <v>8.9380309999999987</v>
      </c>
      <c r="D1034" s="1" t="s">
        <v>1182</v>
      </c>
      <c r="E1034" s="3">
        <f t="shared" si="80"/>
        <v>140.17120743935996</v>
      </c>
      <c r="F1034" s="3">
        <v>124.4532890459364</v>
      </c>
      <c r="G1034" s="4">
        <f t="shared" si="82"/>
        <v>140.17120743935996</v>
      </c>
      <c r="H1034" s="1">
        <v>19.82</v>
      </c>
      <c r="I1034" s="1">
        <f t="shared" si="83"/>
        <v>23.78</v>
      </c>
      <c r="J1034" s="1" t="s">
        <v>1182</v>
      </c>
      <c r="K1034" s="3">
        <f t="shared" si="84"/>
        <v>177.14235647999999</v>
      </c>
      <c r="L1034" s="10">
        <f t="shared" si="81"/>
        <v>0.26375708475390192</v>
      </c>
      <c r="M1034" s="18" t="str">
        <f>VLOOKUP(A1034,Список!A:I,9,0)</f>
        <v>Основной ассортимент</v>
      </c>
      <c r="N1034" s="12"/>
      <c r="O1034" s="11"/>
    </row>
    <row r="1035" spans="1:15" x14ac:dyDescent="0.25">
      <c r="A1035" s="6">
        <v>7109</v>
      </c>
      <c r="B1035" s="1" t="s">
        <v>1039</v>
      </c>
      <c r="C1035" s="3">
        <v>8.9049680000000002</v>
      </c>
      <c r="D1035" s="1" t="s">
        <v>1182</v>
      </c>
      <c r="E1035" s="3">
        <f t="shared" si="80"/>
        <v>139.65269495807999</v>
      </c>
      <c r="F1035" s="3">
        <v>95.030831235143935</v>
      </c>
      <c r="G1035" s="4">
        <f t="shared" si="82"/>
        <v>139.65269495807999</v>
      </c>
      <c r="H1035" s="1">
        <v>19.7</v>
      </c>
      <c r="I1035" s="1">
        <f t="shared" si="83"/>
        <v>23.64</v>
      </c>
      <c r="J1035" s="1" t="s">
        <v>1182</v>
      </c>
      <c r="K1035" s="3">
        <f t="shared" si="84"/>
        <v>176.09946624</v>
      </c>
      <c r="L1035" s="10">
        <f t="shared" si="81"/>
        <v>0.26098151054557417</v>
      </c>
      <c r="M1035" s="18" t="str">
        <f>VLOOKUP(A1035,Список!A:I,9,0)</f>
        <v>Основной ассортимент</v>
      </c>
      <c r="N1035" s="12"/>
      <c r="O1035" s="11"/>
    </row>
    <row r="1036" spans="1:15" x14ac:dyDescent="0.25">
      <c r="A1036" s="6">
        <v>7104</v>
      </c>
      <c r="B1036" s="1" t="s">
        <v>1040</v>
      </c>
      <c r="C1036" s="3">
        <v>8.9600730000000013</v>
      </c>
      <c r="D1036" s="1" t="s">
        <v>1182</v>
      </c>
      <c r="E1036" s="3">
        <f t="shared" si="80"/>
        <v>140.51688242688002</v>
      </c>
      <c r="F1036" s="3">
        <v>129.32095659798333</v>
      </c>
      <c r="G1036" s="4">
        <f t="shared" si="82"/>
        <v>140.51688242688002</v>
      </c>
      <c r="H1036" s="1">
        <v>20.74</v>
      </c>
      <c r="I1036" s="1">
        <f t="shared" si="83"/>
        <v>24.89</v>
      </c>
      <c r="J1036" s="1" t="s">
        <v>1182</v>
      </c>
      <c r="K1036" s="3">
        <f t="shared" si="84"/>
        <v>185.41098623999997</v>
      </c>
      <c r="L1036" s="10">
        <f t="shared" si="81"/>
        <v>0.31949259788396778</v>
      </c>
      <c r="M1036" s="18" t="str">
        <f>VLOOKUP(A1036,Список!A:I,9,0)</f>
        <v>Основной ассортимент</v>
      </c>
      <c r="N1036" s="12"/>
      <c r="O1036" s="11"/>
    </row>
    <row r="1037" spans="1:15" x14ac:dyDescent="0.25">
      <c r="A1037" s="6">
        <v>7108</v>
      </c>
      <c r="B1037" s="1" t="s">
        <v>1041</v>
      </c>
      <c r="C1037" s="3">
        <v>11.197336</v>
      </c>
      <c r="D1037" s="1" t="s">
        <v>1182</v>
      </c>
      <c r="E1037" s="3">
        <f t="shared" si="80"/>
        <v>175.60289366015999</v>
      </c>
      <c r="F1037" s="3">
        <v>162.42615625875104</v>
      </c>
      <c r="G1037" s="4">
        <f t="shared" si="82"/>
        <v>175.60289366015999</v>
      </c>
      <c r="H1037" s="1">
        <v>27.44</v>
      </c>
      <c r="I1037" s="1">
        <f t="shared" si="83"/>
        <v>32.93</v>
      </c>
      <c r="J1037" s="1" t="s">
        <v>1182</v>
      </c>
      <c r="K1037" s="3">
        <f t="shared" si="84"/>
        <v>245.30268287999996</v>
      </c>
      <c r="L1037" s="10">
        <f t="shared" si="81"/>
        <v>0.3969170881359636</v>
      </c>
      <c r="M1037" s="18" t="str">
        <f>VLOOKUP(A1037,Список!A:I,9,0)</f>
        <v>Основной ассортимент</v>
      </c>
      <c r="N1037" s="12"/>
      <c r="O1037" s="11"/>
    </row>
    <row r="1038" spans="1:15" x14ac:dyDescent="0.25">
      <c r="A1038" s="6">
        <v>7102</v>
      </c>
      <c r="B1038" s="1" t="s">
        <v>1042</v>
      </c>
      <c r="C1038" s="3">
        <v>11.572049999999999</v>
      </c>
      <c r="D1038" s="1" t="s">
        <v>1182</v>
      </c>
      <c r="E1038" s="3">
        <f t="shared" si="80"/>
        <v>181.47936844799997</v>
      </c>
      <c r="F1038" s="3">
        <v>163.80868325242719</v>
      </c>
      <c r="G1038" s="4">
        <f t="shared" si="82"/>
        <v>181.47936844799997</v>
      </c>
      <c r="H1038" s="1">
        <v>28.49</v>
      </c>
      <c r="I1038" s="1">
        <f t="shared" si="83"/>
        <v>34.19</v>
      </c>
      <c r="J1038" s="1" t="s">
        <v>1182</v>
      </c>
      <c r="K1038" s="3">
        <f t="shared" si="84"/>
        <v>254.68869503999994</v>
      </c>
      <c r="L1038" s="10">
        <f t="shared" si="81"/>
        <v>0.40340302712138287</v>
      </c>
      <c r="M1038" s="18" t="str">
        <f>VLOOKUP(A1038,Список!A:I,9,0)</f>
        <v>Основной ассортимент</v>
      </c>
      <c r="N1038" s="12"/>
      <c r="O1038" s="11"/>
    </row>
    <row r="1039" spans="1:15" x14ac:dyDescent="0.25">
      <c r="A1039" s="6">
        <v>7110</v>
      </c>
      <c r="B1039" s="1" t="s">
        <v>1043</v>
      </c>
      <c r="C1039" s="3">
        <v>11.109168</v>
      </c>
      <c r="D1039" s="1" t="s">
        <v>1182</v>
      </c>
      <c r="E1039" s="3">
        <f t="shared" si="80"/>
        <v>174.22019371008</v>
      </c>
      <c r="F1039" s="3">
        <v>154.26908258848766</v>
      </c>
      <c r="G1039" s="4">
        <f t="shared" si="82"/>
        <v>174.22019371008</v>
      </c>
      <c r="H1039" s="1">
        <v>28.98</v>
      </c>
      <c r="I1039" s="1">
        <f t="shared" si="83"/>
        <v>34.78</v>
      </c>
      <c r="J1039" s="1" t="s">
        <v>1182</v>
      </c>
      <c r="K1039" s="3">
        <f t="shared" si="84"/>
        <v>259.08373247999998</v>
      </c>
      <c r="L1039" s="10">
        <f t="shared" si="81"/>
        <v>0.4871050649337556</v>
      </c>
      <c r="M1039" s="18" t="str">
        <f>VLOOKUP(A1039,Список!A:I,9,0)</f>
        <v>Основной ассортимент</v>
      </c>
      <c r="N1039" s="12"/>
      <c r="O1039" s="11"/>
    </row>
    <row r="1040" spans="1:15" x14ac:dyDescent="0.25">
      <c r="A1040" s="6">
        <v>7105</v>
      </c>
      <c r="B1040" s="1" t="s">
        <v>1044</v>
      </c>
      <c r="C1040" s="3">
        <v>11.494903000000001</v>
      </c>
      <c r="D1040" s="1" t="s">
        <v>1182</v>
      </c>
      <c r="E1040" s="3">
        <f t="shared" si="80"/>
        <v>180.26950599168001</v>
      </c>
      <c r="F1040" s="3">
        <v>156.77331086474499</v>
      </c>
      <c r="G1040" s="4">
        <f t="shared" si="82"/>
        <v>180.26950599168001</v>
      </c>
      <c r="H1040" s="1">
        <v>29.59</v>
      </c>
      <c r="I1040" s="1">
        <f t="shared" si="83"/>
        <v>35.51</v>
      </c>
      <c r="J1040" s="1" t="s">
        <v>1182</v>
      </c>
      <c r="K1040" s="3">
        <f t="shared" si="84"/>
        <v>264.52166015999995</v>
      </c>
      <c r="L1040" s="10">
        <f t="shared" si="81"/>
        <v>0.46736775421245369</v>
      </c>
      <c r="M1040" s="18" t="str">
        <f>VLOOKUP(A1040,Список!A:I,9,0)</f>
        <v>Основной ассортимент</v>
      </c>
      <c r="N1040" s="12"/>
      <c r="O1040" s="11"/>
    </row>
    <row r="1041" spans="1:15" x14ac:dyDescent="0.25">
      <c r="A1041" s="6">
        <v>1534</v>
      </c>
      <c r="B1041" s="1" t="s">
        <v>1045</v>
      </c>
      <c r="C1041" s="3">
        <v>9.7511399999999995</v>
      </c>
      <c r="D1041" s="1" t="s">
        <v>1182</v>
      </c>
      <c r="E1041" s="3">
        <f t="shared" si="80"/>
        <v>152.92283811839999</v>
      </c>
      <c r="F1041" s="3">
        <v>129.75855222088833</v>
      </c>
      <c r="G1041" s="4">
        <f t="shared" si="82"/>
        <v>152.92283811839999</v>
      </c>
      <c r="H1041" s="1">
        <v>23.38</v>
      </c>
      <c r="I1041" s="1">
        <f t="shared" si="83"/>
        <v>28.06</v>
      </c>
      <c r="J1041" s="1" t="s">
        <v>1182</v>
      </c>
      <c r="K1041" s="3">
        <f t="shared" si="84"/>
        <v>209.02500095999994</v>
      </c>
      <c r="L1041" s="10">
        <f t="shared" si="81"/>
        <v>0.36686582286789005</v>
      </c>
      <c r="M1041" s="18" t="str">
        <f>VLOOKUP(A1041,Список!A:I,9,0)</f>
        <v>Основной ассортимент</v>
      </c>
      <c r="N1041" s="12"/>
      <c r="O1041" s="11"/>
    </row>
    <row r="1042" spans="1:15" x14ac:dyDescent="0.25">
      <c r="A1042" s="6">
        <v>1536</v>
      </c>
      <c r="B1042" s="1" t="s">
        <v>1046</v>
      </c>
      <c r="C1042" s="3">
        <v>12.36</v>
      </c>
      <c r="D1042" s="1" t="s">
        <v>1182</v>
      </c>
      <c r="E1042" s="3">
        <f t="shared" si="80"/>
        <v>193.83644159999997</v>
      </c>
      <c r="F1042" s="3">
        <v>135.00234782608695</v>
      </c>
      <c r="G1042" s="4">
        <f t="shared" si="82"/>
        <v>135.00234782608695</v>
      </c>
      <c r="H1042" s="1">
        <v>23.38</v>
      </c>
      <c r="I1042" s="1">
        <f t="shared" si="83"/>
        <v>28.06</v>
      </c>
      <c r="J1042" s="1" t="s">
        <v>1182</v>
      </c>
      <c r="K1042" s="3">
        <f t="shared" si="84"/>
        <v>209.02500095999994</v>
      </c>
      <c r="L1042" s="10">
        <f t="shared" si="81"/>
        <v>7.8357605177993284E-2</v>
      </c>
      <c r="M1042" s="18" t="str">
        <f>VLOOKUP(A1042,Список!A:I,9,0)</f>
        <v>Вывод из ассортимента</v>
      </c>
      <c r="N1042" s="12"/>
      <c r="O1042" s="11"/>
    </row>
    <row r="1043" spans="1:15" x14ac:dyDescent="0.25">
      <c r="A1043" s="6">
        <v>1535</v>
      </c>
      <c r="B1043" s="1" t="s">
        <v>1047</v>
      </c>
      <c r="C1043" s="3">
        <v>12.36</v>
      </c>
      <c r="D1043" s="1" t="s">
        <v>1182</v>
      </c>
      <c r="E1043" s="3">
        <f t="shared" si="80"/>
        <v>193.83644159999997</v>
      </c>
      <c r="F1043" s="3">
        <v>132.26660869565217</v>
      </c>
      <c r="G1043" s="4">
        <f t="shared" si="82"/>
        <v>132.26660869565217</v>
      </c>
      <c r="H1043" s="1">
        <v>23.38</v>
      </c>
      <c r="I1043" s="1">
        <f t="shared" si="83"/>
        <v>28.06</v>
      </c>
      <c r="J1043" s="1" t="s">
        <v>1182</v>
      </c>
      <c r="K1043" s="3">
        <f t="shared" si="84"/>
        <v>209.02500095999994</v>
      </c>
      <c r="L1043" s="10">
        <f t="shared" si="81"/>
        <v>7.8357605177993284E-2</v>
      </c>
      <c r="M1043" s="18" t="str">
        <f>VLOOKUP(A1043,Список!A:I,9,0)</f>
        <v>Вывод из ассортимента</v>
      </c>
      <c r="N1043" s="12"/>
      <c r="O1043" s="11"/>
    </row>
    <row r="1044" spans="1:15" x14ac:dyDescent="0.25">
      <c r="A1044" s="6">
        <v>1708</v>
      </c>
      <c r="B1044" s="1" t="s">
        <v>1048</v>
      </c>
      <c r="C1044" s="3">
        <v>5.3037000000000001</v>
      </c>
      <c r="D1044" s="1" t="s">
        <v>1182</v>
      </c>
      <c r="E1044" s="3">
        <f t="shared" si="80"/>
        <v>83.175593471999989</v>
      </c>
      <c r="F1044" s="3">
        <v>70.206623185960183</v>
      </c>
      <c r="G1044" s="4">
        <f t="shared" si="82"/>
        <v>83.175593471999989</v>
      </c>
      <c r="H1044" s="1">
        <v>12.39</v>
      </c>
      <c r="I1044" s="1">
        <f t="shared" si="83"/>
        <v>14.87</v>
      </c>
      <c r="J1044" s="1" t="s">
        <v>1182</v>
      </c>
      <c r="K1044" s="3">
        <f t="shared" si="84"/>
        <v>110.76984191999998</v>
      </c>
      <c r="L1044" s="10">
        <f t="shared" si="81"/>
        <v>0.33175896072553113</v>
      </c>
      <c r="M1044" s="18" t="str">
        <f>VLOOKUP(A1044,Список!A:I,9,0)</f>
        <v>Основной ассортимент</v>
      </c>
      <c r="N1044" s="12"/>
      <c r="O1044" s="11"/>
    </row>
    <row r="1045" spans="1:15" x14ac:dyDescent="0.25">
      <c r="A1045" s="6">
        <v>1709</v>
      </c>
      <c r="B1045" s="1" t="s">
        <v>1049</v>
      </c>
      <c r="C1045" s="3">
        <v>5.44428</v>
      </c>
      <c r="D1045" s="1" t="s">
        <v>1182</v>
      </c>
      <c r="E1045" s="3">
        <f t="shared" si="80"/>
        <v>85.380247756799989</v>
      </c>
      <c r="F1045" s="3">
        <v>72.679384982121576</v>
      </c>
      <c r="G1045" s="4">
        <f t="shared" si="82"/>
        <v>85.380247756799989</v>
      </c>
      <c r="H1045" s="1">
        <v>12.26</v>
      </c>
      <c r="I1045" s="1">
        <f t="shared" si="83"/>
        <v>14.71</v>
      </c>
      <c r="J1045" s="1" t="s">
        <v>1182</v>
      </c>
      <c r="K1045" s="3">
        <f t="shared" si="84"/>
        <v>109.57796736</v>
      </c>
      <c r="L1045" s="10">
        <f t="shared" si="81"/>
        <v>0.28341121323664487</v>
      </c>
      <c r="M1045" s="18" t="str">
        <f>VLOOKUP(A1045,Список!A:I,9,0)</f>
        <v>Основной ассортимент</v>
      </c>
      <c r="N1045" s="12"/>
      <c r="O1045" s="11"/>
    </row>
    <row r="1046" spans="1:15" x14ac:dyDescent="0.25">
      <c r="A1046" s="6">
        <v>1710</v>
      </c>
      <c r="B1046" s="1" t="s">
        <v>1050</v>
      </c>
      <c r="C1046" s="3">
        <v>5.5081799999999994</v>
      </c>
      <c r="D1046" s="1" t="s">
        <v>1182</v>
      </c>
      <c r="E1046" s="3">
        <f t="shared" si="80"/>
        <v>86.382363340799984</v>
      </c>
      <c r="F1046" s="3">
        <v>71.138432432432424</v>
      </c>
      <c r="G1046" s="4">
        <f t="shared" si="82"/>
        <v>86.382363340799984</v>
      </c>
      <c r="H1046" s="1">
        <v>12.27</v>
      </c>
      <c r="I1046" s="1">
        <f t="shared" si="83"/>
        <v>14.72</v>
      </c>
      <c r="J1046" s="1" t="s">
        <v>1182</v>
      </c>
      <c r="K1046" s="3">
        <f t="shared" si="84"/>
        <v>109.65245951999999</v>
      </c>
      <c r="L1046" s="10">
        <f t="shared" si="81"/>
        <v>0.2693848058705417</v>
      </c>
      <c r="M1046" s="18" t="str">
        <f>VLOOKUP(A1046,Список!A:I,9,0)</f>
        <v>Основной ассортимент</v>
      </c>
      <c r="N1046" s="12"/>
      <c r="O1046" s="11"/>
    </row>
    <row r="1047" spans="1:15" x14ac:dyDescent="0.25">
      <c r="A1047" s="6">
        <v>3770</v>
      </c>
      <c r="B1047" s="1" t="s">
        <v>1051</v>
      </c>
      <c r="C1047" s="3">
        <v>5.5907499999999999</v>
      </c>
      <c r="D1047" s="1" t="s">
        <v>1182</v>
      </c>
      <c r="E1047" s="3">
        <f t="shared" si="80"/>
        <v>87.67727232</v>
      </c>
      <c r="F1047" s="3">
        <v>72.630483769633514</v>
      </c>
      <c r="G1047" s="4">
        <f t="shared" si="82"/>
        <v>87.67727232</v>
      </c>
      <c r="H1047" s="1">
        <v>13.17</v>
      </c>
      <c r="I1047" s="1">
        <f t="shared" si="83"/>
        <v>15.8</v>
      </c>
      <c r="J1047" s="1" t="s">
        <v>1182</v>
      </c>
      <c r="K1047" s="3">
        <f t="shared" si="84"/>
        <v>117.69761279999999</v>
      </c>
      <c r="L1047" s="10">
        <f t="shared" si="81"/>
        <v>0.34239592183517398</v>
      </c>
      <c r="M1047" s="18" t="str">
        <f>VLOOKUP(A1047,Список!A:I,9,0)</f>
        <v>Основной ассортимент</v>
      </c>
      <c r="N1047" s="12"/>
      <c r="O1047" s="11"/>
    </row>
    <row r="1048" spans="1:15" x14ac:dyDescent="0.25">
      <c r="A1048" s="6">
        <v>3771</v>
      </c>
      <c r="B1048" s="1" t="s">
        <v>1052</v>
      </c>
      <c r="C1048" s="3">
        <v>5.7555299999999994</v>
      </c>
      <c r="D1048" s="1" t="s">
        <v>1182</v>
      </c>
      <c r="E1048" s="3">
        <f t="shared" si="80"/>
        <v>90.261444556799987</v>
      </c>
      <c r="F1048" s="3">
        <v>82.393104294478519</v>
      </c>
      <c r="G1048" s="4">
        <f t="shared" si="82"/>
        <v>90.261444556799987</v>
      </c>
      <c r="H1048" s="1">
        <v>13.96</v>
      </c>
      <c r="I1048" s="1">
        <f t="shared" si="83"/>
        <v>16.75</v>
      </c>
      <c r="J1048" s="1" t="s">
        <v>1182</v>
      </c>
      <c r="K1048" s="3">
        <f t="shared" si="84"/>
        <v>124.774368</v>
      </c>
      <c r="L1048" s="10">
        <f t="shared" si="81"/>
        <v>0.38236617652935534</v>
      </c>
      <c r="M1048" s="18" t="str">
        <f>VLOOKUP(A1048,Список!A:I,9,0)</f>
        <v>Основной ассортимент</v>
      </c>
      <c r="N1048" s="12"/>
      <c r="O1048" s="11"/>
    </row>
    <row r="1049" spans="1:15" x14ac:dyDescent="0.25">
      <c r="A1049" s="6">
        <v>3772</v>
      </c>
      <c r="B1049" s="1" t="s">
        <v>1053</v>
      </c>
      <c r="C1049" s="3">
        <v>5.9320800000000009</v>
      </c>
      <c r="D1049" s="1" t="s">
        <v>1182</v>
      </c>
      <c r="E1049" s="3">
        <f t="shared" si="80"/>
        <v>93.030200524800009</v>
      </c>
      <c r="F1049" s="3">
        <v>85.103978910369079</v>
      </c>
      <c r="G1049" s="4">
        <f t="shared" si="82"/>
        <v>93.030200524800009</v>
      </c>
      <c r="H1049" s="1">
        <v>14.61</v>
      </c>
      <c r="I1049" s="1">
        <f t="shared" si="83"/>
        <v>17.53</v>
      </c>
      <c r="J1049" s="1" t="s">
        <v>1182</v>
      </c>
      <c r="K1049" s="3">
        <f t="shared" si="84"/>
        <v>130.58475648000001</v>
      </c>
      <c r="L1049" s="10">
        <f t="shared" si="81"/>
        <v>0.40368133942900286</v>
      </c>
      <c r="M1049" s="18" t="str">
        <f>VLOOKUP(A1049,Список!A:I,9,0)</f>
        <v>Основной ассортимент</v>
      </c>
      <c r="N1049" s="12"/>
      <c r="O1049" s="11"/>
    </row>
    <row r="1050" spans="1:15" x14ac:dyDescent="0.25">
      <c r="A1050" s="6">
        <v>5180</v>
      </c>
      <c r="B1050" s="1" t="s">
        <v>1054</v>
      </c>
      <c r="C1050" s="3">
        <v>89.561999999999998</v>
      </c>
      <c r="D1050" s="1" t="s">
        <v>1182</v>
      </c>
      <c r="E1050" s="3">
        <f t="shared" si="80"/>
        <v>1404.5614387199998</v>
      </c>
      <c r="F1050" s="3">
        <v>1172.8266785494775</v>
      </c>
      <c r="G1050" s="4">
        <f t="shared" si="82"/>
        <v>1404.5614387199998</v>
      </c>
      <c r="H1050" s="1">
        <v>189.33</v>
      </c>
      <c r="I1050" s="1">
        <f t="shared" si="83"/>
        <v>227.2</v>
      </c>
      <c r="J1050" s="1" t="s">
        <v>1182</v>
      </c>
      <c r="K1050" s="3">
        <f t="shared" si="84"/>
        <v>1692.4618751999997</v>
      </c>
      <c r="L1050" s="10">
        <f t="shared" si="81"/>
        <v>0.20497532435631172</v>
      </c>
      <c r="M1050" s="18" t="str">
        <f>VLOOKUP(A1050,Список!A:I,9,0)</f>
        <v>Новинка</v>
      </c>
      <c r="N1050" s="12"/>
      <c r="O1050" s="11"/>
    </row>
    <row r="1051" spans="1:15" x14ac:dyDescent="0.25">
      <c r="A1051" s="6">
        <v>5181</v>
      </c>
      <c r="B1051" s="1" t="s">
        <v>1055</v>
      </c>
      <c r="C1051" s="3">
        <v>98.589500000000001</v>
      </c>
      <c r="D1051" s="1" t="s">
        <v>1182</v>
      </c>
      <c r="E1051" s="3">
        <f t="shared" si="80"/>
        <v>1546.1357491199999</v>
      </c>
      <c r="F1051" s="3">
        <v>1204.8497521090201</v>
      </c>
      <c r="G1051" s="4">
        <f t="shared" si="82"/>
        <v>1546.1357491199999</v>
      </c>
      <c r="H1051" s="1">
        <v>207.53</v>
      </c>
      <c r="I1051" s="1">
        <f t="shared" si="83"/>
        <v>249.04</v>
      </c>
      <c r="J1051" s="1" t="s">
        <v>1182</v>
      </c>
      <c r="K1051" s="3">
        <f t="shared" si="84"/>
        <v>1855.1527526399996</v>
      </c>
      <c r="L1051" s="10">
        <f t="shared" si="81"/>
        <v>0.19986408288915136</v>
      </c>
      <c r="M1051" s="18" t="str">
        <f>VLOOKUP(A1051,Список!A:I,9,0)</f>
        <v>Новинка</v>
      </c>
      <c r="N1051" s="12"/>
      <c r="O1051" s="11"/>
    </row>
    <row r="1052" spans="1:15" x14ac:dyDescent="0.25">
      <c r="A1052" s="6">
        <v>5182</v>
      </c>
      <c r="B1052" s="1" t="s">
        <v>1056</v>
      </c>
      <c r="C1052" s="3">
        <v>108.0425</v>
      </c>
      <c r="D1052" s="1" t="s">
        <v>1182</v>
      </c>
      <c r="E1052" s="3">
        <f t="shared" si="80"/>
        <v>1694.3829888</v>
      </c>
      <c r="F1052" s="3">
        <v>1295.4362262016964</v>
      </c>
      <c r="G1052" s="4">
        <f t="shared" si="82"/>
        <v>1694.3829888</v>
      </c>
      <c r="H1052" s="1">
        <v>244.52</v>
      </c>
      <c r="I1052" s="1">
        <f t="shared" si="83"/>
        <v>293.42</v>
      </c>
      <c r="J1052" s="1" t="s">
        <v>1182</v>
      </c>
      <c r="K1052" s="3">
        <f t="shared" si="84"/>
        <v>2185.7489587199998</v>
      </c>
      <c r="L1052" s="10">
        <f t="shared" si="81"/>
        <v>0.28999699192447403</v>
      </c>
      <c r="M1052" s="18" t="str">
        <f>VLOOKUP(A1052,Список!A:I,9,0)</f>
        <v>Новинка</v>
      </c>
      <c r="N1052" s="12"/>
      <c r="O1052" s="11"/>
    </row>
    <row r="1053" spans="1:15" x14ac:dyDescent="0.25">
      <c r="A1053" s="6">
        <v>5185</v>
      </c>
      <c r="B1053" s="1" t="s">
        <v>1057</v>
      </c>
      <c r="C1053" s="3">
        <v>90.711999999999989</v>
      </c>
      <c r="D1053" s="1" t="s">
        <v>1182</v>
      </c>
      <c r="E1053" s="3">
        <f t="shared" si="80"/>
        <v>1422.5963827199996</v>
      </c>
      <c r="F1053" s="3">
        <v>1080.4616756349005</v>
      </c>
      <c r="G1053" s="4">
        <f t="shared" si="82"/>
        <v>1422.5963827199996</v>
      </c>
      <c r="H1053" s="1">
        <v>189.87</v>
      </c>
      <c r="I1053" s="1">
        <f t="shared" si="83"/>
        <v>227.84</v>
      </c>
      <c r="J1053" s="1" t="s">
        <v>1182</v>
      </c>
      <c r="K1053" s="3">
        <f t="shared" si="84"/>
        <v>1697.2293734399998</v>
      </c>
      <c r="L1053" s="10">
        <f t="shared" si="81"/>
        <v>0.19305053355675117</v>
      </c>
      <c r="M1053" s="18" t="str">
        <f>VLOOKUP(A1053,Список!A:I,9,0)</f>
        <v>Новинка</v>
      </c>
      <c r="N1053" s="12"/>
      <c r="O1053" s="11"/>
    </row>
    <row r="1054" spans="1:15" x14ac:dyDescent="0.25">
      <c r="A1054" s="6">
        <v>5186</v>
      </c>
      <c r="B1054" s="1" t="s">
        <v>1058</v>
      </c>
      <c r="C1054" s="3">
        <v>99.739500000000007</v>
      </c>
      <c r="D1054" s="1" t="s">
        <v>1182</v>
      </c>
      <c r="E1054" s="3">
        <f t="shared" si="80"/>
        <v>1564.1706931199999</v>
      </c>
      <c r="F1054" s="3">
        <v>1190.7193703041146</v>
      </c>
      <c r="G1054" s="4">
        <f t="shared" si="82"/>
        <v>1564.1706931199999</v>
      </c>
      <c r="H1054" s="1">
        <v>208</v>
      </c>
      <c r="I1054" s="1">
        <f t="shared" si="83"/>
        <v>249.6</v>
      </c>
      <c r="J1054" s="1" t="s">
        <v>1182</v>
      </c>
      <c r="K1054" s="3">
        <f t="shared" si="84"/>
        <v>1859.3243135999999</v>
      </c>
      <c r="L1054" s="10">
        <f t="shared" si="81"/>
        <v>0.18869655452453649</v>
      </c>
      <c r="M1054" s="18" t="str">
        <f>VLOOKUP(A1054,Список!A:I,9,0)</f>
        <v>Новинка</v>
      </c>
      <c r="N1054" s="12"/>
      <c r="O1054" s="11"/>
    </row>
    <row r="1055" spans="1:15" x14ac:dyDescent="0.25">
      <c r="A1055" s="6">
        <v>5187</v>
      </c>
      <c r="B1055" s="1" t="s">
        <v>1059</v>
      </c>
      <c r="C1055" s="3">
        <v>109.1925</v>
      </c>
      <c r="D1055" s="1" t="s">
        <v>1182</v>
      </c>
      <c r="E1055" s="3">
        <f t="shared" si="80"/>
        <v>1712.4179327999998</v>
      </c>
      <c r="F1055" s="3">
        <v>1300.693971891892</v>
      </c>
      <c r="G1055" s="4">
        <f t="shared" si="82"/>
        <v>1712.4179327999998</v>
      </c>
      <c r="H1055" s="1">
        <v>245.02</v>
      </c>
      <c r="I1055" s="1">
        <f t="shared" si="83"/>
        <v>294.02</v>
      </c>
      <c r="J1055" s="1" t="s">
        <v>1182</v>
      </c>
      <c r="K1055" s="3">
        <f t="shared" si="84"/>
        <v>2190.2184883199998</v>
      </c>
      <c r="L1055" s="10">
        <f t="shared" si="81"/>
        <v>0.27902099503171018</v>
      </c>
      <c r="M1055" s="18" t="str">
        <f>VLOOKUP(A1055,Список!A:I,9,0)</f>
        <v>Новинка</v>
      </c>
      <c r="N1055" s="12"/>
      <c r="O1055" s="11"/>
    </row>
    <row r="1056" spans="1:15" x14ac:dyDescent="0.25">
      <c r="A1056" s="6">
        <v>5101</v>
      </c>
      <c r="B1056" s="1" t="s">
        <v>1060</v>
      </c>
      <c r="C1056" s="3">
        <v>373.26</v>
      </c>
      <c r="D1056" s="1" t="s">
        <v>1182</v>
      </c>
      <c r="E1056" s="3">
        <f t="shared" si="80"/>
        <v>5853.6723455999991</v>
      </c>
      <c r="F1056" s="3">
        <v>4890.8302647887322</v>
      </c>
      <c r="G1056" s="4">
        <f t="shared" si="82"/>
        <v>5853.6723455999991</v>
      </c>
      <c r="H1056" s="1">
        <v>904.63</v>
      </c>
      <c r="I1056" s="1">
        <f t="shared" si="83"/>
        <v>1085.56</v>
      </c>
      <c r="J1056" s="1" t="s">
        <v>1182</v>
      </c>
      <c r="K1056" s="3">
        <f t="shared" si="84"/>
        <v>8086.5709209599991</v>
      </c>
      <c r="L1056" s="10">
        <f t="shared" si="81"/>
        <v>0.38145260676204251</v>
      </c>
      <c r="M1056" s="18" t="str">
        <f>VLOOKUP(A1056,Список!A:I,9,0)</f>
        <v>Новинка</v>
      </c>
      <c r="N1056" s="12"/>
      <c r="O1056" s="11"/>
    </row>
    <row r="1057" spans="1:15" x14ac:dyDescent="0.25">
      <c r="A1057" s="6">
        <v>5102</v>
      </c>
      <c r="B1057" s="1" t="s">
        <v>1061</v>
      </c>
      <c r="C1057" s="3">
        <v>383.85599999999999</v>
      </c>
      <c r="D1057" s="1" t="s">
        <v>1182</v>
      </c>
      <c r="E1057" s="3">
        <f t="shared" si="80"/>
        <v>6019.8447513599995</v>
      </c>
      <c r="F1057" s="3">
        <v>4935.035468354431</v>
      </c>
      <c r="G1057" s="4">
        <f t="shared" si="82"/>
        <v>6019.8447513599995</v>
      </c>
      <c r="H1057" s="1">
        <v>934.54</v>
      </c>
      <c r="I1057" s="1">
        <f t="shared" si="83"/>
        <v>1121.45</v>
      </c>
      <c r="J1057" s="1" t="s">
        <v>1182</v>
      </c>
      <c r="K1057" s="3">
        <f t="shared" si="84"/>
        <v>8353.9232831999998</v>
      </c>
      <c r="L1057" s="10">
        <f t="shared" si="81"/>
        <v>0.38773068546538303</v>
      </c>
      <c r="M1057" s="18" t="str">
        <f>VLOOKUP(A1057,Список!A:I,9,0)</f>
        <v>Новинка</v>
      </c>
      <c r="N1057" s="12"/>
      <c r="O1057" s="11"/>
    </row>
    <row r="1058" spans="1:15" x14ac:dyDescent="0.25">
      <c r="A1058" s="6">
        <v>5103</v>
      </c>
      <c r="B1058" s="1" t="s">
        <v>1062</v>
      </c>
      <c r="C1058" s="3">
        <v>396.38400000000001</v>
      </c>
      <c r="D1058" s="1" t="s">
        <v>1182</v>
      </c>
      <c r="E1058" s="3">
        <f t="shared" si="80"/>
        <v>6216.3158630400003</v>
      </c>
      <c r="F1058" s="3">
        <v>5024.0144455958552</v>
      </c>
      <c r="G1058" s="4">
        <f t="shared" si="82"/>
        <v>6216.3158630400003</v>
      </c>
      <c r="H1058" s="1">
        <v>964.66</v>
      </c>
      <c r="I1058" s="1">
        <f t="shared" si="83"/>
        <v>1157.5899999999999</v>
      </c>
      <c r="J1058" s="1" t="s">
        <v>1182</v>
      </c>
      <c r="K1058" s="3">
        <f t="shared" si="84"/>
        <v>8623.1379494399971</v>
      </c>
      <c r="L1058" s="10">
        <f t="shared" si="81"/>
        <v>0.38717821607330216</v>
      </c>
      <c r="M1058" s="18" t="str">
        <f>VLOOKUP(A1058,Список!A:I,9,0)</f>
        <v>Новинка</v>
      </c>
      <c r="N1058" s="12"/>
      <c r="O1058" s="11"/>
    </row>
    <row r="1059" spans="1:15" x14ac:dyDescent="0.25">
      <c r="A1059" s="6">
        <v>5120</v>
      </c>
      <c r="B1059" s="1" t="s">
        <v>1063</v>
      </c>
      <c r="C1059" s="3">
        <v>287.892</v>
      </c>
      <c r="D1059" s="1" t="s">
        <v>1182</v>
      </c>
      <c r="E1059" s="3">
        <f t="shared" si="80"/>
        <v>4514.8835635199994</v>
      </c>
      <c r="F1059" s="3">
        <v>3691.5358456591639</v>
      </c>
      <c r="G1059" s="4">
        <f t="shared" si="82"/>
        <v>4514.8835635199994</v>
      </c>
      <c r="H1059" s="1">
        <v>650</v>
      </c>
      <c r="I1059" s="1">
        <f t="shared" si="83"/>
        <v>780</v>
      </c>
      <c r="J1059" s="1" t="s">
        <v>1182</v>
      </c>
      <c r="K1059" s="3">
        <f t="shared" si="84"/>
        <v>5810.3884799999987</v>
      </c>
      <c r="L1059" s="10">
        <f t="shared" si="81"/>
        <v>0.28694093618440242</v>
      </c>
      <c r="M1059" s="18" t="str">
        <f>VLOOKUP(A1059,Список!A:I,9,0)</f>
        <v>Новинка</v>
      </c>
      <c r="N1059" s="12"/>
      <c r="O1059" s="11"/>
    </row>
    <row r="1060" spans="1:15" x14ac:dyDescent="0.25">
      <c r="A1060" s="6">
        <v>2671</v>
      </c>
      <c r="B1060" s="1" t="s">
        <v>1064</v>
      </c>
      <c r="C1060" s="3">
        <v>28.324999999999999</v>
      </c>
      <c r="D1060" s="1" t="s">
        <v>1182</v>
      </c>
      <c r="E1060" s="3">
        <f t="shared" si="80"/>
        <v>444.20851199999993</v>
      </c>
      <c r="F1060" s="3">
        <v>394.07472577319584</v>
      </c>
      <c r="G1060" s="4">
        <f t="shared" si="82"/>
        <v>444.20851199999993</v>
      </c>
      <c r="H1060" s="1">
        <v>66.27</v>
      </c>
      <c r="I1060" s="1">
        <f t="shared" si="83"/>
        <v>79.52</v>
      </c>
      <c r="J1060" s="1" t="s">
        <v>1182</v>
      </c>
      <c r="K1060" s="3">
        <f t="shared" si="84"/>
        <v>592.36165631999984</v>
      </c>
      <c r="L1060" s="10">
        <f t="shared" si="81"/>
        <v>0.33352162400706065</v>
      </c>
      <c r="M1060" s="18" t="str">
        <f>VLOOKUP(A1060,Список!A:I,9,0)</f>
        <v>Основной ассортимент</v>
      </c>
      <c r="N1060" s="12"/>
      <c r="O1060" s="11"/>
    </row>
    <row r="1061" spans="1:15" x14ac:dyDescent="0.25">
      <c r="A1061" s="6">
        <v>2672</v>
      </c>
      <c r="B1061" s="1" t="s">
        <v>1065</v>
      </c>
      <c r="C1061" s="3">
        <v>30.024500000000003</v>
      </c>
      <c r="D1061" s="1" t="s">
        <v>1182</v>
      </c>
      <c r="E1061" s="3">
        <f t="shared" si="80"/>
        <v>470.86102271999999</v>
      </c>
      <c r="F1061" s="3">
        <v>420.47810724365007</v>
      </c>
      <c r="G1061" s="4">
        <f t="shared" si="82"/>
        <v>470.86102271999999</v>
      </c>
      <c r="H1061" s="1">
        <v>70.25</v>
      </c>
      <c r="I1061" s="1">
        <f t="shared" si="83"/>
        <v>84.3</v>
      </c>
      <c r="J1061" s="1" t="s">
        <v>1182</v>
      </c>
      <c r="K1061" s="3">
        <f t="shared" si="84"/>
        <v>627.96890879999989</v>
      </c>
      <c r="L1061" s="10">
        <f t="shared" si="81"/>
        <v>0.33366084364435689</v>
      </c>
      <c r="M1061" s="18" t="str">
        <f>VLOOKUP(A1061,Список!A:I,9,0)</f>
        <v>Основной ассортимент</v>
      </c>
      <c r="N1061" s="12"/>
      <c r="O1061" s="11"/>
    </row>
    <row r="1062" spans="1:15" x14ac:dyDescent="0.25">
      <c r="A1062" s="6">
        <v>5164</v>
      </c>
      <c r="B1062" s="1" t="s">
        <v>1066</v>
      </c>
      <c r="C1062" s="3">
        <v>180.488</v>
      </c>
      <c r="D1062" s="1" t="s">
        <v>1182</v>
      </c>
      <c r="E1062" s="3">
        <f t="shared" si="80"/>
        <v>2830.5138892800001</v>
      </c>
      <c r="F1062" s="3">
        <v>1874.7805696846387</v>
      </c>
      <c r="G1062" s="4">
        <f t="shared" si="82"/>
        <v>2830.5138892800001</v>
      </c>
      <c r="H1062" s="1">
        <v>444.89</v>
      </c>
      <c r="I1062" s="1">
        <f t="shared" si="83"/>
        <v>533.87</v>
      </c>
      <c r="J1062" s="1" t="s">
        <v>1182</v>
      </c>
      <c r="K1062" s="3">
        <f t="shared" si="84"/>
        <v>3976.9129459199999</v>
      </c>
      <c r="L1062" s="10">
        <f t="shared" si="81"/>
        <v>0.40501446079517733</v>
      </c>
      <c r="M1062" s="18" t="str">
        <f>VLOOKUP(A1062,Список!A:I,9,0)</f>
        <v>Новинка</v>
      </c>
      <c r="N1062" s="12"/>
      <c r="O1062" s="11"/>
    </row>
    <row r="1063" spans="1:15" x14ac:dyDescent="0.25">
      <c r="A1063" s="6">
        <v>5162</v>
      </c>
      <c r="B1063" s="1" t="s">
        <v>1067</v>
      </c>
      <c r="C1063" s="3">
        <v>159.04</v>
      </c>
      <c r="D1063" s="1" t="s">
        <v>1182</v>
      </c>
      <c r="E1063" s="3">
        <f t="shared" si="80"/>
        <v>2494.1543423999997</v>
      </c>
      <c r="F1063" s="3">
        <v>1651.9940130932898</v>
      </c>
      <c r="G1063" s="4">
        <f t="shared" si="82"/>
        <v>2494.1543423999997</v>
      </c>
      <c r="H1063" s="1">
        <v>392.02</v>
      </c>
      <c r="I1063" s="1">
        <f t="shared" si="83"/>
        <v>470.42</v>
      </c>
      <c r="J1063" s="1" t="s">
        <v>1182</v>
      </c>
      <c r="K1063" s="3">
        <f t="shared" si="84"/>
        <v>3504.2601907199996</v>
      </c>
      <c r="L1063" s="10">
        <f t="shared" si="81"/>
        <v>0.40498931086519119</v>
      </c>
      <c r="M1063" s="18" t="str">
        <f>VLOOKUP(A1063,Список!A:I,9,0)</f>
        <v>Новинка</v>
      </c>
      <c r="N1063" s="12"/>
      <c r="O1063" s="11"/>
    </row>
    <row r="1064" spans="1:15" x14ac:dyDescent="0.25">
      <c r="A1064" s="6">
        <v>5160</v>
      </c>
      <c r="B1064" s="1" t="s">
        <v>1068</v>
      </c>
      <c r="C1064" s="3">
        <v>131.8912</v>
      </c>
      <c r="D1064" s="1" t="s">
        <v>1182</v>
      </c>
      <c r="E1064" s="3">
        <f t="shared" si="80"/>
        <v>2068.3916574719997</v>
      </c>
      <c r="F1064" s="3">
        <v>1369.9916831999997</v>
      </c>
      <c r="G1064" s="4">
        <f t="shared" si="82"/>
        <v>2068.3916574719997</v>
      </c>
      <c r="H1064" s="1">
        <v>322.49</v>
      </c>
      <c r="I1064" s="1">
        <f t="shared" si="83"/>
        <v>386.99</v>
      </c>
      <c r="J1064" s="1" t="s">
        <v>1182</v>
      </c>
      <c r="K1064" s="3">
        <f t="shared" si="84"/>
        <v>2882.77209984</v>
      </c>
      <c r="L1064" s="10">
        <f t="shared" si="81"/>
        <v>0.39372641995826885</v>
      </c>
      <c r="M1064" s="18" t="str">
        <f>VLOOKUP(A1064,Список!A:I,9,0)</f>
        <v>Новинка</v>
      </c>
      <c r="N1064" s="12"/>
      <c r="O1064" s="11"/>
    </row>
    <row r="1065" spans="1:15" x14ac:dyDescent="0.25">
      <c r="A1065" s="6">
        <v>5152</v>
      </c>
      <c r="B1065" s="1" t="s">
        <v>1069</v>
      </c>
      <c r="C1065" s="3">
        <v>141.19840000000002</v>
      </c>
      <c r="D1065" s="1" t="s">
        <v>1182</v>
      </c>
      <c r="E1065" s="3">
        <f t="shared" si="80"/>
        <v>2214.3523799040004</v>
      </c>
      <c r="F1065" s="3">
        <v>1466.6682711864407</v>
      </c>
      <c r="G1065" s="4">
        <f t="shared" si="82"/>
        <v>2214.3523799040004</v>
      </c>
      <c r="H1065" s="1">
        <v>330.7</v>
      </c>
      <c r="I1065" s="1">
        <f t="shared" si="83"/>
        <v>396.84</v>
      </c>
      <c r="J1065" s="1" t="s">
        <v>1182</v>
      </c>
      <c r="K1065" s="3">
        <f t="shared" si="84"/>
        <v>2956.1468774399991</v>
      </c>
      <c r="L1065" s="10">
        <f t="shared" si="81"/>
        <v>0.33499388095049176</v>
      </c>
      <c r="M1065" s="18" t="str">
        <f>VLOOKUP(A1065,Список!A:I,9,0)</f>
        <v>Новинка</v>
      </c>
      <c r="N1065" s="12"/>
      <c r="O1065" s="11"/>
    </row>
    <row r="1066" spans="1:15" x14ac:dyDescent="0.25">
      <c r="A1066" s="6">
        <v>5151</v>
      </c>
      <c r="B1066" s="1" t="s">
        <v>1070</v>
      </c>
      <c r="C1066" s="3">
        <v>131.3424</v>
      </c>
      <c r="D1066" s="1" t="s">
        <v>1182</v>
      </c>
      <c r="E1066" s="3">
        <f t="shared" si="80"/>
        <v>2059.7850685439998</v>
      </c>
      <c r="F1066" s="3">
        <v>1678.3273846153845</v>
      </c>
      <c r="G1066" s="4">
        <f t="shared" si="82"/>
        <v>2059.7850685439998</v>
      </c>
      <c r="H1066" s="1">
        <v>306.02999999999997</v>
      </c>
      <c r="I1066" s="1">
        <f t="shared" si="83"/>
        <v>367.24</v>
      </c>
      <c r="J1066" s="1" t="s">
        <v>1182</v>
      </c>
      <c r="K1066" s="3">
        <f t="shared" si="84"/>
        <v>2735.6500838399998</v>
      </c>
      <c r="L1066" s="10">
        <f t="shared" si="81"/>
        <v>0.32812404828905217</v>
      </c>
      <c r="M1066" s="18" t="str">
        <f>VLOOKUP(A1066,Список!A:I,9,0)</f>
        <v>Новинка</v>
      </c>
      <c r="N1066" s="12"/>
      <c r="O1066" s="11"/>
    </row>
    <row r="1067" spans="1:15" x14ac:dyDescent="0.25">
      <c r="A1067" s="6">
        <v>3958</v>
      </c>
      <c r="B1067" s="1" t="s">
        <v>1071</v>
      </c>
      <c r="C1067" s="3">
        <v>37.702840999999999</v>
      </c>
      <c r="D1067" s="1" t="s">
        <v>1182</v>
      </c>
      <c r="E1067" s="3">
        <f t="shared" si="80"/>
        <v>591.27706615295995</v>
      </c>
      <c r="F1067" s="3">
        <v>462.14697478991593</v>
      </c>
      <c r="G1067" s="4">
        <f t="shared" si="82"/>
        <v>591.27706615295995</v>
      </c>
      <c r="H1067" s="1">
        <v>87.73</v>
      </c>
      <c r="I1067" s="1">
        <f t="shared" si="83"/>
        <v>105.28</v>
      </c>
      <c r="J1067" s="1" t="s">
        <v>1182</v>
      </c>
      <c r="K1067" s="3">
        <f t="shared" si="84"/>
        <v>784.25346047999994</v>
      </c>
      <c r="L1067" s="10">
        <f t="shared" si="81"/>
        <v>0.32637219566557341</v>
      </c>
      <c r="M1067" s="18" t="str">
        <f>VLOOKUP(A1067,Список!A:I,9,0)</f>
        <v>Основной ассортимент</v>
      </c>
      <c r="N1067" s="12"/>
      <c r="O1067" s="11"/>
    </row>
    <row r="1068" spans="1:15" x14ac:dyDescent="0.25">
      <c r="A1068" s="6">
        <v>3959</v>
      </c>
      <c r="B1068" s="1" t="s">
        <v>1072</v>
      </c>
      <c r="C1068" s="3">
        <v>53.793501000000006</v>
      </c>
      <c r="D1068" s="1" t="s">
        <v>1182</v>
      </c>
      <c r="E1068" s="3">
        <f t="shared" si="80"/>
        <v>843.61980704256007</v>
      </c>
      <c r="F1068" s="3">
        <v>625.48272727272729</v>
      </c>
      <c r="G1068" s="4">
        <f t="shared" si="82"/>
        <v>843.61980704256007</v>
      </c>
      <c r="H1068" s="1">
        <v>127.08</v>
      </c>
      <c r="I1068" s="1">
        <f t="shared" si="83"/>
        <v>152.5</v>
      </c>
      <c r="J1068" s="1" t="s">
        <v>1182</v>
      </c>
      <c r="K1068" s="3">
        <f t="shared" si="84"/>
        <v>1136.0054399999999</v>
      </c>
      <c r="L1068" s="10">
        <f t="shared" si="81"/>
        <v>0.3465845995039436</v>
      </c>
      <c r="M1068" s="18" t="str">
        <f>VLOOKUP(A1068,Список!A:I,9,0)</f>
        <v>Основной ассортимент</v>
      </c>
      <c r="N1068" s="12"/>
      <c r="O1068" s="11"/>
    </row>
    <row r="1069" spans="1:15" x14ac:dyDescent="0.25">
      <c r="A1069" s="6">
        <v>4101</v>
      </c>
      <c r="B1069" s="1" t="s">
        <v>1073</v>
      </c>
      <c r="C1069" s="3">
        <v>2.9649599999999996</v>
      </c>
      <c r="D1069" s="1" t="s">
        <v>1182</v>
      </c>
      <c r="E1069" s="3">
        <f t="shared" si="80"/>
        <v>46.498163097599992</v>
      </c>
      <c r="F1069" s="3">
        <v>36.258512948966477</v>
      </c>
      <c r="G1069" s="4">
        <f t="shared" si="82"/>
        <v>46.498163097599992</v>
      </c>
      <c r="H1069" s="1">
        <v>6.94</v>
      </c>
      <c r="I1069" s="1">
        <f t="shared" si="83"/>
        <v>8.33</v>
      </c>
      <c r="J1069" s="1" t="s">
        <v>1182</v>
      </c>
      <c r="K1069" s="3">
        <f t="shared" si="84"/>
        <v>62.051969279999987</v>
      </c>
      <c r="L1069" s="10">
        <f t="shared" si="81"/>
        <v>0.33450366952673893</v>
      </c>
      <c r="M1069" s="18" t="str">
        <f>VLOOKUP(A1069,Список!A:I,9,0)</f>
        <v>Новинка</v>
      </c>
      <c r="N1069" s="12"/>
      <c r="O1069" s="11"/>
    </row>
    <row r="1070" spans="1:15" x14ac:dyDescent="0.25">
      <c r="A1070" s="6">
        <v>4102</v>
      </c>
      <c r="B1070" s="1" t="s">
        <v>1074</v>
      </c>
      <c r="C1070" s="3">
        <v>10.799099999999999</v>
      </c>
      <c r="D1070" s="1" t="s">
        <v>1182</v>
      </c>
      <c r="E1070" s="3">
        <f t="shared" si="80"/>
        <v>169.35753369599999</v>
      </c>
      <c r="F1070" s="3">
        <v>142.80904165651643</v>
      </c>
      <c r="G1070" s="4">
        <f t="shared" si="82"/>
        <v>169.35753369599999</v>
      </c>
      <c r="H1070" s="1">
        <v>25.22</v>
      </c>
      <c r="I1070" s="1">
        <f t="shared" si="83"/>
        <v>30.26</v>
      </c>
      <c r="J1070" s="1" t="s">
        <v>1182</v>
      </c>
      <c r="K1070" s="3">
        <f t="shared" si="84"/>
        <v>225.41327615999998</v>
      </c>
      <c r="L1070" s="10">
        <f t="shared" si="81"/>
        <v>0.33099054550842189</v>
      </c>
      <c r="M1070" s="18" t="str">
        <f>VLOOKUP(A1070,Список!A:I,9,0)</f>
        <v>Новинка</v>
      </c>
      <c r="N1070" s="12"/>
      <c r="O1070" s="11"/>
    </row>
    <row r="1071" spans="1:15" x14ac:dyDescent="0.25">
      <c r="A1071" s="6">
        <v>4103</v>
      </c>
      <c r="B1071" s="1" t="s">
        <v>1075</v>
      </c>
      <c r="C1071" s="3">
        <v>14.351940000000001</v>
      </c>
      <c r="D1071" s="1" t="s">
        <v>1182</v>
      </c>
      <c r="E1071" s="3">
        <f t="shared" si="80"/>
        <v>225.07516016640002</v>
      </c>
      <c r="F1071" s="3">
        <v>171.68881947261664</v>
      </c>
      <c r="G1071" s="4">
        <f t="shared" si="82"/>
        <v>225.07516016640002</v>
      </c>
      <c r="H1071" s="1">
        <v>33.53</v>
      </c>
      <c r="I1071" s="1">
        <f t="shared" si="83"/>
        <v>40.24</v>
      </c>
      <c r="J1071" s="1" t="s">
        <v>1182</v>
      </c>
      <c r="K1071" s="3">
        <f t="shared" si="84"/>
        <v>299.75645183999995</v>
      </c>
      <c r="L1071" s="10">
        <f t="shared" si="81"/>
        <v>0.33180601368177376</v>
      </c>
      <c r="M1071" s="18" t="str">
        <f>VLOOKUP(A1071,Список!A:I,9,0)</f>
        <v>Новинка</v>
      </c>
      <c r="N1071" s="12"/>
      <c r="O1071" s="11"/>
    </row>
    <row r="1072" spans="1:15" x14ac:dyDescent="0.25">
      <c r="A1072" s="6">
        <v>5091</v>
      </c>
      <c r="B1072" s="1" t="s">
        <v>1076</v>
      </c>
      <c r="C1072" s="3">
        <v>10.901339999999999</v>
      </c>
      <c r="D1072" s="1" t="s">
        <v>1182</v>
      </c>
      <c r="E1072" s="3">
        <f t="shared" si="80"/>
        <v>170.96091863039999</v>
      </c>
      <c r="F1072" s="3">
        <v>146.28495377128954</v>
      </c>
      <c r="G1072" s="4">
        <f t="shared" si="82"/>
        <v>170.96091863039999</v>
      </c>
      <c r="H1072" s="1">
        <v>26.05</v>
      </c>
      <c r="I1072" s="1">
        <f t="shared" si="83"/>
        <v>31.26</v>
      </c>
      <c r="J1072" s="1" t="s">
        <v>1182</v>
      </c>
      <c r="K1072" s="3">
        <f t="shared" si="84"/>
        <v>232.86249215999999</v>
      </c>
      <c r="L1072" s="10">
        <f t="shared" si="81"/>
        <v>0.36208025802332555</v>
      </c>
      <c r="M1072" s="18" t="str">
        <f>VLOOKUP(A1072,Список!A:I,9,0)</f>
        <v>Новинка</v>
      </c>
      <c r="N1072" s="12"/>
      <c r="O1072" s="11"/>
    </row>
    <row r="1073" spans="1:15" x14ac:dyDescent="0.25">
      <c r="A1073" s="6">
        <v>5092</v>
      </c>
      <c r="B1073" s="1" t="s">
        <v>1077</v>
      </c>
      <c r="C1073" s="3">
        <v>12.089880000000001</v>
      </c>
      <c r="D1073" s="1" t="s">
        <v>1182</v>
      </c>
      <c r="E1073" s="3">
        <f t="shared" si="80"/>
        <v>189.60026849280001</v>
      </c>
      <c r="F1073" s="3">
        <v>159.24905699481863</v>
      </c>
      <c r="G1073" s="4">
        <f t="shared" si="82"/>
        <v>189.60026849280001</v>
      </c>
      <c r="H1073" s="1">
        <v>28.88</v>
      </c>
      <c r="I1073" s="1">
        <f t="shared" si="83"/>
        <v>34.659999999999997</v>
      </c>
      <c r="J1073" s="1" t="s">
        <v>1182</v>
      </c>
      <c r="K1073" s="3">
        <f t="shared" si="84"/>
        <v>258.18982655999997</v>
      </c>
      <c r="L1073" s="10">
        <f t="shared" si="81"/>
        <v>0.36175876021929065</v>
      </c>
      <c r="M1073" s="18" t="str">
        <f>VLOOKUP(A1073,Список!A:I,9,0)</f>
        <v>Новинка</v>
      </c>
      <c r="N1073" s="12"/>
      <c r="O1073" s="11"/>
    </row>
    <row r="1074" spans="1:15" x14ac:dyDescent="0.25">
      <c r="A1074" s="6">
        <v>5095</v>
      </c>
      <c r="B1074" s="1" t="s">
        <v>1078</v>
      </c>
      <c r="C1074" s="3">
        <v>14.965380000000001</v>
      </c>
      <c r="D1074" s="1" t="s">
        <v>1182</v>
      </c>
      <c r="E1074" s="3">
        <f t="shared" si="80"/>
        <v>234.69546977279998</v>
      </c>
      <c r="F1074" s="3">
        <v>184.19994863013699</v>
      </c>
      <c r="G1074" s="4">
        <f t="shared" si="82"/>
        <v>234.69546977279998</v>
      </c>
      <c r="H1074" s="1">
        <v>35.53</v>
      </c>
      <c r="I1074" s="1">
        <f t="shared" si="83"/>
        <v>42.64</v>
      </c>
      <c r="J1074" s="1" t="s">
        <v>1182</v>
      </c>
      <c r="K1074" s="3">
        <f t="shared" si="84"/>
        <v>317.63457024000002</v>
      </c>
      <c r="L1074" s="10">
        <f t="shared" si="81"/>
        <v>0.35339029145935497</v>
      </c>
      <c r="M1074" s="18" t="str">
        <f>VLOOKUP(A1074,Список!A:I,9,0)</f>
        <v>Новинка</v>
      </c>
      <c r="N1074" s="12"/>
      <c r="O1074" s="11"/>
    </row>
    <row r="1075" spans="1:15" x14ac:dyDescent="0.25">
      <c r="A1075" s="6">
        <v>5096</v>
      </c>
      <c r="B1075" s="1" t="s">
        <v>1079</v>
      </c>
      <c r="C1075" s="3">
        <v>16.013339999999999</v>
      </c>
      <c r="D1075" s="1" t="s">
        <v>1182</v>
      </c>
      <c r="E1075" s="3">
        <f t="shared" si="80"/>
        <v>251.13016535039998</v>
      </c>
      <c r="F1075" s="3">
        <v>188.64739411764705</v>
      </c>
      <c r="G1075" s="4">
        <f t="shared" si="82"/>
        <v>251.13016535039998</v>
      </c>
      <c r="H1075" s="1">
        <v>38.04</v>
      </c>
      <c r="I1075" s="1">
        <f t="shared" si="83"/>
        <v>45.65</v>
      </c>
      <c r="J1075" s="1" t="s">
        <v>1182</v>
      </c>
      <c r="K1075" s="3">
        <f t="shared" si="84"/>
        <v>340.05671039999993</v>
      </c>
      <c r="L1075" s="10">
        <f t="shared" si="81"/>
        <v>0.3541053896313946</v>
      </c>
      <c r="M1075" s="18" t="str">
        <f>VLOOKUP(A1075,Список!A:I,9,0)</f>
        <v>Новинка</v>
      </c>
      <c r="N1075" s="12"/>
      <c r="O1075" s="11"/>
    </row>
    <row r="1076" spans="1:15" x14ac:dyDescent="0.25">
      <c r="A1076" s="6">
        <v>5097</v>
      </c>
      <c r="B1076" s="1" t="s">
        <v>1080</v>
      </c>
      <c r="C1076" s="3">
        <v>17.061299999999999</v>
      </c>
      <c r="D1076" s="1" t="s">
        <v>1182</v>
      </c>
      <c r="E1076" s="3">
        <f t="shared" si="80"/>
        <v>267.56486092799997</v>
      </c>
      <c r="F1076" s="3">
        <v>217.48889486552568</v>
      </c>
      <c r="G1076" s="4">
        <f t="shared" si="82"/>
        <v>267.56486092799997</v>
      </c>
      <c r="H1076" s="1">
        <v>40.46</v>
      </c>
      <c r="I1076" s="1">
        <f t="shared" si="83"/>
        <v>48.55</v>
      </c>
      <c r="J1076" s="1" t="s">
        <v>1182</v>
      </c>
      <c r="K1076" s="3">
        <f t="shared" si="84"/>
        <v>361.65943679999998</v>
      </c>
      <c r="L1076" s="10">
        <f t="shared" si="81"/>
        <v>0.35167015409142333</v>
      </c>
      <c r="M1076" s="18" t="str">
        <f>VLOOKUP(A1076,Список!A:I,9,0)</f>
        <v>Новинка</v>
      </c>
      <c r="N1076" s="12"/>
      <c r="O1076" s="11"/>
    </row>
    <row r="1077" spans="1:15" x14ac:dyDescent="0.25">
      <c r="A1077" s="6">
        <v>4596</v>
      </c>
      <c r="B1077" s="1" t="s">
        <v>1081</v>
      </c>
      <c r="C1077" s="3">
        <v>112.52</v>
      </c>
      <c r="D1077" s="1" t="s">
        <v>1182</v>
      </c>
      <c r="E1077" s="3">
        <f t="shared" si="80"/>
        <v>1764.6016511999999</v>
      </c>
      <c r="F1077" s="3">
        <v>1410.5153287160363</v>
      </c>
      <c r="G1077" s="4">
        <f t="shared" si="82"/>
        <v>1764.6016511999999</v>
      </c>
      <c r="H1077" s="1">
        <v>295.08</v>
      </c>
      <c r="I1077" s="1">
        <f t="shared" si="83"/>
        <v>354.1</v>
      </c>
      <c r="J1077" s="1" t="s">
        <v>1182</v>
      </c>
      <c r="K1077" s="3">
        <f t="shared" si="84"/>
        <v>2637.7673855999997</v>
      </c>
      <c r="L1077" s="10">
        <f t="shared" si="81"/>
        <v>0.49482314255243498</v>
      </c>
      <c r="M1077" s="18" t="str">
        <f>VLOOKUP(A1077,Список!A:I,9,0)</f>
        <v>Новинка</v>
      </c>
      <c r="N1077" s="12"/>
      <c r="O1077" s="11"/>
    </row>
    <row r="1078" spans="1:15" x14ac:dyDescent="0.25">
      <c r="A1078" s="6">
        <v>896</v>
      </c>
      <c r="B1078" s="1" t="s">
        <v>1082</v>
      </c>
      <c r="C1078" s="3">
        <v>13.40264</v>
      </c>
      <c r="D1078" s="1" t="s">
        <v>1182</v>
      </c>
      <c r="E1078" s="3">
        <f t="shared" si="80"/>
        <v>210.18770595839999</v>
      </c>
      <c r="F1078" s="3">
        <v>196.68</v>
      </c>
      <c r="G1078" s="4">
        <f t="shared" si="82"/>
        <v>210.18770595839999</v>
      </c>
      <c r="H1078" s="1">
        <v>34.19</v>
      </c>
      <c r="I1078" s="1">
        <f t="shared" si="83"/>
        <v>41.03</v>
      </c>
      <c r="J1078" s="1" t="s">
        <v>1182</v>
      </c>
      <c r="K1078" s="3">
        <f t="shared" si="84"/>
        <v>305.64133247999996</v>
      </c>
      <c r="L1078" s="10">
        <f t="shared" si="81"/>
        <v>0.45413515546190886</v>
      </c>
      <c r="M1078" s="18" t="str">
        <f>VLOOKUP(A1078,Список!A:I,9,0)</f>
        <v>Новинка</v>
      </c>
      <c r="N1078" s="12"/>
      <c r="O1078" s="11"/>
    </row>
    <row r="1079" spans="1:15" x14ac:dyDescent="0.25">
      <c r="A1079" s="6">
        <v>897</v>
      </c>
      <c r="B1079" s="1" t="s">
        <v>1083</v>
      </c>
      <c r="C1079" s="3">
        <v>59.426800000000007</v>
      </c>
      <c r="D1079" s="1" t="s">
        <v>1182</v>
      </c>
      <c r="E1079" s="3">
        <f t="shared" si="80"/>
        <v>931.964356608</v>
      </c>
      <c r="F1079" s="3">
        <v>821.58304099378881</v>
      </c>
      <c r="G1079" s="4">
        <f t="shared" si="82"/>
        <v>931.964356608</v>
      </c>
      <c r="H1079" s="1">
        <v>157.88</v>
      </c>
      <c r="I1079" s="1">
        <f t="shared" si="83"/>
        <v>189.46</v>
      </c>
      <c r="J1079" s="1" t="s">
        <v>1182</v>
      </c>
      <c r="K1079" s="3">
        <f t="shared" si="84"/>
        <v>1411.3284633599997</v>
      </c>
      <c r="L1079" s="10">
        <f t="shared" si="81"/>
        <v>0.51435884146546629</v>
      </c>
      <c r="M1079" s="18" t="str">
        <f>VLOOKUP(A1079,Список!A:I,9,0)</f>
        <v>Новинка</v>
      </c>
      <c r="N1079" s="12"/>
      <c r="O1079" s="11"/>
    </row>
    <row r="1080" spans="1:15" x14ac:dyDescent="0.25">
      <c r="A1080" s="6">
        <v>3776</v>
      </c>
      <c r="B1080" s="1" t="s">
        <v>1084</v>
      </c>
      <c r="C1080" s="3">
        <v>14.404764</v>
      </c>
      <c r="D1080" s="1" t="s">
        <v>1182</v>
      </c>
      <c r="E1080" s="3">
        <f t="shared" si="80"/>
        <v>225.90357571583999</v>
      </c>
      <c r="F1080" s="3">
        <v>196.1124155844156</v>
      </c>
      <c r="G1080" s="4">
        <f t="shared" si="82"/>
        <v>225.90357571583999</v>
      </c>
      <c r="H1080" s="1">
        <v>30.83</v>
      </c>
      <c r="I1080" s="1">
        <f t="shared" si="83"/>
        <v>37</v>
      </c>
      <c r="J1080" s="1" t="s">
        <v>1182</v>
      </c>
      <c r="K1080" s="3">
        <f t="shared" si="84"/>
        <v>275.62099199999994</v>
      </c>
      <c r="L1080" s="10">
        <f t="shared" si="81"/>
        <v>0.22008246716155822</v>
      </c>
      <c r="M1080" s="18" t="str">
        <f>VLOOKUP(A1080,Список!A:I,9,0)</f>
        <v>Новинка</v>
      </c>
      <c r="N1080" s="12"/>
      <c r="O1080" s="11"/>
    </row>
    <row r="1081" spans="1:15" x14ac:dyDescent="0.25">
      <c r="A1081" s="6">
        <v>3777</v>
      </c>
      <c r="B1081" s="1" t="s">
        <v>1085</v>
      </c>
      <c r="C1081" s="3">
        <v>17.678574000000001</v>
      </c>
      <c r="D1081" s="1" t="s">
        <v>1182</v>
      </c>
      <c r="E1081" s="3">
        <f t="shared" si="80"/>
        <v>277.24529746944</v>
      </c>
      <c r="F1081" s="3">
        <v>269.94503504560731</v>
      </c>
      <c r="G1081" s="4">
        <f t="shared" si="82"/>
        <v>277.24529746944</v>
      </c>
      <c r="H1081" s="1">
        <v>37.840000000000003</v>
      </c>
      <c r="I1081" s="1">
        <f t="shared" si="83"/>
        <v>45.41</v>
      </c>
      <c r="J1081" s="1" t="s">
        <v>1182</v>
      </c>
      <c r="K1081" s="3">
        <f t="shared" si="84"/>
        <v>338.26889855999991</v>
      </c>
      <c r="L1081" s="10">
        <f t="shared" si="81"/>
        <v>0.22010689323697674</v>
      </c>
      <c r="M1081" s="18" t="str">
        <f>VLOOKUP(A1081,Список!A:I,9,0)</f>
        <v>Новинка</v>
      </c>
      <c r="N1081" s="12"/>
      <c r="O1081" s="11"/>
    </row>
    <row r="1082" spans="1:15" x14ac:dyDescent="0.25">
      <c r="A1082" s="6">
        <v>3780</v>
      </c>
      <c r="B1082" s="1" t="s">
        <v>1086</v>
      </c>
      <c r="C1082" s="3">
        <v>10.99506</v>
      </c>
      <c r="D1082" s="1" t="s">
        <v>1182</v>
      </c>
      <c r="E1082" s="3">
        <f t="shared" si="80"/>
        <v>172.43068815360002</v>
      </c>
      <c r="F1082" s="3">
        <v>150.05632514177694</v>
      </c>
      <c r="G1082" s="4">
        <f t="shared" si="82"/>
        <v>172.43068815360002</v>
      </c>
      <c r="H1082" s="1">
        <v>23.53</v>
      </c>
      <c r="I1082" s="1">
        <f t="shared" si="83"/>
        <v>28.24</v>
      </c>
      <c r="J1082" s="1" t="s">
        <v>1182</v>
      </c>
      <c r="K1082" s="3">
        <f t="shared" si="84"/>
        <v>210.36585983999998</v>
      </c>
      <c r="L1082" s="10">
        <f t="shared" si="81"/>
        <v>0.22000243745827652</v>
      </c>
      <c r="M1082" s="18" t="str">
        <f>VLOOKUP(A1082,Список!A:I,9,0)</f>
        <v>Новинка</v>
      </c>
      <c r="N1082" s="12"/>
      <c r="O1082" s="11"/>
    </row>
    <row r="1083" spans="1:15" x14ac:dyDescent="0.25">
      <c r="A1083" s="6">
        <v>3781</v>
      </c>
      <c r="B1083" s="1" t="s">
        <v>1087</v>
      </c>
      <c r="C1083" s="3">
        <v>11.526282</v>
      </c>
      <c r="D1083" s="1" t="s">
        <v>1182</v>
      </c>
      <c r="E1083" s="3">
        <f t="shared" si="80"/>
        <v>180.76160904192</v>
      </c>
      <c r="F1083" s="3">
        <v>149.80309418837675</v>
      </c>
      <c r="G1083" s="4">
        <f t="shared" si="82"/>
        <v>180.76160904192</v>
      </c>
      <c r="H1083" s="1">
        <v>24.67</v>
      </c>
      <c r="I1083" s="1">
        <f t="shared" si="83"/>
        <v>29.6</v>
      </c>
      <c r="J1083" s="1" t="s">
        <v>1182</v>
      </c>
      <c r="K1083" s="3">
        <f t="shared" si="84"/>
        <v>220.49679359999999</v>
      </c>
      <c r="L1083" s="10">
        <f t="shared" si="81"/>
        <v>0.21982092751157745</v>
      </c>
      <c r="M1083" s="18" t="str">
        <f>VLOOKUP(A1083,Список!A:I,9,0)</f>
        <v>Новинка</v>
      </c>
      <c r="N1083" s="12"/>
      <c r="O1083" s="11"/>
    </row>
    <row r="1084" spans="1:15" x14ac:dyDescent="0.25">
      <c r="A1084" s="6">
        <v>3778</v>
      </c>
      <c r="B1084" s="1" t="s">
        <v>1088</v>
      </c>
      <c r="C1084" s="3">
        <v>5.6210699999999996</v>
      </c>
      <c r="D1084" s="1" t="s">
        <v>1182</v>
      </c>
      <c r="E1084" s="3">
        <f t="shared" ref="E1084:E1147" si="85">IF(D1084="RUB",C1084*1.2,C1084*$E$2*1.2)</f>
        <v>88.152767539199985</v>
      </c>
      <c r="F1084" s="3">
        <v>87.524651162790704</v>
      </c>
      <c r="G1084" s="4">
        <f t="shared" si="82"/>
        <v>88.152767539199985</v>
      </c>
      <c r="H1084" s="1">
        <v>12.03</v>
      </c>
      <c r="I1084" s="1">
        <f t="shared" si="83"/>
        <v>14.44</v>
      </c>
      <c r="J1084" s="1" t="s">
        <v>1182</v>
      </c>
      <c r="K1084" s="3">
        <f t="shared" si="84"/>
        <v>107.56667903999998</v>
      </c>
      <c r="L1084" s="10">
        <f t="shared" ref="L1084:L1147" si="86">K1084/E1084-1</f>
        <v>0.22023031202244403</v>
      </c>
      <c r="M1084" s="18" t="str">
        <f>VLOOKUP(A1084,Список!A:I,9,0)</f>
        <v>Новинка</v>
      </c>
      <c r="N1084" s="12"/>
      <c r="O1084" s="11"/>
    </row>
    <row r="1085" spans="1:15" x14ac:dyDescent="0.25">
      <c r="A1085" s="6">
        <v>3779</v>
      </c>
      <c r="B1085" s="1" t="s">
        <v>1089</v>
      </c>
      <c r="C1085" s="3">
        <v>6.4364339999999993</v>
      </c>
      <c r="D1085" s="1" t="s">
        <v>1182</v>
      </c>
      <c r="E1085" s="3">
        <f t="shared" si="85"/>
        <v>100.93976239103998</v>
      </c>
      <c r="F1085" s="3">
        <v>100.02538305084745</v>
      </c>
      <c r="G1085" s="4">
        <f t="shared" si="82"/>
        <v>100.93976239103998</v>
      </c>
      <c r="H1085" s="1">
        <v>13.77</v>
      </c>
      <c r="I1085" s="1">
        <f t="shared" si="83"/>
        <v>16.52</v>
      </c>
      <c r="J1085" s="1" t="s">
        <v>1182</v>
      </c>
      <c r="K1085" s="3">
        <f t="shared" si="84"/>
        <v>123.06104831999998</v>
      </c>
      <c r="L1085" s="10">
        <f t="shared" si="86"/>
        <v>0.21915333863440534</v>
      </c>
      <c r="M1085" s="18" t="str">
        <f>VLOOKUP(A1085,Список!A:I,9,0)</f>
        <v>Новинка</v>
      </c>
      <c r="N1085" s="12"/>
      <c r="O1085" s="11"/>
    </row>
    <row r="1086" spans="1:15" x14ac:dyDescent="0.25">
      <c r="A1086" s="6">
        <v>5109</v>
      </c>
      <c r="B1086" s="1" t="s">
        <v>1090</v>
      </c>
      <c r="C1086" s="3">
        <v>456.75599999999997</v>
      </c>
      <c r="D1086" s="1" t="s">
        <v>1182</v>
      </c>
      <c r="E1086" s="3">
        <f t="shared" si="85"/>
        <v>7163.1033753599995</v>
      </c>
      <c r="F1086" s="3">
        <v>6838.0554615384608</v>
      </c>
      <c r="G1086" s="4">
        <f t="shared" si="82"/>
        <v>7163.1033753599995</v>
      </c>
      <c r="H1086" s="1">
        <v>1110.1300000000001</v>
      </c>
      <c r="I1086" s="1">
        <f t="shared" si="83"/>
        <v>1332.16</v>
      </c>
      <c r="J1086" s="1" t="s">
        <v>1182</v>
      </c>
      <c r="K1086" s="3">
        <f t="shared" si="84"/>
        <v>9923.5475865600001</v>
      </c>
      <c r="L1086" s="10">
        <f t="shared" si="86"/>
        <v>0.38536986925185457</v>
      </c>
      <c r="M1086" s="18" t="str">
        <f>VLOOKUP(A1086,Список!A:I,9,0)</f>
        <v>Новинка</v>
      </c>
      <c r="N1086" s="12"/>
      <c r="O1086" s="11"/>
    </row>
    <row r="1087" spans="1:15" x14ac:dyDescent="0.25">
      <c r="A1087" s="6">
        <v>5110</v>
      </c>
      <c r="B1087" s="1" t="s">
        <v>1091</v>
      </c>
      <c r="C1087" s="3">
        <v>216.18</v>
      </c>
      <c r="D1087" s="1" t="s">
        <v>1182</v>
      </c>
      <c r="E1087" s="3">
        <f t="shared" si="85"/>
        <v>3390.2558208</v>
      </c>
      <c r="F1087" s="3">
        <v>2875.3840671140938</v>
      </c>
      <c r="G1087" s="4">
        <f t="shared" si="82"/>
        <v>3390.2558208</v>
      </c>
      <c r="H1087" s="1">
        <v>525.66</v>
      </c>
      <c r="I1087" s="1">
        <f t="shared" si="83"/>
        <v>630.79</v>
      </c>
      <c r="J1087" s="1" t="s">
        <v>1182</v>
      </c>
      <c r="K1087" s="3">
        <f t="shared" si="84"/>
        <v>4698.8909606399993</v>
      </c>
      <c r="L1087" s="10">
        <f t="shared" si="86"/>
        <v>0.38599893607179192</v>
      </c>
      <c r="M1087" s="18" t="str">
        <f>VLOOKUP(A1087,Список!A:I,9,0)</f>
        <v>Новинка</v>
      </c>
      <c r="N1087" s="12"/>
      <c r="O1087" s="11"/>
    </row>
    <row r="1088" spans="1:15" x14ac:dyDescent="0.25">
      <c r="A1088" s="6">
        <v>2673</v>
      </c>
      <c r="B1088" s="1" t="s">
        <v>1092</v>
      </c>
      <c r="C1088" s="3">
        <v>15.88466</v>
      </c>
      <c r="D1088" s="1" t="s">
        <v>1182</v>
      </c>
      <c r="E1088" s="3">
        <f t="shared" si="85"/>
        <v>249.11213352959999</v>
      </c>
      <c r="F1088" s="3">
        <v>207.92937532808398</v>
      </c>
      <c r="G1088" s="4">
        <f t="shared" si="82"/>
        <v>249.11213352959999</v>
      </c>
      <c r="H1088" s="1">
        <v>35.67</v>
      </c>
      <c r="I1088" s="1">
        <f t="shared" si="83"/>
        <v>42.8</v>
      </c>
      <c r="J1088" s="1" t="s">
        <v>1182</v>
      </c>
      <c r="K1088" s="3">
        <f t="shared" si="84"/>
        <v>318.82644479999993</v>
      </c>
      <c r="L1088" s="10">
        <f t="shared" si="86"/>
        <v>0.27985112681039426</v>
      </c>
      <c r="M1088" s="18" t="str">
        <f>VLOOKUP(A1088,Список!A:I,9,0)</f>
        <v>Основной ассортимент</v>
      </c>
      <c r="N1088" s="12"/>
      <c r="O1088" s="11"/>
    </row>
    <row r="1089" spans="1:15" x14ac:dyDescent="0.25">
      <c r="A1089" s="6">
        <v>2674</v>
      </c>
      <c r="B1089" s="1" t="s">
        <v>1093</v>
      </c>
      <c r="C1089" s="3">
        <v>19.22701</v>
      </c>
      <c r="D1089" s="1" t="s">
        <v>1182</v>
      </c>
      <c r="E1089" s="3">
        <f t="shared" si="85"/>
        <v>301.52873794559997</v>
      </c>
      <c r="F1089" s="3">
        <v>248.50116812100057</v>
      </c>
      <c r="G1089" s="4">
        <f t="shared" si="82"/>
        <v>301.52873794559997</v>
      </c>
      <c r="H1089" s="1">
        <v>48.58</v>
      </c>
      <c r="I1089" s="1">
        <f t="shared" si="83"/>
        <v>58.3</v>
      </c>
      <c r="J1089" s="1" t="s">
        <v>1182</v>
      </c>
      <c r="K1089" s="3">
        <f t="shared" si="84"/>
        <v>434.28929279999994</v>
      </c>
      <c r="L1089" s="10">
        <f t="shared" si="86"/>
        <v>0.44029154819184058</v>
      </c>
      <c r="M1089" s="18" t="str">
        <f>VLOOKUP(A1089,Список!A:I,9,0)</f>
        <v>Основной ассортимент</v>
      </c>
      <c r="N1089" s="12"/>
      <c r="O1089" s="11"/>
    </row>
    <row r="1090" spans="1:15" x14ac:dyDescent="0.25">
      <c r="A1090" s="6">
        <v>2675</v>
      </c>
      <c r="B1090" s="1" t="s">
        <v>1094</v>
      </c>
      <c r="C1090" s="3">
        <v>13.392059999999999</v>
      </c>
      <c r="D1090" s="1" t="s">
        <v>1182</v>
      </c>
      <c r="E1090" s="3">
        <f t="shared" si="85"/>
        <v>210.02178447359998</v>
      </c>
      <c r="F1090" s="3">
        <v>153.75781344512652</v>
      </c>
      <c r="G1090" s="4">
        <f t="shared" si="82"/>
        <v>210.02178447359998</v>
      </c>
      <c r="H1090" s="1">
        <v>30.64</v>
      </c>
      <c r="I1090" s="1">
        <f t="shared" si="83"/>
        <v>36.770000000000003</v>
      </c>
      <c r="J1090" s="1" t="s">
        <v>1182</v>
      </c>
      <c r="K1090" s="3">
        <f t="shared" si="84"/>
        <v>273.90767231999996</v>
      </c>
      <c r="L1090" s="10">
        <f t="shared" si="86"/>
        <v>0.30418695854110567</v>
      </c>
      <c r="M1090" s="18" t="str">
        <f>VLOOKUP(A1090,Список!A:I,9,0)</f>
        <v>Основной ассортимент</v>
      </c>
      <c r="N1090" s="12"/>
      <c r="O1090" s="11"/>
    </row>
    <row r="1091" spans="1:15" x14ac:dyDescent="0.25">
      <c r="A1091" s="6">
        <v>2676</v>
      </c>
      <c r="B1091" s="1" t="s">
        <v>1095</v>
      </c>
      <c r="C1091" s="3">
        <v>17.83342</v>
      </c>
      <c r="D1091" s="1" t="s">
        <v>1182</v>
      </c>
      <c r="E1091" s="3">
        <f t="shared" si="85"/>
        <v>279.67367915519998</v>
      </c>
      <c r="F1091" s="3">
        <v>195.04265858873842</v>
      </c>
      <c r="G1091" s="4">
        <f t="shared" si="82"/>
        <v>279.67367915519998</v>
      </c>
      <c r="H1091" s="1">
        <v>44.35</v>
      </c>
      <c r="I1091" s="1">
        <f t="shared" si="83"/>
        <v>53.22</v>
      </c>
      <c r="J1091" s="1" t="s">
        <v>1182</v>
      </c>
      <c r="K1091" s="3">
        <f t="shared" si="84"/>
        <v>396.44727551999995</v>
      </c>
      <c r="L1091" s="10">
        <f t="shared" si="86"/>
        <v>0.41753516711881389</v>
      </c>
      <c r="M1091" s="18" t="str">
        <f>VLOOKUP(A1091,Список!A:I,9,0)</f>
        <v>Основной ассортимент</v>
      </c>
      <c r="N1091" s="12"/>
      <c r="O1091" s="11"/>
    </row>
    <row r="1092" spans="1:15" x14ac:dyDescent="0.25">
      <c r="A1092" s="6">
        <v>2677</v>
      </c>
      <c r="B1092" s="1" t="s">
        <v>1096</v>
      </c>
      <c r="C1092" s="3">
        <v>12.84822</v>
      </c>
      <c r="D1092" s="1" t="s">
        <v>1182</v>
      </c>
      <c r="E1092" s="3">
        <f t="shared" si="85"/>
        <v>201.49298104319999</v>
      </c>
      <c r="F1092" s="3">
        <v>163.54631318864776</v>
      </c>
      <c r="G1092" s="4">
        <f t="shared" si="82"/>
        <v>201.49298104319999</v>
      </c>
      <c r="H1092" s="1">
        <v>28.75</v>
      </c>
      <c r="I1092" s="1">
        <f t="shared" si="83"/>
        <v>34.5</v>
      </c>
      <c r="J1092" s="1" t="s">
        <v>1182</v>
      </c>
      <c r="K1092" s="3">
        <f t="shared" si="84"/>
        <v>256.997952</v>
      </c>
      <c r="L1092" s="10">
        <f t="shared" si="86"/>
        <v>0.27546850847821736</v>
      </c>
      <c r="M1092" s="18" t="str">
        <f>VLOOKUP(A1092,Список!A:I,9,0)</f>
        <v>Основной ассортимент</v>
      </c>
      <c r="N1092" s="12"/>
      <c r="O1092" s="11"/>
    </row>
    <row r="1093" spans="1:15" x14ac:dyDescent="0.25">
      <c r="A1093" s="6">
        <v>2678</v>
      </c>
      <c r="B1093" s="1" t="s">
        <v>1097</v>
      </c>
      <c r="C1093" s="3">
        <v>15.963970000000002</v>
      </c>
      <c r="D1093" s="1" t="s">
        <v>1182</v>
      </c>
      <c r="E1093" s="3">
        <f t="shared" si="85"/>
        <v>250.35591736320001</v>
      </c>
      <c r="F1093" s="3">
        <v>222.1819423503326</v>
      </c>
      <c r="G1093" s="4">
        <f t="shared" si="82"/>
        <v>250.35591736320001</v>
      </c>
      <c r="H1093" s="1">
        <v>38.93</v>
      </c>
      <c r="I1093" s="1">
        <f t="shared" si="83"/>
        <v>46.72</v>
      </c>
      <c r="J1093" s="1" t="s">
        <v>1182</v>
      </c>
      <c r="K1093" s="3">
        <f t="shared" si="84"/>
        <v>348.02737151999997</v>
      </c>
      <c r="L1093" s="10">
        <f t="shared" si="86"/>
        <v>0.39013039989426179</v>
      </c>
      <c r="M1093" s="18" t="str">
        <f>VLOOKUP(A1093,Список!A:I,9,0)</f>
        <v>Основной ассортимент</v>
      </c>
      <c r="N1093" s="12"/>
      <c r="O1093" s="11"/>
    </row>
    <row r="1094" spans="1:15" x14ac:dyDescent="0.25">
      <c r="A1094" s="6">
        <v>2679</v>
      </c>
      <c r="B1094" s="1" t="s">
        <v>1098</v>
      </c>
      <c r="C1094" s="3">
        <v>11.001430000000001</v>
      </c>
      <c r="D1094" s="1" t="s">
        <v>1182</v>
      </c>
      <c r="E1094" s="3">
        <f t="shared" si="85"/>
        <v>172.5305860608</v>
      </c>
      <c r="F1094" s="3">
        <v>129.99474641124519</v>
      </c>
      <c r="G1094" s="4">
        <f t="shared" ref="G1094:G1157" si="87">IF(M1094="Вывод из ассортимента",F1094,MAX(E1094,F1094))</f>
        <v>172.5305860608</v>
      </c>
      <c r="H1094" s="1">
        <v>25.3</v>
      </c>
      <c r="I1094" s="1">
        <f t="shared" ref="I1094:I1157" si="88">ROUND(H1094*1.2,2)</f>
        <v>30.36</v>
      </c>
      <c r="J1094" s="1" t="s">
        <v>1182</v>
      </c>
      <c r="K1094" s="3">
        <f t="shared" ref="K1094:K1157" si="89">IF(J1094="RUB",I1094*$K$4,I1094*$E$2*$K$4)</f>
        <v>226.15819775999995</v>
      </c>
      <c r="L1094" s="10">
        <f t="shared" si="86"/>
        <v>0.31082959215301975</v>
      </c>
      <c r="M1094" s="18" t="str">
        <f>VLOOKUP(A1094,Список!A:I,9,0)</f>
        <v>Основной ассортимент</v>
      </c>
      <c r="N1094" s="12"/>
      <c r="O1094" s="11"/>
    </row>
    <row r="1095" spans="1:15" x14ac:dyDescent="0.25">
      <c r="A1095" s="6">
        <v>2680</v>
      </c>
      <c r="B1095" s="1" t="s">
        <v>1099</v>
      </c>
      <c r="C1095" s="3">
        <v>14.559049999999999</v>
      </c>
      <c r="D1095" s="1" t="s">
        <v>1182</v>
      </c>
      <c r="E1095" s="3">
        <f t="shared" si="85"/>
        <v>228.32317516799998</v>
      </c>
      <c r="F1095" s="3">
        <v>166.23125348189413</v>
      </c>
      <c r="G1095" s="4">
        <f t="shared" si="87"/>
        <v>228.32317516799998</v>
      </c>
      <c r="H1095" s="1">
        <v>37.29</v>
      </c>
      <c r="I1095" s="1">
        <f t="shared" si="88"/>
        <v>44.75</v>
      </c>
      <c r="J1095" s="1" t="s">
        <v>1182</v>
      </c>
      <c r="K1095" s="3">
        <f t="shared" si="89"/>
        <v>333.35241599999995</v>
      </c>
      <c r="L1095" s="10">
        <f t="shared" si="86"/>
        <v>0.46000254137460894</v>
      </c>
      <c r="M1095" s="18" t="str">
        <f>VLOOKUP(A1095,Список!A:I,9,0)</f>
        <v>Основной ассортимент</v>
      </c>
      <c r="N1095" s="12"/>
      <c r="O1095" s="11"/>
    </row>
    <row r="1096" spans="1:15" x14ac:dyDescent="0.25">
      <c r="A1096" s="6">
        <v>2621</v>
      </c>
      <c r="B1096" s="1" t="s">
        <v>1100</v>
      </c>
      <c r="C1096" s="3">
        <v>19.204350000000002</v>
      </c>
      <c r="D1096" s="1" t="s">
        <v>1182</v>
      </c>
      <c r="E1096" s="3">
        <f t="shared" si="85"/>
        <v>301.17337113600001</v>
      </c>
      <c r="F1096" s="3">
        <v>201.78389429763561</v>
      </c>
      <c r="G1096" s="4">
        <f t="shared" si="87"/>
        <v>301.17337113600001</v>
      </c>
      <c r="H1096" s="1">
        <v>44.4</v>
      </c>
      <c r="I1096" s="1">
        <f t="shared" si="88"/>
        <v>53.28</v>
      </c>
      <c r="J1096" s="1" t="s">
        <v>1182</v>
      </c>
      <c r="K1096" s="3">
        <f t="shared" si="89"/>
        <v>396.89422847999998</v>
      </c>
      <c r="L1096" s="10">
        <f t="shared" si="86"/>
        <v>0.31782642994946442</v>
      </c>
      <c r="M1096" s="18" t="str">
        <f>VLOOKUP(A1096,Список!A:I,9,0)</f>
        <v>Основной ассортимент</v>
      </c>
      <c r="N1096" s="12"/>
      <c r="O1096" s="11"/>
    </row>
    <row r="1097" spans="1:15" x14ac:dyDescent="0.25">
      <c r="A1097" s="6">
        <v>2622</v>
      </c>
      <c r="B1097" s="1" t="s">
        <v>1101</v>
      </c>
      <c r="C1097" s="3">
        <v>23.668369999999999</v>
      </c>
      <c r="D1097" s="1" t="s">
        <v>1182</v>
      </c>
      <c r="E1097" s="3">
        <f t="shared" si="85"/>
        <v>371.18063262719994</v>
      </c>
      <c r="F1097" s="3">
        <v>318.71407180742557</v>
      </c>
      <c r="G1097" s="4">
        <f t="shared" si="87"/>
        <v>371.18063262719994</v>
      </c>
      <c r="H1097" s="1">
        <v>56.95</v>
      </c>
      <c r="I1097" s="1">
        <f t="shared" si="88"/>
        <v>68.34</v>
      </c>
      <c r="J1097" s="1" t="s">
        <v>1182</v>
      </c>
      <c r="K1097" s="3">
        <f t="shared" si="89"/>
        <v>509.07942143999998</v>
      </c>
      <c r="L1097" s="10">
        <f t="shared" si="86"/>
        <v>0.37151396568500505</v>
      </c>
      <c r="M1097" s="18" t="str">
        <f>VLOOKUP(A1097,Список!A:I,9,0)</f>
        <v>Основной ассортимент</v>
      </c>
      <c r="N1097" s="12"/>
      <c r="O1097" s="11"/>
    </row>
    <row r="1098" spans="1:15" x14ac:dyDescent="0.25">
      <c r="A1098" s="6">
        <v>2623</v>
      </c>
      <c r="B1098" s="1" t="s">
        <v>1102</v>
      </c>
      <c r="C1098" s="3">
        <v>18.705830000000002</v>
      </c>
      <c r="D1098" s="1" t="s">
        <v>1182</v>
      </c>
      <c r="E1098" s="3">
        <f t="shared" si="85"/>
        <v>293.35530132480005</v>
      </c>
      <c r="F1098" s="3">
        <v>180.63970208259792</v>
      </c>
      <c r="G1098" s="4">
        <f t="shared" si="87"/>
        <v>293.35530132480005</v>
      </c>
      <c r="H1098" s="1">
        <v>43.17</v>
      </c>
      <c r="I1098" s="1">
        <f t="shared" si="88"/>
        <v>51.8</v>
      </c>
      <c r="J1098" s="1" t="s">
        <v>1182</v>
      </c>
      <c r="K1098" s="3">
        <f t="shared" si="89"/>
        <v>385.86938879999991</v>
      </c>
      <c r="L1098" s="10">
        <f t="shared" si="86"/>
        <v>0.31536531658846423</v>
      </c>
      <c r="M1098" s="18" t="str">
        <f>VLOOKUP(A1098,Список!A:I,9,0)</f>
        <v>Основной ассортимент</v>
      </c>
      <c r="N1098" s="12"/>
      <c r="O1098" s="11"/>
    </row>
    <row r="1099" spans="1:15" x14ac:dyDescent="0.25">
      <c r="A1099" s="6">
        <v>2624</v>
      </c>
      <c r="B1099" s="1" t="s">
        <v>1103</v>
      </c>
      <c r="C1099" s="3">
        <v>22.05951</v>
      </c>
      <c r="D1099" s="1" t="s">
        <v>1182</v>
      </c>
      <c r="E1099" s="3">
        <f t="shared" si="85"/>
        <v>345.94958914559999</v>
      </c>
      <c r="F1099" s="3">
        <v>208.73015531660693</v>
      </c>
      <c r="G1099" s="4">
        <f t="shared" si="87"/>
        <v>345.94958914559999</v>
      </c>
      <c r="H1099" s="1">
        <v>53.03</v>
      </c>
      <c r="I1099" s="1">
        <f t="shared" si="88"/>
        <v>63.64</v>
      </c>
      <c r="J1099" s="1" t="s">
        <v>1182</v>
      </c>
      <c r="K1099" s="3">
        <f t="shared" si="89"/>
        <v>474.06810623999996</v>
      </c>
      <c r="L1099" s="10">
        <f t="shared" si="86"/>
        <v>0.37033868839335038</v>
      </c>
      <c r="M1099" s="18" t="str">
        <f>VLOOKUP(A1099,Список!A:I,9,0)</f>
        <v>Основной ассортимент</v>
      </c>
      <c r="N1099" s="12"/>
      <c r="O1099" s="11"/>
    </row>
    <row r="1100" spans="1:15" x14ac:dyDescent="0.25">
      <c r="A1100" s="6">
        <v>1569</v>
      </c>
      <c r="B1100" s="1" t="s">
        <v>1104</v>
      </c>
      <c r="C1100" s="3">
        <v>737.39166666666665</v>
      </c>
      <c r="D1100" s="1" t="s">
        <v>1172</v>
      </c>
      <c r="E1100" s="3">
        <f t="shared" si="85"/>
        <v>884.87</v>
      </c>
      <c r="F1100" s="3">
        <v>872.36590476190474</v>
      </c>
      <c r="G1100" s="4">
        <f t="shared" si="87"/>
        <v>884.87</v>
      </c>
      <c r="H1100" s="1">
        <v>1611.33</v>
      </c>
      <c r="I1100" s="1">
        <f t="shared" si="88"/>
        <v>1933.6</v>
      </c>
      <c r="J1100" s="1" t="s">
        <v>1172</v>
      </c>
      <c r="K1100" s="3">
        <f t="shared" si="89"/>
        <v>1102.1519999999998</v>
      </c>
      <c r="L1100" s="10">
        <f t="shared" si="86"/>
        <v>0.24555245403279558</v>
      </c>
      <c r="M1100" s="18" t="str">
        <f>VLOOKUP(A1100,Список!A:I,9,0)</f>
        <v>Новинка</v>
      </c>
      <c r="N1100" s="12"/>
      <c r="O1100" s="11"/>
    </row>
    <row r="1101" spans="1:15" x14ac:dyDescent="0.25">
      <c r="A1101" s="6">
        <v>1570</v>
      </c>
      <c r="B1101" s="1" t="s">
        <v>1105</v>
      </c>
      <c r="C1101" s="3">
        <v>7.7583333333333337</v>
      </c>
      <c r="D1101" s="1" t="s">
        <v>1172</v>
      </c>
      <c r="E1101" s="3">
        <f t="shared" si="85"/>
        <v>9.31</v>
      </c>
      <c r="F1101" s="3">
        <v>8.5448358987738064</v>
      </c>
      <c r="G1101" s="4">
        <f t="shared" si="87"/>
        <v>9.31</v>
      </c>
      <c r="H1101" s="1">
        <v>16.68</v>
      </c>
      <c r="I1101" s="1">
        <f t="shared" si="88"/>
        <v>20.02</v>
      </c>
      <c r="J1101" s="1" t="s">
        <v>1172</v>
      </c>
      <c r="K1101" s="3">
        <f t="shared" si="89"/>
        <v>11.411399999999999</v>
      </c>
      <c r="L1101" s="10">
        <f t="shared" si="86"/>
        <v>0.22571428571428553</v>
      </c>
      <c r="M1101" s="18" t="str">
        <f>VLOOKUP(A1101,Список!A:I,9,0)</f>
        <v>Новинка</v>
      </c>
      <c r="N1101" s="12"/>
      <c r="O1101" s="11"/>
    </row>
    <row r="1102" spans="1:15" x14ac:dyDescent="0.25">
      <c r="A1102" s="6">
        <v>5166</v>
      </c>
      <c r="B1102" s="1" t="s">
        <v>1106</v>
      </c>
      <c r="C1102" s="3">
        <v>153.66399999999999</v>
      </c>
      <c r="D1102" s="1" t="s">
        <v>1182</v>
      </c>
      <c r="E1102" s="3">
        <f t="shared" si="85"/>
        <v>2409.8448998399995</v>
      </c>
      <c r="F1102" s="3">
        <v>1596.1518591549295</v>
      </c>
      <c r="G1102" s="4">
        <f t="shared" si="87"/>
        <v>2409.8448998399995</v>
      </c>
      <c r="H1102" s="1">
        <v>349.7</v>
      </c>
      <c r="I1102" s="1">
        <f t="shared" si="88"/>
        <v>419.64</v>
      </c>
      <c r="J1102" s="1" t="s">
        <v>1182</v>
      </c>
      <c r="K1102" s="3">
        <f t="shared" si="89"/>
        <v>3125.9890022399991</v>
      </c>
      <c r="L1102" s="10">
        <f t="shared" si="86"/>
        <v>0.29717435443565177</v>
      </c>
      <c r="M1102" s="18" t="str">
        <f>VLOOKUP(A1102,Список!A:I,9,0)</f>
        <v>Новинка</v>
      </c>
      <c r="N1102" s="12"/>
      <c r="O1102" s="11"/>
    </row>
    <row r="1103" spans="1:15" x14ac:dyDescent="0.25">
      <c r="A1103" s="6">
        <v>5168</v>
      </c>
      <c r="B1103" s="1" t="s">
        <v>1107</v>
      </c>
      <c r="C1103" s="3">
        <v>180.80160000000001</v>
      </c>
      <c r="D1103" s="1" t="s">
        <v>1182</v>
      </c>
      <c r="E1103" s="3">
        <f t="shared" si="85"/>
        <v>2835.4319400959998</v>
      </c>
      <c r="F1103" s="3">
        <v>1878.0380659340656</v>
      </c>
      <c r="G1103" s="4">
        <f t="shared" si="87"/>
        <v>2835.4319400959998</v>
      </c>
      <c r="H1103" s="1">
        <v>413.26</v>
      </c>
      <c r="I1103" s="1">
        <f t="shared" si="88"/>
        <v>495.91</v>
      </c>
      <c r="J1103" s="1" t="s">
        <v>1182</v>
      </c>
      <c r="K1103" s="3">
        <f t="shared" si="89"/>
        <v>3694.1407065599997</v>
      </c>
      <c r="L1103" s="10">
        <f t="shared" si="86"/>
        <v>0.30284936637728865</v>
      </c>
      <c r="M1103" s="18" t="str">
        <f>VLOOKUP(A1103,Список!A:I,9,0)</f>
        <v>Новинка</v>
      </c>
      <c r="N1103" s="12"/>
      <c r="O1103" s="11"/>
    </row>
    <row r="1104" spans="1:15" x14ac:dyDescent="0.25">
      <c r="A1104" s="6">
        <v>1211</v>
      </c>
      <c r="B1104" s="1" t="s">
        <v>1108</v>
      </c>
      <c r="C1104" s="3">
        <v>25.086875000000003</v>
      </c>
      <c r="D1104" s="1" t="s">
        <v>1172</v>
      </c>
      <c r="E1104" s="3">
        <f t="shared" si="85"/>
        <v>30.10425</v>
      </c>
      <c r="F1104" s="3">
        <v>27.951397142857143</v>
      </c>
      <c r="G1104" s="4">
        <f t="shared" si="87"/>
        <v>30.10425</v>
      </c>
      <c r="H1104" s="1">
        <v>50.61</v>
      </c>
      <c r="I1104" s="1">
        <f t="shared" si="88"/>
        <v>60.73</v>
      </c>
      <c r="J1104" s="1" t="s">
        <v>1172</v>
      </c>
      <c r="K1104" s="3">
        <f t="shared" si="89"/>
        <v>34.616099999999996</v>
      </c>
      <c r="L1104" s="10">
        <f t="shared" si="86"/>
        <v>0.14987418719948176</v>
      </c>
      <c r="M1104" s="18" t="str">
        <f>VLOOKUP(A1104,Список!A:I,9,0)</f>
        <v>Новинка</v>
      </c>
      <c r="N1104" s="12"/>
      <c r="O1104" s="11"/>
    </row>
    <row r="1105" spans="1:15" x14ac:dyDescent="0.25">
      <c r="A1105" s="6">
        <v>1214</v>
      </c>
      <c r="B1105" s="1" t="s">
        <v>1109</v>
      </c>
      <c r="C1105" s="3">
        <v>30.280208333333334</v>
      </c>
      <c r="D1105" s="1" t="s">
        <v>1172</v>
      </c>
      <c r="E1105" s="3">
        <f t="shared" si="85"/>
        <v>36.33625</v>
      </c>
      <c r="F1105" s="3">
        <v>32.448375999999996</v>
      </c>
      <c r="G1105" s="4">
        <f t="shared" si="87"/>
        <v>36.33625</v>
      </c>
      <c r="H1105" s="1">
        <v>63.75</v>
      </c>
      <c r="I1105" s="1">
        <f t="shared" si="88"/>
        <v>76.5</v>
      </c>
      <c r="J1105" s="1" t="s">
        <v>1172</v>
      </c>
      <c r="K1105" s="3">
        <f t="shared" si="89"/>
        <v>43.604999999999997</v>
      </c>
      <c r="L1105" s="10">
        <f t="shared" si="86"/>
        <v>0.20004128108982067</v>
      </c>
      <c r="M1105" s="18" t="str">
        <f>VLOOKUP(A1105,Список!A:I,9,0)</f>
        <v>Новинка</v>
      </c>
      <c r="N1105" s="12"/>
      <c r="O1105" s="11"/>
    </row>
    <row r="1106" spans="1:15" x14ac:dyDescent="0.25">
      <c r="A1106" s="6" t="s">
        <v>1</v>
      </c>
      <c r="B1106" s="1" t="s">
        <v>1110</v>
      </c>
      <c r="C1106" s="3">
        <v>35.833333333333336</v>
      </c>
      <c r="D1106" s="1" t="s">
        <v>1172</v>
      </c>
      <c r="E1106" s="3">
        <f t="shared" si="85"/>
        <v>43</v>
      </c>
      <c r="F1106" s="3">
        <v>42.999791439688714</v>
      </c>
      <c r="G1106" s="4">
        <f t="shared" si="87"/>
        <v>43</v>
      </c>
      <c r="H1106" s="1">
        <v>94.3</v>
      </c>
      <c r="I1106" s="1">
        <f t="shared" si="88"/>
        <v>113.16</v>
      </c>
      <c r="J1106" s="1" t="s">
        <v>1172</v>
      </c>
      <c r="K1106" s="3">
        <f t="shared" si="89"/>
        <v>64.501199999999997</v>
      </c>
      <c r="L1106" s="10">
        <f t="shared" si="86"/>
        <v>0.50002790697674415</v>
      </c>
      <c r="M1106" s="18" t="str">
        <f>VLOOKUP(A1106,Список!A:I,9,0)</f>
        <v>Новинка</v>
      </c>
      <c r="N1106" s="12"/>
      <c r="O1106" s="11"/>
    </row>
    <row r="1107" spans="1:15" x14ac:dyDescent="0.25">
      <c r="A1107" s="6" t="s">
        <v>2</v>
      </c>
      <c r="B1107" s="1" t="s">
        <v>1111</v>
      </c>
      <c r="C1107" s="3">
        <v>55.8</v>
      </c>
      <c r="D1107" s="1" t="s">
        <v>1172</v>
      </c>
      <c r="E1107" s="3">
        <f t="shared" si="85"/>
        <v>66.959999999999994</v>
      </c>
      <c r="F1107" s="3">
        <v>66.959999999999994</v>
      </c>
      <c r="G1107" s="4">
        <f t="shared" si="87"/>
        <v>66.959999999999994</v>
      </c>
      <c r="H1107" s="1">
        <v>146.93</v>
      </c>
      <c r="I1107" s="1">
        <f t="shared" si="88"/>
        <v>176.32</v>
      </c>
      <c r="J1107" s="1" t="s">
        <v>1172</v>
      </c>
      <c r="K1107" s="3">
        <f t="shared" si="89"/>
        <v>100.50239999999999</v>
      </c>
      <c r="L1107" s="10">
        <f t="shared" si="86"/>
        <v>0.50093189964157703</v>
      </c>
      <c r="M1107" s="18" t="str">
        <f>VLOOKUP(A1107,Список!A:I,9,0)</f>
        <v>Новинка</v>
      </c>
      <c r="N1107" s="12"/>
      <c r="O1107" s="11"/>
    </row>
    <row r="1108" spans="1:15" x14ac:dyDescent="0.25">
      <c r="A1108" s="6" t="s">
        <v>3</v>
      </c>
      <c r="B1108" s="1" t="s">
        <v>1112</v>
      </c>
      <c r="C1108" s="3">
        <v>72.000000000000014</v>
      </c>
      <c r="D1108" s="1" t="s">
        <v>1172</v>
      </c>
      <c r="E1108" s="3">
        <f t="shared" si="85"/>
        <v>86.40000000000002</v>
      </c>
      <c r="F1108" s="3">
        <v>86.399999999999991</v>
      </c>
      <c r="G1108" s="4">
        <f t="shared" si="87"/>
        <v>86.40000000000002</v>
      </c>
      <c r="H1108" s="1">
        <v>188.6</v>
      </c>
      <c r="I1108" s="1">
        <f t="shared" si="88"/>
        <v>226.32</v>
      </c>
      <c r="J1108" s="1" t="s">
        <v>1172</v>
      </c>
      <c r="K1108" s="3">
        <f t="shared" si="89"/>
        <v>129.00239999999999</v>
      </c>
      <c r="L1108" s="10">
        <f t="shared" si="86"/>
        <v>0.49308333333333287</v>
      </c>
      <c r="M1108" s="18" t="str">
        <f>VLOOKUP(A1108,Список!A:I,9,0)</f>
        <v>Новинка</v>
      </c>
      <c r="N1108" s="12"/>
      <c r="O1108" s="11"/>
    </row>
    <row r="1109" spans="1:15" x14ac:dyDescent="0.25">
      <c r="A1109" s="6" t="s">
        <v>4</v>
      </c>
      <c r="B1109" s="1" t="s">
        <v>1113</v>
      </c>
      <c r="C1109" s="3">
        <v>8.9333333333333336</v>
      </c>
      <c r="D1109" s="1" t="s">
        <v>1172</v>
      </c>
      <c r="E1109" s="3">
        <f t="shared" si="85"/>
        <v>10.72</v>
      </c>
      <c r="F1109" s="3">
        <v>10.720001359619305</v>
      </c>
      <c r="G1109" s="4">
        <f t="shared" si="87"/>
        <v>10.720001359619305</v>
      </c>
      <c r="H1109" s="1">
        <v>23.35</v>
      </c>
      <c r="I1109" s="1">
        <f t="shared" si="88"/>
        <v>28.02</v>
      </c>
      <c r="J1109" s="1" t="s">
        <v>1172</v>
      </c>
      <c r="K1109" s="3">
        <f t="shared" si="89"/>
        <v>15.971399999999999</v>
      </c>
      <c r="L1109" s="10">
        <f t="shared" si="86"/>
        <v>0.48986940298507453</v>
      </c>
      <c r="M1109" s="18" t="str">
        <f>VLOOKUP(A1109,Список!A:I,9,0)</f>
        <v>Новинка</v>
      </c>
      <c r="N1109" s="12"/>
      <c r="O1109" s="11"/>
    </row>
    <row r="1110" spans="1:15" x14ac:dyDescent="0.25">
      <c r="A1110" s="6" t="s">
        <v>5</v>
      </c>
      <c r="B1110" s="1" t="s">
        <v>1114</v>
      </c>
      <c r="C1110" s="3">
        <v>8.5333333333333332</v>
      </c>
      <c r="D1110" s="1" t="s">
        <v>1172</v>
      </c>
      <c r="E1110" s="3">
        <f t="shared" si="85"/>
        <v>10.24</v>
      </c>
      <c r="F1110" s="3">
        <v>10.239979088872293</v>
      </c>
      <c r="G1110" s="4">
        <f t="shared" si="87"/>
        <v>10.24</v>
      </c>
      <c r="H1110" s="1">
        <v>20.81</v>
      </c>
      <c r="I1110" s="1">
        <f t="shared" si="88"/>
        <v>24.97</v>
      </c>
      <c r="J1110" s="1" t="s">
        <v>1172</v>
      </c>
      <c r="K1110" s="3">
        <f t="shared" si="89"/>
        <v>14.232899999999999</v>
      </c>
      <c r="L1110" s="10">
        <f t="shared" si="86"/>
        <v>0.38993164062499996</v>
      </c>
      <c r="M1110" s="18" t="str">
        <f>VLOOKUP(A1110,Список!A:I,9,0)</f>
        <v>Новинка</v>
      </c>
      <c r="N1110" s="12"/>
      <c r="O1110" s="11"/>
    </row>
    <row r="1111" spans="1:15" x14ac:dyDescent="0.25">
      <c r="A1111" s="6" t="s">
        <v>6</v>
      </c>
      <c r="B1111" s="1" t="s">
        <v>1115</v>
      </c>
      <c r="C1111" s="3">
        <v>7.9333333333333336</v>
      </c>
      <c r="D1111" s="1" t="s">
        <v>1172</v>
      </c>
      <c r="E1111" s="3">
        <f t="shared" si="85"/>
        <v>9.52</v>
      </c>
      <c r="F1111" s="3">
        <v>9.5199846449136274</v>
      </c>
      <c r="G1111" s="4">
        <f t="shared" si="87"/>
        <v>9.52</v>
      </c>
      <c r="H1111" s="1">
        <v>18.93</v>
      </c>
      <c r="I1111" s="1">
        <f t="shared" si="88"/>
        <v>22.72</v>
      </c>
      <c r="J1111" s="1" t="s">
        <v>1172</v>
      </c>
      <c r="K1111" s="3">
        <f t="shared" si="89"/>
        <v>12.950399999999998</v>
      </c>
      <c r="L1111" s="10">
        <f t="shared" si="86"/>
        <v>0.36033613445378143</v>
      </c>
      <c r="M1111" s="18" t="str">
        <f>VLOOKUP(A1111,Список!A:I,9,0)</f>
        <v>Новинка</v>
      </c>
      <c r="N1111" s="12"/>
      <c r="O1111" s="11"/>
    </row>
    <row r="1112" spans="1:15" x14ac:dyDescent="0.25">
      <c r="A1112" s="6" t="s">
        <v>7</v>
      </c>
      <c r="B1112" s="1" t="s">
        <v>1116</v>
      </c>
      <c r="C1112" s="3">
        <v>22.333333333333336</v>
      </c>
      <c r="D1112" s="1" t="s">
        <v>1172</v>
      </c>
      <c r="E1112" s="3">
        <f t="shared" si="85"/>
        <v>26.8</v>
      </c>
      <c r="F1112" s="3">
        <v>26.799988836170808</v>
      </c>
      <c r="G1112" s="4">
        <f t="shared" si="87"/>
        <v>26.8</v>
      </c>
      <c r="H1112" s="1">
        <v>54.46</v>
      </c>
      <c r="I1112" s="1">
        <f t="shared" si="88"/>
        <v>65.349999999999994</v>
      </c>
      <c r="J1112" s="1" t="s">
        <v>1172</v>
      </c>
      <c r="K1112" s="3">
        <f t="shared" si="89"/>
        <v>37.249499999999991</v>
      </c>
      <c r="L1112" s="10">
        <f t="shared" si="86"/>
        <v>0.38990671641790997</v>
      </c>
      <c r="M1112" s="18" t="str">
        <f>VLOOKUP(A1112,Список!A:I,9,0)</f>
        <v>Новинка</v>
      </c>
      <c r="N1112" s="12"/>
      <c r="O1112" s="11"/>
    </row>
    <row r="1113" spans="1:15" x14ac:dyDescent="0.25">
      <c r="A1113" s="6">
        <v>4597</v>
      </c>
      <c r="B1113" s="1" t="s">
        <v>1117</v>
      </c>
      <c r="C1113" s="3">
        <v>33.06</v>
      </c>
      <c r="D1113" s="1" t="s">
        <v>1182</v>
      </c>
      <c r="E1113" s="3">
        <f t="shared" si="85"/>
        <v>518.46543359999998</v>
      </c>
      <c r="F1113" s="3">
        <v>403.27672968642713</v>
      </c>
      <c r="G1113" s="4">
        <f t="shared" si="87"/>
        <v>518.46543359999998</v>
      </c>
      <c r="H1113" s="1">
        <v>83.13</v>
      </c>
      <c r="I1113" s="1">
        <f t="shared" si="88"/>
        <v>99.76</v>
      </c>
      <c r="J1113" s="1" t="s">
        <v>1182</v>
      </c>
      <c r="K1113" s="3">
        <f t="shared" si="89"/>
        <v>743.13378815999999</v>
      </c>
      <c r="L1113" s="10">
        <f t="shared" si="86"/>
        <v>0.43333333333333335</v>
      </c>
      <c r="M1113" s="18" t="str">
        <f>VLOOKUP(A1113,Список!A:I,9,0)</f>
        <v>Новинка</v>
      </c>
      <c r="N1113" s="12"/>
      <c r="O1113" s="11"/>
    </row>
    <row r="1114" spans="1:15" x14ac:dyDescent="0.25">
      <c r="A1114" s="6">
        <v>3782</v>
      </c>
      <c r="B1114" s="1" t="s">
        <v>1118</v>
      </c>
      <c r="C1114" s="3">
        <v>8.474400000000001</v>
      </c>
      <c r="D1114" s="1" t="s">
        <v>1182</v>
      </c>
      <c r="E1114" s="3">
        <f t="shared" si="85"/>
        <v>132.900286464</v>
      </c>
      <c r="F1114" s="3">
        <v>116.56177639751553</v>
      </c>
      <c r="G1114" s="4">
        <f t="shared" si="87"/>
        <v>132.900286464</v>
      </c>
      <c r="H1114" s="1">
        <v>19.62</v>
      </c>
      <c r="I1114" s="1">
        <f t="shared" si="88"/>
        <v>23.54</v>
      </c>
      <c r="J1114" s="1" t="s">
        <v>1182</v>
      </c>
      <c r="K1114" s="3">
        <f t="shared" si="89"/>
        <v>175.35454463999997</v>
      </c>
      <c r="L1114" s="10">
        <f t="shared" si="86"/>
        <v>0.3194444444444442</v>
      </c>
      <c r="M1114" s="18" t="str">
        <f>VLOOKUP(A1114,Список!A:I,9,0)</f>
        <v>Новинка</v>
      </c>
      <c r="N1114" s="12"/>
      <c r="O1114" s="11"/>
    </row>
    <row r="1115" spans="1:15" x14ac:dyDescent="0.25">
      <c r="A1115" s="6">
        <v>3783</v>
      </c>
      <c r="B1115" s="1" t="s">
        <v>1119</v>
      </c>
      <c r="C1115" s="3">
        <v>12.711600000000001</v>
      </c>
      <c r="D1115" s="1" t="s">
        <v>1182</v>
      </c>
      <c r="E1115" s="3">
        <f t="shared" si="85"/>
        <v>199.35042969600002</v>
      </c>
      <c r="F1115" s="3">
        <v>173.22507586206896</v>
      </c>
      <c r="G1115" s="4">
        <f t="shared" si="87"/>
        <v>199.35042969600002</v>
      </c>
      <c r="H1115" s="1">
        <v>29.44</v>
      </c>
      <c r="I1115" s="1">
        <f t="shared" si="88"/>
        <v>35.33</v>
      </c>
      <c r="J1115" s="1" t="s">
        <v>1182</v>
      </c>
      <c r="K1115" s="3">
        <f t="shared" si="89"/>
        <v>263.18080127999997</v>
      </c>
      <c r="L1115" s="10">
        <f t="shared" si="86"/>
        <v>0.32019179332263414</v>
      </c>
      <c r="M1115" s="18" t="str">
        <f>VLOOKUP(A1115,Список!A:I,9,0)</f>
        <v>Новинка</v>
      </c>
      <c r="N1115" s="12"/>
      <c r="O1115" s="11"/>
    </row>
    <row r="1116" spans="1:15" x14ac:dyDescent="0.25">
      <c r="A1116" s="6">
        <v>3784</v>
      </c>
      <c r="B1116" s="1" t="s">
        <v>1120</v>
      </c>
      <c r="C1116" s="3">
        <v>16.948800000000002</v>
      </c>
      <c r="D1116" s="1" t="s">
        <v>1182</v>
      </c>
      <c r="E1116" s="3">
        <f t="shared" si="85"/>
        <v>265.80057292800001</v>
      </c>
      <c r="F1116" s="3">
        <v>218.07948305084744</v>
      </c>
      <c r="G1116" s="4">
        <f t="shared" si="87"/>
        <v>265.80057292800001</v>
      </c>
      <c r="H1116" s="1">
        <v>39.25</v>
      </c>
      <c r="I1116" s="1">
        <f t="shared" si="88"/>
        <v>47.1</v>
      </c>
      <c r="J1116" s="1" t="s">
        <v>1182</v>
      </c>
      <c r="K1116" s="3">
        <f t="shared" si="89"/>
        <v>350.85807359999995</v>
      </c>
      <c r="L1116" s="10">
        <f t="shared" si="86"/>
        <v>0.32000495610308666</v>
      </c>
      <c r="M1116" s="18" t="str">
        <f>VLOOKUP(A1116,Список!A:I,9,0)</f>
        <v>Новинка</v>
      </c>
      <c r="N1116" s="12"/>
      <c r="O1116" s="11"/>
    </row>
    <row r="1117" spans="1:15" x14ac:dyDescent="0.25">
      <c r="A1117" s="6">
        <v>3785</v>
      </c>
      <c r="B1117" s="1" t="s">
        <v>1121</v>
      </c>
      <c r="C1117" s="3">
        <v>21.186</v>
      </c>
      <c r="D1117" s="1" t="s">
        <v>1182</v>
      </c>
      <c r="E1117" s="3">
        <f t="shared" si="85"/>
        <v>332.25071615999997</v>
      </c>
      <c r="F1117" s="3">
        <v>268.44616274864376</v>
      </c>
      <c r="G1117" s="4">
        <f t="shared" si="87"/>
        <v>332.25071615999997</v>
      </c>
      <c r="H1117" s="1">
        <v>49.06</v>
      </c>
      <c r="I1117" s="1">
        <f t="shared" si="88"/>
        <v>58.87</v>
      </c>
      <c r="J1117" s="1" t="s">
        <v>1182</v>
      </c>
      <c r="K1117" s="3">
        <f t="shared" si="89"/>
        <v>438.53534591999994</v>
      </c>
      <c r="L1117" s="10">
        <f t="shared" si="86"/>
        <v>0.31989285377135834</v>
      </c>
      <c r="M1117" s="18" t="str">
        <f>VLOOKUP(A1117,Список!A:I,9,0)</f>
        <v>Новинка</v>
      </c>
      <c r="N1117" s="12"/>
      <c r="O1117" s="11"/>
    </row>
    <row r="1118" spans="1:15" x14ac:dyDescent="0.25">
      <c r="A1118" s="6">
        <v>3786</v>
      </c>
      <c r="B1118" s="1" t="s">
        <v>1122</v>
      </c>
      <c r="C1118" s="3">
        <v>1.5346650000000002</v>
      </c>
      <c r="D1118" s="1" t="s">
        <v>1182</v>
      </c>
      <c r="E1118" s="3">
        <f t="shared" si="85"/>
        <v>24.067475942400002</v>
      </c>
      <c r="F1118" s="3">
        <v>20.473659574468083</v>
      </c>
      <c r="G1118" s="4">
        <f t="shared" si="87"/>
        <v>24.067475942400002</v>
      </c>
      <c r="H1118" s="1">
        <v>3.55</v>
      </c>
      <c r="I1118" s="1">
        <f t="shared" si="88"/>
        <v>4.26</v>
      </c>
      <c r="J1118" s="1" t="s">
        <v>1182</v>
      </c>
      <c r="K1118" s="3">
        <f t="shared" si="89"/>
        <v>31.733660159999992</v>
      </c>
      <c r="L1118" s="10">
        <f t="shared" si="86"/>
        <v>0.31852879944482959</v>
      </c>
      <c r="M1118" s="18" t="str">
        <f>VLOOKUP(A1118,Список!A:I,9,0)</f>
        <v>Новинка</v>
      </c>
      <c r="N1118" s="12"/>
      <c r="O1118" s="11"/>
    </row>
    <row r="1119" spans="1:15" x14ac:dyDescent="0.25">
      <c r="A1119" s="6">
        <v>7080</v>
      </c>
      <c r="B1119" s="1" t="s">
        <v>1123</v>
      </c>
      <c r="C1119" s="3">
        <v>6.0534599999999994</v>
      </c>
      <c r="D1119" s="1" t="s">
        <v>1182</v>
      </c>
      <c r="E1119" s="3">
        <f t="shared" si="85"/>
        <v>94.933749657599989</v>
      </c>
      <c r="F1119" s="3">
        <v>77.344567078972403</v>
      </c>
      <c r="G1119" s="4">
        <f t="shared" si="87"/>
        <v>94.933749657599989</v>
      </c>
      <c r="H1119" s="1">
        <v>14.4</v>
      </c>
      <c r="I1119" s="1">
        <f t="shared" si="88"/>
        <v>17.28</v>
      </c>
      <c r="J1119" s="1" t="s">
        <v>1182</v>
      </c>
      <c r="K1119" s="3">
        <f t="shared" si="89"/>
        <v>128.72245247999999</v>
      </c>
      <c r="L1119" s="10">
        <f t="shared" si="86"/>
        <v>0.35591876381441367</v>
      </c>
      <c r="M1119" s="18" t="str">
        <f>VLOOKUP(A1119,Список!A:I,9,0)</f>
        <v>Новинка</v>
      </c>
      <c r="N1119" s="12"/>
      <c r="O1119" s="11"/>
    </row>
    <row r="1120" spans="1:15" x14ac:dyDescent="0.25">
      <c r="A1120" s="6">
        <v>7081</v>
      </c>
      <c r="B1120" s="1" t="s">
        <v>1124</v>
      </c>
      <c r="C1120" s="3">
        <v>6.5476199999999993</v>
      </c>
      <c r="D1120" s="1" t="s">
        <v>1182</v>
      </c>
      <c r="E1120" s="3">
        <f t="shared" si="85"/>
        <v>102.68344350719998</v>
      </c>
      <c r="F1120" s="3">
        <v>84.147351152073739</v>
      </c>
      <c r="G1120" s="4">
        <f t="shared" si="87"/>
        <v>102.68344350719998</v>
      </c>
      <c r="H1120" s="1">
        <v>15.56</v>
      </c>
      <c r="I1120" s="1">
        <f t="shared" si="88"/>
        <v>18.670000000000002</v>
      </c>
      <c r="J1120" s="1" t="s">
        <v>1182</v>
      </c>
      <c r="K1120" s="3">
        <f t="shared" si="89"/>
        <v>139.07686272000001</v>
      </c>
      <c r="L1120" s="10">
        <f t="shared" si="86"/>
        <v>0.35442343935659104</v>
      </c>
      <c r="M1120" s="18" t="str">
        <f>VLOOKUP(A1120,Список!A:I,9,0)</f>
        <v>Новинка</v>
      </c>
      <c r="N1120" s="12"/>
      <c r="O1120" s="11"/>
    </row>
    <row r="1121" spans="1:15" x14ac:dyDescent="0.25">
      <c r="A1121" s="6">
        <v>7082</v>
      </c>
      <c r="B1121" s="1" t="s">
        <v>1125</v>
      </c>
      <c r="C1121" s="3">
        <v>7.0417799999999993</v>
      </c>
      <c r="D1121" s="1" t="s">
        <v>1182</v>
      </c>
      <c r="E1121" s="3">
        <f t="shared" si="85"/>
        <v>110.43313735679997</v>
      </c>
      <c r="F1121" s="3">
        <v>90.333754997437211</v>
      </c>
      <c r="G1121" s="4">
        <f t="shared" si="87"/>
        <v>110.43313735679997</v>
      </c>
      <c r="H1121" s="1">
        <v>16.739999999999998</v>
      </c>
      <c r="I1121" s="1">
        <f t="shared" si="88"/>
        <v>20.09</v>
      </c>
      <c r="J1121" s="1" t="s">
        <v>1182</v>
      </c>
      <c r="K1121" s="3">
        <f t="shared" si="89"/>
        <v>149.65474943999999</v>
      </c>
      <c r="L1121" s="10">
        <f t="shared" si="86"/>
        <v>0.35516162106740068</v>
      </c>
      <c r="M1121" s="18" t="str">
        <f>VLOOKUP(A1121,Список!A:I,9,0)</f>
        <v>Новинка</v>
      </c>
      <c r="N1121" s="12"/>
      <c r="O1121" s="11"/>
    </row>
    <row r="1122" spans="1:15" x14ac:dyDescent="0.25">
      <c r="A1122" s="6">
        <v>7083</v>
      </c>
      <c r="B1122" s="1" t="s">
        <v>1126</v>
      </c>
      <c r="C1122" s="3">
        <v>8.0918700000000001</v>
      </c>
      <c r="D1122" s="1" t="s">
        <v>1182</v>
      </c>
      <c r="E1122" s="3">
        <f t="shared" si="85"/>
        <v>126.90123678719999</v>
      </c>
      <c r="F1122" s="3">
        <v>103.35800476568706</v>
      </c>
      <c r="G1122" s="4">
        <f t="shared" si="87"/>
        <v>126.90123678719999</v>
      </c>
      <c r="H1122" s="1">
        <v>19.21</v>
      </c>
      <c r="I1122" s="1">
        <f t="shared" si="88"/>
        <v>23.05</v>
      </c>
      <c r="J1122" s="1" t="s">
        <v>1182</v>
      </c>
      <c r="K1122" s="3">
        <f t="shared" si="89"/>
        <v>171.70442879999999</v>
      </c>
      <c r="L1122" s="10">
        <f t="shared" si="86"/>
        <v>0.3530555977790053</v>
      </c>
      <c r="M1122" s="18" t="str">
        <f>VLOOKUP(A1122,Список!A:I,9,0)</f>
        <v>Новинка</v>
      </c>
      <c r="N1122" s="12"/>
      <c r="O1122" s="11"/>
    </row>
    <row r="1123" spans="1:15" x14ac:dyDescent="0.25">
      <c r="A1123" s="6">
        <v>7084</v>
      </c>
      <c r="B1123" s="1" t="s">
        <v>1127</v>
      </c>
      <c r="C1123" s="3">
        <v>10.31559</v>
      </c>
      <c r="D1123" s="1" t="s">
        <v>1182</v>
      </c>
      <c r="E1123" s="3">
        <f t="shared" si="85"/>
        <v>161.7748591104</v>
      </c>
      <c r="F1123" s="3">
        <v>132.79883428925748</v>
      </c>
      <c r="G1123" s="4">
        <f t="shared" si="87"/>
        <v>161.7748591104</v>
      </c>
      <c r="H1123" s="1">
        <v>24.59</v>
      </c>
      <c r="I1123" s="1">
        <f t="shared" si="88"/>
        <v>29.51</v>
      </c>
      <c r="J1123" s="1" t="s">
        <v>1182</v>
      </c>
      <c r="K1123" s="3">
        <f t="shared" si="89"/>
        <v>219.82636415999997</v>
      </c>
      <c r="L1123" s="10">
        <f t="shared" si="86"/>
        <v>0.35884132657463108</v>
      </c>
      <c r="M1123" s="18" t="str">
        <f>VLOOKUP(A1123,Список!A:I,9,0)</f>
        <v>Новинка</v>
      </c>
      <c r="N1123" s="12"/>
      <c r="O1123" s="11"/>
    </row>
    <row r="1124" spans="1:15" x14ac:dyDescent="0.25">
      <c r="A1124" s="6">
        <v>7085</v>
      </c>
      <c r="B1124" s="1" t="s">
        <v>1128</v>
      </c>
      <c r="C1124" s="3">
        <v>11.30391</v>
      </c>
      <c r="D1124" s="1" t="s">
        <v>1182</v>
      </c>
      <c r="E1124" s="3">
        <f t="shared" si="85"/>
        <v>177.27424680959999</v>
      </c>
      <c r="F1124" s="3">
        <v>145.47152017353577</v>
      </c>
      <c r="G1124" s="4">
        <f t="shared" si="87"/>
        <v>177.27424680959999</v>
      </c>
      <c r="H1124" s="1">
        <v>26.91</v>
      </c>
      <c r="I1124" s="1">
        <f t="shared" si="88"/>
        <v>32.29</v>
      </c>
      <c r="J1124" s="1" t="s">
        <v>1182</v>
      </c>
      <c r="K1124" s="3">
        <f t="shared" si="89"/>
        <v>240.53518463999995</v>
      </c>
      <c r="L1124" s="10">
        <f t="shared" si="86"/>
        <v>0.35685351351877337</v>
      </c>
      <c r="M1124" s="18" t="str">
        <f>VLOOKUP(A1124,Список!A:I,9,0)</f>
        <v>Новинка</v>
      </c>
      <c r="N1124" s="12"/>
      <c r="O1124" s="11"/>
    </row>
    <row r="1125" spans="1:15" x14ac:dyDescent="0.25">
      <c r="A1125" s="6">
        <v>7086</v>
      </c>
      <c r="B1125" s="1" t="s">
        <v>1129</v>
      </c>
      <c r="C1125" s="3">
        <v>12.786390000000001</v>
      </c>
      <c r="D1125" s="1" t="s">
        <v>1182</v>
      </c>
      <c r="E1125" s="3">
        <f t="shared" si="85"/>
        <v>200.52332835839999</v>
      </c>
      <c r="F1125" s="3">
        <v>165.04812070850645</v>
      </c>
      <c r="G1125" s="4">
        <f t="shared" si="87"/>
        <v>200.52332835839999</v>
      </c>
      <c r="H1125" s="1">
        <v>30.48</v>
      </c>
      <c r="I1125" s="1">
        <f t="shared" si="88"/>
        <v>36.58</v>
      </c>
      <c r="J1125" s="1" t="s">
        <v>1182</v>
      </c>
      <c r="K1125" s="3">
        <f t="shared" si="89"/>
        <v>272.49232127999994</v>
      </c>
      <c r="L1125" s="10">
        <f t="shared" si="86"/>
        <v>0.35890583659656849</v>
      </c>
      <c r="M1125" s="18" t="str">
        <f>VLOOKUP(A1125,Список!A:I,9,0)</f>
        <v>Новинка</v>
      </c>
      <c r="N1125" s="12"/>
      <c r="O1125" s="11"/>
    </row>
    <row r="1126" spans="1:15" x14ac:dyDescent="0.25">
      <c r="A1126" s="6">
        <v>7087</v>
      </c>
      <c r="B1126" s="1" t="s">
        <v>1130</v>
      </c>
      <c r="C1126" s="3">
        <v>15.318959999999999</v>
      </c>
      <c r="D1126" s="1" t="s">
        <v>1182</v>
      </c>
      <c r="E1126" s="3">
        <f t="shared" si="85"/>
        <v>240.24050933759997</v>
      </c>
      <c r="F1126" s="3">
        <v>198.71489566613161</v>
      </c>
      <c r="G1126" s="4">
        <f t="shared" si="87"/>
        <v>240.24050933759997</v>
      </c>
      <c r="H1126" s="1">
        <v>36.44</v>
      </c>
      <c r="I1126" s="1">
        <f t="shared" si="88"/>
        <v>43.73</v>
      </c>
      <c r="J1126" s="1" t="s">
        <v>1182</v>
      </c>
      <c r="K1126" s="3">
        <f t="shared" si="89"/>
        <v>325.75421567999996</v>
      </c>
      <c r="L1126" s="10">
        <f t="shared" si="86"/>
        <v>0.35595040394387079</v>
      </c>
      <c r="M1126" s="18" t="str">
        <f>VLOOKUP(A1126,Список!A:I,9,0)</f>
        <v>Новинка</v>
      </c>
      <c r="N1126" s="12"/>
      <c r="O1126" s="11"/>
    </row>
    <row r="1127" spans="1:15" x14ac:dyDescent="0.25">
      <c r="A1127" s="6">
        <v>7088</v>
      </c>
      <c r="B1127" s="1" t="s">
        <v>1131</v>
      </c>
      <c r="C1127" s="3">
        <v>17.789759999999998</v>
      </c>
      <c r="D1127" s="1" t="s">
        <v>1182</v>
      </c>
      <c r="E1127" s="3">
        <f t="shared" si="85"/>
        <v>278.98897858559991</v>
      </c>
      <c r="F1127" s="3">
        <v>232.31398314606741</v>
      </c>
      <c r="G1127" s="4">
        <f t="shared" si="87"/>
        <v>278.98897858559991</v>
      </c>
      <c r="H1127" s="1">
        <v>42.34</v>
      </c>
      <c r="I1127" s="1">
        <f t="shared" si="88"/>
        <v>50.81</v>
      </c>
      <c r="J1127" s="1" t="s">
        <v>1182</v>
      </c>
      <c r="K1127" s="3">
        <f t="shared" si="89"/>
        <v>378.49466495999997</v>
      </c>
      <c r="L1127" s="10">
        <f t="shared" si="86"/>
        <v>0.35666529509110889</v>
      </c>
      <c r="M1127" s="18" t="str">
        <f>VLOOKUP(A1127,Список!A:I,9,0)</f>
        <v>Новинка</v>
      </c>
      <c r="N1127" s="12"/>
      <c r="O1127" s="11"/>
    </row>
    <row r="1128" spans="1:15" x14ac:dyDescent="0.25">
      <c r="A1128" s="6">
        <v>7089</v>
      </c>
      <c r="B1128" s="1" t="s">
        <v>1132</v>
      </c>
      <c r="C1128" s="3">
        <v>20.260559999999998</v>
      </c>
      <c r="D1128" s="1" t="s">
        <v>1182</v>
      </c>
      <c r="E1128" s="3">
        <f t="shared" si="85"/>
        <v>317.73744783359996</v>
      </c>
      <c r="F1128" s="3">
        <v>265.11808854961834</v>
      </c>
      <c r="G1128" s="4">
        <f t="shared" si="87"/>
        <v>317.73744783359996</v>
      </c>
      <c r="H1128" s="1">
        <v>48.23</v>
      </c>
      <c r="I1128" s="1">
        <f t="shared" si="88"/>
        <v>57.88</v>
      </c>
      <c r="J1128" s="1" t="s">
        <v>1182</v>
      </c>
      <c r="K1128" s="3">
        <f t="shared" si="89"/>
        <v>431.16062207999994</v>
      </c>
      <c r="L1128" s="10">
        <f t="shared" si="86"/>
        <v>0.35697137690172442</v>
      </c>
      <c r="M1128" s="18" t="str">
        <f>VLOOKUP(A1128,Список!A:I,9,0)</f>
        <v>Новинка</v>
      </c>
      <c r="N1128" s="12"/>
      <c r="O1128" s="11"/>
    </row>
    <row r="1129" spans="1:15" x14ac:dyDescent="0.25">
      <c r="A1129" s="6">
        <v>7090</v>
      </c>
      <c r="B1129" s="1" t="s">
        <v>1133</v>
      </c>
      <c r="C1129" s="3">
        <v>6.3005399999999998</v>
      </c>
      <c r="D1129" s="1" t="s">
        <v>1182</v>
      </c>
      <c r="E1129" s="3">
        <f t="shared" si="85"/>
        <v>98.8085965824</v>
      </c>
      <c r="F1129" s="3">
        <v>80.501495798319326</v>
      </c>
      <c r="G1129" s="4">
        <f t="shared" si="87"/>
        <v>98.8085965824</v>
      </c>
      <c r="H1129" s="1">
        <v>14.99</v>
      </c>
      <c r="I1129" s="1">
        <f t="shared" si="88"/>
        <v>17.989999999999998</v>
      </c>
      <c r="J1129" s="1" t="s">
        <v>1182</v>
      </c>
      <c r="K1129" s="3">
        <f t="shared" si="89"/>
        <v>134.01139583999998</v>
      </c>
      <c r="L1129" s="10">
        <f t="shared" si="86"/>
        <v>0.35627263694857869</v>
      </c>
      <c r="M1129" s="18" t="str">
        <f>VLOOKUP(A1129,Список!A:I,9,0)</f>
        <v>Новинка</v>
      </c>
      <c r="N1129" s="12"/>
      <c r="O1129" s="11"/>
    </row>
    <row r="1130" spans="1:15" x14ac:dyDescent="0.25">
      <c r="A1130" s="6">
        <v>7091</v>
      </c>
      <c r="B1130" s="1" t="s">
        <v>1134</v>
      </c>
      <c r="C1130" s="3">
        <v>6.7946999999999997</v>
      </c>
      <c r="D1130" s="1" t="s">
        <v>1182</v>
      </c>
      <c r="E1130" s="3">
        <f t="shared" si="85"/>
        <v>106.55829043199998</v>
      </c>
      <c r="F1130" s="3">
        <v>86.815331058020476</v>
      </c>
      <c r="G1130" s="4">
        <f t="shared" si="87"/>
        <v>106.55829043199998</v>
      </c>
      <c r="H1130" s="1">
        <v>16.23</v>
      </c>
      <c r="I1130" s="1">
        <f t="shared" si="88"/>
        <v>19.48</v>
      </c>
      <c r="J1130" s="1" t="s">
        <v>1182</v>
      </c>
      <c r="K1130" s="3">
        <f t="shared" si="89"/>
        <v>145.11072767999997</v>
      </c>
      <c r="L1130" s="10">
        <f t="shared" si="86"/>
        <v>0.36179669448246421</v>
      </c>
      <c r="M1130" s="18" t="str">
        <f>VLOOKUP(A1130,Список!A:I,9,0)</f>
        <v>Новинка</v>
      </c>
      <c r="N1130" s="12"/>
      <c r="O1130" s="11"/>
    </row>
    <row r="1131" spans="1:15" x14ac:dyDescent="0.25">
      <c r="A1131" s="6">
        <v>7092</v>
      </c>
      <c r="B1131" s="1" t="s">
        <v>1135</v>
      </c>
      <c r="C1131" s="3">
        <v>7.2888600000000006</v>
      </c>
      <c r="D1131" s="1" t="s">
        <v>1182</v>
      </c>
      <c r="E1131" s="3">
        <f t="shared" si="85"/>
        <v>114.3079842816</v>
      </c>
      <c r="F1131" s="3">
        <v>94.023326618705042</v>
      </c>
      <c r="G1131" s="4">
        <f t="shared" si="87"/>
        <v>114.3079842816</v>
      </c>
      <c r="H1131" s="1">
        <v>17.38</v>
      </c>
      <c r="I1131" s="1">
        <f t="shared" si="88"/>
        <v>20.86</v>
      </c>
      <c r="J1131" s="1" t="s">
        <v>1182</v>
      </c>
      <c r="K1131" s="3">
        <f t="shared" si="89"/>
        <v>155.39064575999998</v>
      </c>
      <c r="L1131" s="10">
        <f t="shared" si="86"/>
        <v>0.35940325373240789</v>
      </c>
      <c r="M1131" s="18" t="str">
        <f>VLOOKUP(A1131,Список!A:I,9,0)</f>
        <v>Новинка</v>
      </c>
      <c r="N1131" s="12"/>
      <c r="O1131" s="11"/>
    </row>
    <row r="1132" spans="1:15" x14ac:dyDescent="0.25">
      <c r="A1132" s="6">
        <v>7093</v>
      </c>
      <c r="B1132" s="1" t="s">
        <v>1136</v>
      </c>
      <c r="C1132" s="3">
        <v>8.3389500000000005</v>
      </c>
      <c r="D1132" s="1" t="s">
        <v>1182</v>
      </c>
      <c r="E1132" s="3">
        <f t="shared" si="85"/>
        <v>130.776083712</v>
      </c>
      <c r="F1132" s="3">
        <v>107.22617233009709</v>
      </c>
      <c r="G1132" s="4">
        <f t="shared" si="87"/>
        <v>130.776083712</v>
      </c>
      <c r="H1132" s="1">
        <v>19.850000000000001</v>
      </c>
      <c r="I1132" s="1">
        <f t="shared" si="88"/>
        <v>23.82</v>
      </c>
      <c r="J1132" s="1" t="s">
        <v>1182</v>
      </c>
      <c r="K1132" s="3">
        <f t="shared" si="89"/>
        <v>177.44032511999998</v>
      </c>
      <c r="L1132" s="10">
        <f t="shared" si="86"/>
        <v>0.35682549961326049</v>
      </c>
      <c r="M1132" s="18" t="str">
        <f>VLOOKUP(A1132,Список!A:I,9,0)</f>
        <v>Новинка</v>
      </c>
      <c r="N1132" s="12"/>
      <c r="O1132" s="11"/>
    </row>
    <row r="1133" spans="1:15" x14ac:dyDescent="0.25">
      <c r="A1133" s="6">
        <v>7094</v>
      </c>
      <c r="B1133" s="1" t="s">
        <v>1137</v>
      </c>
      <c r="C1133" s="3">
        <v>10.562670000000001</v>
      </c>
      <c r="D1133" s="1" t="s">
        <v>1182</v>
      </c>
      <c r="E1133" s="3">
        <f t="shared" si="85"/>
        <v>165.64970603520001</v>
      </c>
      <c r="F1133" s="3">
        <v>136.10356030534351</v>
      </c>
      <c r="G1133" s="4">
        <f t="shared" si="87"/>
        <v>165.64970603520001</v>
      </c>
      <c r="H1133" s="1">
        <v>25.09</v>
      </c>
      <c r="I1133" s="1">
        <f t="shared" si="88"/>
        <v>30.11</v>
      </c>
      <c r="J1133" s="1" t="s">
        <v>1182</v>
      </c>
      <c r="K1133" s="3">
        <f t="shared" si="89"/>
        <v>224.29589375999996</v>
      </c>
      <c r="L1133" s="10">
        <f t="shared" si="86"/>
        <v>0.35403737880668396</v>
      </c>
      <c r="M1133" s="18" t="str">
        <f>VLOOKUP(A1133,Список!A:I,9,0)</f>
        <v>Новинка</v>
      </c>
      <c r="N1133" s="12"/>
      <c r="O1133" s="11"/>
    </row>
    <row r="1134" spans="1:15" x14ac:dyDescent="0.25">
      <c r="A1134" s="6">
        <v>7095</v>
      </c>
      <c r="B1134" s="1" t="s">
        <v>1138</v>
      </c>
      <c r="C1134" s="3">
        <v>11.550990000000001</v>
      </c>
      <c r="D1134" s="1" t="s">
        <v>1182</v>
      </c>
      <c r="E1134" s="3">
        <f t="shared" si="85"/>
        <v>181.1490937344</v>
      </c>
      <c r="F1134" s="3">
        <v>149.04418798955612</v>
      </c>
      <c r="G1134" s="4">
        <f t="shared" si="87"/>
        <v>181.1490937344</v>
      </c>
      <c r="H1134" s="1">
        <v>27.5</v>
      </c>
      <c r="I1134" s="1">
        <f t="shared" si="88"/>
        <v>33</v>
      </c>
      <c r="J1134" s="1" t="s">
        <v>1182</v>
      </c>
      <c r="K1134" s="3">
        <f t="shared" si="89"/>
        <v>245.82412799999997</v>
      </c>
      <c r="L1134" s="10">
        <f t="shared" si="86"/>
        <v>0.35702654058223571</v>
      </c>
      <c r="M1134" s="18" t="str">
        <f>VLOOKUP(A1134,Список!A:I,9,0)</f>
        <v>Новинка</v>
      </c>
      <c r="N1134" s="12"/>
      <c r="O1134" s="11"/>
    </row>
    <row r="1135" spans="1:15" x14ac:dyDescent="0.25">
      <c r="A1135" s="6">
        <v>7096</v>
      </c>
      <c r="B1135" s="1" t="s">
        <v>1139</v>
      </c>
      <c r="C1135" s="3">
        <v>13.033470000000001</v>
      </c>
      <c r="D1135" s="1" t="s">
        <v>1182</v>
      </c>
      <c r="E1135" s="3">
        <f t="shared" si="85"/>
        <v>204.3981752832</v>
      </c>
      <c r="F1135" s="3">
        <v>168.4267373493976</v>
      </c>
      <c r="G1135" s="4">
        <f t="shared" si="87"/>
        <v>204.3981752832</v>
      </c>
      <c r="H1135" s="1">
        <v>30.99</v>
      </c>
      <c r="I1135" s="1">
        <f t="shared" si="88"/>
        <v>37.19</v>
      </c>
      <c r="J1135" s="1" t="s">
        <v>1182</v>
      </c>
      <c r="K1135" s="3">
        <f t="shared" si="89"/>
        <v>277.03634303999996</v>
      </c>
      <c r="L1135" s="10">
        <f t="shared" si="86"/>
        <v>0.3553758131947975</v>
      </c>
      <c r="M1135" s="18" t="str">
        <f>VLOOKUP(A1135,Список!A:I,9,0)</f>
        <v>Новинка</v>
      </c>
      <c r="N1135" s="12"/>
      <c r="O1135" s="11"/>
    </row>
    <row r="1136" spans="1:15" x14ac:dyDescent="0.25">
      <c r="A1136" s="6">
        <v>7097</v>
      </c>
      <c r="B1136" s="1" t="s">
        <v>1140</v>
      </c>
      <c r="C1136" s="3">
        <v>15.566039999999999</v>
      </c>
      <c r="D1136" s="1" t="s">
        <v>1182</v>
      </c>
      <c r="E1136" s="3">
        <f t="shared" si="85"/>
        <v>244.11535626239998</v>
      </c>
      <c r="F1136" s="3">
        <v>201.12653620352251</v>
      </c>
      <c r="G1136" s="4">
        <f t="shared" si="87"/>
        <v>244.11535626239998</v>
      </c>
      <c r="H1136" s="1">
        <v>37.03</v>
      </c>
      <c r="I1136" s="1">
        <f t="shared" si="88"/>
        <v>44.44</v>
      </c>
      <c r="J1136" s="1" t="s">
        <v>1182</v>
      </c>
      <c r="K1136" s="3">
        <f t="shared" si="89"/>
        <v>331.04315903999998</v>
      </c>
      <c r="L1136" s="10">
        <f t="shared" si="86"/>
        <v>0.35609313608342252</v>
      </c>
      <c r="M1136" s="18" t="str">
        <f>VLOOKUP(A1136,Список!A:I,9,0)</f>
        <v>Новинка</v>
      </c>
      <c r="N1136" s="12"/>
      <c r="O1136" s="11"/>
    </row>
    <row r="1137" spans="1:15" x14ac:dyDescent="0.25">
      <c r="A1137" s="6">
        <v>7098</v>
      </c>
      <c r="B1137" s="1" t="s">
        <v>1141</v>
      </c>
      <c r="C1137" s="3">
        <v>18.036839999999998</v>
      </c>
      <c r="D1137" s="1" t="s">
        <v>1182</v>
      </c>
      <c r="E1137" s="3">
        <f t="shared" si="85"/>
        <v>282.86382551039992</v>
      </c>
      <c r="F1137" s="3">
        <v>233.44811612903226</v>
      </c>
      <c r="G1137" s="4">
        <f t="shared" si="87"/>
        <v>282.86382551039992</v>
      </c>
      <c r="H1137" s="1">
        <v>42.92</v>
      </c>
      <c r="I1137" s="1">
        <f t="shared" si="88"/>
        <v>51.5</v>
      </c>
      <c r="J1137" s="1" t="s">
        <v>1182</v>
      </c>
      <c r="K1137" s="3">
        <f t="shared" si="89"/>
        <v>383.63462399999992</v>
      </c>
      <c r="L1137" s="10">
        <f t="shared" si="86"/>
        <v>0.35625198205450626</v>
      </c>
      <c r="M1137" s="18" t="str">
        <f>VLOOKUP(A1137,Список!A:I,9,0)</f>
        <v>Новинка</v>
      </c>
      <c r="N1137" s="12"/>
      <c r="O1137" s="11"/>
    </row>
    <row r="1138" spans="1:15" x14ac:dyDescent="0.25">
      <c r="A1138" s="6">
        <v>7099</v>
      </c>
      <c r="B1138" s="1" t="s">
        <v>1142</v>
      </c>
      <c r="C1138" s="3">
        <v>20.507639999999995</v>
      </c>
      <c r="D1138" s="1" t="s">
        <v>1182</v>
      </c>
      <c r="E1138" s="3">
        <f t="shared" si="85"/>
        <v>321.61229475839986</v>
      </c>
      <c r="F1138" s="3">
        <v>267.3950228013029</v>
      </c>
      <c r="G1138" s="4">
        <f t="shared" si="87"/>
        <v>321.61229475839986</v>
      </c>
      <c r="H1138" s="1">
        <v>48.81</v>
      </c>
      <c r="I1138" s="1">
        <f t="shared" si="88"/>
        <v>58.57</v>
      </c>
      <c r="J1138" s="1" t="s">
        <v>1182</v>
      </c>
      <c r="K1138" s="3">
        <f t="shared" si="89"/>
        <v>436.30058111999995</v>
      </c>
      <c r="L1138" s="10">
        <f t="shared" si="86"/>
        <v>0.35660417288386226</v>
      </c>
      <c r="M1138" s="18" t="str">
        <f>VLOOKUP(A1138,Список!A:I,9,0)</f>
        <v>Новинка</v>
      </c>
      <c r="N1138" s="12"/>
      <c r="O1138" s="11"/>
    </row>
    <row r="1139" spans="1:15" x14ac:dyDescent="0.25">
      <c r="A1139" s="6">
        <v>1600</v>
      </c>
      <c r="B1139" s="1" t="s">
        <v>1143</v>
      </c>
      <c r="C1139" s="3">
        <v>445.27</v>
      </c>
      <c r="D1139" s="1" t="s">
        <v>1172</v>
      </c>
      <c r="E1139" s="3">
        <f t="shared" si="85"/>
        <v>534.32399999999996</v>
      </c>
      <c r="F1139" s="3">
        <v>455.62457142857141</v>
      </c>
      <c r="G1139" s="4">
        <f t="shared" si="87"/>
        <v>534.32399999999996</v>
      </c>
      <c r="H1139" s="1">
        <v>887.4</v>
      </c>
      <c r="I1139" s="1">
        <f t="shared" si="88"/>
        <v>1064.8800000000001</v>
      </c>
      <c r="J1139" s="1" t="s">
        <v>1172</v>
      </c>
      <c r="K1139" s="3">
        <f t="shared" si="89"/>
        <v>606.98159999999996</v>
      </c>
      <c r="L1139" s="10">
        <f t="shared" si="86"/>
        <v>0.13598041637658054</v>
      </c>
      <c r="M1139" s="18" t="str">
        <f>VLOOKUP(A1139,Список!A:I,9,0)</f>
        <v>Новинка</v>
      </c>
      <c r="N1139" s="12"/>
      <c r="O1139" s="11"/>
    </row>
    <row r="1140" spans="1:15" x14ac:dyDescent="0.25">
      <c r="A1140" s="6">
        <v>2800</v>
      </c>
      <c r="B1140" s="1" t="s">
        <v>1144</v>
      </c>
      <c r="C1140" s="3">
        <v>132.11432673267311</v>
      </c>
      <c r="D1140" s="1" t="s">
        <v>1182</v>
      </c>
      <c r="E1140" s="3">
        <f t="shared" si="85"/>
        <v>2071.8908558447497</v>
      </c>
      <c r="F1140" s="3">
        <v>1732.9210909090909</v>
      </c>
      <c r="G1140" s="4">
        <f t="shared" si="87"/>
        <v>2071.8908558447497</v>
      </c>
      <c r="H1140" s="1">
        <v>304.42</v>
      </c>
      <c r="I1140" s="1">
        <f t="shared" si="88"/>
        <v>365.3</v>
      </c>
      <c r="J1140" s="1" t="s">
        <v>1182</v>
      </c>
      <c r="K1140" s="3">
        <f t="shared" si="89"/>
        <v>2721.1986047999999</v>
      </c>
      <c r="L1140" s="10">
        <f t="shared" si="86"/>
        <v>0.31338897371141439</v>
      </c>
      <c r="M1140" s="18" t="str">
        <f>VLOOKUP(A1140,Список!A:I,9,0)</f>
        <v>Новинка</v>
      </c>
      <c r="N1140" s="12"/>
      <c r="O1140" s="11"/>
    </row>
    <row r="1141" spans="1:15" x14ac:dyDescent="0.25">
      <c r="A1141" s="6">
        <v>2801</v>
      </c>
      <c r="B1141" s="1" t="s">
        <v>1145</v>
      </c>
      <c r="C1141" s="3">
        <v>161.30411881188104</v>
      </c>
      <c r="D1141" s="1" t="s">
        <v>1182</v>
      </c>
      <c r="E1141" s="3">
        <f t="shared" si="85"/>
        <v>2529.6615215144529</v>
      </c>
      <c r="F1141" s="3">
        <v>2128.2663448275862</v>
      </c>
      <c r="G1141" s="4">
        <f t="shared" si="87"/>
        <v>2529.6615215144529</v>
      </c>
      <c r="H1141" s="1">
        <v>372.12</v>
      </c>
      <c r="I1141" s="1">
        <f t="shared" si="88"/>
        <v>446.54</v>
      </c>
      <c r="J1141" s="1" t="s">
        <v>1182</v>
      </c>
      <c r="K1141" s="3">
        <f t="shared" si="89"/>
        <v>3326.3729126399999</v>
      </c>
      <c r="L1141" s="10">
        <f t="shared" si="86"/>
        <v>0.3149478237897112</v>
      </c>
      <c r="M1141" s="18" t="str">
        <f>VLOOKUP(A1141,Список!A:I,9,0)</f>
        <v>Новинка</v>
      </c>
      <c r="N1141" s="12"/>
      <c r="O1141" s="11"/>
    </row>
    <row r="1142" spans="1:15" x14ac:dyDescent="0.25">
      <c r="A1142" s="6">
        <v>2802</v>
      </c>
      <c r="B1142" s="1" t="s">
        <v>1146</v>
      </c>
      <c r="C1142" s="3">
        <v>193.70628712871277</v>
      </c>
      <c r="D1142" s="1" t="s">
        <v>1182</v>
      </c>
      <c r="E1142" s="3">
        <f t="shared" si="85"/>
        <v>3037.8104702732653</v>
      </c>
      <c r="F1142" s="3">
        <v>2544.0698252427187</v>
      </c>
      <c r="G1142" s="4">
        <f t="shared" si="87"/>
        <v>3037.8104702732653</v>
      </c>
      <c r="H1142" s="1">
        <v>447.29</v>
      </c>
      <c r="I1142" s="1">
        <f t="shared" si="88"/>
        <v>536.75</v>
      </c>
      <c r="J1142" s="1" t="s">
        <v>1182</v>
      </c>
      <c r="K1142" s="3">
        <f t="shared" si="89"/>
        <v>3998.3666879999996</v>
      </c>
      <c r="L1142" s="10">
        <f t="shared" si="86"/>
        <v>0.31620018007256645</v>
      </c>
      <c r="M1142" s="18" t="str">
        <f>VLOOKUP(A1142,Список!A:I,9,0)</f>
        <v>Новинка</v>
      </c>
      <c r="N1142" s="12"/>
      <c r="O1142" s="11"/>
    </row>
    <row r="1143" spans="1:15" x14ac:dyDescent="0.25">
      <c r="A1143" s="6">
        <v>2803</v>
      </c>
      <c r="B1143" s="1" t="s">
        <v>1147</v>
      </c>
      <c r="C1143" s="3">
        <v>223.17448514851446</v>
      </c>
      <c r="D1143" s="1" t="s">
        <v>1182</v>
      </c>
      <c r="E1143" s="3">
        <f t="shared" si="85"/>
        <v>3499.947253810687</v>
      </c>
      <c r="F1143" s="3">
        <v>2923.3055519999998</v>
      </c>
      <c r="G1143" s="4">
        <f t="shared" si="87"/>
        <v>3499.947253810687</v>
      </c>
      <c r="H1143" s="1">
        <v>515.63</v>
      </c>
      <c r="I1143" s="1">
        <f t="shared" si="88"/>
        <v>618.76</v>
      </c>
      <c r="J1143" s="1" t="s">
        <v>1182</v>
      </c>
      <c r="K1143" s="3">
        <f t="shared" si="89"/>
        <v>4609.27689216</v>
      </c>
      <c r="L1143" s="10">
        <f t="shared" si="86"/>
        <v>0.31695610187881895</v>
      </c>
      <c r="M1143" s="18" t="str">
        <f>VLOOKUP(A1143,Список!A:I,9,0)</f>
        <v>Новинка</v>
      </c>
      <c r="N1143" s="12"/>
      <c r="O1143" s="11"/>
    </row>
    <row r="1144" spans="1:15" x14ac:dyDescent="0.25">
      <c r="A1144" s="6">
        <v>2804</v>
      </c>
      <c r="B1144" s="1" t="s">
        <v>1148</v>
      </c>
      <c r="C1144" s="3">
        <v>253.95975742574277</v>
      </c>
      <c r="D1144" s="1" t="s">
        <v>1182</v>
      </c>
      <c r="E1144" s="3">
        <f t="shared" si="85"/>
        <v>3982.739133414656</v>
      </c>
      <c r="F1144" s="3">
        <v>3337.8111188811185</v>
      </c>
      <c r="G1144" s="4">
        <f t="shared" si="87"/>
        <v>3982.739133414656</v>
      </c>
      <c r="H1144" s="1">
        <v>587.05999999999995</v>
      </c>
      <c r="I1144" s="1">
        <f t="shared" si="88"/>
        <v>704.47</v>
      </c>
      <c r="J1144" s="1" t="s">
        <v>1182</v>
      </c>
      <c r="K1144" s="3">
        <f t="shared" si="89"/>
        <v>5247.7491955200003</v>
      </c>
      <c r="L1144" s="10">
        <f t="shared" si="86"/>
        <v>0.31762312813613036</v>
      </c>
      <c r="M1144" s="18" t="str">
        <f>VLOOKUP(A1144,Список!A:I,9,0)</f>
        <v>Новинка</v>
      </c>
      <c r="N1144" s="12"/>
      <c r="O1144" s="11"/>
    </row>
    <row r="1145" spans="1:15" x14ac:dyDescent="0.25">
      <c r="A1145" s="6">
        <v>2805</v>
      </c>
      <c r="B1145" s="1" t="s">
        <v>1149</v>
      </c>
      <c r="C1145" s="3">
        <v>283.42795544554446</v>
      </c>
      <c r="D1145" s="1" t="s">
        <v>1182</v>
      </c>
      <c r="E1145" s="3">
        <f t="shared" si="85"/>
        <v>4444.8759169520772</v>
      </c>
      <c r="F1145" s="3">
        <v>3733.6008770053472</v>
      </c>
      <c r="G1145" s="4">
        <f t="shared" si="87"/>
        <v>4444.8759169520772</v>
      </c>
      <c r="H1145" s="1">
        <v>655.39</v>
      </c>
      <c r="I1145" s="1">
        <f t="shared" si="88"/>
        <v>786.47</v>
      </c>
      <c r="J1145" s="1" t="s">
        <v>1182</v>
      </c>
      <c r="K1145" s="3">
        <f t="shared" si="89"/>
        <v>5858.5849075199994</v>
      </c>
      <c r="L1145" s="10">
        <f t="shared" si="86"/>
        <v>0.31805364581185547</v>
      </c>
      <c r="M1145" s="18" t="str">
        <f>VLOOKUP(A1145,Список!A:I,9,0)</f>
        <v>Новинка</v>
      </c>
      <c r="N1145" s="12"/>
      <c r="O1145" s="11"/>
    </row>
    <row r="1146" spans="1:15" x14ac:dyDescent="0.25">
      <c r="A1146" s="6">
        <v>2806</v>
      </c>
      <c r="B1146" s="1" t="s">
        <v>1150</v>
      </c>
      <c r="C1146" s="3">
        <v>313.163851485149</v>
      </c>
      <c r="D1146" s="1" t="s">
        <v>1182</v>
      </c>
      <c r="E1146" s="3">
        <f t="shared" si="85"/>
        <v>4911.2108907469383</v>
      </c>
      <c r="F1146" s="3">
        <v>4110.8556279069771</v>
      </c>
      <c r="G1146" s="4">
        <f t="shared" si="87"/>
        <v>4911.2108907469383</v>
      </c>
      <c r="H1146" s="1">
        <v>724.39</v>
      </c>
      <c r="I1146" s="1">
        <f t="shared" si="88"/>
        <v>869.27</v>
      </c>
      <c r="J1146" s="1" t="s">
        <v>1182</v>
      </c>
      <c r="K1146" s="3">
        <f t="shared" si="89"/>
        <v>6475.3799923199995</v>
      </c>
      <c r="L1146" s="10">
        <f t="shared" si="86"/>
        <v>0.31848950011901622</v>
      </c>
      <c r="M1146" s="18" t="str">
        <f>VLOOKUP(A1146,Список!A:I,9,0)</f>
        <v>Новинка</v>
      </c>
      <c r="N1146" s="12"/>
      <c r="O1146" s="11"/>
    </row>
    <row r="1147" spans="1:15" x14ac:dyDescent="0.25">
      <c r="A1147" s="6">
        <v>2807</v>
      </c>
      <c r="B1147" s="1" t="s">
        <v>1151</v>
      </c>
      <c r="C1147" s="3">
        <v>348.64990099009856</v>
      </c>
      <c r="D1147" s="1" t="s">
        <v>1182</v>
      </c>
      <c r="E1147" s="3">
        <f t="shared" si="85"/>
        <v>5467.7229912712801</v>
      </c>
      <c r="F1147" s="3">
        <v>4579.2147499999992</v>
      </c>
      <c r="G1147" s="4">
        <f t="shared" si="87"/>
        <v>5467.7229912712801</v>
      </c>
      <c r="H1147" s="1">
        <v>806.65</v>
      </c>
      <c r="I1147" s="1">
        <f t="shared" si="88"/>
        <v>967.98</v>
      </c>
      <c r="J1147" s="1" t="s">
        <v>1182</v>
      </c>
      <c r="K1147" s="3">
        <f t="shared" si="89"/>
        <v>7210.6921036799995</v>
      </c>
      <c r="L1147" s="10">
        <f t="shared" si="86"/>
        <v>0.31877421646839288</v>
      </c>
      <c r="M1147" s="18" t="str">
        <f>VLOOKUP(A1147,Список!A:I,9,0)</f>
        <v>Новинка</v>
      </c>
      <c r="N1147" s="12"/>
      <c r="O1147" s="11"/>
    </row>
    <row r="1148" spans="1:15" x14ac:dyDescent="0.25">
      <c r="A1148" s="6">
        <v>2808</v>
      </c>
      <c r="B1148" s="1" t="s">
        <v>1152</v>
      </c>
      <c r="C1148" s="3">
        <v>381.3518910891093</v>
      </c>
      <c r="D1148" s="1" t="s">
        <v>1182</v>
      </c>
      <c r="E1148" s="3">
        <f t="shared" ref="E1148:E1168" si="90">IF(D1148="RUB",C1148*1.2,C1148*$E$2*1.2)</f>
        <v>5980.5739131184209</v>
      </c>
      <c r="F1148" s="3">
        <v>4999.7770434782606</v>
      </c>
      <c r="G1148" s="4">
        <f t="shared" si="87"/>
        <v>5980.5739131184209</v>
      </c>
      <c r="H1148" s="1">
        <v>882.52</v>
      </c>
      <c r="I1148" s="1">
        <f t="shared" si="88"/>
        <v>1059.02</v>
      </c>
      <c r="J1148" s="1" t="s">
        <v>1182</v>
      </c>
      <c r="K1148" s="3">
        <f t="shared" si="89"/>
        <v>7888.8687283199988</v>
      </c>
      <c r="L1148" s="10">
        <f t="shared" ref="L1148:L1161" si="91">K1148/E1148-1</f>
        <v>0.31908222236259354</v>
      </c>
      <c r="M1148" s="18" t="str">
        <f>VLOOKUP(A1148,Список!A:I,9,0)</f>
        <v>Новинка</v>
      </c>
      <c r="N1148" s="12"/>
      <c r="O1148" s="11"/>
    </row>
    <row r="1149" spans="1:15" x14ac:dyDescent="0.25">
      <c r="A1149" s="6">
        <v>2809</v>
      </c>
      <c r="B1149" s="1" t="s">
        <v>1153</v>
      </c>
      <c r="C1149" s="3">
        <v>411.45185643564309</v>
      </c>
      <c r="D1149" s="1" t="s">
        <v>1182</v>
      </c>
      <c r="E1149" s="3">
        <f t="shared" si="90"/>
        <v>6452.6184256633578</v>
      </c>
      <c r="F1149" s="3">
        <v>5392.7781599999989</v>
      </c>
      <c r="G1149" s="4">
        <f t="shared" si="87"/>
        <v>6452.6184256633578</v>
      </c>
      <c r="H1149" s="1">
        <v>952.31</v>
      </c>
      <c r="I1149" s="1">
        <f t="shared" si="88"/>
        <v>1142.77</v>
      </c>
      <c r="J1149" s="1" t="s">
        <v>1182</v>
      </c>
      <c r="K1149" s="3">
        <f t="shared" si="89"/>
        <v>8512.7405683199995</v>
      </c>
      <c r="L1149" s="10">
        <f t="shared" si="91"/>
        <v>0.31926917210277339</v>
      </c>
      <c r="M1149" s="18" t="str">
        <f>VLOOKUP(A1149,Список!A:I,9,0)</f>
        <v>Новинка</v>
      </c>
      <c r="N1149" s="12"/>
      <c r="O1149" s="11"/>
    </row>
    <row r="1150" spans="1:15" x14ac:dyDescent="0.25">
      <c r="A1150" s="6">
        <v>2810</v>
      </c>
      <c r="B1150" s="1" t="s">
        <v>1154</v>
      </c>
      <c r="C1150" s="3">
        <v>444.37871287128723</v>
      </c>
      <c r="D1150" s="1" t="s">
        <v>1182</v>
      </c>
      <c r="E1150" s="3">
        <f t="shared" si="90"/>
        <v>6968.9958273267339</v>
      </c>
      <c r="F1150" s="3">
        <v>5832.3257142857137</v>
      </c>
      <c r="G1150" s="4">
        <f t="shared" si="87"/>
        <v>6968.9958273267339</v>
      </c>
      <c r="H1150" s="1">
        <v>1021.29</v>
      </c>
      <c r="I1150" s="1">
        <f t="shared" si="88"/>
        <v>1225.55</v>
      </c>
      <c r="J1150" s="1" t="s">
        <v>1182</v>
      </c>
      <c r="K1150" s="3">
        <f t="shared" si="89"/>
        <v>9129.386668799998</v>
      </c>
      <c r="L1150" s="10">
        <f t="shared" si="91"/>
        <v>0.31000030635718967</v>
      </c>
      <c r="M1150" s="18" t="str">
        <f>VLOOKUP(A1150,Список!A:I,9,0)</f>
        <v>Новинка</v>
      </c>
      <c r="N1150" s="12"/>
      <c r="O1150" s="11"/>
    </row>
    <row r="1151" spans="1:15" x14ac:dyDescent="0.25">
      <c r="A1151" s="6">
        <v>2731</v>
      </c>
      <c r="B1151" s="1" t="s">
        <v>1155</v>
      </c>
      <c r="C1151" s="3">
        <v>334.92613</v>
      </c>
      <c r="D1151" s="1" t="s">
        <v>1182</v>
      </c>
      <c r="E1151" s="3">
        <f t="shared" si="90"/>
        <v>5252.4991292927998</v>
      </c>
      <c r="F1151" s="3">
        <v>4531.4361630233416</v>
      </c>
      <c r="G1151" s="4">
        <f t="shared" si="87"/>
        <v>5252.4991292927998</v>
      </c>
      <c r="H1151" s="1">
        <v>824.32</v>
      </c>
      <c r="I1151" s="1">
        <f t="shared" si="88"/>
        <v>989.18</v>
      </c>
      <c r="J1151" s="1" t="s">
        <v>1182</v>
      </c>
      <c r="K1151" s="3">
        <f t="shared" si="89"/>
        <v>7368.6154828799981</v>
      </c>
      <c r="L1151" s="10">
        <f t="shared" si="91"/>
        <v>0.40287800178504996</v>
      </c>
      <c r="M1151" s="18" t="str">
        <f>VLOOKUP(A1151,Список!A:I,9,0)</f>
        <v>Новинка</v>
      </c>
      <c r="N1151" s="12"/>
      <c r="O1151" s="11"/>
    </row>
    <row r="1152" spans="1:15" x14ac:dyDescent="0.25">
      <c r="A1152" s="6">
        <v>3060</v>
      </c>
      <c r="B1152" s="1" t="s">
        <v>1162</v>
      </c>
      <c r="C1152" s="3">
        <v>1437.7666666666667</v>
      </c>
      <c r="D1152" s="1" t="s">
        <v>1172</v>
      </c>
      <c r="E1152" s="3">
        <f t="shared" si="90"/>
        <v>1725.32</v>
      </c>
      <c r="F1152" s="3">
        <v>1402.0922686567162</v>
      </c>
      <c r="G1152" s="4">
        <f t="shared" si="87"/>
        <v>1725.32</v>
      </c>
      <c r="H1152" s="1">
        <v>2802.38</v>
      </c>
      <c r="I1152" s="1">
        <f t="shared" si="88"/>
        <v>3362.86</v>
      </c>
      <c r="J1152" s="1" t="s">
        <v>1172</v>
      </c>
      <c r="K1152" s="3">
        <f t="shared" si="89"/>
        <v>1916.8301999999999</v>
      </c>
      <c r="L1152" s="10">
        <f t="shared" si="91"/>
        <v>0.11099981452716023</v>
      </c>
      <c r="M1152" s="18" t="str">
        <f>VLOOKUP(A1152,Список!A:I,9,0)</f>
        <v>Новинка</v>
      </c>
      <c r="N1152" s="12"/>
      <c r="O1152" s="11"/>
    </row>
    <row r="1153" spans="1:15" x14ac:dyDescent="0.25">
      <c r="A1153" s="6">
        <v>3061</v>
      </c>
      <c r="B1153" s="1" t="s">
        <v>1163</v>
      </c>
      <c r="C1153" s="3">
        <v>2156.65</v>
      </c>
      <c r="D1153" s="1" t="s">
        <v>1172</v>
      </c>
      <c r="E1153" s="3">
        <f t="shared" si="90"/>
        <v>2587.98</v>
      </c>
      <c r="F1153" s="3">
        <v>2154.030046997389</v>
      </c>
      <c r="G1153" s="4">
        <f t="shared" si="87"/>
        <v>2587.98</v>
      </c>
      <c r="H1153" s="1">
        <v>4203.58</v>
      </c>
      <c r="I1153" s="1">
        <f t="shared" si="88"/>
        <v>5044.3</v>
      </c>
      <c r="J1153" s="1" t="s">
        <v>1172</v>
      </c>
      <c r="K1153" s="3">
        <f t="shared" si="89"/>
        <v>2875.2509999999997</v>
      </c>
      <c r="L1153" s="10">
        <f t="shared" si="91"/>
        <v>0.11100201701713286</v>
      </c>
      <c r="M1153" s="18" t="str">
        <f>VLOOKUP(A1153,Список!A:I,9,0)</f>
        <v>Новинка</v>
      </c>
      <c r="N1153" s="12"/>
      <c r="O1153" s="11"/>
    </row>
    <row r="1154" spans="1:15" x14ac:dyDescent="0.25">
      <c r="A1154" s="6">
        <v>3062</v>
      </c>
      <c r="B1154" s="1" t="s">
        <v>1164</v>
      </c>
      <c r="C1154" s="3">
        <v>2875.5333333333333</v>
      </c>
      <c r="D1154" s="1" t="s">
        <v>1172</v>
      </c>
      <c r="E1154" s="3">
        <f t="shared" si="90"/>
        <v>3450.64</v>
      </c>
      <c r="F1154" s="3">
        <v>2884.416792951542</v>
      </c>
      <c r="G1154" s="4">
        <f t="shared" si="87"/>
        <v>3450.64</v>
      </c>
      <c r="H1154" s="1">
        <v>5604.77</v>
      </c>
      <c r="I1154" s="1">
        <f t="shared" si="88"/>
        <v>6725.72</v>
      </c>
      <c r="J1154" s="1" t="s">
        <v>1172</v>
      </c>
      <c r="K1154" s="3">
        <f t="shared" si="89"/>
        <v>3833.6603999999998</v>
      </c>
      <c r="L1154" s="10">
        <f t="shared" si="91"/>
        <v>0.11099981452716023</v>
      </c>
      <c r="M1154" s="18" t="str">
        <f>VLOOKUP(A1154,Список!A:I,9,0)</f>
        <v>Новинка</v>
      </c>
      <c r="N1154" s="12"/>
      <c r="O1154" s="11"/>
    </row>
    <row r="1155" spans="1:15" x14ac:dyDescent="0.25">
      <c r="A1155" s="6">
        <v>3063</v>
      </c>
      <c r="B1155" s="1" t="s">
        <v>1165</v>
      </c>
      <c r="C1155" s="3">
        <v>3594.416666666667</v>
      </c>
      <c r="D1155" s="1" t="s">
        <v>1172</v>
      </c>
      <c r="E1155" s="3">
        <f t="shared" si="90"/>
        <v>4313.3</v>
      </c>
      <c r="F1155" s="3">
        <v>3586.0747380607818</v>
      </c>
      <c r="G1155" s="4">
        <f t="shared" si="87"/>
        <v>4313.3</v>
      </c>
      <c r="H1155" s="1">
        <v>7005.96</v>
      </c>
      <c r="I1155" s="1">
        <f t="shared" si="88"/>
        <v>8407.15</v>
      </c>
      <c r="J1155" s="1" t="s">
        <v>1172</v>
      </c>
      <c r="K1155" s="3">
        <f t="shared" si="89"/>
        <v>4792.075499999999</v>
      </c>
      <c r="L1155" s="10">
        <f t="shared" si="91"/>
        <v>0.11099981452716001</v>
      </c>
      <c r="M1155" s="18" t="str">
        <f>VLOOKUP(A1155,Список!A:I,9,0)</f>
        <v>Новинка</v>
      </c>
      <c r="N1155" s="12"/>
      <c r="O1155" s="11"/>
    </row>
    <row r="1156" spans="1:15" x14ac:dyDescent="0.25">
      <c r="A1156" s="6">
        <v>3064</v>
      </c>
      <c r="B1156" s="1" t="s">
        <v>1166</v>
      </c>
      <c r="C1156" s="3">
        <v>4313.3</v>
      </c>
      <c r="D1156" s="1" t="s">
        <v>1172</v>
      </c>
      <c r="E1156" s="3">
        <f t="shared" si="90"/>
        <v>5175.96</v>
      </c>
      <c r="F1156" s="3">
        <v>4330.8232417582421</v>
      </c>
      <c r="G1156" s="4">
        <f t="shared" si="87"/>
        <v>5175.96</v>
      </c>
      <c r="H1156" s="1">
        <v>8407.15</v>
      </c>
      <c r="I1156" s="1">
        <f t="shared" si="88"/>
        <v>10088.58</v>
      </c>
      <c r="J1156" s="1" t="s">
        <v>1172</v>
      </c>
      <c r="K1156" s="3">
        <f t="shared" si="89"/>
        <v>5750.4905999999992</v>
      </c>
      <c r="L1156" s="10">
        <f t="shared" si="91"/>
        <v>0.11099981452716001</v>
      </c>
      <c r="M1156" s="18" t="str">
        <f>VLOOKUP(A1156,Список!A:I,9,0)</f>
        <v>Новинка</v>
      </c>
      <c r="N1156" s="12"/>
      <c r="O1156" s="11"/>
    </row>
    <row r="1157" spans="1:15" x14ac:dyDescent="0.25">
      <c r="A1157" s="6">
        <v>3065</v>
      </c>
      <c r="B1157" s="1" t="s">
        <v>1167</v>
      </c>
      <c r="C1157" s="3">
        <v>1619.0666666666668</v>
      </c>
      <c r="D1157" s="1" t="s">
        <v>1172</v>
      </c>
      <c r="E1157" s="3">
        <f t="shared" si="90"/>
        <v>1942.88</v>
      </c>
      <c r="F1157" s="3">
        <v>1592.7070072992699</v>
      </c>
      <c r="G1157" s="4">
        <f t="shared" si="87"/>
        <v>1942.88</v>
      </c>
      <c r="H1157" s="1">
        <v>3155.76</v>
      </c>
      <c r="I1157" s="1">
        <f t="shared" si="88"/>
        <v>3786.91</v>
      </c>
      <c r="J1157" s="1" t="s">
        <v>1172</v>
      </c>
      <c r="K1157" s="3">
        <f t="shared" si="89"/>
        <v>2158.5386999999996</v>
      </c>
      <c r="L1157" s="10">
        <f t="shared" si="91"/>
        <v>0.11099949559416911</v>
      </c>
      <c r="M1157" s="18" t="str">
        <f>VLOOKUP(A1157,Список!A:I,9,0)</f>
        <v>Новинка</v>
      </c>
      <c r="N1157" s="12"/>
      <c r="O1157" s="11"/>
    </row>
    <row r="1158" spans="1:15" x14ac:dyDescent="0.25">
      <c r="A1158" s="6">
        <v>3066</v>
      </c>
      <c r="B1158" s="1" t="s">
        <v>1168</v>
      </c>
      <c r="C1158" s="3">
        <v>2428.6000000000004</v>
      </c>
      <c r="D1158" s="1" t="s">
        <v>1172</v>
      </c>
      <c r="E1158" s="3">
        <f t="shared" si="90"/>
        <v>2914.32</v>
      </c>
      <c r="F1158" s="3">
        <v>2351.3414760820042</v>
      </c>
      <c r="G1158" s="4">
        <f t="shared" ref="G1158:G1184" si="92">IF(M1158="Вывод из ассортимента",F1158,MAX(E1158,F1158))</f>
        <v>2914.32</v>
      </c>
      <c r="H1158" s="1">
        <v>4733.6400000000003</v>
      </c>
      <c r="I1158" s="1">
        <f t="shared" ref="I1158:I1168" si="93">ROUND(H1158*1.2,2)</f>
        <v>5680.37</v>
      </c>
      <c r="J1158" s="1" t="s">
        <v>1172</v>
      </c>
      <c r="K1158" s="3">
        <f t="shared" ref="K1158:K1184" si="94">IF(J1158="RUB",I1158*$K$4,I1158*$E$2*$K$4)</f>
        <v>3237.8108999999995</v>
      </c>
      <c r="L1158" s="10">
        <f t="shared" si="91"/>
        <v>0.11100047352384057</v>
      </c>
      <c r="M1158" s="18" t="str">
        <f>VLOOKUP(A1158,Список!A:I,9,0)</f>
        <v>Новинка</v>
      </c>
      <c r="N1158" s="12"/>
      <c r="O1158" s="11"/>
    </row>
    <row r="1159" spans="1:15" x14ac:dyDescent="0.25">
      <c r="A1159" s="6">
        <v>3067</v>
      </c>
      <c r="B1159" s="1" t="s">
        <v>1169</v>
      </c>
      <c r="C1159" s="3">
        <v>3238.1333333333337</v>
      </c>
      <c r="D1159" s="1" t="s">
        <v>1172</v>
      </c>
      <c r="E1159" s="3">
        <f t="shared" si="90"/>
        <v>3885.76</v>
      </c>
      <c r="F1159" s="3">
        <v>3154.5563720930231</v>
      </c>
      <c r="G1159" s="4">
        <f t="shared" si="92"/>
        <v>3885.76</v>
      </c>
      <c r="H1159" s="1">
        <v>6311.52</v>
      </c>
      <c r="I1159" s="1">
        <f t="shared" si="93"/>
        <v>7573.82</v>
      </c>
      <c r="J1159" s="1" t="s">
        <v>1172</v>
      </c>
      <c r="K1159" s="3">
        <f t="shared" si="94"/>
        <v>4317.0773999999992</v>
      </c>
      <c r="L1159" s="10">
        <f t="shared" si="91"/>
        <v>0.11099949559416911</v>
      </c>
      <c r="M1159" s="18" t="str">
        <f>VLOOKUP(A1159,Список!A:I,9,0)</f>
        <v>Новинка</v>
      </c>
      <c r="N1159" s="12"/>
      <c r="O1159" s="11"/>
    </row>
    <row r="1160" spans="1:15" x14ac:dyDescent="0.25">
      <c r="A1160" s="6">
        <v>3068</v>
      </c>
      <c r="B1160" s="1" t="s">
        <v>1170</v>
      </c>
      <c r="C1160" s="3">
        <v>4047.6666666666674</v>
      </c>
      <c r="D1160" s="1" t="s">
        <v>1172</v>
      </c>
      <c r="E1160" s="3">
        <f t="shared" si="90"/>
        <v>4857.2000000000007</v>
      </c>
      <c r="F1160" s="3">
        <v>3886.1128259860784</v>
      </c>
      <c r="G1160" s="4">
        <f t="shared" si="92"/>
        <v>4857.2000000000007</v>
      </c>
      <c r="H1160" s="1">
        <v>7889.4</v>
      </c>
      <c r="I1160" s="1">
        <f t="shared" si="93"/>
        <v>9467.2800000000007</v>
      </c>
      <c r="J1160" s="1" t="s">
        <v>1172</v>
      </c>
      <c r="K1160" s="3">
        <f t="shared" si="94"/>
        <v>5396.3495999999996</v>
      </c>
      <c r="L1160" s="10">
        <f t="shared" si="91"/>
        <v>0.11100008235197212</v>
      </c>
      <c r="M1160" s="18" t="str">
        <f>VLOOKUP(A1160,Список!A:I,9,0)</f>
        <v>Новинка</v>
      </c>
      <c r="N1160" s="12"/>
      <c r="O1160" s="11"/>
    </row>
    <row r="1161" spans="1:15" x14ac:dyDescent="0.25">
      <c r="A1161" s="6">
        <v>3069</v>
      </c>
      <c r="B1161" s="1" t="s">
        <v>1171</v>
      </c>
      <c r="C1161" s="3">
        <v>4857.2000000000007</v>
      </c>
      <c r="D1161" s="1" t="s">
        <v>1172</v>
      </c>
      <c r="E1161" s="3">
        <f t="shared" si="90"/>
        <v>5828.64</v>
      </c>
      <c r="F1161" s="3">
        <v>4705.3175999999994</v>
      </c>
      <c r="G1161" s="4">
        <f t="shared" si="92"/>
        <v>5828.64</v>
      </c>
      <c r="H1161" s="1">
        <v>9467.2800000000007</v>
      </c>
      <c r="I1161" s="1">
        <f t="shared" si="93"/>
        <v>11360.74</v>
      </c>
      <c r="J1161" s="1" t="s">
        <v>1172</v>
      </c>
      <c r="K1161" s="3">
        <f t="shared" si="94"/>
        <v>6475.621799999999</v>
      </c>
      <c r="L1161" s="10">
        <f t="shared" si="91"/>
        <v>0.11100047352384057</v>
      </c>
      <c r="M1161" s="18" t="str">
        <f>VLOOKUP(A1161,Список!A:I,9,0)</f>
        <v>Новинка</v>
      </c>
      <c r="N1161" s="12"/>
      <c r="O1161" s="11"/>
    </row>
    <row r="1162" spans="1:15" x14ac:dyDescent="0.25">
      <c r="A1162" s="6">
        <v>1580</v>
      </c>
      <c r="B1162" s="1" t="s">
        <v>1175</v>
      </c>
      <c r="C1162" s="3">
        <v>506.27499999999998</v>
      </c>
      <c r="D1162" s="1" t="s">
        <v>1172</v>
      </c>
      <c r="E1162" s="3">
        <f t="shared" si="90"/>
        <v>607.53</v>
      </c>
      <c r="F1162" s="3">
        <v>548.9079714285715</v>
      </c>
      <c r="G1162" s="4">
        <f t="shared" si="92"/>
        <v>607.53</v>
      </c>
      <c r="H1162" s="1">
        <v>1054.8399999999999</v>
      </c>
      <c r="I1162" s="1">
        <f t="shared" si="93"/>
        <v>1265.81</v>
      </c>
      <c r="J1162" s="1" t="s">
        <v>1172</v>
      </c>
      <c r="K1162" s="3">
        <f t="shared" si="94"/>
        <v>721.51169999999991</v>
      </c>
      <c r="L1162" s="10">
        <f t="shared" ref="L1162:L1168" si="95">K1162/E1162-1</f>
        <v>0.1876149325959211</v>
      </c>
      <c r="M1162" s="18" t="str">
        <f>VLOOKUP(A1162,Список!A:I,9,0)</f>
        <v>Новинка</v>
      </c>
      <c r="N1162" s="12"/>
      <c r="O1162" s="11"/>
    </row>
    <row r="1163" spans="1:15" x14ac:dyDescent="0.25">
      <c r="A1163" s="6">
        <v>1581</v>
      </c>
      <c r="B1163" s="1" t="s">
        <v>1176</v>
      </c>
      <c r="C1163" s="3">
        <v>616.00000000000011</v>
      </c>
      <c r="D1163" s="1" t="s">
        <v>1172</v>
      </c>
      <c r="E1163" s="3">
        <f t="shared" si="90"/>
        <v>739.20000000000016</v>
      </c>
      <c r="F1163" s="3">
        <v>665.64844011142065</v>
      </c>
      <c r="G1163" s="4">
        <f t="shared" si="92"/>
        <v>739.20000000000016</v>
      </c>
      <c r="H1163" s="1">
        <v>1283.46</v>
      </c>
      <c r="I1163" s="1">
        <f t="shared" si="93"/>
        <v>1540.15</v>
      </c>
      <c r="J1163" s="1" t="s">
        <v>1172</v>
      </c>
      <c r="K1163" s="3">
        <f t="shared" si="94"/>
        <v>877.88549999999998</v>
      </c>
      <c r="L1163" s="10">
        <f t="shared" si="95"/>
        <v>0.18761566558441523</v>
      </c>
      <c r="M1163" s="18" t="str">
        <f>VLOOKUP(A1163,Список!A:I,9,0)</f>
        <v>Новинка</v>
      </c>
      <c r="N1163" s="12"/>
      <c r="O1163" s="11"/>
    </row>
    <row r="1164" spans="1:15" x14ac:dyDescent="0.25">
      <c r="A1164" s="6">
        <v>1582</v>
      </c>
      <c r="B1164" s="1" t="s">
        <v>1177</v>
      </c>
      <c r="C1164" s="3">
        <v>722.83749999999998</v>
      </c>
      <c r="D1164" s="1" t="s">
        <v>1172</v>
      </c>
      <c r="E1164" s="3">
        <f t="shared" si="90"/>
        <v>867.40499999999997</v>
      </c>
      <c r="F1164" s="3">
        <v>779.19849853372421</v>
      </c>
      <c r="G1164" s="4">
        <f t="shared" si="92"/>
        <v>867.40499999999997</v>
      </c>
      <c r="H1164" s="1">
        <v>1506.07</v>
      </c>
      <c r="I1164" s="1">
        <f t="shared" si="93"/>
        <v>1807.28</v>
      </c>
      <c r="J1164" s="1" t="s">
        <v>1172</v>
      </c>
      <c r="K1164" s="3">
        <f t="shared" si="94"/>
        <v>1030.1496</v>
      </c>
      <c r="L1164" s="10">
        <f t="shared" si="95"/>
        <v>0.1876223909246546</v>
      </c>
      <c r="M1164" s="18" t="str">
        <f>VLOOKUP(A1164,Список!A:I,9,0)</f>
        <v>Новинка</v>
      </c>
      <c r="N1164" s="12"/>
      <c r="O1164" s="11"/>
    </row>
    <row r="1165" spans="1:15" x14ac:dyDescent="0.25">
      <c r="A1165" s="6">
        <v>1230</v>
      </c>
      <c r="B1165" s="1" t="s">
        <v>1178</v>
      </c>
      <c r="C1165" s="3">
        <v>3.3973499999999999</v>
      </c>
      <c r="D1165" s="1" t="s">
        <v>1182</v>
      </c>
      <c r="E1165" s="3">
        <f t="shared" si="90"/>
        <v>53.279145215999989</v>
      </c>
      <c r="F1165" s="3">
        <v>46.013401052631579</v>
      </c>
      <c r="G1165" s="4">
        <f t="shared" si="92"/>
        <v>53.279145215999989</v>
      </c>
      <c r="H1165" s="1">
        <v>7.45</v>
      </c>
      <c r="I1165" s="1">
        <f t="shared" si="93"/>
        <v>8.94</v>
      </c>
      <c r="J1165" s="1" t="s">
        <v>1182</v>
      </c>
      <c r="K1165" s="3">
        <f t="shared" si="94"/>
        <v>66.595991039999987</v>
      </c>
      <c r="L1165" s="10">
        <f t="shared" si="95"/>
        <v>0.24994480992538293</v>
      </c>
      <c r="M1165" s="18" t="str">
        <f>VLOOKUP(A1165,Список!A:I,9,0)</f>
        <v>Новинка</v>
      </c>
      <c r="N1165" s="12"/>
      <c r="O1165" s="11"/>
    </row>
    <row r="1166" spans="1:15" x14ac:dyDescent="0.25">
      <c r="A1166" s="6">
        <v>1233</v>
      </c>
      <c r="B1166" s="1" t="s">
        <v>1179</v>
      </c>
      <c r="C1166" s="3">
        <v>3.928572</v>
      </c>
      <c r="D1166" s="1" t="s">
        <v>1182</v>
      </c>
      <c r="E1166" s="3">
        <f t="shared" si="90"/>
        <v>61.610066104319998</v>
      </c>
      <c r="F1166" s="3">
        <v>53.208223846153849</v>
      </c>
      <c r="G1166" s="4">
        <f t="shared" si="92"/>
        <v>61.610066104319998</v>
      </c>
      <c r="H1166" s="1">
        <v>8.6199999999999992</v>
      </c>
      <c r="I1166" s="1">
        <f t="shared" si="93"/>
        <v>10.34</v>
      </c>
      <c r="J1166" s="1" t="s">
        <v>1182</v>
      </c>
      <c r="K1166" s="3">
        <f t="shared" si="94"/>
        <v>77.02489344</v>
      </c>
      <c r="L1166" s="10">
        <f t="shared" si="95"/>
        <v>0.25019981815275383</v>
      </c>
      <c r="M1166" s="18" t="str">
        <f>VLOOKUP(A1166,Список!A:I,9,0)</f>
        <v>Новинка</v>
      </c>
      <c r="N1166" s="12"/>
      <c r="O1166" s="11"/>
    </row>
    <row r="1167" spans="1:15" x14ac:dyDescent="0.25">
      <c r="A1167" s="6">
        <v>1236</v>
      </c>
      <c r="B1167" s="1" t="s">
        <v>1180</v>
      </c>
      <c r="C1167" s="3">
        <v>5.040432</v>
      </c>
      <c r="D1167" s="1" t="s">
        <v>1182</v>
      </c>
      <c r="E1167" s="3">
        <f t="shared" si="90"/>
        <v>79.046877265919989</v>
      </c>
      <c r="F1167" s="3">
        <v>68.267155789473676</v>
      </c>
      <c r="G1167" s="4">
        <f t="shared" si="92"/>
        <v>79.046877265919989</v>
      </c>
      <c r="H1167" s="1">
        <v>11.05</v>
      </c>
      <c r="I1167" s="1">
        <f t="shared" si="93"/>
        <v>13.26</v>
      </c>
      <c r="J1167" s="1" t="s">
        <v>1182</v>
      </c>
      <c r="K1167" s="3">
        <f t="shared" si="94"/>
        <v>98.776604159999977</v>
      </c>
      <c r="L1167" s="10">
        <f t="shared" si="95"/>
        <v>0.24959527278614213</v>
      </c>
      <c r="M1167" s="18" t="str">
        <f>VLOOKUP(A1167,Список!A:I,9,0)</f>
        <v>Новинка</v>
      </c>
      <c r="N1167" s="12"/>
      <c r="O1167" s="11"/>
    </row>
    <row r="1168" spans="1:15" x14ac:dyDescent="0.25">
      <c r="A1168" s="6">
        <v>1238</v>
      </c>
      <c r="B1168" s="1" t="s">
        <v>1181</v>
      </c>
      <c r="C1168" s="3">
        <v>5.9299199999999992</v>
      </c>
      <c r="D1168" s="1" t="s">
        <v>1182</v>
      </c>
      <c r="E1168" s="3">
        <f t="shared" si="90"/>
        <v>92.996326195199984</v>
      </c>
      <c r="F1168" s="3">
        <v>77.796095999999991</v>
      </c>
      <c r="G1168" s="4">
        <f t="shared" si="92"/>
        <v>92.996326195199984</v>
      </c>
      <c r="H1168" s="1">
        <v>13</v>
      </c>
      <c r="I1168" s="1">
        <f t="shared" si="93"/>
        <v>15.6</v>
      </c>
      <c r="J1168" s="1" t="s">
        <v>1182</v>
      </c>
      <c r="K1168" s="3">
        <f t="shared" si="94"/>
        <v>116.20776959999999</v>
      </c>
      <c r="L1168" s="10">
        <f t="shared" si="95"/>
        <v>0.24959527278614235</v>
      </c>
      <c r="M1168" s="18" t="str">
        <f>VLOOKUP(A1168,Список!A:I,9,0)</f>
        <v>Новинка</v>
      </c>
      <c r="N1168" s="12"/>
      <c r="O1168" s="11"/>
    </row>
    <row r="1169" spans="1:15" x14ac:dyDescent="0.25">
      <c r="A1169" s="6">
        <v>4840</v>
      </c>
      <c r="B1169" s="1" t="s">
        <v>1183</v>
      </c>
      <c r="C1169" s="3">
        <v>0</v>
      </c>
      <c r="D1169" s="1" t="s">
        <v>1182</v>
      </c>
      <c r="E1169" s="3">
        <f t="shared" ref="E1169:E1184" si="96">IF(D1169="RUB",C1169*1.2,C1169*$E$2*1.2)</f>
        <v>0</v>
      </c>
      <c r="F1169" s="3">
        <v>41.636521518987337</v>
      </c>
      <c r="G1169" s="4">
        <f t="shared" si="92"/>
        <v>41.636521518987337</v>
      </c>
      <c r="H1169" s="1">
        <v>0</v>
      </c>
      <c r="I1169" s="1">
        <f>ROUND(H1169*1.2,2)</f>
        <v>0</v>
      </c>
      <c r="J1169" s="1">
        <v>0</v>
      </c>
      <c r="K1169" s="3">
        <f t="shared" si="94"/>
        <v>0</v>
      </c>
      <c r="L1169" s="10" t="e">
        <f t="shared" ref="L1169:L1184" si="97">K1169/E1169-1</f>
        <v>#DIV/0!</v>
      </c>
      <c r="M1169" s="18" t="str">
        <f>VLOOKUP(A1169,Список!A:I,9,0)</f>
        <v>Под заказ</v>
      </c>
      <c r="N1169" s="12"/>
      <c r="O1169" s="11"/>
    </row>
    <row r="1170" spans="1:15" x14ac:dyDescent="0.25">
      <c r="A1170" s="6">
        <v>4841</v>
      </c>
      <c r="B1170" s="1" t="s">
        <v>1184</v>
      </c>
      <c r="C1170" s="3">
        <v>0</v>
      </c>
      <c r="D1170" s="1" t="s">
        <v>1182</v>
      </c>
      <c r="E1170" s="3">
        <f t="shared" si="96"/>
        <v>0</v>
      </c>
      <c r="F1170" s="3">
        <v>43.365905926622759</v>
      </c>
      <c r="G1170" s="4">
        <f t="shared" si="92"/>
        <v>43.365905926622759</v>
      </c>
      <c r="H1170" s="1">
        <v>0</v>
      </c>
      <c r="I1170" s="1">
        <f t="shared" ref="I1170:I1184" si="98">ROUND(H1170*1.2,2)</f>
        <v>0</v>
      </c>
      <c r="J1170" s="1">
        <v>0</v>
      </c>
      <c r="K1170" s="3">
        <f t="shared" si="94"/>
        <v>0</v>
      </c>
      <c r="L1170" s="10" t="e">
        <f t="shared" si="97"/>
        <v>#DIV/0!</v>
      </c>
      <c r="M1170" s="18" t="str">
        <f>VLOOKUP(A1170,Список!A:I,9,0)</f>
        <v>Под заказ</v>
      </c>
      <c r="N1170" s="12"/>
      <c r="O1170" s="11"/>
    </row>
    <row r="1171" spans="1:15" x14ac:dyDescent="0.25">
      <c r="A1171" s="6">
        <v>4842</v>
      </c>
      <c r="B1171" s="1" t="s">
        <v>1185</v>
      </c>
      <c r="C1171" s="3">
        <v>0</v>
      </c>
      <c r="D1171" s="1" t="s">
        <v>1182</v>
      </c>
      <c r="E1171" s="3">
        <f t="shared" si="96"/>
        <v>0</v>
      </c>
      <c r="F1171" s="3">
        <v>50.494226249999997</v>
      </c>
      <c r="G1171" s="4">
        <f t="shared" si="92"/>
        <v>50.494226249999997</v>
      </c>
      <c r="H1171" s="1">
        <v>0</v>
      </c>
      <c r="I1171" s="1">
        <f t="shared" si="98"/>
        <v>0</v>
      </c>
      <c r="J1171" s="1">
        <v>0</v>
      </c>
      <c r="K1171" s="3">
        <f t="shared" si="94"/>
        <v>0</v>
      </c>
      <c r="L1171" s="10" t="e">
        <f t="shared" si="97"/>
        <v>#DIV/0!</v>
      </c>
      <c r="M1171" s="18" t="str">
        <f>VLOOKUP(A1171,Список!A:I,9,0)</f>
        <v>Под заказ</v>
      </c>
      <c r="N1171" s="12"/>
      <c r="O1171" s="11"/>
    </row>
    <row r="1172" spans="1:15" x14ac:dyDescent="0.25">
      <c r="A1172" s="6">
        <v>4843</v>
      </c>
      <c r="B1172" s="1" t="s">
        <v>1186</v>
      </c>
      <c r="C1172" s="3">
        <v>0</v>
      </c>
      <c r="D1172" s="1" t="s">
        <v>1182</v>
      </c>
      <c r="E1172" s="3">
        <f t="shared" si="96"/>
        <v>0</v>
      </c>
      <c r="F1172" s="3">
        <v>54.48434323770492</v>
      </c>
      <c r="G1172" s="4">
        <f t="shared" si="92"/>
        <v>54.48434323770492</v>
      </c>
      <c r="H1172" s="1">
        <v>0</v>
      </c>
      <c r="I1172" s="1">
        <f t="shared" si="98"/>
        <v>0</v>
      </c>
      <c r="J1172" s="1">
        <v>0</v>
      </c>
      <c r="K1172" s="3">
        <f t="shared" si="94"/>
        <v>0</v>
      </c>
      <c r="L1172" s="10" t="e">
        <f t="shared" si="97"/>
        <v>#DIV/0!</v>
      </c>
      <c r="M1172" s="18" t="str">
        <f>VLOOKUP(A1172,Список!A:I,9,0)</f>
        <v>Под заказ</v>
      </c>
      <c r="N1172" s="12"/>
      <c r="O1172" s="11"/>
    </row>
    <row r="1173" spans="1:15" x14ac:dyDescent="0.25">
      <c r="A1173" s="6">
        <v>4844</v>
      </c>
      <c r="B1173" s="1" t="s">
        <v>1187</v>
      </c>
      <c r="C1173" s="3">
        <v>0</v>
      </c>
      <c r="D1173" s="1" t="s">
        <v>1182</v>
      </c>
      <c r="E1173" s="3">
        <f t="shared" si="96"/>
        <v>0</v>
      </c>
      <c r="F1173" s="3">
        <v>63.061695196506548</v>
      </c>
      <c r="G1173" s="4">
        <f t="shared" si="92"/>
        <v>63.061695196506548</v>
      </c>
      <c r="H1173" s="1">
        <v>0</v>
      </c>
      <c r="I1173" s="1">
        <f t="shared" si="98"/>
        <v>0</v>
      </c>
      <c r="J1173" s="1">
        <v>0</v>
      </c>
      <c r="K1173" s="3">
        <f t="shared" si="94"/>
        <v>0</v>
      </c>
      <c r="L1173" s="10" t="e">
        <f t="shared" si="97"/>
        <v>#DIV/0!</v>
      </c>
      <c r="M1173" s="18" t="str">
        <f>VLOOKUP(A1173,Список!A:I,9,0)</f>
        <v>Под заказ</v>
      </c>
      <c r="N1173" s="12"/>
      <c r="O1173" s="11"/>
    </row>
    <row r="1174" spans="1:15" x14ac:dyDescent="0.25">
      <c r="A1174" s="6">
        <v>4845</v>
      </c>
      <c r="B1174" s="1" t="s">
        <v>1188</v>
      </c>
      <c r="C1174" s="3">
        <v>0</v>
      </c>
      <c r="D1174" s="1" t="s">
        <v>1182</v>
      </c>
      <c r="E1174" s="3">
        <f t="shared" si="96"/>
        <v>0</v>
      </c>
      <c r="F1174" s="3">
        <v>71.519273053623508</v>
      </c>
      <c r="G1174" s="4">
        <f t="shared" si="92"/>
        <v>71.519273053623508</v>
      </c>
      <c r="H1174" s="1">
        <v>0</v>
      </c>
      <c r="I1174" s="1">
        <f t="shared" si="98"/>
        <v>0</v>
      </c>
      <c r="J1174" s="1">
        <v>0</v>
      </c>
      <c r="K1174" s="3">
        <f t="shared" si="94"/>
        <v>0</v>
      </c>
      <c r="L1174" s="10" t="e">
        <f t="shared" si="97"/>
        <v>#DIV/0!</v>
      </c>
      <c r="M1174" s="18" t="str">
        <f>VLOOKUP(A1174,Список!A:I,9,0)</f>
        <v>Под заказ</v>
      </c>
      <c r="N1174" s="12"/>
      <c r="O1174" s="11"/>
    </row>
    <row r="1175" spans="1:15" x14ac:dyDescent="0.25">
      <c r="A1175" s="6">
        <v>4847</v>
      </c>
      <c r="B1175" s="1" t="s">
        <v>1189</v>
      </c>
      <c r="C1175" s="3">
        <v>0</v>
      </c>
      <c r="D1175" s="1" t="s">
        <v>1182</v>
      </c>
      <c r="E1175" s="3">
        <f t="shared" si="96"/>
        <v>0</v>
      </c>
      <c r="F1175" s="3">
        <v>94.562308396946563</v>
      </c>
      <c r="G1175" s="4">
        <f t="shared" si="92"/>
        <v>94.562308396946563</v>
      </c>
      <c r="H1175" s="1">
        <v>0</v>
      </c>
      <c r="I1175" s="1">
        <f t="shared" si="98"/>
        <v>0</v>
      </c>
      <c r="J1175" s="1">
        <v>0</v>
      </c>
      <c r="K1175" s="3">
        <f t="shared" si="94"/>
        <v>0</v>
      </c>
      <c r="L1175" s="10" t="e">
        <f t="shared" si="97"/>
        <v>#DIV/0!</v>
      </c>
      <c r="M1175" s="18" t="str">
        <f>VLOOKUP(A1175,Список!A:I,9,0)</f>
        <v>Под заказ</v>
      </c>
      <c r="N1175" s="12"/>
      <c r="O1175" s="11"/>
    </row>
    <row r="1176" spans="1:15" x14ac:dyDescent="0.25">
      <c r="A1176" s="6">
        <v>4848</v>
      </c>
      <c r="B1176" s="1" t="s">
        <v>1190</v>
      </c>
      <c r="C1176" s="3">
        <v>0</v>
      </c>
      <c r="D1176" s="1" t="s">
        <v>1182</v>
      </c>
      <c r="E1176" s="3">
        <f t="shared" si="96"/>
        <v>0</v>
      </c>
      <c r="F1176" s="3">
        <v>106.54938461538461</v>
      </c>
      <c r="G1176" s="4">
        <f t="shared" si="92"/>
        <v>106.54938461538461</v>
      </c>
      <c r="H1176" s="1">
        <v>0</v>
      </c>
      <c r="I1176" s="1">
        <f t="shared" si="98"/>
        <v>0</v>
      </c>
      <c r="J1176" s="1">
        <v>0</v>
      </c>
      <c r="K1176" s="3">
        <f t="shared" si="94"/>
        <v>0</v>
      </c>
      <c r="L1176" s="10" t="e">
        <f t="shared" si="97"/>
        <v>#DIV/0!</v>
      </c>
      <c r="M1176" s="18" t="str">
        <f>VLOOKUP(A1176,Список!A:I,9,0)</f>
        <v>Под заказ</v>
      </c>
      <c r="N1176" s="12"/>
      <c r="O1176" s="11"/>
    </row>
    <row r="1177" spans="1:15" x14ac:dyDescent="0.25">
      <c r="A1177" s="6">
        <v>4849</v>
      </c>
      <c r="B1177" s="1" t="s">
        <v>1191</v>
      </c>
      <c r="C1177" s="3">
        <v>0</v>
      </c>
      <c r="D1177" s="1" t="s">
        <v>1182</v>
      </c>
      <c r="E1177" s="3">
        <f t="shared" si="96"/>
        <v>0</v>
      </c>
      <c r="F1177" s="3">
        <v>38.045805000000001</v>
      </c>
      <c r="G1177" s="4">
        <f t="shared" si="92"/>
        <v>38.045805000000001</v>
      </c>
      <c r="H1177" s="1">
        <v>0</v>
      </c>
      <c r="I1177" s="1">
        <f t="shared" si="98"/>
        <v>0</v>
      </c>
      <c r="J1177" s="1">
        <v>0</v>
      </c>
      <c r="K1177" s="3">
        <f t="shared" si="94"/>
        <v>0</v>
      </c>
      <c r="L1177" s="10" t="e">
        <f t="shared" si="97"/>
        <v>#DIV/0!</v>
      </c>
      <c r="M1177" s="18" t="str">
        <f>VLOOKUP(A1177,Список!A:I,9,0)</f>
        <v>Под заказ</v>
      </c>
      <c r="N1177" s="12"/>
      <c r="O1177" s="11"/>
    </row>
    <row r="1178" spans="1:15" x14ac:dyDescent="0.25">
      <c r="A1178" s="6">
        <v>4850</v>
      </c>
      <c r="B1178" s="1" t="s">
        <v>1192</v>
      </c>
      <c r="C1178" s="3">
        <v>0</v>
      </c>
      <c r="D1178" s="1" t="s">
        <v>1182</v>
      </c>
      <c r="E1178" s="3">
        <f t="shared" si="96"/>
        <v>0</v>
      </c>
      <c r="F1178" s="3">
        <v>37.050719653179186</v>
      </c>
      <c r="G1178" s="4">
        <f t="shared" si="92"/>
        <v>37.050719653179186</v>
      </c>
      <c r="H1178" s="1">
        <v>0</v>
      </c>
      <c r="I1178" s="1">
        <f t="shared" si="98"/>
        <v>0</v>
      </c>
      <c r="J1178" s="1">
        <v>0</v>
      </c>
      <c r="K1178" s="3">
        <f t="shared" si="94"/>
        <v>0</v>
      </c>
      <c r="L1178" s="10" t="e">
        <f t="shared" si="97"/>
        <v>#DIV/0!</v>
      </c>
      <c r="M1178" s="18" t="str">
        <f>VLOOKUP(A1178,Список!A:I,9,0)</f>
        <v>Под заказ</v>
      </c>
      <c r="N1178" s="12"/>
      <c r="O1178" s="11"/>
    </row>
    <row r="1179" spans="1:15" x14ac:dyDescent="0.25">
      <c r="A1179" s="6">
        <v>4851</v>
      </c>
      <c r="B1179" s="1" t="s">
        <v>1193</v>
      </c>
      <c r="C1179" s="3">
        <v>0</v>
      </c>
      <c r="D1179" s="1" t="s">
        <v>1182</v>
      </c>
      <c r="E1179" s="3">
        <f t="shared" si="96"/>
        <v>0</v>
      </c>
      <c r="F1179" s="3">
        <v>45.342339759036143</v>
      </c>
      <c r="G1179" s="4">
        <f t="shared" si="92"/>
        <v>45.342339759036143</v>
      </c>
      <c r="H1179" s="1">
        <v>0</v>
      </c>
      <c r="I1179" s="1">
        <f t="shared" si="98"/>
        <v>0</v>
      </c>
      <c r="J1179" s="1">
        <v>0</v>
      </c>
      <c r="K1179" s="3">
        <f t="shared" si="94"/>
        <v>0</v>
      </c>
      <c r="L1179" s="10" t="e">
        <f t="shared" si="97"/>
        <v>#DIV/0!</v>
      </c>
      <c r="M1179" s="18" t="str">
        <f>VLOOKUP(A1179,Список!A:I,9,0)</f>
        <v>Под заказ</v>
      </c>
      <c r="N1179" s="12"/>
      <c r="O1179" s="11"/>
    </row>
    <row r="1180" spans="1:15" x14ac:dyDescent="0.25">
      <c r="A1180" s="6">
        <v>4852</v>
      </c>
      <c r="B1180" s="1" t="s">
        <v>1194</v>
      </c>
      <c r="C1180" s="3">
        <v>0</v>
      </c>
      <c r="D1180" s="1" t="s">
        <v>1182</v>
      </c>
      <c r="E1180" s="3">
        <f t="shared" si="96"/>
        <v>0</v>
      </c>
      <c r="F1180" s="3">
        <v>41.653144827586203</v>
      </c>
      <c r="G1180" s="4">
        <f t="shared" si="92"/>
        <v>41.653144827586203</v>
      </c>
      <c r="H1180" s="1">
        <v>0</v>
      </c>
      <c r="I1180" s="1">
        <f t="shared" si="98"/>
        <v>0</v>
      </c>
      <c r="J1180" s="1">
        <v>0</v>
      </c>
      <c r="K1180" s="3">
        <f t="shared" si="94"/>
        <v>0</v>
      </c>
      <c r="L1180" s="10" t="e">
        <f t="shared" si="97"/>
        <v>#DIV/0!</v>
      </c>
      <c r="M1180" s="18" t="str">
        <f>VLOOKUP(A1180,Список!A:I,9,0)</f>
        <v>Под заказ</v>
      </c>
      <c r="N1180" s="12"/>
      <c r="O1180" s="11"/>
    </row>
    <row r="1181" spans="1:15" x14ac:dyDescent="0.25">
      <c r="A1181" s="6">
        <v>4853</v>
      </c>
      <c r="B1181" s="1" t="s">
        <v>1195</v>
      </c>
      <c r="C1181" s="3">
        <v>0</v>
      </c>
      <c r="D1181" s="1" t="s">
        <v>1182</v>
      </c>
      <c r="E1181" s="3">
        <f t="shared" si="96"/>
        <v>0</v>
      </c>
      <c r="F1181" s="3">
        <v>55.614018072289163</v>
      </c>
      <c r="G1181" s="4">
        <f t="shared" si="92"/>
        <v>55.614018072289163</v>
      </c>
      <c r="H1181" s="1">
        <v>0</v>
      </c>
      <c r="I1181" s="1">
        <f t="shared" si="98"/>
        <v>0</v>
      </c>
      <c r="J1181" s="1">
        <v>0</v>
      </c>
      <c r="K1181" s="3">
        <f t="shared" si="94"/>
        <v>0</v>
      </c>
      <c r="L1181" s="10" t="e">
        <f t="shared" si="97"/>
        <v>#DIV/0!</v>
      </c>
      <c r="M1181" s="18" t="str">
        <f>VLOOKUP(A1181,Список!A:I,9,0)</f>
        <v>Под заказ</v>
      </c>
      <c r="N1181" s="12"/>
      <c r="O1181" s="11"/>
    </row>
    <row r="1182" spans="1:15" x14ac:dyDescent="0.25">
      <c r="A1182" s="6">
        <v>4854</v>
      </c>
      <c r="B1182" s="1" t="s">
        <v>1196</v>
      </c>
      <c r="C1182" s="3">
        <v>0</v>
      </c>
      <c r="D1182" s="1" t="s">
        <v>1182</v>
      </c>
      <c r="E1182" s="3">
        <f t="shared" si="96"/>
        <v>0</v>
      </c>
      <c r="F1182" s="3">
        <v>63.518982519590111</v>
      </c>
      <c r="G1182" s="4">
        <f t="shared" si="92"/>
        <v>63.518982519590111</v>
      </c>
      <c r="H1182" s="1">
        <v>0</v>
      </c>
      <c r="I1182" s="1">
        <f t="shared" si="98"/>
        <v>0</v>
      </c>
      <c r="J1182" s="1">
        <v>0</v>
      </c>
      <c r="K1182" s="3">
        <f t="shared" si="94"/>
        <v>0</v>
      </c>
      <c r="L1182" s="10" t="e">
        <f t="shared" si="97"/>
        <v>#DIV/0!</v>
      </c>
      <c r="M1182" s="18" t="str">
        <f>VLOOKUP(A1182,Список!A:I,9,0)</f>
        <v>Под заказ</v>
      </c>
      <c r="N1182" s="12"/>
      <c r="O1182" s="11"/>
    </row>
    <row r="1183" spans="1:15" x14ac:dyDescent="0.25">
      <c r="A1183" s="6">
        <v>4856</v>
      </c>
      <c r="B1183" s="1" t="s">
        <v>1197</v>
      </c>
      <c r="C1183" s="3">
        <v>0</v>
      </c>
      <c r="D1183" s="1" t="s">
        <v>1182</v>
      </c>
      <c r="E1183" s="3">
        <f t="shared" si="96"/>
        <v>0</v>
      </c>
      <c r="F1183" s="3">
        <v>86.242462530217566</v>
      </c>
      <c r="G1183" s="4">
        <f t="shared" si="92"/>
        <v>86.242462530217566</v>
      </c>
      <c r="H1183" s="1">
        <v>0</v>
      </c>
      <c r="I1183" s="1">
        <f t="shared" si="98"/>
        <v>0</v>
      </c>
      <c r="J1183" s="1">
        <v>0</v>
      </c>
      <c r="K1183" s="3">
        <f t="shared" si="94"/>
        <v>0</v>
      </c>
      <c r="L1183" s="10" t="e">
        <f t="shared" si="97"/>
        <v>#DIV/0!</v>
      </c>
      <c r="M1183" s="18" t="str">
        <f>VLOOKUP(A1183,Список!A:I,9,0)</f>
        <v>Под заказ</v>
      </c>
      <c r="N1183" s="12"/>
      <c r="O1183" s="11"/>
    </row>
    <row r="1184" spans="1:15" x14ac:dyDescent="0.25">
      <c r="A1184" s="6">
        <v>4857</v>
      </c>
      <c r="B1184" s="1" t="s">
        <v>1198</v>
      </c>
      <c r="C1184" s="3">
        <v>0</v>
      </c>
      <c r="D1184" s="1" t="s">
        <v>1182</v>
      </c>
      <c r="E1184" s="3">
        <f t="shared" si="96"/>
        <v>0</v>
      </c>
      <c r="F1184" s="3">
        <v>108.58646666666667</v>
      </c>
      <c r="G1184" s="4">
        <f t="shared" si="92"/>
        <v>108.58646666666667</v>
      </c>
      <c r="H1184" s="1">
        <v>0</v>
      </c>
      <c r="I1184" s="1">
        <f t="shared" si="98"/>
        <v>0</v>
      </c>
      <c r="J1184" s="1">
        <v>0</v>
      </c>
      <c r="K1184" s="3">
        <f t="shared" si="94"/>
        <v>0</v>
      </c>
      <c r="L1184" s="10" t="e">
        <f t="shared" si="97"/>
        <v>#DIV/0!</v>
      </c>
      <c r="M1184" s="18" t="str">
        <f>VLOOKUP(A1184,Список!A:I,9,0)</f>
        <v>Под заказ</v>
      </c>
      <c r="N1184" s="12"/>
      <c r="O1184" s="11"/>
    </row>
    <row r="1187" spans="3:4" x14ac:dyDescent="0.25">
      <c r="C1187" s="11"/>
      <c r="D1187" s="12"/>
    </row>
    <row r="1188" spans="3:4" x14ac:dyDescent="0.25">
      <c r="C1188" s="11"/>
      <c r="D1188" s="12"/>
    </row>
    <row r="1189" spans="3:4" x14ac:dyDescent="0.25">
      <c r="C1189" s="11"/>
      <c r="D1189" s="12"/>
    </row>
    <row r="1190" spans="3:4" x14ac:dyDescent="0.25">
      <c r="C1190" s="11"/>
      <c r="D1190" s="12"/>
    </row>
    <row r="1191" spans="3:4" x14ac:dyDescent="0.25">
      <c r="C1191" s="11"/>
      <c r="D1191" s="12"/>
    </row>
    <row r="1192" spans="3:4" x14ac:dyDescent="0.25">
      <c r="C1192" s="11"/>
      <c r="D1192" s="12"/>
    </row>
    <row r="1193" spans="3:4" x14ac:dyDescent="0.25">
      <c r="C1193" s="11"/>
      <c r="D1193" s="12"/>
    </row>
    <row r="1194" spans="3:4" x14ac:dyDescent="0.25">
      <c r="C1194" s="11"/>
      <c r="D1194" s="12"/>
    </row>
  </sheetData>
  <autoFilter ref="A4:O1184" xr:uid="{00000000-0001-0000-0000-000000000000}"/>
  <mergeCells count="4">
    <mergeCell ref="H3:I3"/>
    <mergeCell ref="G3:G4"/>
    <mergeCell ref="C1:D1"/>
    <mergeCell ref="C2:D2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F0EFC-00C8-4962-ACF3-F8D8C4FB9870}">
  <sheetPr codeName="Лист3"/>
  <dimension ref="B1:D9"/>
  <sheetViews>
    <sheetView tabSelected="1" workbookViewId="0">
      <selection activeCell="E8" sqref="E8"/>
    </sheetView>
  </sheetViews>
  <sheetFormatPr defaultRowHeight="15" x14ac:dyDescent="0.25"/>
  <cols>
    <col min="1" max="1" width="2" customWidth="1"/>
    <col min="2" max="2" width="8.85546875" style="25" customWidth="1"/>
    <col min="3" max="3" width="63" style="28" customWidth="1"/>
    <col min="4" max="4" width="23.28515625" style="24" customWidth="1"/>
    <col min="5" max="5" width="22.28515625" customWidth="1"/>
  </cols>
  <sheetData>
    <row r="1" spans="2:4" ht="12.75" customHeight="1" thickBot="1" x14ac:dyDescent="0.3">
      <c r="B1" s="30">
        <v>1</v>
      </c>
      <c r="C1" s="31">
        <v>2</v>
      </c>
      <c r="D1" s="32">
        <v>3</v>
      </c>
    </row>
    <row r="2" spans="2:4" ht="30" customHeight="1" thickBot="1" x14ac:dyDescent="0.3">
      <c r="B2" s="25" t="s">
        <v>7426</v>
      </c>
      <c r="C2" s="25" t="s">
        <v>1200</v>
      </c>
      <c r="D2" s="27" t="s">
        <v>7421</v>
      </c>
    </row>
    <row r="3" spans="2:4" ht="30" customHeight="1" x14ac:dyDescent="0.25">
      <c r="B3" s="26">
        <v>1</v>
      </c>
      <c r="C3" s="29" t="s">
        <v>7425</v>
      </c>
      <c r="D3" s="25" t="s">
        <v>7423</v>
      </c>
    </row>
    <row r="4" spans="2:4" ht="30" customHeight="1" x14ac:dyDescent="0.25">
      <c r="B4" s="26">
        <v>2</v>
      </c>
      <c r="C4" s="34" t="s">
        <v>7427</v>
      </c>
      <c r="D4" s="33" t="s">
        <v>7423</v>
      </c>
    </row>
    <row r="5" spans="2:4" ht="30" customHeight="1" x14ac:dyDescent="0.25">
      <c r="B5" s="26">
        <v>3</v>
      </c>
      <c r="C5" s="34" t="s">
        <v>7428</v>
      </c>
      <c r="D5" s="33" t="s">
        <v>7423</v>
      </c>
    </row>
    <row r="6" spans="2:4" ht="30" customHeight="1" x14ac:dyDescent="0.25">
      <c r="B6" s="26">
        <v>4</v>
      </c>
      <c r="C6" s="34" t="s">
        <v>7429</v>
      </c>
      <c r="D6" s="33" t="s">
        <v>7423</v>
      </c>
    </row>
    <row r="7" spans="2:4" ht="30" customHeight="1" x14ac:dyDescent="0.25">
      <c r="B7" s="26">
        <v>5</v>
      </c>
      <c r="C7" s="34" t="s">
        <v>7432</v>
      </c>
      <c r="D7" s="33" t="s">
        <v>7423</v>
      </c>
    </row>
    <row r="8" spans="2:4" x14ac:dyDescent="0.25">
      <c r="B8" s="26">
        <v>6</v>
      </c>
      <c r="C8" s="34"/>
      <c r="D8" s="33"/>
    </row>
    <row r="9" spans="2:4" ht="30" customHeight="1" x14ac:dyDescent="0.25">
      <c r="B9" s="26">
        <v>7</v>
      </c>
      <c r="C9" s="34" t="s">
        <v>7438</v>
      </c>
      <c r="D9" s="33"/>
    </row>
  </sheetData>
  <dataConsolidate/>
  <conditionalFormatting sqref="B3:D9">
    <cfRule type="expression" dxfId="16" priority="5">
      <formula>$D3="Согласовано"</formula>
    </cfRule>
  </conditionalFormatting>
  <hyperlinks>
    <hyperlink ref="C4" r:id="rId1" xr:uid="{E1C3C057-6CC4-4AEF-9FB8-7979C1BE8726}"/>
    <hyperlink ref="C5" r:id="rId2" xr:uid="{21706290-2CA1-4FEA-86AE-B107DF0384E3}"/>
    <hyperlink ref="C6" r:id="rId3" xr:uid="{E64F4A8D-DC81-45C5-AF3B-8C2EB9EDB425}"/>
    <hyperlink ref="C7" r:id="rId4" xr:uid="{F1165C18-C7BE-4EF5-BE7D-6EBEC8389E61}"/>
    <hyperlink ref="C8" r:id="rId5" display="Заявки\ООО ЮжКомплекс15 № 32598 от 23.10.2023.xlsm" xr:uid="{F3550A20-4CCD-494C-B8F6-8F55A9B2866F}"/>
    <hyperlink ref="C9" r:id="rId6" xr:uid="{8284F907-7E65-473E-B04A-8A14C4617A74}"/>
  </hyperlinks>
  <pageMargins left="0.7" right="0.7" top="0.75" bottom="0.75" header="0.3" footer="0.3"/>
  <pageSetup paperSize="9" orientation="portrait"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94FC7-C11E-408A-AF27-51BC98980197}">
          <x14:formula1>
            <xm:f>ВСП!$A$2:$A$3</xm:f>
          </x14:formula1>
          <xm:sqref>D3:D9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E5222-514F-41F9-A86C-F919101D1DF3}">
  <sheetPr codeName="Лист5"/>
  <dimension ref="B1:O50"/>
  <sheetViews>
    <sheetView workbookViewId="0">
      <selection activeCell="J6" sqref="J6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53.5703125" bestFit="1" customWidth="1"/>
    <col min="4" max="4" width="16.140625" bestFit="1" customWidth="1"/>
    <col min="5" max="5" width="10.28515625" style="35" bestFit="1" customWidth="1"/>
    <col min="6" max="6" width="11.5703125" style="35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7439</v>
      </c>
    </row>
    <row r="2" spans="2:15" ht="42.75" customHeight="1" thickBot="1" x14ac:dyDescent="0.3">
      <c r="B2" s="36" t="s">
        <v>7440</v>
      </c>
      <c r="C2" s="37" t="s">
        <v>7441</v>
      </c>
      <c r="D2" s="38" t="s">
        <v>7442</v>
      </c>
      <c r="E2" s="53">
        <v>45222</v>
      </c>
      <c r="F2" s="54"/>
      <c r="J2" s="39" t="s">
        <v>7443</v>
      </c>
      <c r="K2" s="39" t="s">
        <v>7444</v>
      </c>
    </row>
    <row r="3" spans="2:15" ht="33" customHeight="1" thickBot="1" x14ac:dyDescent="0.3">
      <c r="B3" s="36" t="s">
        <v>7445</v>
      </c>
      <c r="C3" s="40" t="s">
        <v>7446</v>
      </c>
      <c r="D3" s="36" t="s">
        <v>7447</v>
      </c>
      <c r="E3" s="55">
        <v>32598</v>
      </c>
      <c r="F3" s="56"/>
      <c r="J3" s="41">
        <v>0.40128945663823612</v>
      </c>
      <c r="K3" s="41">
        <v>0.27846904692359592</v>
      </c>
    </row>
    <row r="5" spans="2:15" s="42" customFormat="1" ht="30" x14ac:dyDescent="0.25">
      <c r="B5" s="42" t="s">
        <v>0</v>
      </c>
      <c r="C5" s="42" t="s">
        <v>7448</v>
      </c>
      <c r="D5" s="42" t="s">
        <v>7449</v>
      </c>
      <c r="E5" s="43" t="s">
        <v>7450</v>
      </c>
      <c r="F5" s="43" t="s">
        <v>7451</v>
      </c>
      <c r="G5" s="42" t="s">
        <v>7452</v>
      </c>
      <c r="H5" s="42" t="s">
        <v>7453</v>
      </c>
      <c r="I5" s="42" t="s">
        <v>7454</v>
      </c>
      <c r="J5" s="44" t="s">
        <v>7455</v>
      </c>
      <c r="K5" s="42" t="s">
        <v>7456</v>
      </c>
    </row>
    <row r="6" spans="2:15" x14ac:dyDescent="0.25">
      <c r="B6">
        <v>4536</v>
      </c>
      <c r="C6" t="s">
        <v>7457</v>
      </c>
      <c r="D6">
        <v>50</v>
      </c>
      <c r="E6" s="45">
        <v>762.13</v>
      </c>
      <c r="F6" s="45">
        <v>38106.49</v>
      </c>
      <c r="G6" s="45">
        <v>0</v>
      </c>
      <c r="H6" s="45">
        <f>Входящие_файлы_СЧЕТА[[#This Row],[Цена конкурента]]*Входящие_файлы_СЧЕТА[[#This Row],[Количество]]</f>
        <v>0</v>
      </c>
      <c r="I6" s="45">
        <v>0</v>
      </c>
      <c r="J6" s="46" t="str">
        <f>IFERROR(Входящие_файлы_СЧЕТА[[#This Row],[Цена]]/Входящие_файлы_СЧЕТА[[#This Row],[Максимальная себестоимость]]-1,"")</f>
        <v/>
      </c>
      <c r="K6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7" spans="2:15" x14ac:dyDescent="0.25">
      <c r="B7">
        <v>2543</v>
      </c>
      <c r="C7" t="s">
        <v>7458</v>
      </c>
      <c r="D7">
        <v>30</v>
      </c>
      <c r="E7" s="45">
        <v>146.08000000000001</v>
      </c>
      <c r="F7" s="45">
        <v>4382.3900000000003</v>
      </c>
      <c r="G7" s="45">
        <v>0</v>
      </c>
      <c r="H7" s="45">
        <f>Входящие_файлы_СЧЕТА[[#This Row],[Цена конкурента]]*Входящие_файлы_СЧЕТА[[#This Row],[Количество]]</f>
        <v>0</v>
      </c>
      <c r="I7" s="45">
        <v>0</v>
      </c>
      <c r="J7" s="46" t="str">
        <f>IFERROR(Входящие_файлы_СЧЕТА[[#This Row],[Цена]]/Входящие_файлы_СЧЕТА[[#This Row],[Максимальная себестоимость]]-1,"")</f>
        <v/>
      </c>
      <c r="K7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8" spans="2:15" x14ac:dyDescent="0.25">
      <c r="B8">
        <v>2546</v>
      </c>
      <c r="C8" t="s">
        <v>7459</v>
      </c>
      <c r="D8">
        <v>40</v>
      </c>
      <c r="E8" s="45">
        <v>185.34</v>
      </c>
      <c r="F8" s="45">
        <v>7413.42</v>
      </c>
      <c r="G8" s="45">
        <v>0</v>
      </c>
      <c r="H8" s="45">
        <f>Входящие_файлы_СЧЕТА[[#This Row],[Цена конкурента]]*Входящие_файлы_СЧЕТА[[#This Row],[Количество]]</f>
        <v>0</v>
      </c>
      <c r="I8" s="45">
        <v>0</v>
      </c>
      <c r="J8" s="46" t="str">
        <f>IFERROR(Входящие_файлы_СЧЕТА[[#This Row],[Цена]]/Входящие_файлы_СЧЕТА[[#This Row],[Максимальная себестоимость]]-1,"")</f>
        <v/>
      </c>
      <c r="K8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9" spans="2:15" x14ac:dyDescent="0.25">
      <c r="B9">
        <v>2366</v>
      </c>
      <c r="C9" t="s">
        <v>7460</v>
      </c>
      <c r="D9">
        <v>20</v>
      </c>
      <c r="E9" s="45">
        <v>189.88</v>
      </c>
      <c r="F9" s="45">
        <v>3797.57</v>
      </c>
      <c r="G9" s="45">
        <v>40.340000000000003</v>
      </c>
      <c r="H9" s="45">
        <f>Входящие_файлы_СЧЕТА[[#This Row],[Цена конкурента]]*Входящие_файлы_СЧЕТА[[#This Row],[Количество]]</f>
        <v>806.80000000000007</v>
      </c>
      <c r="I9" s="45">
        <v>119.32839485306877</v>
      </c>
      <c r="J9" s="46">
        <f>IFERROR(Входящие_файлы_СЧЕТА[[#This Row],[Цена]]/Входящие_файлы_СЧЕТА[[#This Row],[Максимальная себестоимость]]-1,"")</f>
        <v>0.59123903605510408</v>
      </c>
      <c r="K9" s="46">
        <f>IFERROR(Входящие_файлы_СЧЕТА[[#This Row],[Цена конкурента]]/Входящие_файлы_СЧЕТА[[#This Row],[Максимальная себестоимость]]-1,"")</f>
        <v>-0.66194131707150361</v>
      </c>
    </row>
    <row r="10" spans="2:15" x14ac:dyDescent="0.25">
      <c r="B10">
        <v>4489</v>
      </c>
      <c r="C10" t="s">
        <v>7461</v>
      </c>
      <c r="D10">
        <v>10</v>
      </c>
      <c r="E10" s="45">
        <v>243.44</v>
      </c>
      <c r="F10" s="45">
        <v>2434.41</v>
      </c>
      <c r="G10" s="45">
        <v>39.340000000000003</v>
      </c>
      <c r="H10" s="45">
        <f>Входящие_файлы_СЧЕТА[[#This Row],[Цена конкурента]]*Входящие_файлы_СЧЕТА[[#This Row],[Количество]]</f>
        <v>393.40000000000003</v>
      </c>
      <c r="I10" s="45">
        <v>175.160946573312</v>
      </c>
      <c r="J10" s="46">
        <f>IFERROR(Входящие_файлы_СЧЕТА[[#This Row],[Цена]]/Входящие_файлы_СЧЕТА[[#This Row],[Максимальная себестоимость]]-1,"")</f>
        <v>0.38980751567308092</v>
      </c>
      <c r="K10" s="46">
        <f>IFERROR(Входящие_файлы_СЧЕТА[[#This Row],[Цена конкурента]]/Входящие_файлы_СЧЕТА[[#This Row],[Максимальная себестоимость]]-1,"")</f>
        <v>-0.7754065573998562</v>
      </c>
    </row>
    <row r="11" spans="2:15" x14ac:dyDescent="0.25">
      <c r="B11">
        <v>2532</v>
      </c>
      <c r="C11" t="s">
        <v>7462</v>
      </c>
      <c r="D11">
        <v>30</v>
      </c>
      <c r="E11" s="45">
        <v>157.91999999999999</v>
      </c>
      <c r="F11" s="45">
        <v>4737.7299999999996</v>
      </c>
      <c r="G11" s="45">
        <v>0</v>
      </c>
      <c r="H11" s="45">
        <f>Входящие_файлы_СЧЕТА[[#This Row],[Цена конкурента]]*Входящие_файлы_СЧЕТА[[#This Row],[Количество]]</f>
        <v>0</v>
      </c>
      <c r="I11" s="45">
        <v>0</v>
      </c>
      <c r="J11" s="46" t="str">
        <f>IFERROR(Входящие_файлы_СЧЕТА[[#This Row],[Цена]]/Входящие_файлы_СЧЕТА[[#This Row],[Максимальная себестоимость]]-1,"")</f>
        <v/>
      </c>
      <c r="K11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2" spans="2:15" x14ac:dyDescent="0.25">
      <c r="B12">
        <v>2527</v>
      </c>
      <c r="C12" t="s">
        <v>7463</v>
      </c>
      <c r="D12">
        <v>100</v>
      </c>
      <c r="E12" s="45">
        <v>123.29</v>
      </c>
      <c r="F12" s="45">
        <v>12328.53</v>
      </c>
      <c r="G12" s="45">
        <v>0</v>
      </c>
      <c r="H12" s="45">
        <f>Входящие_файлы_СЧЕТА[[#This Row],[Цена конкурента]]*Входящие_файлы_СЧЕТА[[#This Row],[Количество]]</f>
        <v>0</v>
      </c>
      <c r="I12" s="45">
        <v>0</v>
      </c>
      <c r="J12" s="46" t="str">
        <f>IFERROR(Входящие_файлы_СЧЕТА[[#This Row],[Цена]]/Входящие_файлы_СЧЕТА[[#This Row],[Максимальная себестоимость]]-1,"")</f>
        <v/>
      </c>
      <c r="K12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3" spans="2:15" x14ac:dyDescent="0.25">
      <c r="B13">
        <v>2528</v>
      </c>
      <c r="C13" t="s">
        <v>7464</v>
      </c>
      <c r="D13">
        <v>5</v>
      </c>
      <c r="E13" s="45">
        <v>178.93</v>
      </c>
      <c r="F13" s="45">
        <v>894.64</v>
      </c>
      <c r="G13" s="45">
        <v>147.1</v>
      </c>
      <c r="H13" s="45">
        <f>Входящие_файлы_СЧЕТА[[#This Row],[Цена конкурента]]*Входящие_файлы_СЧЕТА[[#This Row],[Количество]]</f>
        <v>735.5</v>
      </c>
      <c r="I13" s="45">
        <v>136.4065871439667</v>
      </c>
      <c r="J13" s="46">
        <f>IFERROR(Входящие_файлы_СЧЕТА[[#This Row],[Цена]]/Входящие_файлы_СЧЕТА[[#This Row],[Максимальная себестоимость]]-1,"")</f>
        <v>0.31174017139768395</v>
      </c>
      <c r="K13" s="46">
        <f>IFERROR(Входящие_файлы_СЧЕТА[[#This Row],[Цена конкурента]]/Входящие_файлы_СЧЕТА[[#This Row],[Максимальная себестоимость]]-1,"")</f>
        <v>7.8393669102997388E-2</v>
      </c>
    </row>
    <row r="14" spans="2:15" x14ac:dyDescent="0.25">
      <c r="B14">
        <v>2528</v>
      </c>
      <c r="C14" t="s">
        <v>7464</v>
      </c>
      <c r="D14">
        <v>35</v>
      </c>
      <c r="E14" s="45">
        <v>178.93</v>
      </c>
      <c r="F14" s="45">
        <v>6262.5</v>
      </c>
      <c r="G14" s="45">
        <v>0</v>
      </c>
      <c r="H14" s="45">
        <f>Входящие_файлы_СЧЕТА[[#This Row],[Цена конкурента]]*Входящие_файлы_СЧЕТА[[#This Row],[Количество]]</f>
        <v>0</v>
      </c>
      <c r="I14" s="45">
        <v>0</v>
      </c>
      <c r="J14" s="46" t="str">
        <f>IFERROR(Входящие_файлы_СЧЕТА[[#This Row],[Цена]]/Входящие_файлы_СЧЕТА[[#This Row],[Максимальная себестоимость]]-1,"")</f>
        <v/>
      </c>
      <c r="K14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5" spans="2:15" x14ac:dyDescent="0.25">
      <c r="B15">
        <v>2361</v>
      </c>
      <c r="C15" t="s">
        <v>7465</v>
      </c>
      <c r="D15">
        <v>10</v>
      </c>
      <c r="E15" s="45">
        <v>119.04</v>
      </c>
      <c r="F15" s="45">
        <v>1190.3900000000001</v>
      </c>
      <c r="G15" s="45">
        <v>0</v>
      </c>
      <c r="H15" s="45">
        <f>Входящие_файлы_СЧЕТА[[#This Row],[Цена конкурента]]*Входящие_файлы_СЧЕТА[[#This Row],[Количество]]</f>
        <v>0</v>
      </c>
      <c r="I15" s="45">
        <v>0</v>
      </c>
      <c r="J15" s="46" t="str">
        <f>IFERROR(Входящие_файлы_СЧЕТА[[#This Row],[Цена]]/Входящие_файлы_СЧЕТА[[#This Row],[Максимальная себестоимость]]-1,"")</f>
        <v/>
      </c>
      <c r="K15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6" spans="2:15" x14ac:dyDescent="0.25">
      <c r="B16">
        <v>2537</v>
      </c>
      <c r="C16" t="s">
        <v>7466</v>
      </c>
      <c r="D16">
        <v>25</v>
      </c>
      <c r="E16" s="45">
        <v>119.04</v>
      </c>
      <c r="F16" s="45">
        <v>2975.97</v>
      </c>
      <c r="G16" s="45">
        <v>0</v>
      </c>
      <c r="H16" s="45">
        <f>Входящие_файлы_СЧЕТА[[#This Row],[Цена конкурента]]*Входящие_файлы_СЧЕТА[[#This Row],[Количество]]</f>
        <v>0</v>
      </c>
      <c r="I16" s="45">
        <v>0</v>
      </c>
      <c r="J16" s="46" t="str">
        <f>IFERROR(Входящие_файлы_СЧЕТА[[#This Row],[Цена]]/Входящие_файлы_СЧЕТА[[#This Row],[Максимальная себестоимость]]-1,"")</f>
        <v/>
      </c>
      <c r="K16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2537</v>
      </c>
      <c r="C17" t="s">
        <v>7466</v>
      </c>
      <c r="D17">
        <v>15</v>
      </c>
      <c r="E17" s="45">
        <v>119.04</v>
      </c>
      <c r="F17" s="45">
        <v>1785.58</v>
      </c>
      <c r="G17" s="45">
        <v>0</v>
      </c>
      <c r="H17" s="45">
        <f>Входящие_файлы_СЧЕТА[[#This Row],[Цена конкурента]]*Входящие_файлы_СЧЕТА[[#This Row],[Количество]]</f>
        <v>0</v>
      </c>
      <c r="I17" s="45">
        <v>0</v>
      </c>
      <c r="J17" s="46" t="str">
        <f>IFERROR(Входящие_файлы_СЧЕТА[[#This Row],[Цена]]/Входящие_файлы_СЧЕТА[[#This Row],[Максимальная себестоимость]]-1,"")</f>
        <v/>
      </c>
      <c r="K17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8" spans="2:11" x14ac:dyDescent="0.25">
      <c r="B18">
        <v>2538</v>
      </c>
      <c r="C18" t="s">
        <v>7467</v>
      </c>
      <c r="D18">
        <v>50</v>
      </c>
      <c r="E18" s="45">
        <v>129.47</v>
      </c>
      <c r="F18" s="45">
        <v>6473.49</v>
      </c>
      <c r="G18" s="45">
        <v>0</v>
      </c>
      <c r="H18" s="45">
        <f>Входящие_файлы_СЧЕТА[[#This Row],[Цена конкурента]]*Входящие_файлы_СЧЕТА[[#This Row],[Количество]]</f>
        <v>0</v>
      </c>
      <c r="I18" s="45">
        <v>0</v>
      </c>
      <c r="J18" s="46" t="str">
        <f>IFERROR(Входящие_файлы_СЧЕТА[[#This Row],[Цена]]/Входящие_файлы_СЧЕТА[[#This Row],[Максимальная себестоимость]]-1,"")</f>
        <v/>
      </c>
      <c r="K18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19" spans="2:11" x14ac:dyDescent="0.25">
      <c r="B19">
        <v>4483</v>
      </c>
      <c r="C19" t="s">
        <v>7468</v>
      </c>
      <c r="D19">
        <v>10</v>
      </c>
      <c r="E19" s="45">
        <v>261.77</v>
      </c>
      <c r="F19" s="45">
        <v>2617.67</v>
      </c>
      <c r="G19" s="45">
        <v>0</v>
      </c>
      <c r="H19" s="45">
        <f>Входящие_файлы_СЧЕТА[[#This Row],[Цена конкурента]]*Входящие_файлы_СЧЕТА[[#This Row],[Количество]]</f>
        <v>0</v>
      </c>
      <c r="I19" s="45">
        <v>0</v>
      </c>
      <c r="J19" s="46" t="str">
        <f>IFERROR(Входящие_файлы_СЧЕТА[[#This Row],[Цена]]/Входящие_файлы_СЧЕТА[[#This Row],[Максимальная себестоимость]]-1,"")</f>
        <v/>
      </c>
      <c r="K19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0" spans="2:11" x14ac:dyDescent="0.25">
      <c r="B20">
        <v>2547</v>
      </c>
      <c r="C20" t="s">
        <v>7469</v>
      </c>
      <c r="D20">
        <v>40</v>
      </c>
      <c r="E20" s="45">
        <v>30.47</v>
      </c>
      <c r="F20" s="45">
        <v>1218.6600000000001</v>
      </c>
      <c r="G20" s="45">
        <v>0</v>
      </c>
      <c r="H20" s="45">
        <f>Входящие_файлы_СЧЕТА[[#This Row],[Цена конкурента]]*Входящие_файлы_СЧЕТА[[#This Row],[Количество]]</f>
        <v>0</v>
      </c>
      <c r="I20" s="45">
        <v>0</v>
      </c>
      <c r="J20" s="46" t="str">
        <f>IFERROR(Входящие_файлы_СЧЕТА[[#This Row],[Цена]]/Входящие_файлы_СЧЕТА[[#This Row],[Максимальная себестоимость]]-1,"")</f>
        <v/>
      </c>
      <c r="K20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1" spans="2:11" x14ac:dyDescent="0.25">
      <c r="B21">
        <v>2684</v>
      </c>
      <c r="C21" t="s">
        <v>7470</v>
      </c>
      <c r="D21">
        <v>50</v>
      </c>
      <c r="E21" s="45">
        <v>42.46</v>
      </c>
      <c r="F21" s="45">
        <v>2122.96</v>
      </c>
      <c r="G21" s="45">
        <v>0</v>
      </c>
      <c r="H21" s="45">
        <f>Входящие_файлы_СЧЕТА[[#This Row],[Цена конкурента]]*Входящие_файлы_СЧЕТА[[#This Row],[Количество]]</f>
        <v>0</v>
      </c>
      <c r="I21" s="45">
        <v>0</v>
      </c>
      <c r="J21" s="46" t="str">
        <f>IFERROR(Входящие_файлы_СЧЕТА[[#This Row],[Цена]]/Входящие_файлы_СЧЕТА[[#This Row],[Максимальная себестоимость]]-1,"")</f>
        <v/>
      </c>
      <c r="K21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2" spans="2:11" x14ac:dyDescent="0.25">
      <c r="B22">
        <v>2683</v>
      </c>
      <c r="C22" t="s">
        <v>7471</v>
      </c>
      <c r="D22">
        <v>10</v>
      </c>
      <c r="E22" s="45">
        <v>68.680000000000007</v>
      </c>
      <c r="F22" s="45">
        <v>686.79</v>
      </c>
      <c r="G22" s="45">
        <v>0</v>
      </c>
      <c r="H22" s="45">
        <f>Входящие_файлы_СЧЕТА[[#This Row],[Цена конкурента]]*Входящие_файлы_СЧЕТА[[#This Row],[Количество]]</f>
        <v>0</v>
      </c>
      <c r="I22" s="45">
        <v>0</v>
      </c>
      <c r="J22" s="46" t="str">
        <f>IFERROR(Входящие_файлы_СЧЕТА[[#This Row],[Цена]]/Входящие_файлы_СЧЕТА[[#This Row],[Максимальная себестоимость]]-1,"")</f>
        <v/>
      </c>
      <c r="K22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3" spans="2:11" x14ac:dyDescent="0.25">
      <c r="B23">
        <v>2369</v>
      </c>
      <c r="C23" t="s">
        <v>7472</v>
      </c>
      <c r="D23">
        <v>30</v>
      </c>
      <c r="E23" s="45">
        <v>127.53</v>
      </c>
      <c r="F23" s="45">
        <v>3825.95</v>
      </c>
      <c r="G23" s="45">
        <v>0</v>
      </c>
      <c r="H23" s="45">
        <f>Входящие_файлы_СЧЕТА[[#This Row],[Цена конкурента]]*Входящие_файлы_СЧЕТА[[#This Row],[Количество]]</f>
        <v>0</v>
      </c>
      <c r="I23" s="45">
        <v>0</v>
      </c>
      <c r="J23" s="46" t="str">
        <f>IFERROR(Входящие_файлы_СЧЕТА[[#This Row],[Цена]]/Входящие_файлы_СЧЕТА[[#This Row],[Максимальная себестоимость]]-1,"")</f>
        <v/>
      </c>
      <c r="K23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4" spans="2:11" x14ac:dyDescent="0.25">
      <c r="B24">
        <v>2370</v>
      </c>
      <c r="C24" t="s">
        <v>7473</v>
      </c>
      <c r="D24">
        <v>50</v>
      </c>
      <c r="E24" s="45">
        <v>186.01</v>
      </c>
      <c r="F24" s="45">
        <v>9300.4</v>
      </c>
      <c r="G24" s="45">
        <v>0</v>
      </c>
      <c r="H24" s="45">
        <f>Входящие_файлы_СЧЕТА[[#This Row],[Цена конкурента]]*Входящие_файлы_СЧЕТА[[#This Row],[Количество]]</f>
        <v>0</v>
      </c>
      <c r="I24" s="45">
        <v>0</v>
      </c>
      <c r="J24" s="46" t="str">
        <f>IFERROR(Входящие_файлы_СЧЕТА[[#This Row],[Цена]]/Входящие_файлы_СЧЕТА[[#This Row],[Максимальная себестоимость]]-1,"")</f>
        <v/>
      </c>
      <c r="K24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5" spans="2:11" x14ac:dyDescent="0.25">
      <c r="B25">
        <v>4491</v>
      </c>
      <c r="C25" t="s">
        <v>7474</v>
      </c>
      <c r="D25">
        <v>20</v>
      </c>
      <c r="E25" s="45">
        <v>272.04000000000002</v>
      </c>
      <c r="F25" s="45">
        <v>5440.88</v>
      </c>
      <c r="G25" s="45">
        <v>0</v>
      </c>
      <c r="H25" s="45">
        <f>Входящие_файлы_СЧЕТА[[#This Row],[Цена конкурента]]*Входящие_файлы_СЧЕТА[[#This Row],[Количество]]</f>
        <v>0</v>
      </c>
      <c r="I25" s="45">
        <v>0</v>
      </c>
      <c r="J25" s="46" t="str">
        <f>IFERROR(Входящие_файлы_СЧЕТА[[#This Row],[Цена]]/Входящие_файлы_СЧЕТА[[#This Row],[Максимальная себестоимость]]-1,"")</f>
        <v/>
      </c>
      <c r="K25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6" spans="2:11" x14ac:dyDescent="0.25">
      <c r="B26">
        <v>4492</v>
      </c>
      <c r="C26" t="s">
        <v>7475</v>
      </c>
      <c r="D26">
        <v>55</v>
      </c>
      <c r="E26" s="45">
        <v>269.58999999999997</v>
      </c>
      <c r="F26" s="45">
        <v>14827.3</v>
      </c>
      <c r="G26" s="45">
        <v>0</v>
      </c>
      <c r="H26" s="45">
        <f>Входящие_файлы_СЧЕТА[[#This Row],[Цена конкурента]]*Входящие_файлы_СЧЕТА[[#This Row],[Количество]]</f>
        <v>0</v>
      </c>
      <c r="I26" s="45">
        <v>0</v>
      </c>
      <c r="J26" s="46" t="str">
        <f>IFERROR(Входящие_файлы_СЧЕТА[[#This Row],[Цена]]/Входящие_файлы_СЧЕТА[[#This Row],[Максимальная себестоимость]]-1,"")</f>
        <v/>
      </c>
      <c r="K26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7" spans="2:11" x14ac:dyDescent="0.25">
      <c r="B27">
        <v>2572</v>
      </c>
      <c r="C27" t="s">
        <v>7476</v>
      </c>
      <c r="D27">
        <v>10</v>
      </c>
      <c r="E27" s="45">
        <v>114.57</v>
      </c>
      <c r="F27" s="45">
        <v>1145.7</v>
      </c>
      <c r="G27" s="45">
        <v>59.76</v>
      </c>
      <c r="H27" s="45">
        <f>Входящие_файлы_СЧЕТА[[#This Row],[Цена конкурента]]*Входящие_файлы_СЧЕТА[[#This Row],[Количество]]</f>
        <v>597.6</v>
      </c>
      <c r="I27" s="45">
        <v>86.485717370572786</v>
      </c>
      <c r="J27" s="46">
        <f>IFERROR(Входящие_файлы_СЧЕТА[[#This Row],[Цена]]/Входящие_файлы_СЧЕТА[[#This Row],[Максимальная себестоимость]]-1,"")</f>
        <v>0.32472740567199176</v>
      </c>
      <c r="K27" s="46">
        <f>IFERROR(Входящие_файлы_СЧЕТА[[#This Row],[Цена конкурента]]/Входящие_файлы_СЧЕТА[[#This Row],[Максимальная себестоимость]]-1,"")</f>
        <v>-0.30901885517187544</v>
      </c>
    </row>
    <row r="28" spans="2:11" x14ac:dyDescent="0.25">
      <c r="B28">
        <v>2571</v>
      </c>
      <c r="C28" t="s">
        <v>7477</v>
      </c>
      <c r="D28">
        <v>20</v>
      </c>
      <c r="E28" s="45">
        <v>349.44</v>
      </c>
      <c r="F28" s="45">
        <v>6988.88</v>
      </c>
      <c r="G28" s="45">
        <v>0</v>
      </c>
      <c r="H28" s="45">
        <f>Входящие_файлы_СЧЕТА[[#This Row],[Цена конкурента]]*Входящие_файлы_СЧЕТА[[#This Row],[Количество]]</f>
        <v>0</v>
      </c>
      <c r="I28" s="45">
        <v>0</v>
      </c>
      <c r="J28" s="46" t="str">
        <f>IFERROR(Входящие_файлы_СЧЕТА[[#This Row],[Цена]]/Входящие_файлы_СЧЕТА[[#This Row],[Максимальная себестоимость]]-1,"")</f>
        <v/>
      </c>
      <c r="K28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29" spans="2:11" x14ac:dyDescent="0.25">
      <c r="B29">
        <v>4511</v>
      </c>
      <c r="C29" t="s">
        <v>7478</v>
      </c>
      <c r="D29">
        <v>10</v>
      </c>
      <c r="E29" s="45">
        <v>516.75</v>
      </c>
      <c r="F29" s="45">
        <v>5167.51</v>
      </c>
      <c r="G29" s="45">
        <v>0</v>
      </c>
      <c r="H29" s="45">
        <f>Входящие_файлы_СЧЕТА[[#This Row],[Цена конкурента]]*Входящие_файлы_СЧЕТА[[#This Row],[Количество]]</f>
        <v>0</v>
      </c>
      <c r="I29" s="45">
        <v>0</v>
      </c>
      <c r="J29" s="46" t="str">
        <f>IFERROR(Входящие_файлы_СЧЕТА[[#This Row],[Цена]]/Входящие_файлы_СЧЕТА[[#This Row],[Максимальная себестоимость]]-1,"")</f>
        <v/>
      </c>
      <c r="K29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0" spans="2:11" x14ac:dyDescent="0.25">
      <c r="B30">
        <v>2381</v>
      </c>
      <c r="C30" t="s">
        <v>7479</v>
      </c>
      <c r="D30">
        <v>50</v>
      </c>
      <c r="E30" s="45">
        <v>99.23</v>
      </c>
      <c r="F30" s="45">
        <v>4961.28</v>
      </c>
      <c r="G30" s="45">
        <v>0</v>
      </c>
      <c r="H30" s="45">
        <f>Входящие_файлы_СЧЕТА[[#This Row],[Цена конкурента]]*Входящие_файлы_СЧЕТА[[#This Row],[Количество]]</f>
        <v>0</v>
      </c>
      <c r="I30" s="45">
        <v>0</v>
      </c>
      <c r="J30" s="46" t="str">
        <f>IFERROR(Входящие_файлы_СЧЕТА[[#This Row],[Цена]]/Входящие_файлы_СЧЕТА[[#This Row],[Максимальная себестоимость]]-1,"")</f>
        <v/>
      </c>
      <c r="K30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1" spans="2:11" x14ac:dyDescent="0.25">
      <c r="B31">
        <v>4521</v>
      </c>
      <c r="C31" t="s">
        <v>7480</v>
      </c>
      <c r="D31">
        <v>20</v>
      </c>
      <c r="E31" s="45">
        <v>161.79</v>
      </c>
      <c r="F31" s="45">
        <v>3235.89</v>
      </c>
      <c r="G31" s="45">
        <v>0</v>
      </c>
      <c r="H31" s="45">
        <f>Входящие_файлы_СЧЕТА[[#This Row],[Цена конкурента]]*Входящие_файлы_СЧЕТА[[#This Row],[Количество]]</f>
        <v>0</v>
      </c>
      <c r="I31" s="45">
        <v>0</v>
      </c>
      <c r="J31" s="46" t="str">
        <f>IFERROR(Входящие_файлы_СЧЕТА[[#This Row],[Цена]]/Входящие_файлы_СЧЕТА[[#This Row],[Максимальная себестоимость]]-1,"")</f>
        <v/>
      </c>
      <c r="K31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2" spans="2:11" x14ac:dyDescent="0.25">
      <c r="B32">
        <v>4522</v>
      </c>
      <c r="C32" t="s">
        <v>7481</v>
      </c>
      <c r="D32">
        <v>5</v>
      </c>
      <c r="E32" s="45">
        <v>270.93</v>
      </c>
      <c r="F32" s="45">
        <v>1354.63</v>
      </c>
      <c r="G32" s="45">
        <v>0</v>
      </c>
      <c r="H32" s="45">
        <f>Входящие_файлы_СЧЕТА[[#This Row],[Цена конкурента]]*Входящие_файлы_СЧЕТА[[#This Row],[Количество]]</f>
        <v>0</v>
      </c>
      <c r="I32" s="45">
        <v>0</v>
      </c>
      <c r="J32" s="46" t="str">
        <f>IFERROR(Входящие_файлы_СЧЕТА[[#This Row],[Цена]]/Входящие_файлы_СЧЕТА[[#This Row],[Максимальная себестоимость]]-1,"")</f>
        <v/>
      </c>
      <c r="K32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3" spans="2:11" x14ac:dyDescent="0.25">
      <c r="B33">
        <v>2574</v>
      </c>
      <c r="C33" t="s">
        <v>7482</v>
      </c>
      <c r="D33">
        <v>20</v>
      </c>
      <c r="E33" s="45">
        <v>89.24</v>
      </c>
      <c r="F33" s="45">
        <v>1784.78</v>
      </c>
      <c r="G33" s="45">
        <v>0</v>
      </c>
      <c r="H33" s="45">
        <f>Входящие_файлы_СЧЕТА[[#This Row],[Цена конкурента]]*Входящие_файлы_СЧЕТА[[#This Row],[Количество]]</f>
        <v>0</v>
      </c>
      <c r="I33" s="45">
        <v>0</v>
      </c>
      <c r="J33" s="46" t="str">
        <f>IFERROR(Входящие_файлы_СЧЕТА[[#This Row],[Цена]]/Входящие_файлы_СЧЕТА[[#This Row],[Максимальная себестоимость]]-1,"")</f>
        <v/>
      </c>
      <c r="K33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4" spans="2:11" x14ac:dyDescent="0.25">
      <c r="B34">
        <v>2380</v>
      </c>
      <c r="C34" t="s">
        <v>7483</v>
      </c>
      <c r="D34">
        <v>200</v>
      </c>
      <c r="E34" s="45">
        <v>89.02</v>
      </c>
      <c r="F34" s="45">
        <v>17803.38</v>
      </c>
      <c r="G34" s="45">
        <v>0</v>
      </c>
      <c r="H34" s="45">
        <f>Входящие_файлы_СЧЕТА[[#This Row],[Цена конкурента]]*Входящие_файлы_СЧЕТА[[#This Row],[Количество]]</f>
        <v>0</v>
      </c>
      <c r="I34" s="45">
        <v>0</v>
      </c>
      <c r="J34" s="46" t="str">
        <f>IFERROR(Входящие_файлы_СЧЕТА[[#This Row],[Цена]]/Входящие_файлы_СЧЕТА[[#This Row],[Максимальная себестоимость]]-1,"")</f>
        <v/>
      </c>
      <c r="K34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5" spans="2:11" x14ac:dyDescent="0.25">
      <c r="B35">
        <v>4520</v>
      </c>
      <c r="C35" t="s">
        <v>7484</v>
      </c>
      <c r="D35">
        <v>10</v>
      </c>
      <c r="E35" s="45">
        <v>256.55</v>
      </c>
      <c r="F35" s="45">
        <v>2565.5100000000002</v>
      </c>
      <c r="G35" s="45">
        <v>0</v>
      </c>
      <c r="H35" s="45">
        <f>Входящие_файлы_СЧЕТА[[#This Row],[Цена конкурента]]*Входящие_файлы_СЧЕТА[[#This Row],[Количество]]</f>
        <v>0</v>
      </c>
      <c r="I35" s="45">
        <v>0</v>
      </c>
      <c r="J35" s="46" t="str">
        <f>IFERROR(Входящие_файлы_СЧЕТА[[#This Row],[Цена]]/Входящие_файлы_СЧЕТА[[#This Row],[Максимальная себестоимость]]-1,"")</f>
        <v/>
      </c>
      <c r="K35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6" spans="2:11" x14ac:dyDescent="0.25">
      <c r="B36">
        <v>2379</v>
      </c>
      <c r="C36" t="s">
        <v>7485</v>
      </c>
      <c r="D36">
        <v>50</v>
      </c>
      <c r="E36" s="45">
        <v>92.52</v>
      </c>
      <c r="F36" s="45">
        <v>4625.83</v>
      </c>
      <c r="G36" s="45">
        <v>0</v>
      </c>
      <c r="H36" s="45">
        <f>Входящие_файлы_СЧЕТА[[#This Row],[Цена конкурента]]*Входящие_файлы_СЧЕТА[[#This Row],[Количество]]</f>
        <v>0</v>
      </c>
      <c r="I36" s="45">
        <v>0</v>
      </c>
      <c r="J36" s="46" t="str">
        <f>IFERROR(Входящие_файлы_СЧЕТА[[#This Row],[Цена]]/Входящие_файлы_СЧЕТА[[#This Row],[Максимальная себестоимость]]-1,"")</f>
        <v/>
      </c>
      <c r="K36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7" spans="2:11" x14ac:dyDescent="0.25">
      <c r="B37">
        <v>2575</v>
      </c>
      <c r="C37" t="s">
        <v>7486</v>
      </c>
      <c r="D37">
        <v>70</v>
      </c>
      <c r="E37" s="45">
        <v>81.42</v>
      </c>
      <c r="F37" s="45">
        <v>5699.32</v>
      </c>
      <c r="G37" s="45">
        <v>144.27000000000001</v>
      </c>
      <c r="H37" s="45">
        <f>Входящие_файлы_СЧЕТА[[#This Row],[Цена конкурента]]*Входящие_файлы_СЧЕТА[[#This Row],[Количество]]</f>
        <v>10098.900000000001</v>
      </c>
      <c r="I37" s="45">
        <v>66.013781739816949</v>
      </c>
      <c r="J37" s="46">
        <f>IFERROR(Входящие_файлы_СЧЕТА[[#This Row],[Цена]]/Входящие_файлы_СЧЕТА[[#This Row],[Максимальная себестоимость]]-1,"")</f>
        <v>0.23337881657657888</v>
      </c>
      <c r="K37" s="46">
        <f>IFERROR(Входящие_файлы_СЧЕТА[[#This Row],[Цена конкурента]]/Входящие_файлы_СЧЕТА[[#This Row],[Максимальная себестоимость]]-1,"")</f>
        <v>1.1854527372574681</v>
      </c>
    </row>
    <row r="38" spans="2:11" x14ac:dyDescent="0.25">
      <c r="B38">
        <v>2560</v>
      </c>
      <c r="C38" t="s">
        <v>7487</v>
      </c>
      <c r="D38">
        <v>50</v>
      </c>
      <c r="E38" s="45">
        <v>93.12</v>
      </c>
      <c r="F38" s="45">
        <v>4655.76</v>
      </c>
      <c r="G38" s="45">
        <v>0</v>
      </c>
      <c r="H38" s="45">
        <f>Входящие_файлы_СЧЕТА[[#This Row],[Цена конкурента]]*Входящие_файлы_СЧЕТА[[#This Row],[Количество]]</f>
        <v>0</v>
      </c>
      <c r="I38" s="45">
        <v>0</v>
      </c>
      <c r="J38" s="46" t="str">
        <f>IFERROR(Входящие_файлы_СЧЕТА[[#This Row],[Цена]]/Входящие_файлы_СЧЕТА[[#This Row],[Максимальная себестоимость]]-1,"")</f>
        <v/>
      </c>
      <c r="K38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39" spans="2:11" x14ac:dyDescent="0.25">
      <c r="B39">
        <v>2561</v>
      </c>
      <c r="C39" t="s">
        <v>7488</v>
      </c>
      <c r="D39">
        <v>400</v>
      </c>
      <c r="E39" s="45">
        <v>63.91</v>
      </c>
      <c r="F39" s="45">
        <v>25565.64</v>
      </c>
      <c r="G39" s="45">
        <v>0</v>
      </c>
      <c r="H39" s="45">
        <f>Входящие_файлы_СЧЕТА[[#This Row],[Цена конкурента]]*Входящие_файлы_СЧЕТА[[#This Row],[Количество]]</f>
        <v>0</v>
      </c>
      <c r="I39" s="45">
        <v>0</v>
      </c>
      <c r="J39" s="46" t="str">
        <f>IFERROR(Входящие_файлы_СЧЕТА[[#This Row],[Цена]]/Входящие_файлы_СЧЕТА[[#This Row],[Максимальная себестоимость]]-1,"")</f>
        <v/>
      </c>
      <c r="K39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0" spans="2:11" x14ac:dyDescent="0.25">
      <c r="B40">
        <v>2562</v>
      </c>
      <c r="C40" t="s">
        <v>7489</v>
      </c>
      <c r="D40">
        <v>50</v>
      </c>
      <c r="E40" s="45">
        <v>105.33</v>
      </c>
      <c r="F40" s="45">
        <v>5266.51</v>
      </c>
      <c r="G40" s="45">
        <v>0</v>
      </c>
      <c r="H40" s="45">
        <f>Входящие_файлы_СЧЕТА[[#This Row],[Цена конкурента]]*Входящие_файлы_СЧЕТА[[#This Row],[Количество]]</f>
        <v>0</v>
      </c>
      <c r="I40" s="45">
        <v>0</v>
      </c>
      <c r="J40" s="46" t="str">
        <f>IFERROR(Входящие_файлы_СЧЕТА[[#This Row],[Цена]]/Входящие_файлы_СЧЕТА[[#This Row],[Максимальная себестоимость]]-1,"")</f>
        <v/>
      </c>
      <c r="K40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1" spans="2:11" x14ac:dyDescent="0.25">
      <c r="B41">
        <v>2563</v>
      </c>
      <c r="C41" t="s">
        <v>7490</v>
      </c>
      <c r="D41">
        <v>30</v>
      </c>
      <c r="E41" s="45">
        <v>191.59</v>
      </c>
      <c r="F41" s="45">
        <v>5747.82</v>
      </c>
      <c r="G41" s="45">
        <v>0</v>
      </c>
      <c r="H41" s="45">
        <f>Входящие_файлы_СЧЕТА[[#This Row],[Цена конкурента]]*Входящие_файлы_СЧЕТА[[#This Row],[Количество]]</f>
        <v>0</v>
      </c>
      <c r="I41" s="45">
        <v>0</v>
      </c>
      <c r="J41" s="46" t="str">
        <f>IFERROR(Входящие_файлы_СЧЕТА[[#This Row],[Цена]]/Входящие_файлы_СЧЕТА[[#This Row],[Максимальная себестоимость]]-1,"")</f>
        <v/>
      </c>
      <c r="K41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2" spans="2:11" x14ac:dyDescent="0.25">
      <c r="B42">
        <v>2563</v>
      </c>
      <c r="C42" t="s">
        <v>7490</v>
      </c>
      <c r="D42">
        <v>50</v>
      </c>
      <c r="E42" s="45">
        <v>191.59</v>
      </c>
      <c r="F42" s="45">
        <v>9579.7000000000007</v>
      </c>
      <c r="G42" s="45">
        <v>0</v>
      </c>
      <c r="H42" s="45">
        <f>Входящие_файлы_СЧЕТА[[#This Row],[Цена конкурента]]*Входящие_файлы_СЧЕТА[[#This Row],[Количество]]</f>
        <v>0</v>
      </c>
      <c r="I42" s="45">
        <v>0</v>
      </c>
      <c r="J42" s="46" t="str">
        <f>IFERROR(Входящие_файлы_СЧЕТА[[#This Row],[Цена]]/Входящие_файлы_СЧЕТА[[#This Row],[Максимальная себестоимость]]-1,"")</f>
        <v/>
      </c>
      <c r="K42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3" spans="2:11" x14ac:dyDescent="0.25">
      <c r="B43">
        <v>4507</v>
      </c>
      <c r="C43" t="s">
        <v>7491</v>
      </c>
      <c r="D43">
        <v>5</v>
      </c>
      <c r="E43" s="45">
        <v>282.77</v>
      </c>
      <c r="F43" s="45">
        <v>1413.86</v>
      </c>
      <c r="G43" s="45">
        <v>0</v>
      </c>
      <c r="H43" s="45">
        <f>Входящие_файлы_СЧЕТА[[#This Row],[Цена конкурента]]*Входящие_файлы_СЧЕТА[[#This Row],[Количество]]</f>
        <v>0</v>
      </c>
      <c r="I43" s="45">
        <v>0</v>
      </c>
      <c r="J43" s="46" t="str">
        <f>IFERROR(Входящие_файлы_СЧЕТА[[#This Row],[Цена]]/Входящие_файлы_СЧЕТА[[#This Row],[Максимальная себестоимость]]-1,"")</f>
        <v/>
      </c>
      <c r="K43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4" spans="2:11" x14ac:dyDescent="0.25">
      <c r="B44">
        <v>2564</v>
      </c>
      <c r="C44" t="s">
        <v>7492</v>
      </c>
      <c r="D44">
        <v>150</v>
      </c>
      <c r="E44" s="45">
        <v>64.88</v>
      </c>
      <c r="F44" s="45">
        <v>9732.4599999999991</v>
      </c>
      <c r="G44" s="45"/>
      <c r="H44" s="45">
        <f>Входящие_файлы_СЧЕТА[[#This Row],[Цена конкурента]]*Входящие_файлы_СЧЕТА[[#This Row],[Количество]]</f>
        <v>0</v>
      </c>
      <c r="I44" s="45">
        <v>0</v>
      </c>
      <c r="J44" s="46" t="str">
        <f>IFERROR(Входящие_файлы_СЧЕТА[[#This Row],[Цена]]/Входящие_файлы_СЧЕТА[[#This Row],[Максимальная себестоимость]]-1,"")</f>
        <v/>
      </c>
      <c r="K44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5" spans="2:11" x14ac:dyDescent="0.25">
      <c r="B45">
        <v>2565</v>
      </c>
      <c r="C45" t="s">
        <v>7493</v>
      </c>
      <c r="D45">
        <v>20</v>
      </c>
      <c r="E45" s="45">
        <v>106.45</v>
      </c>
      <c r="F45" s="45">
        <v>2128.9499999999998</v>
      </c>
      <c r="G45" s="45"/>
      <c r="H45" s="45">
        <f>Входящие_файлы_СЧЕТА[[#This Row],[Цена конкурента]]*Входящие_файлы_СЧЕТА[[#This Row],[Количество]]</f>
        <v>0</v>
      </c>
      <c r="I45" s="45">
        <v>0</v>
      </c>
      <c r="J45" s="46" t="str">
        <f>IFERROR(Входящие_файлы_СЧЕТА[[#This Row],[Цена]]/Входящие_файлы_СЧЕТА[[#This Row],[Максимальная себестоимость]]-1,"")</f>
        <v/>
      </c>
      <c r="K45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6" spans="2:11" x14ac:dyDescent="0.25">
      <c r="B46">
        <v>4498</v>
      </c>
      <c r="C46" t="s">
        <v>7494</v>
      </c>
      <c r="D46">
        <v>30</v>
      </c>
      <c r="E46" s="45">
        <v>132.66999999999999</v>
      </c>
      <c r="F46" s="45">
        <v>3980.2</v>
      </c>
      <c r="G46" s="45"/>
      <c r="H46" s="45">
        <f>Входящие_файлы_СЧЕТА[[#This Row],[Цена конкурента]]*Входящие_файлы_СЧЕТА[[#This Row],[Количество]]</f>
        <v>0</v>
      </c>
      <c r="I46" s="45">
        <v>0</v>
      </c>
      <c r="J46" s="46" t="str">
        <f>IFERROR(Входящие_файлы_СЧЕТА[[#This Row],[Цена]]/Входящие_файлы_СЧЕТА[[#This Row],[Максимальная себестоимость]]-1,"")</f>
        <v/>
      </c>
      <c r="K46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7" spans="2:11" x14ac:dyDescent="0.25">
      <c r="B47">
        <v>2556</v>
      </c>
      <c r="C47" t="s">
        <v>7495</v>
      </c>
      <c r="D47">
        <v>120</v>
      </c>
      <c r="E47" s="45">
        <v>102.35</v>
      </c>
      <c r="F47" s="45">
        <v>12282.59</v>
      </c>
      <c r="G47" s="45"/>
      <c r="H47" s="45">
        <f>Входящие_файлы_СЧЕТА[[#This Row],[Цена конкурента]]*Входящие_файлы_СЧЕТА[[#This Row],[Количество]]</f>
        <v>0</v>
      </c>
      <c r="I47" s="45">
        <v>0</v>
      </c>
      <c r="J47" s="46" t="str">
        <f>IFERROR(Входящие_файлы_СЧЕТА[[#This Row],[Цена]]/Входящие_файлы_СЧЕТА[[#This Row],[Максимальная себестоимость]]-1,"")</f>
        <v/>
      </c>
      <c r="K47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8" spans="2:11" x14ac:dyDescent="0.25">
      <c r="B48">
        <v>2386</v>
      </c>
      <c r="C48" t="s">
        <v>7496</v>
      </c>
      <c r="D48">
        <v>20</v>
      </c>
      <c r="E48" s="45">
        <v>173.87</v>
      </c>
      <c r="F48" s="45">
        <v>3477.34</v>
      </c>
      <c r="G48" s="45"/>
      <c r="H48" s="45">
        <f>Входящие_файлы_СЧЕТА[[#This Row],[Цена конкурента]]*Входящие_файлы_СЧЕТА[[#This Row],[Количество]]</f>
        <v>0</v>
      </c>
      <c r="I48" s="45">
        <v>0</v>
      </c>
      <c r="J48" s="46" t="str">
        <f>IFERROR(Входящие_файлы_СЧЕТА[[#This Row],[Цена]]/Входящие_файлы_СЧЕТА[[#This Row],[Максимальная себестоимость]]-1,"")</f>
        <v/>
      </c>
      <c r="K48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49" spans="2:11" x14ac:dyDescent="0.25">
      <c r="B49">
        <v>2387</v>
      </c>
      <c r="C49" t="s">
        <v>7497</v>
      </c>
      <c r="D49">
        <v>40</v>
      </c>
      <c r="E49" s="45">
        <v>102.28</v>
      </c>
      <c r="F49" s="45">
        <v>4091</v>
      </c>
      <c r="G49" s="45"/>
      <c r="H49" s="45">
        <f>Входящие_файлы_СЧЕТА[[#This Row],[Цена конкурента]]*Входящие_файлы_СЧЕТА[[#This Row],[Количество]]</f>
        <v>0</v>
      </c>
      <c r="I49" s="45">
        <v>0</v>
      </c>
      <c r="J49" s="46" t="str">
        <f>IFERROR(Входящие_файлы_СЧЕТА[[#This Row],[Цена]]/Входящие_файлы_СЧЕТА[[#This Row],[Максимальная себестоимость]]-1,"")</f>
        <v/>
      </c>
      <c r="K49" s="46" t="str">
        <f>IFERROR(Входящие_файлы_СЧЕТА[[#This Row],[Цена конкурента]]/Входящие_файлы_СЧЕТА[[#This Row],[Максимальная себестоимость]]-1,"")</f>
        <v/>
      </c>
    </row>
    <row r="50" spans="2:11" x14ac:dyDescent="0.25">
      <c r="B50">
        <v>4503</v>
      </c>
      <c r="C50" t="s">
        <v>7498</v>
      </c>
      <c r="D50">
        <v>30</v>
      </c>
      <c r="E50" s="45">
        <v>231.97</v>
      </c>
      <c r="F50" s="45">
        <v>6959.02</v>
      </c>
      <c r="G50" s="45">
        <v>215.47</v>
      </c>
      <c r="H50" s="45">
        <f>Входящие_файлы_СЧЕТА[[#This Row],[Цена конкурента]]*Входящие_файлы_СЧЕТА[[#This Row],[Количество]]</f>
        <v>6464.1</v>
      </c>
      <c r="I50" s="45">
        <v>154.36058416773116</v>
      </c>
      <c r="J50" s="46">
        <f>IFERROR(Входящие_файлы_СЧЕТА[[#This Row],[Цена]]/Входящие_файлы_СЧЕТА[[#This Row],[Максимальная себестоимость]]-1,"")</f>
        <v>0.50278000858002048</v>
      </c>
      <c r="K50" s="46">
        <f>IFERROR(Входящие_файлы_СЧЕТА[[#This Row],[Цена конкурента]]/Входящие_файлы_СЧЕТА[[#This Row],[Максимальная себестоимость]]-1,"")</f>
        <v>0.39588743565433893</v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D18CB-7AFD-40FB-8804-B7B2EA9B70B6}">
  <sheetPr codeName="Лист2"/>
  <dimension ref="A1:O3383"/>
  <sheetViews>
    <sheetView workbookViewId="0">
      <selection activeCell="W10" sqref="W10"/>
    </sheetView>
  </sheetViews>
  <sheetFormatPr defaultRowHeight="15" x14ac:dyDescent="0.25"/>
  <cols>
    <col min="9" max="9" width="19.140625" bestFit="1" customWidth="1"/>
  </cols>
  <sheetData>
    <row r="1" spans="1:15" x14ac:dyDescent="0.25">
      <c r="A1" s="13" t="s">
        <v>0</v>
      </c>
      <c r="B1" s="13" t="s">
        <v>1200</v>
      </c>
      <c r="C1" s="13" t="s">
        <v>1201</v>
      </c>
      <c r="D1" s="13" t="s">
        <v>1202</v>
      </c>
      <c r="E1" s="13" t="s">
        <v>1203</v>
      </c>
      <c r="F1" s="13" t="s">
        <v>1204</v>
      </c>
      <c r="G1" s="13" t="s">
        <v>1205</v>
      </c>
      <c r="H1" s="13" t="s">
        <v>1206</v>
      </c>
      <c r="I1" s="13" t="s">
        <v>1207</v>
      </c>
      <c r="J1" s="13" t="s">
        <v>1208</v>
      </c>
      <c r="K1" s="13" t="s">
        <v>1209</v>
      </c>
      <c r="L1" s="13" t="s">
        <v>1210</v>
      </c>
      <c r="M1" s="13" t="s">
        <v>1211</v>
      </c>
      <c r="N1" s="13" t="s">
        <v>1212</v>
      </c>
      <c r="O1" s="13" t="s">
        <v>1213</v>
      </c>
    </row>
    <row r="2" spans="1:15" x14ac:dyDescent="0.25">
      <c r="A2" s="14">
        <v>1050102</v>
      </c>
      <c r="B2" s="14" t="s">
        <v>1214</v>
      </c>
      <c r="C2" s="14" t="s">
        <v>1214</v>
      </c>
      <c r="D2" s="14" t="s">
        <v>1215</v>
      </c>
      <c r="E2" s="15"/>
      <c r="F2" s="14"/>
      <c r="G2" s="15"/>
      <c r="H2" s="14" t="s">
        <v>1216</v>
      </c>
      <c r="I2" s="14" t="s">
        <v>1217</v>
      </c>
      <c r="J2" s="14"/>
      <c r="K2" s="14"/>
      <c r="L2" s="14"/>
      <c r="M2" s="14" t="s">
        <v>1218</v>
      </c>
      <c r="N2" s="14" t="s">
        <v>1219</v>
      </c>
      <c r="O2" s="14" t="s">
        <v>1220</v>
      </c>
    </row>
    <row r="3" spans="1:15" x14ac:dyDescent="0.25">
      <c r="A3" s="14">
        <v>1000538076</v>
      </c>
      <c r="B3" s="14" t="s">
        <v>1221</v>
      </c>
      <c r="C3" s="14" t="s">
        <v>1221</v>
      </c>
      <c r="D3" s="14" t="s">
        <v>1222</v>
      </c>
      <c r="E3" s="15"/>
      <c r="F3" s="14"/>
      <c r="G3" s="15"/>
      <c r="H3" s="14" t="s">
        <v>1223</v>
      </c>
      <c r="I3" s="14"/>
      <c r="J3" s="14"/>
      <c r="K3" s="14"/>
      <c r="L3" s="14"/>
      <c r="M3" s="14"/>
      <c r="N3" s="14" t="s">
        <v>1219</v>
      </c>
      <c r="O3" s="14" t="s">
        <v>1220</v>
      </c>
    </row>
    <row r="4" spans="1:15" x14ac:dyDescent="0.25">
      <c r="A4" s="14" t="s">
        <v>1224</v>
      </c>
      <c r="B4" s="14" t="s">
        <v>1225</v>
      </c>
      <c r="C4" s="14" t="s">
        <v>1225</v>
      </c>
      <c r="D4" s="14" t="s">
        <v>1222</v>
      </c>
      <c r="E4" s="15"/>
      <c r="F4" s="14"/>
      <c r="G4" s="15"/>
      <c r="H4" s="14" t="s">
        <v>1223</v>
      </c>
      <c r="I4" s="14"/>
      <c r="J4" s="14"/>
      <c r="K4" s="14"/>
      <c r="L4" s="14"/>
      <c r="M4" s="14"/>
      <c r="N4" s="14" t="s">
        <v>1219</v>
      </c>
      <c r="O4" s="14" t="s">
        <v>1220</v>
      </c>
    </row>
    <row r="5" spans="1:15" x14ac:dyDescent="0.25">
      <c r="A5" s="14" t="s">
        <v>1226</v>
      </c>
      <c r="B5" s="14" t="s">
        <v>1227</v>
      </c>
      <c r="C5" s="14" t="s">
        <v>1228</v>
      </c>
      <c r="D5" s="14" t="s">
        <v>1222</v>
      </c>
      <c r="E5" s="15"/>
      <c r="F5" s="14"/>
      <c r="G5" s="15"/>
      <c r="H5" s="14" t="s">
        <v>1223</v>
      </c>
      <c r="I5" s="14"/>
      <c r="J5" s="14"/>
      <c r="K5" s="14"/>
      <c r="L5" s="14"/>
      <c r="M5" s="14"/>
      <c r="N5" s="14" t="s">
        <v>1219</v>
      </c>
      <c r="O5" s="14" t="s">
        <v>1220</v>
      </c>
    </row>
    <row r="6" spans="1:15" x14ac:dyDescent="0.25">
      <c r="A6" s="14">
        <v>5101</v>
      </c>
      <c r="B6" s="14" t="s">
        <v>1229</v>
      </c>
      <c r="C6" s="14" t="s">
        <v>1229</v>
      </c>
      <c r="D6" s="14" t="s">
        <v>1230</v>
      </c>
      <c r="E6" s="16">
        <v>1</v>
      </c>
      <c r="F6" s="14" t="s">
        <v>1231</v>
      </c>
      <c r="G6" s="16">
        <v>150</v>
      </c>
      <c r="H6" s="14" t="s">
        <v>1230</v>
      </c>
      <c r="I6" s="14" t="s">
        <v>1232</v>
      </c>
      <c r="J6" s="14" t="s">
        <v>1233</v>
      </c>
      <c r="K6" s="14" t="s">
        <v>1234</v>
      </c>
      <c r="L6" s="14" t="s">
        <v>1235</v>
      </c>
      <c r="M6" s="14" t="s">
        <v>1236</v>
      </c>
      <c r="N6" s="14" t="s">
        <v>1237</v>
      </c>
      <c r="O6" s="14" t="s">
        <v>1220</v>
      </c>
    </row>
    <row r="7" spans="1:15" x14ac:dyDescent="0.25">
      <c r="A7" s="14">
        <v>5102</v>
      </c>
      <c r="B7" s="14" t="s">
        <v>1238</v>
      </c>
      <c r="C7" s="14" t="s">
        <v>1238</v>
      </c>
      <c r="D7" s="14" t="s">
        <v>1230</v>
      </c>
      <c r="E7" s="16">
        <v>1</v>
      </c>
      <c r="F7" s="14" t="s">
        <v>1231</v>
      </c>
      <c r="G7" s="16">
        <v>150</v>
      </c>
      <c r="H7" s="14" t="s">
        <v>1230</v>
      </c>
      <c r="I7" s="14" t="s">
        <v>1232</v>
      </c>
      <c r="J7" s="14" t="s">
        <v>1233</v>
      </c>
      <c r="K7" s="14" t="s">
        <v>1234</v>
      </c>
      <c r="L7" s="14" t="s">
        <v>1239</v>
      </c>
      <c r="M7" s="14" t="s">
        <v>1236</v>
      </c>
      <c r="N7" s="14" t="s">
        <v>1237</v>
      </c>
      <c r="O7" s="14" t="s">
        <v>1220</v>
      </c>
    </row>
    <row r="8" spans="1:15" x14ac:dyDescent="0.25">
      <c r="A8" s="14">
        <v>5103</v>
      </c>
      <c r="B8" s="14" t="s">
        <v>1240</v>
      </c>
      <c r="C8" s="14" t="s">
        <v>1240</v>
      </c>
      <c r="D8" s="14" t="s">
        <v>1230</v>
      </c>
      <c r="E8" s="16">
        <v>1</v>
      </c>
      <c r="F8" s="14" t="s">
        <v>1231</v>
      </c>
      <c r="G8" s="16">
        <v>150</v>
      </c>
      <c r="H8" s="14" t="s">
        <v>1230</v>
      </c>
      <c r="I8" s="14" t="s">
        <v>1232</v>
      </c>
      <c r="J8" s="14" t="s">
        <v>1233</v>
      </c>
      <c r="K8" s="14" t="s">
        <v>1234</v>
      </c>
      <c r="L8" s="14" t="s">
        <v>1241</v>
      </c>
      <c r="M8" s="14" t="s">
        <v>1236</v>
      </c>
      <c r="N8" s="14" t="s">
        <v>1237</v>
      </c>
      <c r="O8" s="14" t="s">
        <v>1220</v>
      </c>
    </row>
    <row r="9" spans="1:15" x14ac:dyDescent="0.25">
      <c r="A9" s="14">
        <v>5109</v>
      </c>
      <c r="B9" s="14" t="s">
        <v>1090</v>
      </c>
      <c r="C9" s="14" t="s">
        <v>1090</v>
      </c>
      <c r="D9" s="14" t="s">
        <v>1230</v>
      </c>
      <c r="E9" s="16">
        <v>1</v>
      </c>
      <c r="F9" s="14" t="s">
        <v>1231</v>
      </c>
      <c r="G9" s="16">
        <v>150</v>
      </c>
      <c r="H9" s="14" t="s">
        <v>1230</v>
      </c>
      <c r="I9" s="14" t="s">
        <v>1232</v>
      </c>
      <c r="J9" s="14" t="s">
        <v>1242</v>
      </c>
      <c r="K9" s="14" t="s">
        <v>1243</v>
      </c>
      <c r="L9" s="14" t="s">
        <v>1244</v>
      </c>
      <c r="M9" s="14" t="s">
        <v>1236</v>
      </c>
      <c r="N9" s="14" t="s">
        <v>1237</v>
      </c>
      <c r="O9" s="14" t="s">
        <v>1220</v>
      </c>
    </row>
    <row r="10" spans="1:15" x14ac:dyDescent="0.25">
      <c r="A10" s="14">
        <v>5110</v>
      </c>
      <c r="B10" s="14" t="s">
        <v>1091</v>
      </c>
      <c r="C10" s="14" t="s">
        <v>1091</v>
      </c>
      <c r="D10" s="14" t="s">
        <v>1230</v>
      </c>
      <c r="E10" s="16">
        <v>1</v>
      </c>
      <c r="F10" s="14" t="s">
        <v>1231</v>
      </c>
      <c r="G10" s="16">
        <v>150</v>
      </c>
      <c r="H10" s="14" t="s">
        <v>1230</v>
      </c>
      <c r="I10" s="14" t="s">
        <v>1232</v>
      </c>
      <c r="J10" s="14" t="s">
        <v>1233</v>
      </c>
      <c r="K10" s="14" t="s">
        <v>1243</v>
      </c>
      <c r="L10" s="14" t="s">
        <v>1245</v>
      </c>
      <c r="M10" s="14" t="s">
        <v>1236</v>
      </c>
      <c r="N10" s="14" t="s">
        <v>1237</v>
      </c>
      <c r="O10" s="14" t="s">
        <v>1220</v>
      </c>
    </row>
    <row r="11" spans="1:15" x14ac:dyDescent="0.25">
      <c r="A11" s="14">
        <v>5120</v>
      </c>
      <c r="B11" s="14" t="s">
        <v>1246</v>
      </c>
      <c r="C11" s="14" t="s">
        <v>1246</v>
      </c>
      <c r="D11" s="14" t="s">
        <v>1230</v>
      </c>
      <c r="E11" s="16">
        <v>1</v>
      </c>
      <c r="F11" s="14" t="s">
        <v>1231</v>
      </c>
      <c r="G11" s="16">
        <v>150</v>
      </c>
      <c r="H11" s="14" t="s">
        <v>1230</v>
      </c>
      <c r="I11" s="14" t="s">
        <v>1232</v>
      </c>
      <c r="J11" s="14" t="s">
        <v>1233</v>
      </c>
      <c r="K11" s="14" t="s">
        <v>1234</v>
      </c>
      <c r="L11" s="14" t="s">
        <v>1247</v>
      </c>
      <c r="M11" s="14" t="s">
        <v>1236</v>
      </c>
      <c r="N11" s="14" t="s">
        <v>1237</v>
      </c>
      <c r="O11" s="14" t="s">
        <v>1220</v>
      </c>
    </row>
    <row r="12" spans="1:15" x14ac:dyDescent="0.25">
      <c r="A12" s="14" t="s">
        <v>1248</v>
      </c>
      <c r="B12" s="14" t="s">
        <v>1249</v>
      </c>
      <c r="C12" s="14" t="s">
        <v>1249</v>
      </c>
      <c r="D12" s="14" t="s">
        <v>1222</v>
      </c>
      <c r="E12" s="15"/>
      <c r="F12" s="14"/>
      <c r="G12" s="15"/>
      <c r="H12" s="14" t="s">
        <v>1223</v>
      </c>
      <c r="I12" s="14"/>
      <c r="J12" s="14"/>
      <c r="K12" s="14"/>
      <c r="L12" s="14"/>
      <c r="M12" s="14"/>
      <c r="N12" s="14" t="s">
        <v>1219</v>
      </c>
      <c r="O12" s="14" t="s">
        <v>1220</v>
      </c>
    </row>
    <row r="13" spans="1:15" x14ac:dyDescent="0.25">
      <c r="A13" s="14" t="s">
        <v>1250</v>
      </c>
      <c r="B13" s="14" t="s">
        <v>1251</v>
      </c>
      <c r="C13" s="14" t="s">
        <v>1251</v>
      </c>
      <c r="D13" s="14" t="s">
        <v>1222</v>
      </c>
      <c r="E13" s="15"/>
      <c r="F13" s="14"/>
      <c r="G13" s="15"/>
      <c r="H13" s="14" t="s">
        <v>1223</v>
      </c>
      <c r="I13" s="14"/>
      <c r="J13" s="14"/>
      <c r="K13" s="14"/>
      <c r="L13" s="14"/>
      <c r="M13" s="14"/>
      <c r="N13" s="14" t="s">
        <v>1219</v>
      </c>
      <c r="O13" s="14" t="s">
        <v>1220</v>
      </c>
    </row>
    <row r="14" spans="1:15" x14ac:dyDescent="0.25">
      <c r="A14" s="14" t="s">
        <v>1252</v>
      </c>
      <c r="B14" s="14" t="s">
        <v>1253</v>
      </c>
      <c r="C14" s="14" t="s">
        <v>1253</v>
      </c>
      <c r="D14" s="14" t="s">
        <v>1222</v>
      </c>
      <c r="E14" s="15"/>
      <c r="F14" s="14"/>
      <c r="G14" s="15"/>
      <c r="H14" s="14" t="s">
        <v>1223</v>
      </c>
      <c r="I14" s="14"/>
      <c r="J14" s="14"/>
      <c r="K14" s="14"/>
      <c r="L14" s="14"/>
      <c r="M14" s="14"/>
      <c r="N14" s="14" t="s">
        <v>1219</v>
      </c>
      <c r="O14" s="14" t="s">
        <v>1220</v>
      </c>
    </row>
    <row r="15" spans="1:15" x14ac:dyDescent="0.25">
      <c r="A15" s="14">
        <v>3647</v>
      </c>
      <c r="B15" s="14" t="s">
        <v>369</v>
      </c>
      <c r="C15" s="14" t="s">
        <v>369</v>
      </c>
      <c r="D15" s="14" t="s">
        <v>1254</v>
      </c>
      <c r="E15" s="16">
        <v>200</v>
      </c>
      <c r="F15" s="14" t="s">
        <v>1255</v>
      </c>
      <c r="G15" s="17">
        <v>2000</v>
      </c>
      <c r="H15" s="14" t="s">
        <v>1255</v>
      </c>
      <c r="I15" s="14" t="s">
        <v>1256</v>
      </c>
      <c r="J15" s="14" t="s">
        <v>1233</v>
      </c>
      <c r="K15" s="14" t="s">
        <v>1257</v>
      </c>
      <c r="L15" s="14" t="s">
        <v>1258</v>
      </c>
      <c r="M15" s="14" t="s">
        <v>1259</v>
      </c>
      <c r="N15" s="14" t="s">
        <v>1237</v>
      </c>
      <c r="O15" s="14" t="s">
        <v>1220</v>
      </c>
    </row>
    <row r="16" spans="1:15" x14ac:dyDescent="0.25">
      <c r="A16" s="14" t="s">
        <v>1260</v>
      </c>
      <c r="B16" s="14" t="s">
        <v>1261</v>
      </c>
      <c r="C16" s="14" t="s">
        <v>1261</v>
      </c>
      <c r="D16" s="14" t="s">
        <v>1254</v>
      </c>
      <c r="E16" s="15"/>
      <c r="F16" s="14" t="s">
        <v>1255</v>
      </c>
      <c r="G16" s="15"/>
      <c r="H16" s="14" t="s">
        <v>1255</v>
      </c>
      <c r="I16" s="14" t="s">
        <v>1262</v>
      </c>
      <c r="J16" s="14" t="s">
        <v>1262</v>
      </c>
      <c r="K16" s="14"/>
      <c r="L16" s="14" t="s">
        <v>1258</v>
      </c>
      <c r="M16" s="14" t="s">
        <v>1259</v>
      </c>
      <c r="N16" s="14" t="s">
        <v>1219</v>
      </c>
      <c r="O16" s="14" t="s">
        <v>1220</v>
      </c>
    </row>
    <row r="17" spans="1:15" x14ac:dyDescent="0.25">
      <c r="A17" s="14">
        <v>3653</v>
      </c>
      <c r="B17" s="14" t="s">
        <v>370</v>
      </c>
      <c r="C17" s="14" t="s">
        <v>370</v>
      </c>
      <c r="D17" s="14" t="s">
        <v>1254</v>
      </c>
      <c r="E17" s="16">
        <v>200</v>
      </c>
      <c r="F17" s="14" t="s">
        <v>1255</v>
      </c>
      <c r="G17" s="17">
        <v>1000</v>
      </c>
      <c r="H17" s="14" t="s">
        <v>1255</v>
      </c>
      <c r="I17" s="14" t="s">
        <v>1256</v>
      </c>
      <c r="J17" s="14" t="s">
        <v>1242</v>
      </c>
      <c r="K17" s="14" t="s">
        <v>1257</v>
      </c>
      <c r="L17" s="14" t="s">
        <v>1263</v>
      </c>
      <c r="M17" s="14" t="s">
        <v>1259</v>
      </c>
      <c r="N17" s="14" t="s">
        <v>1237</v>
      </c>
      <c r="O17" s="14" t="s">
        <v>1220</v>
      </c>
    </row>
    <row r="18" spans="1:15" x14ac:dyDescent="0.25">
      <c r="A18" s="14" t="s">
        <v>1264</v>
      </c>
      <c r="B18" s="14" t="s">
        <v>1265</v>
      </c>
      <c r="C18" s="14" t="s">
        <v>1265</v>
      </c>
      <c r="D18" s="14" t="s">
        <v>1254</v>
      </c>
      <c r="E18" s="15"/>
      <c r="F18" s="14" t="s">
        <v>1255</v>
      </c>
      <c r="G18" s="15"/>
      <c r="H18" s="14" t="s">
        <v>1255</v>
      </c>
      <c r="I18" s="14" t="s">
        <v>1262</v>
      </c>
      <c r="J18" s="14" t="s">
        <v>1262</v>
      </c>
      <c r="K18" s="14"/>
      <c r="L18" s="14" t="s">
        <v>1263</v>
      </c>
      <c r="M18" s="14" t="s">
        <v>1259</v>
      </c>
      <c r="N18" s="14" t="s">
        <v>1219</v>
      </c>
      <c r="O18" s="14" t="s">
        <v>1220</v>
      </c>
    </row>
    <row r="19" spans="1:15" x14ac:dyDescent="0.25">
      <c r="A19" s="14">
        <v>3655</v>
      </c>
      <c r="B19" s="14" t="s">
        <v>371</v>
      </c>
      <c r="C19" s="14" t="s">
        <v>371</v>
      </c>
      <c r="D19" s="14" t="s">
        <v>1254</v>
      </c>
      <c r="E19" s="16">
        <v>130</v>
      </c>
      <c r="F19" s="14" t="s">
        <v>1255</v>
      </c>
      <c r="G19" s="17">
        <v>1200</v>
      </c>
      <c r="H19" s="14" t="s">
        <v>1255</v>
      </c>
      <c r="I19" s="14" t="s">
        <v>1256</v>
      </c>
      <c r="J19" s="14" t="s">
        <v>1242</v>
      </c>
      <c r="K19" s="14" t="s">
        <v>1257</v>
      </c>
      <c r="L19" s="14" t="s">
        <v>1266</v>
      </c>
      <c r="M19" s="14" t="s">
        <v>1259</v>
      </c>
      <c r="N19" s="14" t="s">
        <v>1237</v>
      </c>
      <c r="O19" s="14" t="s">
        <v>1220</v>
      </c>
    </row>
    <row r="20" spans="1:15" x14ac:dyDescent="0.25">
      <c r="A20" s="14">
        <v>3654</v>
      </c>
      <c r="B20" s="14" t="s">
        <v>372</v>
      </c>
      <c r="C20" s="14" t="s">
        <v>372</v>
      </c>
      <c r="D20" s="14" t="s">
        <v>1254</v>
      </c>
      <c r="E20" s="16">
        <v>140</v>
      </c>
      <c r="F20" s="14" t="s">
        <v>1255</v>
      </c>
      <c r="G20" s="16">
        <v>800</v>
      </c>
      <c r="H20" s="14" t="s">
        <v>1255</v>
      </c>
      <c r="I20" s="14" t="s">
        <v>1256</v>
      </c>
      <c r="J20" s="14" t="s">
        <v>1242</v>
      </c>
      <c r="K20" s="14" t="s">
        <v>1257</v>
      </c>
      <c r="L20" s="14" t="s">
        <v>1267</v>
      </c>
      <c r="M20" s="14" t="s">
        <v>1259</v>
      </c>
      <c r="N20" s="14" t="s">
        <v>1237</v>
      </c>
      <c r="O20" s="14" t="s">
        <v>1220</v>
      </c>
    </row>
    <row r="21" spans="1:15" x14ac:dyDescent="0.25">
      <c r="A21" s="14">
        <v>3648</v>
      </c>
      <c r="B21" s="14" t="s">
        <v>373</v>
      </c>
      <c r="C21" s="14" t="s">
        <v>373</v>
      </c>
      <c r="D21" s="14" t="s">
        <v>1254</v>
      </c>
      <c r="E21" s="16">
        <v>130</v>
      </c>
      <c r="F21" s="14" t="s">
        <v>1255</v>
      </c>
      <c r="G21" s="17">
        <v>1300</v>
      </c>
      <c r="H21" s="14" t="s">
        <v>1255</v>
      </c>
      <c r="I21" s="14" t="s">
        <v>1256</v>
      </c>
      <c r="J21" s="14" t="s">
        <v>1233</v>
      </c>
      <c r="K21" s="14" t="s">
        <v>1257</v>
      </c>
      <c r="L21" s="14" t="s">
        <v>1268</v>
      </c>
      <c r="M21" s="14" t="s">
        <v>1259</v>
      </c>
      <c r="N21" s="14" t="s">
        <v>1237</v>
      </c>
      <c r="O21" s="14" t="s">
        <v>1220</v>
      </c>
    </row>
    <row r="22" spans="1:15" x14ac:dyDescent="0.25">
      <c r="A22" s="14" t="s">
        <v>1269</v>
      </c>
      <c r="B22" s="14" t="s">
        <v>1270</v>
      </c>
      <c r="C22" s="14" t="s">
        <v>1270</v>
      </c>
      <c r="D22" s="14" t="s">
        <v>1254</v>
      </c>
      <c r="E22" s="15"/>
      <c r="F22" s="14" t="s">
        <v>1255</v>
      </c>
      <c r="G22" s="15"/>
      <c r="H22" s="14" t="s">
        <v>1255</v>
      </c>
      <c r="I22" s="14" t="s">
        <v>1262</v>
      </c>
      <c r="J22" s="14" t="s">
        <v>1262</v>
      </c>
      <c r="K22" s="14"/>
      <c r="L22" s="14" t="s">
        <v>1268</v>
      </c>
      <c r="M22" s="14" t="s">
        <v>1259</v>
      </c>
      <c r="N22" s="14" t="s">
        <v>1219</v>
      </c>
      <c r="O22" s="14" t="s">
        <v>1220</v>
      </c>
    </row>
    <row r="23" spans="1:15" x14ac:dyDescent="0.25">
      <c r="A23" s="14">
        <v>3776</v>
      </c>
      <c r="B23" s="14" t="s">
        <v>1084</v>
      </c>
      <c r="C23" s="14" t="s">
        <v>1084</v>
      </c>
      <c r="D23" s="14" t="s">
        <v>1254</v>
      </c>
      <c r="E23" s="16">
        <v>50</v>
      </c>
      <c r="F23" s="14" t="s">
        <v>1255</v>
      </c>
      <c r="G23" s="16">
        <v>500</v>
      </c>
      <c r="H23" s="14" t="s">
        <v>1255</v>
      </c>
      <c r="I23" s="14" t="s">
        <v>1232</v>
      </c>
      <c r="J23" s="14" t="s">
        <v>1242</v>
      </c>
      <c r="K23" s="14" t="s">
        <v>1271</v>
      </c>
      <c r="L23" s="14" t="s">
        <v>1272</v>
      </c>
      <c r="M23" s="14" t="s">
        <v>1259</v>
      </c>
      <c r="N23" s="14" t="s">
        <v>1237</v>
      </c>
      <c r="O23" s="14" t="s">
        <v>1220</v>
      </c>
    </row>
    <row r="24" spans="1:15" x14ac:dyDescent="0.25">
      <c r="A24" s="14">
        <v>3777</v>
      </c>
      <c r="B24" s="14" t="s">
        <v>1085</v>
      </c>
      <c r="C24" s="14" t="s">
        <v>1085</v>
      </c>
      <c r="D24" s="14" t="s">
        <v>1254</v>
      </c>
      <c r="E24" s="16">
        <v>50</v>
      </c>
      <c r="F24" s="14" t="s">
        <v>1255</v>
      </c>
      <c r="G24" s="16">
        <v>500</v>
      </c>
      <c r="H24" s="14" t="s">
        <v>1255</v>
      </c>
      <c r="I24" s="14" t="s">
        <v>1232</v>
      </c>
      <c r="J24" s="14" t="s">
        <v>1242</v>
      </c>
      <c r="K24" s="14" t="s">
        <v>1271</v>
      </c>
      <c r="L24" s="14" t="s">
        <v>1273</v>
      </c>
      <c r="M24" s="14" t="s">
        <v>1259</v>
      </c>
      <c r="N24" s="14" t="s">
        <v>1237</v>
      </c>
      <c r="O24" s="14" t="s">
        <v>1220</v>
      </c>
    </row>
    <row r="25" spans="1:15" x14ac:dyDescent="0.25">
      <c r="A25" s="14">
        <v>3649</v>
      </c>
      <c r="B25" s="14" t="s">
        <v>374</v>
      </c>
      <c r="C25" s="14" t="s">
        <v>374</v>
      </c>
      <c r="D25" s="14" t="s">
        <v>1254</v>
      </c>
      <c r="E25" s="16">
        <v>90</v>
      </c>
      <c r="F25" s="14" t="s">
        <v>1255</v>
      </c>
      <c r="G25" s="16">
        <v>800</v>
      </c>
      <c r="H25" s="14" t="s">
        <v>1255</v>
      </c>
      <c r="I25" s="14" t="s">
        <v>1256</v>
      </c>
      <c r="J25" s="14" t="s">
        <v>1233</v>
      </c>
      <c r="K25" s="14" t="s">
        <v>1257</v>
      </c>
      <c r="L25" s="14" t="s">
        <v>1274</v>
      </c>
      <c r="M25" s="14" t="s">
        <v>1259</v>
      </c>
      <c r="N25" s="14" t="s">
        <v>1237</v>
      </c>
      <c r="O25" s="14" t="s">
        <v>1220</v>
      </c>
    </row>
    <row r="26" spans="1:15" x14ac:dyDescent="0.25">
      <c r="A26" s="14" t="s">
        <v>1275</v>
      </c>
      <c r="B26" s="14" t="s">
        <v>1276</v>
      </c>
      <c r="C26" s="14" t="s">
        <v>1276</v>
      </c>
      <c r="D26" s="14" t="s">
        <v>1254</v>
      </c>
      <c r="E26" s="15"/>
      <c r="F26" s="14" t="s">
        <v>1255</v>
      </c>
      <c r="G26" s="15"/>
      <c r="H26" s="14" t="s">
        <v>1255</v>
      </c>
      <c r="I26" s="14" t="s">
        <v>1262</v>
      </c>
      <c r="J26" s="14" t="s">
        <v>1262</v>
      </c>
      <c r="K26" s="14"/>
      <c r="L26" s="14" t="s">
        <v>1274</v>
      </c>
      <c r="M26" s="14" t="s">
        <v>1259</v>
      </c>
      <c r="N26" s="14" t="s">
        <v>1219</v>
      </c>
      <c r="O26" s="14" t="s">
        <v>1220</v>
      </c>
    </row>
    <row r="27" spans="1:15" x14ac:dyDescent="0.25">
      <c r="A27" s="14">
        <v>3656</v>
      </c>
      <c r="B27" s="14" t="s">
        <v>375</v>
      </c>
      <c r="C27" s="14" t="s">
        <v>375</v>
      </c>
      <c r="D27" s="14" t="s">
        <v>1254</v>
      </c>
      <c r="E27" s="16">
        <v>90</v>
      </c>
      <c r="F27" s="14" t="s">
        <v>1255</v>
      </c>
      <c r="G27" s="16">
        <v>450</v>
      </c>
      <c r="H27" s="14" t="s">
        <v>1255</v>
      </c>
      <c r="I27" s="14" t="s">
        <v>1256</v>
      </c>
      <c r="J27" s="14" t="s">
        <v>1242</v>
      </c>
      <c r="K27" s="14" t="s">
        <v>1257</v>
      </c>
      <c r="L27" s="14" t="s">
        <v>1277</v>
      </c>
      <c r="M27" s="14" t="s">
        <v>1259</v>
      </c>
      <c r="N27" s="14" t="s">
        <v>1237</v>
      </c>
      <c r="O27" s="14" t="s">
        <v>1220</v>
      </c>
    </row>
    <row r="28" spans="1:15" x14ac:dyDescent="0.25">
      <c r="A28" s="14">
        <v>3650</v>
      </c>
      <c r="B28" s="14" t="s">
        <v>376</v>
      </c>
      <c r="C28" s="14" t="s">
        <v>376</v>
      </c>
      <c r="D28" s="14" t="s">
        <v>1254</v>
      </c>
      <c r="E28" s="16">
        <v>50</v>
      </c>
      <c r="F28" s="14" t="s">
        <v>1255</v>
      </c>
      <c r="G28" s="16">
        <v>250</v>
      </c>
      <c r="H28" s="14" t="s">
        <v>1255</v>
      </c>
      <c r="I28" s="14" t="s">
        <v>1256</v>
      </c>
      <c r="J28" s="14" t="s">
        <v>1242</v>
      </c>
      <c r="K28" s="14" t="s">
        <v>1257</v>
      </c>
      <c r="L28" s="14" t="s">
        <v>1278</v>
      </c>
      <c r="M28" s="14" t="s">
        <v>1259</v>
      </c>
      <c r="N28" s="14" t="s">
        <v>1237</v>
      </c>
      <c r="O28" s="14" t="s">
        <v>1220</v>
      </c>
    </row>
    <row r="29" spans="1:15" x14ac:dyDescent="0.25">
      <c r="A29" s="14">
        <v>3651</v>
      </c>
      <c r="B29" s="14" t="s">
        <v>377</v>
      </c>
      <c r="C29" s="14" t="s">
        <v>377</v>
      </c>
      <c r="D29" s="14" t="s">
        <v>1254</v>
      </c>
      <c r="E29" s="16">
        <v>25</v>
      </c>
      <c r="F29" s="14" t="s">
        <v>1255</v>
      </c>
      <c r="G29" s="16">
        <v>200</v>
      </c>
      <c r="H29" s="14" t="s">
        <v>1255</v>
      </c>
      <c r="I29" s="14" t="s">
        <v>1256</v>
      </c>
      <c r="J29" s="14" t="s">
        <v>1242</v>
      </c>
      <c r="K29" s="14" t="s">
        <v>1257</v>
      </c>
      <c r="L29" s="14" t="s">
        <v>1279</v>
      </c>
      <c r="M29" s="14" t="s">
        <v>1259</v>
      </c>
      <c r="N29" s="14" t="s">
        <v>1237</v>
      </c>
      <c r="O29" s="14" t="s">
        <v>1220</v>
      </c>
    </row>
    <row r="30" spans="1:15" x14ac:dyDescent="0.25">
      <c r="A30" s="14">
        <v>3652</v>
      </c>
      <c r="B30" s="14" t="s">
        <v>378</v>
      </c>
      <c r="C30" s="14" t="s">
        <v>378</v>
      </c>
      <c r="D30" s="14" t="s">
        <v>1254</v>
      </c>
      <c r="E30" s="16">
        <v>22</v>
      </c>
      <c r="F30" s="14" t="s">
        <v>1255</v>
      </c>
      <c r="G30" s="16">
        <v>160</v>
      </c>
      <c r="H30" s="14" t="s">
        <v>1255</v>
      </c>
      <c r="I30" s="14" t="s">
        <v>1256</v>
      </c>
      <c r="J30" s="14" t="s">
        <v>1242</v>
      </c>
      <c r="K30" s="14" t="s">
        <v>1257</v>
      </c>
      <c r="L30" s="14" t="s">
        <v>1280</v>
      </c>
      <c r="M30" s="14" t="s">
        <v>1259</v>
      </c>
      <c r="N30" s="14" t="s">
        <v>1237</v>
      </c>
      <c r="O30" s="14" t="s">
        <v>1220</v>
      </c>
    </row>
    <row r="31" spans="1:15" x14ac:dyDescent="0.25">
      <c r="A31" s="14" t="s">
        <v>1281</v>
      </c>
      <c r="B31" s="14" t="s">
        <v>1282</v>
      </c>
      <c r="C31" s="14" t="s">
        <v>1282</v>
      </c>
      <c r="D31" s="14" t="s">
        <v>1283</v>
      </c>
      <c r="E31" s="15"/>
      <c r="F31" s="14" t="s">
        <v>1255</v>
      </c>
      <c r="G31" s="15"/>
      <c r="H31" s="14" t="s">
        <v>1255</v>
      </c>
      <c r="I31" s="14" t="s">
        <v>1217</v>
      </c>
      <c r="J31" s="14" t="s">
        <v>1242</v>
      </c>
      <c r="K31" s="14"/>
      <c r="L31" s="14"/>
      <c r="M31" s="14" t="s">
        <v>1259</v>
      </c>
      <c r="N31" s="14" t="s">
        <v>1219</v>
      </c>
      <c r="O31" s="14" t="s">
        <v>1220</v>
      </c>
    </row>
    <row r="32" spans="1:15" x14ac:dyDescent="0.25">
      <c r="A32" s="14" t="s">
        <v>1284</v>
      </c>
      <c r="B32" s="14" t="s">
        <v>1285</v>
      </c>
      <c r="C32" s="14" t="s">
        <v>1285</v>
      </c>
      <c r="D32" s="14" t="s">
        <v>1283</v>
      </c>
      <c r="E32" s="15"/>
      <c r="F32" s="14" t="s">
        <v>1255</v>
      </c>
      <c r="G32" s="15"/>
      <c r="H32" s="14" t="s">
        <v>1255</v>
      </c>
      <c r="I32" s="14" t="s">
        <v>1217</v>
      </c>
      <c r="J32" s="14" t="s">
        <v>1242</v>
      </c>
      <c r="K32" s="14"/>
      <c r="L32" s="14"/>
      <c r="M32" s="14" t="s">
        <v>1259</v>
      </c>
      <c r="N32" s="14" t="s">
        <v>1219</v>
      </c>
      <c r="O32" s="14" t="s">
        <v>1220</v>
      </c>
    </row>
    <row r="33" spans="1:15" x14ac:dyDescent="0.25">
      <c r="A33" s="14" t="s">
        <v>1286</v>
      </c>
      <c r="B33" s="14" t="s">
        <v>1287</v>
      </c>
      <c r="C33" s="14" t="s">
        <v>1287</v>
      </c>
      <c r="D33" s="14" t="s">
        <v>1283</v>
      </c>
      <c r="E33" s="15"/>
      <c r="F33" s="14" t="s">
        <v>1255</v>
      </c>
      <c r="G33" s="15"/>
      <c r="H33" s="14" t="s">
        <v>1255</v>
      </c>
      <c r="I33" s="14" t="s">
        <v>1217</v>
      </c>
      <c r="J33" s="14" t="s">
        <v>1242</v>
      </c>
      <c r="K33" s="14"/>
      <c r="L33" s="14"/>
      <c r="M33" s="14" t="s">
        <v>1259</v>
      </c>
      <c r="N33" s="14" t="s">
        <v>1219</v>
      </c>
      <c r="O33" s="14" t="s">
        <v>1220</v>
      </c>
    </row>
    <row r="34" spans="1:15" x14ac:dyDescent="0.25">
      <c r="A34" s="14" t="s">
        <v>1288</v>
      </c>
      <c r="B34" s="14" t="s">
        <v>1289</v>
      </c>
      <c r="C34" s="14" t="s">
        <v>1289</v>
      </c>
      <c r="D34" s="14" t="s">
        <v>1283</v>
      </c>
      <c r="E34" s="15"/>
      <c r="F34" s="14" t="s">
        <v>1255</v>
      </c>
      <c r="G34" s="15"/>
      <c r="H34" s="14" t="s">
        <v>1255</v>
      </c>
      <c r="I34" s="14" t="s">
        <v>1217</v>
      </c>
      <c r="J34" s="14" t="s">
        <v>1242</v>
      </c>
      <c r="K34" s="14"/>
      <c r="L34" s="14"/>
      <c r="M34" s="14" t="s">
        <v>1259</v>
      </c>
      <c r="N34" s="14" t="s">
        <v>1219</v>
      </c>
      <c r="O34" s="14" t="s">
        <v>1220</v>
      </c>
    </row>
    <row r="35" spans="1:15" x14ac:dyDescent="0.25">
      <c r="A35" s="14" t="s">
        <v>1290</v>
      </c>
      <c r="B35" s="14" t="s">
        <v>1291</v>
      </c>
      <c r="C35" s="14" t="s">
        <v>1291</v>
      </c>
      <c r="D35" s="14" t="s">
        <v>1283</v>
      </c>
      <c r="E35" s="15"/>
      <c r="F35" s="14" t="s">
        <v>1255</v>
      </c>
      <c r="G35" s="15"/>
      <c r="H35" s="14" t="s">
        <v>1255</v>
      </c>
      <c r="I35" s="14" t="s">
        <v>1217</v>
      </c>
      <c r="J35" s="14" t="s">
        <v>1242</v>
      </c>
      <c r="K35" s="14"/>
      <c r="L35" s="14"/>
      <c r="M35" s="14" t="s">
        <v>1259</v>
      </c>
      <c r="N35" s="14" t="s">
        <v>1219</v>
      </c>
      <c r="O35" s="14" t="s">
        <v>1220</v>
      </c>
    </row>
    <row r="36" spans="1:15" x14ac:dyDescent="0.25">
      <c r="A36" s="14" t="s">
        <v>1292</v>
      </c>
      <c r="B36" s="14" t="s">
        <v>1293</v>
      </c>
      <c r="C36" s="14" t="s">
        <v>1293</v>
      </c>
      <c r="D36" s="14" t="s">
        <v>1283</v>
      </c>
      <c r="E36" s="15"/>
      <c r="F36" s="14" t="s">
        <v>1255</v>
      </c>
      <c r="G36" s="15"/>
      <c r="H36" s="14" t="s">
        <v>1255</v>
      </c>
      <c r="I36" s="14" t="s">
        <v>1217</v>
      </c>
      <c r="J36" s="14" t="s">
        <v>1233</v>
      </c>
      <c r="K36" s="14"/>
      <c r="L36" s="14"/>
      <c r="M36" s="14" t="s">
        <v>1259</v>
      </c>
      <c r="N36" s="14" t="s">
        <v>1219</v>
      </c>
      <c r="O36" s="14" t="s">
        <v>1220</v>
      </c>
    </row>
    <row r="37" spans="1:15" x14ac:dyDescent="0.25">
      <c r="A37" s="14" t="s">
        <v>1294</v>
      </c>
      <c r="B37" s="14" t="s">
        <v>1295</v>
      </c>
      <c r="C37" s="14" t="s">
        <v>1295</v>
      </c>
      <c r="D37" s="14" t="s">
        <v>1283</v>
      </c>
      <c r="E37" s="15"/>
      <c r="F37" s="14" t="s">
        <v>1255</v>
      </c>
      <c r="G37" s="15"/>
      <c r="H37" s="14" t="s">
        <v>1255</v>
      </c>
      <c r="I37" s="14" t="s">
        <v>1217</v>
      </c>
      <c r="J37" s="14" t="s">
        <v>1296</v>
      </c>
      <c r="K37" s="14"/>
      <c r="L37" s="14"/>
      <c r="M37" s="14" t="s">
        <v>1259</v>
      </c>
      <c r="N37" s="14" t="s">
        <v>1219</v>
      </c>
      <c r="O37" s="14" t="s">
        <v>1220</v>
      </c>
    </row>
    <row r="38" spans="1:15" x14ac:dyDescent="0.25">
      <c r="A38" s="14" t="s">
        <v>1297</v>
      </c>
      <c r="B38" s="14" t="s">
        <v>1298</v>
      </c>
      <c r="C38" s="14" t="s">
        <v>1298</v>
      </c>
      <c r="D38" s="14" t="s">
        <v>1283</v>
      </c>
      <c r="E38" s="15"/>
      <c r="F38" s="14" t="s">
        <v>1255</v>
      </c>
      <c r="G38" s="15"/>
      <c r="H38" s="14" t="s">
        <v>1255</v>
      </c>
      <c r="I38" s="14" t="s">
        <v>1217</v>
      </c>
      <c r="J38" s="14" t="s">
        <v>1233</v>
      </c>
      <c r="K38" s="14"/>
      <c r="L38" s="14"/>
      <c r="M38" s="14" t="s">
        <v>1259</v>
      </c>
      <c r="N38" s="14" t="s">
        <v>1219</v>
      </c>
      <c r="O38" s="14" t="s">
        <v>1220</v>
      </c>
    </row>
    <row r="39" spans="1:15" x14ac:dyDescent="0.25">
      <c r="A39" s="14" t="s">
        <v>1299</v>
      </c>
      <c r="B39" s="14" t="s">
        <v>1300</v>
      </c>
      <c r="C39" s="14" t="s">
        <v>1300</v>
      </c>
      <c r="D39" s="14" t="s">
        <v>1283</v>
      </c>
      <c r="E39" s="15"/>
      <c r="F39" s="14" t="s">
        <v>1255</v>
      </c>
      <c r="G39" s="15"/>
      <c r="H39" s="14" t="s">
        <v>1255</v>
      </c>
      <c r="I39" s="14" t="s">
        <v>1217</v>
      </c>
      <c r="J39" s="14" t="s">
        <v>1296</v>
      </c>
      <c r="K39" s="14"/>
      <c r="L39" s="14"/>
      <c r="M39" s="14" t="s">
        <v>1259</v>
      </c>
      <c r="N39" s="14" t="s">
        <v>1219</v>
      </c>
      <c r="O39" s="14" t="s">
        <v>1220</v>
      </c>
    </row>
    <row r="40" spans="1:15" x14ac:dyDescent="0.25">
      <c r="A40" s="14" t="s">
        <v>1301</v>
      </c>
      <c r="B40" s="14" t="s">
        <v>1302</v>
      </c>
      <c r="C40" s="14" t="s">
        <v>1302</v>
      </c>
      <c r="D40" s="14" t="s">
        <v>1283</v>
      </c>
      <c r="E40" s="15"/>
      <c r="F40" s="14" t="s">
        <v>1255</v>
      </c>
      <c r="G40" s="15"/>
      <c r="H40" s="14" t="s">
        <v>1255</v>
      </c>
      <c r="I40" s="14" t="s">
        <v>1217</v>
      </c>
      <c r="J40" s="14" t="s">
        <v>1296</v>
      </c>
      <c r="K40" s="14"/>
      <c r="L40" s="14"/>
      <c r="M40" s="14" t="s">
        <v>1259</v>
      </c>
      <c r="N40" s="14" t="s">
        <v>1219</v>
      </c>
      <c r="O40" s="14" t="s">
        <v>1220</v>
      </c>
    </row>
    <row r="41" spans="1:15" x14ac:dyDescent="0.25">
      <c r="A41" s="14">
        <v>3657</v>
      </c>
      <c r="B41" s="14" t="s">
        <v>379</v>
      </c>
      <c r="C41" s="14" t="s">
        <v>379</v>
      </c>
      <c r="D41" s="14" t="s">
        <v>1254</v>
      </c>
      <c r="E41" s="16">
        <v>200</v>
      </c>
      <c r="F41" s="14" t="s">
        <v>1255</v>
      </c>
      <c r="G41" s="17">
        <v>1800</v>
      </c>
      <c r="H41" s="14" t="s">
        <v>1255</v>
      </c>
      <c r="I41" s="14" t="s">
        <v>1256</v>
      </c>
      <c r="J41" s="14" t="s">
        <v>1233</v>
      </c>
      <c r="K41" s="14" t="s">
        <v>1257</v>
      </c>
      <c r="L41" s="14" t="s">
        <v>1303</v>
      </c>
      <c r="M41" s="14" t="s">
        <v>1259</v>
      </c>
      <c r="N41" s="14" t="s">
        <v>1237</v>
      </c>
      <c r="O41" s="14" t="s">
        <v>1220</v>
      </c>
    </row>
    <row r="42" spans="1:15" x14ac:dyDescent="0.25">
      <c r="A42" s="14" t="s">
        <v>1304</v>
      </c>
      <c r="B42" s="14" t="s">
        <v>1305</v>
      </c>
      <c r="C42" s="14" t="s">
        <v>1305</v>
      </c>
      <c r="D42" s="14" t="s">
        <v>1254</v>
      </c>
      <c r="E42" s="15"/>
      <c r="F42" s="14" t="s">
        <v>1255</v>
      </c>
      <c r="G42" s="15"/>
      <c r="H42" s="14" t="s">
        <v>1255</v>
      </c>
      <c r="I42" s="14" t="s">
        <v>1262</v>
      </c>
      <c r="J42" s="14" t="s">
        <v>1262</v>
      </c>
      <c r="K42" s="14"/>
      <c r="L42" s="14" t="s">
        <v>1303</v>
      </c>
      <c r="M42" s="14" t="s">
        <v>1259</v>
      </c>
      <c r="N42" s="14" t="s">
        <v>1219</v>
      </c>
      <c r="O42" s="14" t="s">
        <v>1220</v>
      </c>
    </row>
    <row r="43" spans="1:15" x14ac:dyDescent="0.25">
      <c r="A43" s="14">
        <v>3663</v>
      </c>
      <c r="B43" s="14" t="s">
        <v>380</v>
      </c>
      <c r="C43" s="14" t="s">
        <v>380</v>
      </c>
      <c r="D43" s="14" t="s">
        <v>1254</v>
      </c>
      <c r="E43" s="16">
        <v>180</v>
      </c>
      <c r="F43" s="14" t="s">
        <v>1255</v>
      </c>
      <c r="G43" s="16">
        <v>900</v>
      </c>
      <c r="H43" s="14" t="s">
        <v>1255</v>
      </c>
      <c r="I43" s="14" t="s">
        <v>1256</v>
      </c>
      <c r="J43" s="14" t="s">
        <v>1242</v>
      </c>
      <c r="K43" s="14" t="s">
        <v>1257</v>
      </c>
      <c r="L43" s="14" t="s">
        <v>1306</v>
      </c>
      <c r="M43" s="14" t="s">
        <v>1259</v>
      </c>
      <c r="N43" s="14" t="s">
        <v>1237</v>
      </c>
      <c r="O43" s="14" t="s">
        <v>1220</v>
      </c>
    </row>
    <row r="44" spans="1:15" x14ac:dyDescent="0.25">
      <c r="A44" s="14">
        <v>3665</v>
      </c>
      <c r="B44" s="14" t="s">
        <v>381</v>
      </c>
      <c r="C44" s="14" t="s">
        <v>381</v>
      </c>
      <c r="D44" s="14" t="s">
        <v>1254</v>
      </c>
      <c r="E44" s="16">
        <v>110</v>
      </c>
      <c r="F44" s="14" t="s">
        <v>1255</v>
      </c>
      <c r="G44" s="17">
        <v>1100</v>
      </c>
      <c r="H44" s="14" t="s">
        <v>1255</v>
      </c>
      <c r="I44" s="14" t="s">
        <v>1256</v>
      </c>
      <c r="J44" s="14" t="s">
        <v>1233</v>
      </c>
      <c r="K44" s="14" t="s">
        <v>1257</v>
      </c>
      <c r="L44" s="14" t="s">
        <v>1307</v>
      </c>
      <c r="M44" s="14" t="s">
        <v>1259</v>
      </c>
      <c r="N44" s="14" t="s">
        <v>1237</v>
      </c>
      <c r="O44" s="14" t="s">
        <v>1220</v>
      </c>
    </row>
    <row r="45" spans="1:15" x14ac:dyDescent="0.25">
      <c r="A45" s="14">
        <v>3664</v>
      </c>
      <c r="B45" s="14" t="s">
        <v>382</v>
      </c>
      <c r="C45" s="14" t="s">
        <v>382</v>
      </c>
      <c r="D45" s="14" t="s">
        <v>1254</v>
      </c>
      <c r="E45" s="16">
        <v>140</v>
      </c>
      <c r="F45" s="14" t="s">
        <v>1255</v>
      </c>
      <c r="G45" s="16">
        <v>800</v>
      </c>
      <c r="H45" s="14" t="s">
        <v>1255</v>
      </c>
      <c r="I45" s="14" t="s">
        <v>1256</v>
      </c>
      <c r="J45" s="14" t="s">
        <v>1242</v>
      </c>
      <c r="K45" s="14" t="s">
        <v>1257</v>
      </c>
      <c r="L45" s="14" t="s">
        <v>1308</v>
      </c>
      <c r="M45" s="14" t="s">
        <v>1259</v>
      </c>
      <c r="N45" s="14" t="s">
        <v>1237</v>
      </c>
      <c r="O45" s="14" t="s">
        <v>1220</v>
      </c>
    </row>
    <row r="46" spans="1:15" x14ac:dyDescent="0.25">
      <c r="A46" s="14">
        <v>3658</v>
      </c>
      <c r="B46" s="14" t="s">
        <v>383</v>
      </c>
      <c r="C46" s="14" t="s">
        <v>383</v>
      </c>
      <c r="D46" s="14" t="s">
        <v>1254</v>
      </c>
      <c r="E46" s="16">
        <v>120</v>
      </c>
      <c r="F46" s="14" t="s">
        <v>1255</v>
      </c>
      <c r="G46" s="17">
        <v>1400</v>
      </c>
      <c r="H46" s="14" t="s">
        <v>1255</v>
      </c>
      <c r="I46" s="14" t="s">
        <v>1256</v>
      </c>
      <c r="J46" s="14" t="s">
        <v>1233</v>
      </c>
      <c r="K46" s="14" t="s">
        <v>1257</v>
      </c>
      <c r="L46" s="14" t="s">
        <v>1309</v>
      </c>
      <c r="M46" s="14" t="s">
        <v>1259</v>
      </c>
      <c r="N46" s="14" t="s">
        <v>1237</v>
      </c>
      <c r="O46" s="14" t="s">
        <v>1220</v>
      </c>
    </row>
    <row r="47" spans="1:15" x14ac:dyDescent="0.25">
      <c r="A47" s="14" t="s">
        <v>1310</v>
      </c>
      <c r="B47" s="14" t="s">
        <v>1311</v>
      </c>
      <c r="C47" s="14" t="s">
        <v>1311</v>
      </c>
      <c r="D47" s="14" t="s">
        <v>1254</v>
      </c>
      <c r="E47" s="15"/>
      <c r="F47" s="14" t="s">
        <v>1255</v>
      </c>
      <c r="G47" s="15"/>
      <c r="H47" s="14" t="s">
        <v>1255</v>
      </c>
      <c r="I47" s="14" t="s">
        <v>1262</v>
      </c>
      <c r="J47" s="14" t="s">
        <v>1262</v>
      </c>
      <c r="K47" s="14"/>
      <c r="L47" s="14" t="s">
        <v>1309</v>
      </c>
      <c r="M47" s="14" t="s">
        <v>1259</v>
      </c>
      <c r="N47" s="14" t="s">
        <v>1219</v>
      </c>
      <c r="O47" s="14" t="s">
        <v>1220</v>
      </c>
    </row>
    <row r="48" spans="1:15" x14ac:dyDescent="0.25">
      <c r="A48" s="14">
        <v>3659</v>
      </c>
      <c r="B48" s="14" t="s">
        <v>384</v>
      </c>
      <c r="C48" s="14" t="s">
        <v>384</v>
      </c>
      <c r="D48" s="14" t="s">
        <v>1254</v>
      </c>
      <c r="E48" s="16">
        <v>80</v>
      </c>
      <c r="F48" s="14" t="s">
        <v>1255</v>
      </c>
      <c r="G48" s="16">
        <v>400</v>
      </c>
      <c r="H48" s="14" t="s">
        <v>1255</v>
      </c>
      <c r="I48" s="14" t="s">
        <v>1256</v>
      </c>
      <c r="J48" s="14" t="s">
        <v>1233</v>
      </c>
      <c r="K48" s="14" t="s">
        <v>1257</v>
      </c>
      <c r="L48" s="14" t="s">
        <v>1312</v>
      </c>
      <c r="M48" s="14" t="s">
        <v>1259</v>
      </c>
      <c r="N48" s="14" t="s">
        <v>1237</v>
      </c>
      <c r="O48" s="14" t="s">
        <v>1220</v>
      </c>
    </row>
    <row r="49" spans="1:15" x14ac:dyDescent="0.25">
      <c r="A49" s="14" t="s">
        <v>1313</v>
      </c>
      <c r="B49" s="14" t="s">
        <v>1314</v>
      </c>
      <c r="C49" s="14" t="s">
        <v>1314</v>
      </c>
      <c r="D49" s="14" t="s">
        <v>1254</v>
      </c>
      <c r="E49" s="15"/>
      <c r="F49" s="14" t="s">
        <v>1255</v>
      </c>
      <c r="G49" s="15"/>
      <c r="H49" s="14" t="s">
        <v>1255</v>
      </c>
      <c r="I49" s="14" t="s">
        <v>1262</v>
      </c>
      <c r="J49" s="14" t="s">
        <v>1262</v>
      </c>
      <c r="K49" s="14"/>
      <c r="L49" s="14" t="s">
        <v>1312</v>
      </c>
      <c r="M49" s="14" t="s">
        <v>1259</v>
      </c>
      <c r="N49" s="14" t="s">
        <v>1219</v>
      </c>
      <c r="O49" s="14" t="s">
        <v>1220</v>
      </c>
    </row>
    <row r="50" spans="1:15" x14ac:dyDescent="0.25">
      <c r="A50" s="14">
        <v>3666</v>
      </c>
      <c r="B50" s="14" t="s">
        <v>385</v>
      </c>
      <c r="C50" s="14" t="s">
        <v>385</v>
      </c>
      <c r="D50" s="14" t="s">
        <v>1254</v>
      </c>
      <c r="E50" s="16">
        <v>90</v>
      </c>
      <c r="F50" s="14" t="s">
        <v>1255</v>
      </c>
      <c r="G50" s="16">
        <v>900</v>
      </c>
      <c r="H50" s="14" t="s">
        <v>1255</v>
      </c>
      <c r="I50" s="14" t="s">
        <v>1256</v>
      </c>
      <c r="J50" s="14" t="s">
        <v>1242</v>
      </c>
      <c r="K50" s="14" t="s">
        <v>1257</v>
      </c>
      <c r="L50" s="14" t="s">
        <v>1315</v>
      </c>
      <c r="M50" s="14" t="s">
        <v>1259</v>
      </c>
      <c r="N50" s="14" t="s">
        <v>1237</v>
      </c>
      <c r="O50" s="14" t="s">
        <v>1220</v>
      </c>
    </row>
    <row r="51" spans="1:15" x14ac:dyDescent="0.25">
      <c r="A51" s="14">
        <v>3660</v>
      </c>
      <c r="B51" s="14" t="s">
        <v>386</v>
      </c>
      <c r="C51" s="14" t="s">
        <v>386</v>
      </c>
      <c r="D51" s="14" t="s">
        <v>1254</v>
      </c>
      <c r="E51" s="16">
        <v>35</v>
      </c>
      <c r="F51" s="14" t="s">
        <v>1255</v>
      </c>
      <c r="G51" s="16">
        <v>350</v>
      </c>
      <c r="H51" s="14" t="s">
        <v>1255</v>
      </c>
      <c r="I51" s="14" t="s">
        <v>1256</v>
      </c>
      <c r="J51" s="14" t="s">
        <v>1242</v>
      </c>
      <c r="K51" s="14" t="s">
        <v>1257</v>
      </c>
      <c r="L51" s="14" t="s">
        <v>1316</v>
      </c>
      <c r="M51" s="14" t="s">
        <v>1259</v>
      </c>
      <c r="N51" s="14" t="s">
        <v>1237</v>
      </c>
      <c r="O51" s="14" t="s">
        <v>1220</v>
      </c>
    </row>
    <row r="52" spans="1:15" x14ac:dyDescent="0.25">
      <c r="A52" s="14">
        <v>3661</v>
      </c>
      <c r="B52" s="14" t="s">
        <v>387</v>
      </c>
      <c r="C52" s="14" t="s">
        <v>387</v>
      </c>
      <c r="D52" s="14" t="s">
        <v>1254</v>
      </c>
      <c r="E52" s="16">
        <v>25</v>
      </c>
      <c r="F52" s="14" t="s">
        <v>1255</v>
      </c>
      <c r="G52" s="16">
        <v>280</v>
      </c>
      <c r="H52" s="14" t="s">
        <v>1255</v>
      </c>
      <c r="I52" s="14" t="s">
        <v>1256</v>
      </c>
      <c r="J52" s="14" t="s">
        <v>1242</v>
      </c>
      <c r="K52" s="14" t="s">
        <v>1257</v>
      </c>
      <c r="L52" s="14" t="s">
        <v>1317</v>
      </c>
      <c r="M52" s="14" t="s">
        <v>1259</v>
      </c>
      <c r="N52" s="14" t="s">
        <v>1237</v>
      </c>
      <c r="O52" s="14" t="s">
        <v>1220</v>
      </c>
    </row>
    <row r="53" spans="1:15" x14ac:dyDescent="0.25">
      <c r="A53" s="14">
        <v>3662</v>
      </c>
      <c r="B53" s="14" t="s">
        <v>388</v>
      </c>
      <c r="C53" s="14" t="s">
        <v>388</v>
      </c>
      <c r="D53" s="14" t="s">
        <v>1254</v>
      </c>
      <c r="E53" s="16">
        <v>18</v>
      </c>
      <c r="F53" s="14" t="s">
        <v>1255</v>
      </c>
      <c r="G53" s="16">
        <v>110</v>
      </c>
      <c r="H53" s="14" t="s">
        <v>1255</v>
      </c>
      <c r="I53" s="14" t="s">
        <v>1256</v>
      </c>
      <c r="J53" s="14" t="s">
        <v>1296</v>
      </c>
      <c r="K53" s="14" t="s">
        <v>1257</v>
      </c>
      <c r="L53" s="14" t="s">
        <v>1318</v>
      </c>
      <c r="M53" s="14" t="s">
        <v>1259</v>
      </c>
      <c r="N53" s="14" t="s">
        <v>1237</v>
      </c>
      <c r="O53" s="14" t="s">
        <v>1220</v>
      </c>
    </row>
    <row r="54" spans="1:15" x14ac:dyDescent="0.25">
      <c r="A54" s="14" t="s">
        <v>1319</v>
      </c>
      <c r="B54" s="14" t="s">
        <v>1320</v>
      </c>
      <c r="C54" s="14" t="s">
        <v>1320</v>
      </c>
      <c r="D54" s="14" t="s">
        <v>1254</v>
      </c>
      <c r="E54" s="15"/>
      <c r="F54" s="14" t="s">
        <v>1321</v>
      </c>
      <c r="G54" s="15"/>
      <c r="H54" s="14" t="s">
        <v>1322</v>
      </c>
      <c r="I54" s="14" t="s">
        <v>1262</v>
      </c>
      <c r="J54" s="14" t="s">
        <v>1262</v>
      </c>
      <c r="K54" s="14"/>
      <c r="L54" s="14" t="s">
        <v>1323</v>
      </c>
      <c r="M54" s="14" t="s">
        <v>1324</v>
      </c>
      <c r="N54" s="14" t="s">
        <v>1219</v>
      </c>
      <c r="O54" s="14" t="s">
        <v>1220</v>
      </c>
    </row>
    <row r="55" spans="1:15" x14ac:dyDescent="0.25">
      <c r="A55" s="14" t="s">
        <v>1325</v>
      </c>
      <c r="B55" s="14" t="s">
        <v>1326</v>
      </c>
      <c r="C55" s="14" t="s">
        <v>1326</v>
      </c>
      <c r="D55" s="14" t="s">
        <v>1283</v>
      </c>
      <c r="E55" s="15"/>
      <c r="F55" s="14" t="s">
        <v>1255</v>
      </c>
      <c r="G55" s="15"/>
      <c r="H55" s="14" t="s">
        <v>1255</v>
      </c>
      <c r="I55" s="14" t="s">
        <v>1217</v>
      </c>
      <c r="J55" s="14" t="s">
        <v>1242</v>
      </c>
      <c r="K55" s="14"/>
      <c r="L55" s="14"/>
      <c r="M55" s="14" t="s">
        <v>1259</v>
      </c>
      <c r="N55" s="14" t="s">
        <v>1219</v>
      </c>
      <c r="O55" s="14" t="s">
        <v>1220</v>
      </c>
    </row>
    <row r="56" spans="1:15" x14ac:dyDescent="0.25">
      <c r="A56" s="14" t="s">
        <v>1327</v>
      </c>
      <c r="B56" s="14" t="s">
        <v>1328</v>
      </c>
      <c r="C56" s="14" t="s">
        <v>1328</v>
      </c>
      <c r="D56" s="14" t="s">
        <v>1283</v>
      </c>
      <c r="E56" s="15"/>
      <c r="F56" s="14" t="s">
        <v>1255</v>
      </c>
      <c r="G56" s="15"/>
      <c r="H56" s="14" t="s">
        <v>1255</v>
      </c>
      <c r="I56" s="14" t="s">
        <v>1217</v>
      </c>
      <c r="J56" s="14" t="s">
        <v>1242</v>
      </c>
      <c r="K56" s="14"/>
      <c r="L56" s="14"/>
      <c r="M56" s="14" t="s">
        <v>1259</v>
      </c>
      <c r="N56" s="14" t="s">
        <v>1219</v>
      </c>
      <c r="O56" s="14" t="s">
        <v>1220</v>
      </c>
    </row>
    <row r="57" spans="1:15" x14ac:dyDescent="0.25">
      <c r="A57" s="14" t="s">
        <v>1329</v>
      </c>
      <c r="B57" s="14" t="s">
        <v>1330</v>
      </c>
      <c r="C57" s="14" t="s">
        <v>1330</v>
      </c>
      <c r="D57" s="14" t="s">
        <v>1283</v>
      </c>
      <c r="E57" s="15"/>
      <c r="F57" s="14" t="s">
        <v>1255</v>
      </c>
      <c r="G57" s="15"/>
      <c r="H57" s="14" t="s">
        <v>1255</v>
      </c>
      <c r="I57" s="14" t="s">
        <v>1217</v>
      </c>
      <c r="J57" s="14" t="s">
        <v>1242</v>
      </c>
      <c r="K57" s="14"/>
      <c r="L57" s="14"/>
      <c r="M57" s="14" t="s">
        <v>1259</v>
      </c>
      <c r="N57" s="14" t="s">
        <v>1219</v>
      </c>
      <c r="O57" s="14" t="s">
        <v>1220</v>
      </c>
    </row>
    <row r="58" spans="1:15" x14ac:dyDescent="0.25">
      <c r="A58" s="14" t="s">
        <v>1331</v>
      </c>
      <c r="B58" s="14" t="s">
        <v>1332</v>
      </c>
      <c r="C58" s="14" t="s">
        <v>1332</v>
      </c>
      <c r="D58" s="14" t="s">
        <v>1283</v>
      </c>
      <c r="E58" s="15"/>
      <c r="F58" s="14" t="s">
        <v>1255</v>
      </c>
      <c r="G58" s="15"/>
      <c r="H58" s="14" t="s">
        <v>1255</v>
      </c>
      <c r="I58" s="14" t="s">
        <v>1217</v>
      </c>
      <c r="J58" s="14" t="s">
        <v>1242</v>
      </c>
      <c r="K58" s="14"/>
      <c r="L58" s="14"/>
      <c r="M58" s="14" t="s">
        <v>1259</v>
      </c>
      <c r="N58" s="14" t="s">
        <v>1219</v>
      </c>
      <c r="O58" s="14" t="s">
        <v>1220</v>
      </c>
    </row>
    <row r="59" spans="1:15" x14ac:dyDescent="0.25">
      <c r="A59" s="14" t="s">
        <v>1333</v>
      </c>
      <c r="B59" s="14" t="s">
        <v>1334</v>
      </c>
      <c r="C59" s="14" t="s">
        <v>1334</v>
      </c>
      <c r="D59" s="14" t="s">
        <v>1283</v>
      </c>
      <c r="E59" s="15"/>
      <c r="F59" s="14" t="s">
        <v>1255</v>
      </c>
      <c r="G59" s="15"/>
      <c r="H59" s="14" t="s">
        <v>1255</v>
      </c>
      <c r="I59" s="14" t="s">
        <v>1217</v>
      </c>
      <c r="J59" s="14" t="s">
        <v>1233</v>
      </c>
      <c r="K59" s="14"/>
      <c r="L59" s="14"/>
      <c r="M59" s="14" t="s">
        <v>1259</v>
      </c>
      <c r="N59" s="14" t="s">
        <v>1219</v>
      </c>
      <c r="O59" s="14" t="s">
        <v>1220</v>
      </c>
    </row>
    <row r="60" spans="1:15" x14ac:dyDescent="0.25">
      <c r="A60" s="14" t="s">
        <v>1335</v>
      </c>
      <c r="B60" s="14" t="s">
        <v>1336</v>
      </c>
      <c r="C60" s="14" t="s">
        <v>1336</v>
      </c>
      <c r="D60" s="14" t="s">
        <v>1283</v>
      </c>
      <c r="E60" s="15"/>
      <c r="F60" s="14" t="s">
        <v>1255</v>
      </c>
      <c r="G60" s="15"/>
      <c r="H60" s="14" t="s">
        <v>1255</v>
      </c>
      <c r="I60" s="14" t="s">
        <v>1217</v>
      </c>
      <c r="J60" s="14" t="s">
        <v>1233</v>
      </c>
      <c r="K60" s="14"/>
      <c r="L60" s="14"/>
      <c r="M60" s="14" t="s">
        <v>1259</v>
      </c>
      <c r="N60" s="14" t="s">
        <v>1219</v>
      </c>
      <c r="O60" s="14" t="s">
        <v>1220</v>
      </c>
    </row>
    <row r="61" spans="1:15" x14ac:dyDescent="0.25">
      <c r="A61" s="14" t="s">
        <v>1337</v>
      </c>
      <c r="B61" s="14" t="s">
        <v>1338</v>
      </c>
      <c r="C61" s="14" t="s">
        <v>1338</v>
      </c>
      <c r="D61" s="14" t="s">
        <v>1283</v>
      </c>
      <c r="E61" s="15"/>
      <c r="F61" s="14" t="s">
        <v>1255</v>
      </c>
      <c r="G61" s="15"/>
      <c r="H61" s="14" t="s">
        <v>1255</v>
      </c>
      <c r="I61" s="14" t="s">
        <v>1217</v>
      </c>
      <c r="J61" s="14" t="s">
        <v>1242</v>
      </c>
      <c r="K61" s="14"/>
      <c r="L61" s="14"/>
      <c r="M61" s="14" t="s">
        <v>1259</v>
      </c>
      <c r="N61" s="14" t="s">
        <v>1219</v>
      </c>
      <c r="O61" s="14" t="s">
        <v>1220</v>
      </c>
    </row>
    <row r="62" spans="1:15" x14ac:dyDescent="0.25">
      <c r="A62" s="14" t="s">
        <v>1339</v>
      </c>
      <c r="B62" s="14" t="s">
        <v>1340</v>
      </c>
      <c r="C62" s="14" t="s">
        <v>1340</v>
      </c>
      <c r="D62" s="14" t="s">
        <v>1283</v>
      </c>
      <c r="E62" s="15"/>
      <c r="F62" s="14" t="s">
        <v>1255</v>
      </c>
      <c r="G62" s="15"/>
      <c r="H62" s="14" t="s">
        <v>1255</v>
      </c>
      <c r="I62" s="14" t="s">
        <v>1217</v>
      </c>
      <c r="J62" s="14" t="s">
        <v>1242</v>
      </c>
      <c r="K62" s="14"/>
      <c r="L62" s="14"/>
      <c r="M62" s="14" t="s">
        <v>1259</v>
      </c>
      <c r="N62" s="14" t="s">
        <v>1219</v>
      </c>
      <c r="O62" s="14" t="s">
        <v>1220</v>
      </c>
    </row>
    <row r="63" spans="1:15" x14ac:dyDescent="0.25">
      <c r="A63" s="14" t="s">
        <v>1341</v>
      </c>
      <c r="B63" s="14" t="s">
        <v>1342</v>
      </c>
      <c r="C63" s="14" t="s">
        <v>1342</v>
      </c>
      <c r="D63" s="14" t="s">
        <v>1283</v>
      </c>
      <c r="E63" s="15"/>
      <c r="F63" s="14" t="s">
        <v>1255</v>
      </c>
      <c r="G63" s="15"/>
      <c r="H63" s="14" t="s">
        <v>1255</v>
      </c>
      <c r="I63" s="14" t="s">
        <v>1217</v>
      </c>
      <c r="J63" s="14" t="s">
        <v>1296</v>
      </c>
      <c r="K63" s="14"/>
      <c r="L63" s="14"/>
      <c r="M63" s="14" t="s">
        <v>1259</v>
      </c>
      <c r="N63" s="14" t="s">
        <v>1219</v>
      </c>
      <c r="O63" s="14" t="s">
        <v>1220</v>
      </c>
    </row>
    <row r="64" spans="1:15" x14ac:dyDescent="0.25">
      <c r="A64" s="14" t="s">
        <v>1343</v>
      </c>
      <c r="B64" s="14" t="s">
        <v>1344</v>
      </c>
      <c r="C64" s="14" t="s">
        <v>1344</v>
      </c>
      <c r="D64" s="14" t="s">
        <v>1283</v>
      </c>
      <c r="E64" s="15"/>
      <c r="F64" s="14" t="s">
        <v>1255</v>
      </c>
      <c r="G64" s="15"/>
      <c r="H64" s="14" t="s">
        <v>1255</v>
      </c>
      <c r="I64" s="14" t="s">
        <v>1217</v>
      </c>
      <c r="J64" s="14" t="s">
        <v>1296</v>
      </c>
      <c r="K64" s="14"/>
      <c r="L64" s="14"/>
      <c r="M64" s="14" t="s">
        <v>1259</v>
      </c>
      <c r="N64" s="14" t="s">
        <v>1219</v>
      </c>
      <c r="O64" s="14" t="s">
        <v>1220</v>
      </c>
    </row>
    <row r="65" spans="1:15" x14ac:dyDescent="0.25">
      <c r="A65" s="14">
        <v>2592</v>
      </c>
      <c r="B65" s="14" t="s">
        <v>575</v>
      </c>
      <c r="C65" s="14" t="s">
        <v>1345</v>
      </c>
      <c r="D65" s="14" t="s">
        <v>1254</v>
      </c>
      <c r="E65" s="16">
        <v>30</v>
      </c>
      <c r="F65" s="14" t="s">
        <v>1321</v>
      </c>
      <c r="G65" s="17">
        <v>1530</v>
      </c>
      <c r="H65" s="14" t="s">
        <v>1322</v>
      </c>
      <c r="I65" s="14" t="s">
        <v>1256</v>
      </c>
      <c r="J65" s="14" t="s">
        <v>1233</v>
      </c>
      <c r="K65" s="14" t="s">
        <v>1257</v>
      </c>
      <c r="L65" s="14" t="s">
        <v>1323</v>
      </c>
      <c r="M65" s="14" t="s">
        <v>1324</v>
      </c>
      <c r="N65" s="14" t="s">
        <v>1237</v>
      </c>
      <c r="O65" s="14" t="s">
        <v>1220</v>
      </c>
    </row>
    <row r="66" spans="1:15" x14ac:dyDescent="0.25">
      <c r="A66" s="14" t="s">
        <v>1346</v>
      </c>
      <c r="B66" s="14" t="s">
        <v>1347</v>
      </c>
      <c r="C66" s="14" t="s">
        <v>1348</v>
      </c>
      <c r="D66" s="14" t="s">
        <v>1349</v>
      </c>
      <c r="E66" s="15"/>
      <c r="F66" s="14" t="s">
        <v>1350</v>
      </c>
      <c r="G66" s="15"/>
      <c r="H66" s="14" t="s">
        <v>1322</v>
      </c>
      <c r="I66" s="14" t="s">
        <v>1351</v>
      </c>
      <c r="J66" s="14" t="s">
        <v>1351</v>
      </c>
      <c r="K66" s="14" t="s">
        <v>1257</v>
      </c>
      <c r="L66" s="14" t="s">
        <v>1352</v>
      </c>
      <c r="M66" s="14" t="s">
        <v>1324</v>
      </c>
      <c r="N66" s="14" t="s">
        <v>1219</v>
      </c>
      <c r="O66" s="14" t="s">
        <v>1220</v>
      </c>
    </row>
    <row r="67" spans="1:15" x14ac:dyDescent="0.25">
      <c r="A67" s="14">
        <v>2589</v>
      </c>
      <c r="B67" s="14" t="s">
        <v>571</v>
      </c>
      <c r="C67" s="14" t="s">
        <v>1348</v>
      </c>
      <c r="D67" s="14" t="s">
        <v>1254</v>
      </c>
      <c r="E67" s="16">
        <v>150</v>
      </c>
      <c r="F67" s="14" t="s">
        <v>1321</v>
      </c>
      <c r="G67" s="17">
        <v>6900</v>
      </c>
      <c r="H67" s="14" t="s">
        <v>1322</v>
      </c>
      <c r="I67" s="14" t="s">
        <v>1256</v>
      </c>
      <c r="J67" s="14" t="s">
        <v>1233</v>
      </c>
      <c r="K67" s="14" t="s">
        <v>1257</v>
      </c>
      <c r="L67" s="14" t="s">
        <v>1353</v>
      </c>
      <c r="M67" s="14" t="s">
        <v>1324</v>
      </c>
      <c r="N67" s="14" t="s">
        <v>1237</v>
      </c>
      <c r="O67" s="14" t="s">
        <v>1220</v>
      </c>
    </row>
    <row r="68" spans="1:15" x14ac:dyDescent="0.25">
      <c r="A68" s="14" t="s">
        <v>1354</v>
      </c>
      <c r="B68" s="14" t="s">
        <v>1355</v>
      </c>
      <c r="C68" s="14" t="s">
        <v>1356</v>
      </c>
      <c r="D68" s="14" t="s">
        <v>1254</v>
      </c>
      <c r="E68" s="15"/>
      <c r="F68" s="14" t="s">
        <v>1321</v>
      </c>
      <c r="G68" s="15"/>
      <c r="H68" s="14" t="s">
        <v>1322</v>
      </c>
      <c r="I68" s="14" t="s">
        <v>1262</v>
      </c>
      <c r="J68" s="14" t="s">
        <v>1262</v>
      </c>
      <c r="K68" s="14"/>
      <c r="L68" s="14" t="s">
        <v>1353</v>
      </c>
      <c r="M68" s="14" t="s">
        <v>1324</v>
      </c>
      <c r="N68" s="14" t="s">
        <v>1219</v>
      </c>
      <c r="O68" s="14" t="s">
        <v>1220</v>
      </c>
    </row>
    <row r="69" spans="1:15" x14ac:dyDescent="0.25">
      <c r="A69" s="14" t="s">
        <v>1357</v>
      </c>
      <c r="B69" s="14" t="s">
        <v>1358</v>
      </c>
      <c r="C69" s="14" t="s">
        <v>1359</v>
      </c>
      <c r="D69" s="14" t="s">
        <v>1349</v>
      </c>
      <c r="E69" s="15"/>
      <c r="F69" s="14" t="s">
        <v>1350</v>
      </c>
      <c r="G69" s="15"/>
      <c r="H69" s="14" t="s">
        <v>1322</v>
      </c>
      <c r="I69" s="14" t="s">
        <v>1360</v>
      </c>
      <c r="J69" s="14" t="s">
        <v>1360</v>
      </c>
      <c r="K69" s="14" t="s">
        <v>1257</v>
      </c>
      <c r="L69" s="14" t="s">
        <v>1361</v>
      </c>
      <c r="M69" s="14" t="s">
        <v>1324</v>
      </c>
      <c r="N69" s="14" t="s">
        <v>1219</v>
      </c>
      <c r="O69" s="14" t="s">
        <v>1220</v>
      </c>
    </row>
    <row r="70" spans="1:15" x14ac:dyDescent="0.25">
      <c r="A70" s="14">
        <v>2588</v>
      </c>
      <c r="B70" s="14" t="s">
        <v>573</v>
      </c>
      <c r="C70" s="14" t="s">
        <v>1359</v>
      </c>
      <c r="D70" s="14" t="s">
        <v>1254</v>
      </c>
      <c r="E70" s="16">
        <v>40</v>
      </c>
      <c r="F70" s="14" t="s">
        <v>1321</v>
      </c>
      <c r="G70" s="17">
        <v>3600</v>
      </c>
      <c r="H70" s="14" t="s">
        <v>1322</v>
      </c>
      <c r="I70" s="14" t="s">
        <v>1256</v>
      </c>
      <c r="J70" s="14" t="s">
        <v>1233</v>
      </c>
      <c r="K70" s="14" t="s">
        <v>1257</v>
      </c>
      <c r="L70" s="14" t="s">
        <v>1352</v>
      </c>
      <c r="M70" s="14" t="s">
        <v>1324</v>
      </c>
      <c r="N70" s="14" t="s">
        <v>1237</v>
      </c>
      <c r="O70" s="14" t="s">
        <v>1220</v>
      </c>
    </row>
    <row r="71" spans="1:15" x14ac:dyDescent="0.25">
      <c r="A71" s="14" t="s">
        <v>1362</v>
      </c>
      <c r="B71" s="14" t="s">
        <v>1363</v>
      </c>
      <c r="C71" s="14" t="s">
        <v>1364</v>
      </c>
      <c r="D71" s="14" t="s">
        <v>1254</v>
      </c>
      <c r="E71" s="15"/>
      <c r="F71" s="14" t="s">
        <v>1321</v>
      </c>
      <c r="G71" s="15"/>
      <c r="H71" s="14" t="s">
        <v>1322</v>
      </c>
      <c r="I71" s="14" t="s">
        <v>1262</v>
      </c>
      <c r="J71" s="14" t="s">
        <v>1262</v>
      </c>
      <c r="K71" s="14"/>
      <c r="L71" s="14" t="s">
        <v>1352</v>
      </c>
      <c r="M71" s="14" t="s">
        <v>1324</v>
      </c>
      <c r="N71" s="14" t="s">
        <v>1219</v>
      </c>
      <c r="O71" s="14" t="s">
        <v>1220</v>
      </c>
    </row>
    <row r="72" spans="1:15" x14ac:dyDescent="0.25">
      <c r="A72" s="14">
        <v>4536</v>
      </c>
      <c r="B72" s="14" t="s">
        <v>576</v>
      </c>
      <c r="C72" s="14" t="s">
        <v>1365</v>
      </c>
      <c r="D72" s="14" t="s">
        <v>1254</v>
      </c>
      <c r="E72" s="16">
        <v>12</v>
      </c>
      <c r="F72" s="14" t="s">
        <v>1321</v>
      </c>
      <c r="G72" s="16">
        <v>732</v>
      </c>
      <c r="H72" s="14" t="s">
        <v>1322</v>
      </c>
      <c r="I72" s="14" t="s">
        <v>1256</v>
      </c>
      <c r="J72" s="14" t="s">
        <v>1233</v>
      </c>
      <c r="K72" s="14" t="s">
        <v>1257</v>
      </c>
      <c r="L72" s="14" t="s">
        <v>1361</v>
      </c>
      <c r="M72" s="14" t="s">
        <v>1324</v>
      </c>
      <c r="N72" s="14" t="s">
        <v>1237</v>
      </c>
      <c r="O72" s="14" t="s">
        <v>1220</v>
      </c>
    </row>
    <row r="73" spans="1:15" x14ac:dyDescent="0.25">
      <c r="A73" s="14" t="s">
        <v>1366</v>
      </c>
      <c r="B73" s="14" t="s">
        <v>1367</v>
      </c>
      <c r="C73" s="14" t="s">
        <v>1368</v>
      </c>
      <c r="D73" s="14" t="s">
        <v>1349</v>
      </c>
      <c r="E73" s="15"/>
      <c r="F73" s="14" t="s">
        <v>1350</v>
      </c>
      <c r="G73" s="15"/>
      <c r="H73" s="14" t="s">
        <v>1322</v>
      </c>
      <c r="I73" s="14" t="s">
        <v>1351</v>
      </c>
      <c r="J73" s="14" t="s">
        <v>1351</v>
      </c>
      <c r="K73" s="14" t="s">
        <v>1257</v>
      </c>
      <c r="L73" s="14" t="s">
        <v>1361</v>
      </c>
      <c r="M73" s="14" t="s">
        <v>1324</v>
      </c>
      <c r="N73" s="14" t="s">
        <v>1219</v>
      </c>
      <c r="O73" s="14" t="s">
        <v>1220</v>
      </c>
    </row>
    <row r="74" spans="1:15" x14ac:dyDescent="0.25">
      <c r="A74" s="14">
        <v>2590</v>
      </c>
      <c r="B74" s="14" t="s">
        <v>572</v>
      </c>
      <c r="C74" s="14" t="s">
        <v>1368</v>
      </c>
      <c r="D74" s="14" t="s">
        <v>1254</v>
      </c>
      <c r="E74" s="16">
        <v>90</v>
      </c>
      <c r="F74" s="14" t="s">
        <v>1321</v>
      </c>
      <c r="G74" s="17">
        <v>5760</v>
      </c>
      <c r="H74" s="14" t="s">
        <v>1322</v>
      </c>
      <c r="I74" s="14" t="s">
        <v>1256</v>
      </c>
      <c r="J74" s="14" t="s">
        <v>1233</v>
      </c>
      <c r="K74" s="14" t="s">
        <v>1257</v>
      </c>
      <c r="L74" s="14" t="s">
        <v>1369</v>
      </c>
      <c r="M74" s="14" t="s">
        <v>1324</v>
      </c>
      <c r="N74" s="14" t="s">
        <v>1237</v>
      </c>
      <c r="O74" s="14" t="s">
        <v>1220</v>
      </c>
    </row>
    <row r="75" spans="1:15" x14ac:dyDescent="0.25">
      <c r="A75" s="14" t="s">
        <v>1370</v>
      </c>
      <c r="B75" s="14" t="s">
        <v>1371</v>
      </c>
      <c r="C75" s="14" t="s">
        <v>1372</v>
      </c>
      <c r="D75" s="14" t="s">
        <v>1254</v>
      </c>
      <c r="E75" s="15"/>
      <c r="F75" s="14" t="s">
        <v>1321</v>
      </c>
      <c r="G75" s="15"/>
      <c r="H75" s="14" t="s">
        <v>1322</v>
      </c>
      <c r="I75" s="14" t="s">
        <v>1262</v>
      </c>
      <c r="J75" s="14" t="s">
        <v>1262</v>
      </c>
      <c r="K75" s="14"/>
      <c r="L75" s="14" t="s">
        <v>1369</v>
      </c>
      <c r="M75" s="14" t="s">
        <v>1324</v>
      </c>
      <c r="N75" s="14" t="s">
        <v>1219</v>
      </c>
      <c r="O75" s="14" t="s">
        <v>1220</v>
      </c>
    </row>
    <row r="76" spans="1:15" x14ac:dyDescent="0.25">
      <c r="A76" s="14">
        <v>2591</v>
      </c>
      <c r="B76" s="14" t="s">
        <v>574</v>
      </c>
      <c r="C76" s="14" t="s">
        <v>1373</v>
      </c>
      <c r="D76" s="14" t="s">
        <v>1254</v>
      </c>
      <c r="E76" s="16">
        <v>20</v>
      </c>
      <c r="F76" s="14" t="s">
        <v>1321</v>
      </c>
      <c r="G76" s="16">
        <v>960</v>
      </c>
      <c r="H76" s="14" t="s">
        <v>1322</v>
      </c>
      <c r="I76" s="14" t="s">
        <v>1256</v>
      </c>
      <c r="J76" s="14" t="s">
        <v>1233</v>
      </c>
      <c r="K76" s="14" t="s">
        <v>1257</v>
      </c>
      <c r="L76" s="14" t="s">
        <v>1374</v>
      </c>
      <c r="M76" s="14" t="s">
        <v>1324</v>
      </c>
      <c r="N76" s="14" t="s">
        <v>1237</v>
      </c>
      <c r="O76" s="14" t="s">
        <v>1220</v>
      </c>
    </row>
    <row r="77" spans="1:15" x14ac:dyDescent="0.25">
      <c r="A77" s="14" t="s">
        <v>1375</v>
      </c>
      <c r="B77" s="14" t="s">
        <v>1376</v>
      </c>
      <c r="C77" s="14" t="s">
        <v>1377</v>
      </c>
      <c r="D77" s="14" t="s">
        <v>1254</v>
      </c>
      <c r="E77" s="15"/>
      <c r="F77" s="14" t="s">
        <v>1350</v>
      </c>
      <c r="G77" s="15"/>
      <c r="H77" s="14" t="s">
        <v>1322</v>
      </c>
      <c r="I77" s="14" t="s">
        <v>1262</v>
      </c>
      <c r="J77" s="14" t="s">
        <v>1262</v>
      </c>
      <c r="K77" s="14" t="s">
        <v>1257</v>
      </c>
      <c r="L77" s="14" t="s">
        <v>1374</v>
      </c>
      <c r="M77" s="14" t="s">
        <v>1324</v>
      </c>
      <c r="N77" s="14" t="s">
        <v>1219</v>
      </c>
      <c r="O77" s="14" t="s">
        <v>1220</v>
      </c>
    </row>
    <row r="78" spans="1:15" x14ac:dyDescent="0.25">
      <c r="A78" s="14" t="s">
        <v>1378</v>
      </c>
      <c r="B78" s="14" t="s">
        <v>1379</v>
      </c>
      <c r="C78" s="14" t="s">
        <v>1379</v>
      </c>
      <c r="D78" s="14" t="s">
        <v>1349</v>
      </c>
      <c r="E78" s="15"/>
      <c r="F78" s="14"/>
      <c r="G78" s="15"/>
      <c r="H78" s="14" t="s">
        <v>1380</v>
      </c>
      <c r="I78" s="14" t="s">
        <v>1360</v>
      </c>
      <c r="J78" s="14" t="s">
        <v>1360</v>
      </c>
      <c r="K78" s="14"/>
      <c r="L78" s="14"/>
      <c r="M78" s="14" t="s">
        <v>1324</v>
      </c>
      <c r="N78" s="14" t="s">
        <v>1219</v>
      </c>
      <c r="O78" s="14" t="s">
        <v>1220</v>
      </c>
    </row>
    <row r="79" spans="1:15" x14ac:dyDescent="0.25">
      <c r="A79" s="14" t="s">
        <v>1381</v>
      </c>
      <c r="B79" s="14" t="s">
        <v>1382</v>
      </c>
      <c r="C79" s="14" t="s">
        <v>1382</v>
      </c>
      <c r="D79" s="14" t="s">
        <v>1349</v>
      </c>
      <c r="E79" s="15"/>
      <c r="F79" s="14"/>
      <c r="G79" s="15"/>
      <c r="H79" s="14" t="s">
        <v>1380</v>
      </c>
      <c r="I79" s="14" t="s">
        <v>1360</v>
      </c>
      <c r="J79" s="14" t="s">
        <v>1360</v>
      </c>
      <c r="K79" s="14"/>
      <c r="L79" s="14"/>
      <c r="M79" s="14" t="s">
        <v>1324</v>
      </c>
      <c r="N79" s="14" t="s">
        <v>1219</v>
      </c>
      <c r="O79" s="14" t="s">
        <v>1220</v>
      </c>
    </row>
    <row r="80" spans="1:15" x14ac:dyDescent="0.25">
      <c r="A80" s="14" t="s">
        <v>1383</v>
      </c>
      <c r="B80" s="14" t="s">
        <v>1384</v>
      </c>
      <c r="C80" s="14" t="s">
        <v>1384</v>
      </c>
      <c r="D80" s="14" t="s">
        <v>1254</v>
      </c>
      <c r="E80" s="15"/>
      <c r="F80" s="14" t="s">
        <v>1350</v>
      </c>
      <c r="G80" s="15"/>
      <c r="H80" s="14" t="s">
        <v>1380</v>
      </c>
      <c r="I80" s="14" t="s">
        <v>1360</v>
      </c>
      <c r="J80" s="14" t="s">
        <v>1385</v>
      </c>
      <c r="K80" s="14" t="s">
        <v>1257</v>
      </c>
      <c r="L80" s="14" t="s">
        <v>1361</v>
      </c>
      <c r="M80" s="14" t="s">
        <v>1324</v>
      </c>
      <c r="N80" s="14" t="s">
        <v>1219</v>
      </c>
      <c r="O80" s="14" t="s">
        <v>1220</v>
      </c>
    </row>
    <row r="81" spans="1:15" x14ac:dyDescent="0.25">
      <c r="A81" s="14">
        <v>2685</v>
      </c>
      <c r="B81" s="14" t="s">
        <v>580</v>
      </c>
      <c r="C81" s="14" t="s">
        <v>1386</v>
      </c>
      <c r="D81" s="14" t="s">
        <v>1254</v>
      </c>
      <c r="E81" s="16">
        <v>25</v>
      </c>
      <c r="F81" s="14" t="s">
        <v>1321</v>
      </c>
      <c r="G81" s="16">
        <v>25</v>
      </c>
      <c r="H81" s="14" t="s">
        <v>1322</v>
      </c>
      <c r="I81" s="14" t="s">
        <v>1256</v>
      </c>
      <c r="J81" s="14" t="s">
        <v>1296</v>
      </c>
      <c r="K81" s="14" t="s">
        <v>1387</v>
      </c>
      <c r="L81" s="14" t="s">
        <v>1388</v>
      </c>
      <c r="M81" s="14" t="s">
        <v>1324</v>
      </c>
      <c r="N81" s="14" t="s">
        <v>1237</v>
      </c>
      <c r="O81" s="14" t="s">
        <v>1220</v>
      </c>
    </row>
    <row r="82" spans="1:15" x14ac:dyDescent="0.25">
      <c r="A82" s="14">
        <v>2390</v>
      </c>
      <c r="B82" s="14" t="s">
        <v>579</v>
      </c>
      <c r="C82" s="14" t="s">
        <v>1389</v>
      </c>
      <c r="D82" s="14" t="s">
        <v>1254</v>
      </c>
      <c r="E82" s="16">
        <v>40</v>
      </c>
      <c r="F82" s="14" t="s">
        <v>1321</v>
      </c>
      <c r="G82" s="16">
        <v>640</v>
      </c>
      <c r="H82" s="14" t="s">
        <v>1322</v>
      </c>
      <c r="I82" s="14" t="s">
        <v>1256</v>
      </c>
      <c r="J82" s="14" t="s">
        <v>1242</v>
      </c>
      <c r="K82" s="14" t="s">
        <v>1257</v>
      </c>
      <c r="L82" s="14" t="s">
        <v>1390</v>
      </c>
      <c r="M82" s="14" t="s">
        <v>1324</v>
      </c>
      <c r="N82" s="14" t="s">
        <v>1237</v>
      </c>
      <c r="O82" s="14" t="s">
        <v>1220</v>
      </c>
    </row>
    <row r="83" spans="1:15" x14ac:dyDescent="0.25">
      <c r="A83" s="14" t="s">
        <v>1391</v>
      </c>
      <c r="B83" s="14" t="s">
        <v>1392</v>
      </c>
      <c r="C83" s="14" t="s">
        <v>1393</v>
      </c>
      <c r="D83" s="14" t="s">
        <v>1254</v>
      </c>
      <c r="E83" s="15"/>
      <c r="F83" s="14" t="s">
        <v>1321</v>
      </c>
      <c r="G83" s="15"/>
      <c r="H83" s="14" t="s">
        <v>1322</v>
      </c>
      <c r="I83" s="14" t="s">
        <v>1262</v>
      </c>
      <c r="J83" s="14" t="s">
        <v>1262</v>
      </c>
      <c r="K83" s="14"/>
      <c r="L83" s="14" t="s">
        <v>1390</v>
      </c>
      <c r="M83" s="14" t="s">
        <v>1324</v>
      </c>
      <c r="N83" s="14" t="s">
        <v>1219</v>
      </c>
      <c r="O83" s="14" t="s">
        <v>1220</v>
      </c>
    </row>
    <row r="84" spans="1:15" x14ac:dyDescent="0.25">
      <c r="A84" s="14">
        <v>2586</v>
      </c>
      <c r="B84" s="14" t="s">
        <v>577</v>
      </c>
      <c r="C84" s="14" t="s">
        <v>1394</v>
      </c>
      <c r="D84" s="14" t="s">
        <v>1254</v>
      </c>
      <c r="E84" s="16">
        <v>100</v>
      </c>
      <c r="F84" s="14" t="s">
        <v>1321</v>
      </c>
      <c r="G84" s="17">
        <v>1400</v>
      </c>
      <c r="H84" s="14" t="s">
        <v>1322</v>
      </c>
      <c r="I84" s="14" t="s">
        <v>1256</v>
      </c>
      <c r="J84" s="14" t="s">
        <v>1242</v>
      </c>
      <c r="K84" s="14" t="s">
        <v>1257</v>
      </c>
      <c r="L84" s="14" t="s">
        <v>1395</v>
      </c>
      <c r="M84" s="14" t="s">
        <v>1324</v>
      </c>
      <c r="N84" s="14" t="s">
        <v>1237</v>
      </c>
      <c r="O84" s="14" t="s">
        <v>1220</v>
      </c>
    </row>
    <row r="85" spans="1:15" x14ac:dyDescent="0.25">
      <c r="A85" s="14" t="s">
        <v>1396</v>
      </c>
      <c r="B85" s="14" t="s">
        <v>1397</v>
      </c>
      <c r="C85" s="14" t="s">
        <v>1398</v>
      </c>
      <c r="D85" s="14" t="s">
        <v>1254</v>
      </c>
      <c r="E85" s="15"/>
      <c r="F85" s="14" t="s">
        <v>1321</v>
      </c>
      <c r="G85" s="15"/>
      <c r="H85" s="14" t="s">
        <v>1322</v>
      </c>
      <c r="I85" s="14" t="s">
        <v>1262</v>
      </c>
      <c r="J85" s="14" t="s">
        <v>1262</v>
      </c>
      <c r="K85" s="14"/>
      <c r="L85" s="14" t="s">
        <v>1395</v>
      </c>
      <c r="M85" s="14" t="s">
        <v>1324</v>
      </c>
      <c r="N85" s="14" t="s">
        <v>1219</v>
      </c>
      <c r="O85" s="14" t="s">
        <v>1220</v>
      </c>
    </row>
    <row r="86" spans="1:15" x14ac:dyDescent="0.25">
      <c r="A86" s="14">
        <v>2587</v>
      </c>
      <c r="B86" s="14" t="s">
        <v>578</v>
      </c>
      <c r="C86" s="14" t="s">
        <v>1399</v>
      </c>
      <c r="D86" s="14" t="s">
        <v>1254</v>
      </c>
      <c r="E86" s="16">
        <v>60</v>
      </c>
      <c r="F86" s="14" t="s">
        <v>1321</v>
      </c>
      <c r="G86" s="16">
        <v>720</v>
      </c>
      <c r="H86" s="14" t="s">
        <v>1322</v>
      </c>
      <c r="I86" s="14" t="s">
        <v>1256</v>
      </c>
      <c r="J86" s="14" t="s">
        <v>1242</v>
      </c>
      <c r="K86" s="14" t="s">
        <v>1257</v>
      </c>
      <c r="L86" s="14" t="s">
        <v>1400</v>
      </c>
      <c r="M86" s="14" t="s">
        <v>1324</v>
      </c>
      <c r="N86" s="14" t="s">
        <v>1237</v>
      </c>
      <c r="O86" s="14" t="s">
        <v>1220</v>
      </c>
    </row>
    <row r="87" spans="1:15" x14ac:dyDescent="0.25">
      <c r="A87" s="14" t="s">
        <v>1401</v>
      </c>
      <c r="B87" s="14" t="s">
        <v>1402</v>
      </c>
      <c r="C87" s="14" t="s">
        <v>1402</v>
      </c>
      <c r="D87" s="14" t="s">
        <v>1254</v>
      </c>
      <c r="E87" s="15"/>
      <c r="F87" s="14" t="s">
        <v>1350</v>
      </c>
      <c r="G87" s="15"/>
      <c r="H87" s="14" t="s">
        <v>1322</v>
      </c>
      <c r="I87" s="14" t="s">
        <v>1262</v>
      </c>
      <c r="J87" s="14" t="s">
        <v>1262</v>
      </c>
      <c r="K87" s="14" t="s">
        <v>1257</v>
      </c>
      <c r="L87" s="14" t="s">
        <v>1400</v>
      </c>
      <c r="M87" s="14" t="s">
        <v>1324</v>
      </c>
      <c r="N87" s="14" t="s">
        <v>1219</v>
      </c>
      <c r="O87" s="14" t="s">
        <v>1220</v>
      </c>
    </row>
    <row r="88" spans="1:15" x14ac:dyDescent="0.25">
      <c r="A88" s="14" t="s">
        <v>1403</v>
      </c>
      <c r="B88" s="14" t="s">
        <v>1404</v>
      </c>
      <c r="C88" s="14" t="s">
        <v>1404</v>
      </c>
      <c r="D88" s="14" t="s">
        <v>1349</v>
      </c>
      <c r="E88" s="15"/>
      <c r="F88" s="14"/>
      <c r="G88" s="15"/>
      <c r="H88" s="14" t="s">
        <v>1380</v>
      </c>
      <c r="I88" s="14" t="s">
        <v>1360</v>
      </c>
      <c r="J88" s="14" t="s">
        <v>1360</v>
      </c>
      <c r="K88" s="14"/>
      <c r="L88" s="14"/>
      <c r="M88" s="14" t="s">
        <v>1324</v>
      </c>
      <c r="N88" s="14" t="s">
        <v>1219</v>
      </c>
      <c r="O88" s="14" t="s">
        <v>1220</v>
      </c>
    </row>
    <row r="89" spans="1:15" x14ac:dyDescent="0.25">
      <c r="A89" s="14" t="s">
        <v>1405</v>
      </c>
      <c r="B89" s="14" t="s">
        <v>1406</v>
      </c>
      <c r="C89" s="14" t="s">
        <v>1406</v>
      </c>
      <c r="D89" s="14" t="s">
        <v>1349</v>
      </c>
      <c r="E89" s="15"/>
      <c r="F89" s="14"/>
      <c r="G89" s="15"/>
      <c r="H89" s="14" t="s">
        <v>1380</v>
      </c>
      <c r="I89" s="14" t="s">
        <v>1360</v>
      </c>
      <c r="J89" s="14" t="s">
        <v>1360</v>
      </c>
      <c r="K89" s="14"/>
      <c r="L89" s="14"/>
      <c r="M89" s="14" t="s">
        <v>1324</v>
      </c>
      <c r="N89" s="14" t="s">
        <v>1219</v>
      </c>
      <c r="O89" s="14" t="s">
        <v>1220</v>
      </c>
    </row>
    <row r="90" spans="1:15" x14ac:dyDescent="0.25">
      <c r="A90" s="14">
        <v>4568</v>
      </c>
      <c r="B90" s="14" t="s">
        <v>1407</v>
      </c>
      <c r="C90" s="14" t="s">
        <v>1407</v>
      </c>
      <c r="D90" s="14" t="s">
        <v>1349</v>
      </c>
      <c r="E90" s="15"/>
      <c r="F90" s="14" t="s">
        <v>1350</v>
      </c>
      <c r="G90" s="15"/>
      <c r="H90" s="14" t="s">
        <v>1408</v>
      </c>
      <c r="I90" s="14" t="s">
        <v>1351</v>
      </c>
      <c r="J90" s="14" t="s">
        <v>1351</v>
      </c>
      <c r="K90" s="14" t="s">
        <v>1257</v>
      </c>
      <c r="L90" s="14" t="s">
        <v>1409</v>
      </c>
      <c r="M90" s="14" t="s">
        <v>1410</v>
      </c>
      <c r="N90" s="14" t="s">
        <v>1219</v>
      </c>
      <c r="O90" s="14" t="s">
        <v>1220</v>
      </c>
    </row>
    <row r="91" spans="1:15" x14ac:dyDescent="0.25">
      <c r="A91" s="14">
        <v>4569</v>
      </c>
      <c r="B91" s="14" t="s">
        <v>1411</v>
      </c>
      <c r="C91" s="14" t="s">
        <v>1411</v>
      </c>
      <c r="D91" s="14" t="s">
        <v>1349</v>
      </c>
      <c r="E91" s="15"/>
      <c r="F91" s="14" t="s">
        <v>1350</v>
      </c>
      <c r="G91" s="15"/>
      <c r="H91" s="14" t="s">
        <v>1408</v>
      </c>
      <c r="I91" s="14" t="s">
        <v>1351</v>
      </c>
      <c r="J91" s="14" t="s">
        <v>1351</v>
      </c>
      <c r="K91" s="14" t="s">
        <v>1257</v>
      </c>
      <c r="L91" s="14" t="s">
        <v>1412</v>
      </c>
      <c r="M91" s="14" t="s">
        <v>1410</v>
      </c>
      <c r="N91" s="14" t="s">
        <v>1219</v>
      </c>
      <c r="O91" s="14" t="s">
        <v>1220</v>
      </c>
    </row>
    <row r="92" spans="1:15" x14ac:dyDescent="0.25">
      <c r="A92" s="14">
        <v>2936</v>
      </c>
      <c r="B92" s="14" t="s">
        <v>875</v>
      </c>
      <c r="C92" s="14" t="s">
        <v>875</v>
      </c>
      <c r="D92" s="14" t="s">
        <v>1413</v>
      </c>
      <c r="E92" s="16">
        <v>30</v>
      </c>
      <c r="F92" s="14" t="s">
        <v>1414</v>
      </c>
      <c r="G92" s="16">
        <v>30</v>
      </c>
      <c r="H92" s="14" t="s">
        <v>1408</v>
      </c>
      <c r="I92" s="14" t="s">
        <v>1256</v>
      </c>
      <c r="J92" s="14" t="s">
        <v>1296</v>
      </c>
      <c r="K92" s="14" t="s">
        <v>1415</v>
      </c>
      <c r="L92" s="14" t="s">
        <v>1416</v>
      </c>
      <c r="M92" s="14" t="s">
        <v>1410</v>
      </c>
      <c r="N92" s="14" t="s">
        <v>1237</v>
      </c>
      <c r="O92" s="14" t="s">
        <v>1220</v>
      </c>
    </row>
    <row r="93" spans="1:15" x14ac:dyDescent="0.25">
      <c r="A93" s="14">
        <v>2933</v>
      </c>
      <c r="B93" s="14" t="s">
        <v>876</v>
      </c>
      <c r="C93" s="14" t="s">
        <v>876</v>
      </c>
      <c r="D93" s="14" t="s">
        <v>1413</v>
      </c>
      <c r="E93" s="16">
        <v>60</v>
      </c>
      <c r="F93" s="14" t="s">
        <v>1414</v>
      </c>
      <c r="G93" s="16">
        <v>60</v>
      </c>
      <c r="H93" s="14" t="s">
        <v>1408</v>
      </c>
      <c r="I93" s="14" t="s">
        <v>1256</v>
      </c>
      <c r="J93" s="14" t="s">
        <v>1296</v>
      </c>
      <c r="K93" s="14" t="s">
        <v>1417</v>
      </c>
      <c r="L93" s="14" t="s">
        <v>1418</v>
      </c>
      <c r="M93" s="14" t="s">
        <v>1410</v>
      </c>
      <c r="N93" s="14" t="s">
        <v>1237</v>
      </c>
      <c r="O93" s="14" t="s">
        <v>1220</v>
      </c>
    </row>
    <row r="94" spans="1:15" x14ac:dyDescent="0.25">
      <c r="A94" s="14">
        <v>2934</v>
      </c>
      <c r="B94" s="14" t="s">
        <v>877</v>
      </c>
      <c r="C94" s="14" t="s">
        <v>877</v>
      </c>
      <c r="D94" s="14" t="s">
        <v>1413</v>
      </c>
      <c r="E94" s="16">
        <v>60</v>
      </c>
      <c r="F94" s="14" t="s">
        <v>1414</v>
      </c>
      <c r="G94" s="16">
        <v>60</v>
      </c>
      <c r="H94" s="14" t="s">
        <v>1408</v>
      </c>
      <c r="I94" s="14" t="s">
        <v>1256</v>
      </c>
      <c r="J94" s="14" t="s">
        <v>1296</v>
      </c>
      <c r="K94" s="14" t="s">
        <v>1417</v>
      </c>
      <c r="L94" s="14" t="s">
        <v>1419</v>
      </c>
      <c r="M94" s="14" t="s">
        <v>1410</v>
      </c>
      <c r="N94" s="14" t="s">
        <v>1237</v>
      </c>
      <c r="O94" s="14" t="s">
        <v>1220</v>
      </c>
    </row>
    <row r="95" spans="1:15" x14ac:dyDescent="0.25">
      <c r="A95" s="14">
        <v>2935</v>
      </c>
      <c r="B95" s="14" t="s">
        <v>878</v>
      </c>
      <c r="C95" s="14" t="s">
        <v>878</v>
      </c>
      <c r="D95" s="14" t="s">
        <v>1413</v>
      </c>
      <c r="E95" s="16">
        <v>30</v>
      </c>
      <c r="F95" s="14" t="s">
        <v>1414</v>
      </c>
      <c r="G95" s="16">
        <v>30</v>
      </c>
      <c r="H95" s="14" t="s">
        <v>1408</v>
      </c>
      <c r="I95" s="14" t="s">
        <v>1256</v>
      </c>
      <c r="J95" s="14" t="s">
        <v>1242</v>
      </c>
      <c r="K95" s="14" t="s">
        <v>1417</v>
      </c>
      <c r="L95" s="14" t="s">
        <v>1420</v>
      </c>
      <c r="M95" s="14" t="s">
        <v>1410</v>
      </c>
      <c r="N95" s="14" t="s">
        <v>1237</v>
      </c>
      <c r="O95" s="14" t="s">
        <v>1220</v>
      </c>
    </row>
    <row r="96" spans="1:15" x14ac:dyDescent="0.25">
      <c r="A96" s="14">
        <v>2937</v>
      </c>
      <c r="B96" s="14" t="s">
        <v>879</v>
      </c>
      <c r="C96" s="14" t="s">
        <v>879</v>
      </c>
      <c r="D96" s="14" t="s">
        <v>1413</v>
      </c>
      <c r="E96" s="16">
        <v>30</v>
      </c>
      <c r="F96" s="14" t="s">
        <v>1414</v>
      </c>
      <c r="G96" s="16">
        <v>30</v>
      </c>
      <c r="H96" s="14" t="s">
        <v>1408</v>
      </c>
      <c r="I96" s="14" t="s">
        <v>1256</v>
      </c>
      <c r="J96" s="14" t="s">
        <v>1296</v>
      </c>
      <c r="K96" s="14" t="s">
        <v>1415</v>
      </c>
      <c r="L96" s="14" t="s">
        <v>1421</v>
      </c>
      <c r="M96" s="14" t="s">
        <v>1410</v>
      </c>
      <c r="N96" s="14" t="s">
        <v>1237</v>
      </c>
      <c r="O96" s="14" t="s">
        <v>1220</v>
      </c>
    </row>
    <row r="97" spans="1:15" x14ac:dyDescent="0.25">
      <c r="A97" s="14">
        <v>2930</v>
      </c>
      <c r="B97" s="14" t="s">
        <v>880</v>
      </c>
      <c r="C97" s="14" t="s">
        <v>880</v>
      </c>
      <c r="D97" s="14" t="s">
        <v>1413</v>
      </c>
      <c r="E97" s="16">
        <v>60</v>
      </c>
      <c r="F97" s="14" t="s">
        <v>1414</v>
      </c>
      <c r="G97" s="16">
        <v>60</v>
      </c>
      <c r="H97" s="14" t="s">
        <v>1408</v>
      </c>
      <c r="I97" s="14" t="s">
        <v>1256</v>
      </c>
      <c r="J97" s="14" t="s">
        <v>1296</v>
      </c>
      <c r="K97" s="14" t="s">
        <v>1417</v>
      </c>
      <c r="L97" s="14" t="s">
        <v>1422</v>
      </c>
      <c r="M97" s="14" t="s">
        <v>1410</v>
      </c>
      <c r="N97" s="14" t="s">
        <v>1237</v>
      </c>
      <c r="O97" s="14" t="s">
        <v>1220</v>
      </c>
    </row>
    <row r="98" spans="1:15" x14ac:dyDescent="0.25">
      <c r="A98" s="14">
        <v>2931</v>
      </c>
      <c r="B98" s="14" t="s">
        <v>881</v>
      </c>
      <c r="C98" s="14" t="s">
        <v>881</v>
      </c>
      <c r="D98" s="14" t="s">
        <v>1413</v>
      </c>
      <c r="E98" s="16">
        <v>60</v>
      </c>
      <c r="F98" s="14" t="s">
        <v>1414</v>
      </c>
      <c r="G98" s="16">
        <v>60</v>
      </c>
      <c r="H98" s="14" t="s">
        <v>1408</v>
      </c>
      <c r="I98" s="14" t="s">
        <v>1256</v>
      </c>
      <c r="J98" s="14" t="s">
        <v>1296</v>
      </c>
      <c r="K98" s="14" t="s">
        <v>1417</v>
      </c>
      <c r="L98" s="14" t="s">
        <v>1423</v>
      </c>
      <c r="M98" s="14" t="s">
        <v>1410</v>
      </c>
      <c r="N98" s="14" t="s">
        <v>1237</v>
      </c>
      <c r="O98" s="14" t="s">
        <v>1220</v>
      </c>
    </row>
    <row r="99" spans="1:15" x14ac:dyDescent="0.25">
      <c r="A99" s="14">
        <v>2932</v>
      </c>
      <c r="B99" s="14" t="s">
        <v>882</v>
      </c>
      <c r="C99" s="14" t="s">
        <v>882</v>
      </c>
      <c r="D99" s="14" t="s">
        <v>1413</v>
      </c>
      <c r="E99" s="16">
        <v>30</v>
      </c>
      <c r="F99" s="14" t="s">
        <v>1414</v>
      </c>
      <c r="G99" s="16">
        <v>30</v>
      </c>
      <c r="H99" s="14" t="s">
        <v>1408</v>
      </c>
      <c r="I99" s="14" t="s">
        <v>1256</v>
      </c>
      <c r="J99" s="14" t="s">
        <v>1242</v>
      </c>
      <c r="K99" s="14" t="s">
        <v>1417</v>
      </c>
      <c r="L99" s="14" t="s">
        <v>1424</v>
      </c>
      <c r="M99" s="14" t="s">
        <v>1410</v>
      </c>
      <c r="N99" s="14" t="s">
        <v>1237</v>
      </c>
      <c r="O99" s="14" t="s">
        <v>1220</v>
      </c>
    </row>
    <row r="100" spans="1:15" x14ac:dyDescent="0.25">
      <c r="A100" s="14" t="s">
        <v>1425</v>
      </c>
      <c r="B100" s="14" t="s">
        <v>1426</v>
      </c>
      <c r="C100" s="14" t="s">
        <v>1426</v>
      </c>
      <c r="D100" s="14" t="s">
        <v>1427</v>
      </c>
      <c r="E100" s="15"/>
      <c r="F100" s="14"/>
      <c r="G100" s="15"/>
      <c r="H100" s="14" t="s">
        <v>1428</v>
      </c>
      <c r="I100" s="14"/>
      <c r="J100" s="14"/>
      <c r="K100" s="14"/>
      <c r="L100" s="14"/>
      <c r="M100" s="14"/>
      <c r="N100" s="14" t="s">
        <v>1219</v>
      </c>
      <c r="O100" s="14" t="s">
        <v>1429</v>
      </c>
    </row>
    <row r="101" spans="1:15" x14ac:dyDescent="0.25">
      <c r="A101" s="14" t="s">
        <v>1430</v>
      </c>
      <c r="B101" s="14" t="s">
        <v>1431</v>
      </c>
      <c r="C101" s="14" t="s">
        <v>1431</v>
      </c>
      <c r="D101" s="14" t="s">
        <v>1222</v>
      </c>
      <c r="E101" s="15"/>
      <c r="F101" s="14"/>
      <c r="G101" s="15"/>
      <c r="H101" s="14" t="s">
        <v>1223</v>
      </c>
      <c r="I101" s="14"/>
      <c r="J101" s="14"/>
      <c r="K101" s="14"/>
      <c r="L101" s="14"/>
      <c r="M101" s="14"/>
      <c r="N101" s="14" t="s">
        <v>1219</v>
      </c>
      <c r="O101" s="14" t="s">
        <v>1220</v>
      </c>
    </row>
    <row r="102" spans="1:15" x14ac:dyDescent="0.25">
      <c r="A102" s="14" t="s">
        <v>1432</v>
      </c>
      <c r="B102" s="14" t="s">
        <v>1433</v>
      </c>
      <c r="C102" s="14" t="s">
        <v>1433</v>
      </c>
      <c r="D102" s="14" t="s">
        <v>1222</v>
      </c>
      <c r="E102" s="15"/>
      <c r="F102" s="14"/>
      <c r="G102" s="15"/>
      <c r="H102" s="14" t="s">
        <v>1223</v>
      </c>
      <c r="I102" s="14"/>
      <c r="J102" s="14"/>
      <c r="K102" s="14"/>
      <c r="L102" s="14"/>
      <c r="M102" s="14"/>
      <c r="N102" s="14" t="s">
        <v>1219</v>
      </c>
      <c r="O102" s="14" t="s">
        <v>1220</v>
      </c>
    </row>
    <row r="103" spans="1:15" x14ac:dyDescent="0.25">
      <c r="A103" s="14" t="s">
        <v>1434</v>
      </c>
      <c r="B103" s="14" t="s">
        <v>1435</v>
      </c>
      <c r="C103" s="14" t="s">
        <v>1435</v>
      </c>
      <c r="D103" s="14" t="s">
        <v>1222</v>
      </c>
      <c r="E103" s="15"/>
      <c r="F103" s="14"/>
      <c r="G103" s="15"/>
      <c r="H103" s="14" t="s">
        <v>1223</v>
      </c>
      <c r="I103" s="14"/>
      <c r="J103" s="14"/>
      <c r="K103" s="14"/>
      <c r="L103" s="14"/>
      <c r="M103" s="14"/>
      <c r="N103" s="14" t="s">
        <v>1219</v>
      </c>
      <c r="O103" s="14" t="s">
        <v>1220</v>
      </c>
    </row>
    <row r="104" spans="1:15" x14ac:dyDescent="0.25">
      <c r="A104" s="14">
        <v>1118</v>
      </c>
      <c r="B104" s="14" t="s">
        <v>1436</v>
      </c>
      <c r="C104" s="14" t="s">
        <v>1436</v>
      </c>
      <c r="D104" s="14" t="s">
        <v>1427</v>
      </c>
      <c r="E104" s="15"/>
      <c r="F104" s="14"/>
      <c r="G104" s="15"/>
      <c r="H104" s="14" t="s">
        <v>1437</v>
      </c>
      <c r="I104" s="14"/>
      <c r="J104" s="14"/>
      <c r="K104" s="14"/>
      <c r="L104" s="14"/>
      <c r="M104" s="14"/>
      <c r="N104" s="14" t="s">
        <v>1219</v>
      </c>
      <c r="O104" s="14" t="s">
        <v>1429</v>
      </c>
    </row>
    <row r="105" spans="1:15" x14ac:dyDescent="0.25">
      <c r="A105" s="14" t="s">
        <v>1438</v>
      </c>
      <c r="B105" s="14" t="s">
        <v>1439</v>
      </c>
      <c r="C105" s="14" t="s">
        <v>1439</v>
      </c>
      <c r="D105" s="14" t="s">
        <v>1427</v>
      </c>
      <c r="E105" s="15"/>
      <c r="F105" s="14"/>
      <c r="G105" s="15"/>
      <c r="H105" s="14" t="s">
        <v>1440</v>
      </c>
      <c r="I105" s="14"/>
      <c r="J105" s="14"/>
      <c r="K105" s="14"/>
      <c r="L105" s="14" t="s">
        <v>1441</v>
      </c>
      <c r="M105" s="14"/>
      <c r="N105" s="14" t="s">
        <v>1219</v>
      </c>
      <c r="O105" s="14" t="s">
        <v>1429</v>
      </c>
    </row>
    <row r="106" spans="1:15" x14ac:dyDescent="0.25">
      <c r="A106" s="14" t="s">
        <v>1442</v>
      </c>
      <c r="B106" s="14" t="s">
        <v>1443</v>
      </c>
      <c r="C106" s="14" t="s">
        <v>1443</v>
      </c>
      <c r="D106" s="14" t="s">
        <v>1427</v>
      </c>
      <c r="E106" s="15"/>
      <c r="F106" s="14"/>
      <c r="G106" s="15"/>
      <c r="H106" s="14" t="s">
        <v>1440</v>
      </c>
      <c r="I106" s="14"/>
      <c r="J106" s="14"/>
      <c r="K106" s="14"/>
      <c r="L106" s="14" t="s">
        <v>1444</v>
      </c>
      <c r="M106" s="14"/>
      <c r="N106" s="14" t="s">
        <v>1219</v>
      </c>
      <c r="O106" s="14" t="s">
        <v>1429</v>
      </c>
    </row>
    <row r="107" spans="1:15" x14ac:dyDescent="0.25">
      <c r="A107" s="14" t="s">
        <v>1445</v>
      </c>
      <c r="B107" s="14" t="s">
        <v>1446</v>
      </c>
      <c r="C107" s="14" t="s">
        <v>1446</v>
      </c>
      <c r="D107" s="14" t="s">
        <v>1427</v>
      </c>
      <c r="E107" s="15"/>
      <c r="F107" s="14"/>
      <c r="G107" s="15"/>
      <c r="H107" s="14" t="s">
        <v>1440</v>
      </c>
      <c r="I107" s="14"/>
      <c r="J107" s="14"/>
      <c r="K107" s="14"/>
      <c r="L107" s="14" t="s">
        <v>1447</v>
      </c>
      <c r="M107" s="14"/>
      <c r="N107" s="14" t="s">
        <v>1219</v>
      </c>
      <c r="O107" s="14" t="s">
        <v>1429</v>
      </c>
    </row>
    <row r="108" spans="1:15" x14ac:dyDescent="0.25">
      <c r="A108" s="14" t="s">
        <v>1448</v>
      </c>
      <c r="B108" s="14" t="s">
        <v>1449</v>
      </c>
      <c r="C108" s="14" t="s">
        <v>1449</v>
      </c>
      <c r="D108" s="14" t="s">
        <v>1427</v>
      </c>
      <c r="E108" s="15"/>
      <c r="F108" s="14"/>
      <c r="G108" s="15"/>
      <c r="H108" s="14" t="s">
        <v>1440</v>
      </c>
      <c r="I108" s="14"/>
      <c r="J108" s="14"/>
      <c r="K108" s="14"/>
      <c r="L108" s="14" t="s">
        <v>1450</v>
      </c>
      <c r="M108" s="14"/>
      <c r="N108" s="14" t="s">
        <v>1219</v>
      </c>
      <c r="O108" s="14" t="s">
        <v>1429</v>
      </c>
    </row>
    <row r="109" spans="1:15" x14ac:dyDescent="0.25">
      <c r="A109" s="14" t="s">
        <v>1451</v>
      </c>
      <c r="B109" s="14" t="s">
        <v>1452</v>
      </c>
      <c r="C109" s="14" t="s">
        <v>1452</v>
      </c>
      <c r="D109" s="14" t="s">
        <v>1427</v>
      </c>
      <c r="E109" s="15"/>
      <c r="F109" s="14"/>
      <c r="G109" s="15"/>
      <c r="H109" s="14" t="s">
        <v>1440</v>
      </c>
      <c r="I109" s="14"/>
      <c r="J109" s="14"/>
      <c r="K109" s="14"/>
      <c r="L109" s="14" t="s">
        <v>1453</v>
      </c>
      <c r="M109" s="14"/>
      <c r="N109" s="14" t="s">
        <v>1219</v>
      </c>
      <c r="O109" s="14" t="s">
        <v>1429</v>
      </c>
    </row>
    <row r="110" spans="1:15" x14ac:dyDescent="0.25">
      <c r="A110" s="14" t="s">
        <v>1454</v>
      </c>
      <c r="B110" s="14" t="s">
        <v>1455</v>
      </c>
      <c r="C110" s="14" t="s">
        <v>1455</v>
      </c>
      <c r="D110" s="14" t="s">
        <v>1427</v>
      </c>
      <c r="E110" s="15"/>
      <c r="F110" s="14"/>
      <c r="G110" s="15"/>
      <c r="H110" s="14" t="s">
        <v>1428</v>
      </c>
      <c r="I110" s="14"/>
      <c r="J110" s="14"/>
      <c r="K110" s="14"/>
      <c r="L110" s="14"/>
      <c r="M110" s="14"/>
      <c r="N110" s="14" t="s">
        <v>1219</v>
      </c>
      <c r="O110" s="14" t="s">
        <v>1429</v>
      </c>
    </row>
    <row r="111" spans="1:15" x14ac:dyDescent="0.25">
      <c r="A111" s="14">
        <v>54520</v>
      </c>
      <c r="B111" s="14" t="s">
        <v>1456</v>
      </c>
      <c r="C111" s="14" t="s">
        <v>1456</v>
      </c>
      <c r="D111" s="14" t="s">
        <v>1222</v>
      </c>
      <c r="E111" s="15"/>
      <c r="F111" s="14"/>
      <c r="G111" s="15"/>
      <c r="H111" s="14" t="s">
        <v>1223</v>
      </c>
      <c r="I111" s="14"/>
      <c r="J111" s="14"/>
      <c r="K111" s="14"/>
      <c r="L111" s="14"/>
      <c r="M111" s="14"/>
      <c r="N111" s="14" t="s">
        <v>1219</v>
      </c>
      <c r="O111" s="14" t="s">
        <v>1220</v>
      </c>
    </row>
    <row r="112" spans="1:15" x14ac:dyDescent="0.25">
      <c r="A112" s="14">
        <v>54525</v>
      </c>
      <c r="B112" s="14" t="s">
        <v>1457</v>
      </c>
      <c r="C112" s="14" t="s">
        <v>1457</v>
      </c>
      <c r="D112" s="14" t="s">
        <v>1222</v>
      </c>
      <c r="E112" s="15"/>
      <c r="F112" s="14"/>
      <c r="G112" s="15"/>
      <c r="H112" s="14" t="s">
        <v>1223</v>
      </c>
      <c r="I112" s="14"/>
      <c r="J112" s="14"/>
      <c r="K112" s="14"/>
      <c r="L112" s="14"/>
      <c r="M112" s="14"/>
      <c r="N112" s="14" t="s">
        <v>1219</v>
      </c>
      <c r="O112" s="14" t="s">
        <v>1220</v>
      </c>
    </row>
    <row r="113" spans="1:15" x14ac:dyDescent="0.25">
      <c r="A113" s="14">
        <v>54532</v>
      </c>
      <c r="B113" s="14" t="s">
        <v>1458</v>
      </c>
      <c r="C113" s="14" t="s">
        <v>1458</v>
      </c>
      <c r="D113" s="14" t="s">
        <v>1222</v>
      </c>
      <c r="E113" s="15"/>
      <c r="F113" s="14"/>
      <c r="G113" s="15"/>
      <c r="H113" s="14" t="s">
        <v>1223</v>
      </c>
      <c r="I113" s="14"/>
      <c r="J113" s="14"/>
      <c r="K113" s="14"/>
      <c r="L113" s="14"/>
      <c r="M113" s="14"/>
      <c r="N113" s="14" t="s">
        <v>1219</v>
      </c>
      <c r="O113" s="14" t="s">
        <v>1220</v>
      </c>
    </row>
    <row r="114" spans="1:15" x14ac:dyDescent="0.25">
      <c r="A114" s="14">
        <v>3644</v>
      </c>
      <c r="B114" s="14" t="s">
        <v>1459</v>
      </c>
      <c r="C114" s="14" t="s">
        <v>1459</v>
      </c>
      <c r="D114" s="14" t="s">
        <v>1460</v>
      </c>
      <c r="E114" s="15"/>
      <c r="F114" s="14" t="s">
        <v>1350</v>
      </c>
      <c r="G114" s="15"/>
      <c r="H114" s="14" t="s">
        <v>1255</v>
      </c>
      <c r="I114" s="14" t="s">
        <v>1351</v>
      </c>
      <c r="J114" s="14" t="s">
        <v>1385</v>
      </c>
      <c r="K114" s="14" t="s">
        <v>1257</v>
      </c>
      <c r="L114" s="14" t="s">
        <v>1424</v>
      </c>
      <c r="M114" s="14" t="s">
        <v>1461</v>
      </c>
      <c r="N114" s="14" t="s">
        <v>1219</v>
      </c>
      <c r="O114" s="14" t="s">
        <v>1220</v>
      </c>
    </row>
    <row r="115" spans="1:15" x14ac:dyDescent="0.25">
      <c r="A115" s="14">
        <v>3645</v>
      </c>
      <c r="B115" s="14" t="s">
        <v>1462</v>
      </c>
      <c r="C115" s="14" t="s">
        <v>1462</v>
      </c>
      <c r="D115" s="14" t="s">
        <v>1460</v>
      </c>
      <c r="E115" s="15"/>
      <c r="F115" s="14" t="s">
        <v>1350</v>
      </c>
      <c r="G115" s="15"/>
      <c r="H115" s="14" t="s">
        <v>1255</v>
      </c>
      <c r="I115" s="14" t="s">
        <v>1351</v>
      </c>
      <c r="J115" s="14" t="s">
        <v>1385</v>
      </c>
      <c r="K115" s="14" t="s">
        <v>1257</v>
      </c>
      <c r="L115" s="14" t="s">
        <v>1424</v>
      </c>
      <c r="M115" s="14" t="s">
        <v>1461</v>
      </c>
      <c r="N115" s="14" t="s">
        <v>1219</v>
      </c>
      <c r="O115" s="14" t="s">
        <v>1220</v>
      </c>
    </row>
    <row r="116" spans="1:15" x14ac:dyDescent="0.25">
      <c r="A116" s="14">
        <v>3646</v>
      </c>
      <c r="B116" s="14" t="s">
        <v>1463</v>
      </c>
      <c r="C116" s="14" t="s">
        <v>1463</v>
      </c>
      <c r="D116" s="14" t="s">
        <v>1460</v>
      </c>
      <c r="E116" s="15"/>
      <c r="F116" s="14" t="s">
        <v>1350</v>
      </c>
      <c r="G116" s="15"/>
      <c r="H116" s="14" t="s">
        <v>1255</v>
      </c>
      <c r="I116" s="14" t="s">
        <v>1351</v>
      </c>
      <c r="J116" s="14" t="s">
        <v>1385</v>
      </c>
      <c r="K116" s="14" t="s">
        <v>1257</v>
      </c>
      <c r="L116" s="14" t="s">
        <v>1424</v>
      </c>
      <c r="M116" s="14" t="s">
        <v>1461</v>
      </c>
      <c r="N116" s="14" t="s">
        <v>1219</v>
      </c>
      <c r="O116" s="14" t="s">
        <v>1220</v>
      </c>
    </row>
    <row r="117" spans="1:15" x14ac:dyDescent="0.25">
      <c r="A117" s="14">
        <v>3642</v>
      </c>
      <c r="B117" s="14" t="s">
        <v>1464</v>
      </c>
      <c r="C117" s="14" t="s">
        <v>1464</v>
      </c>
      <c r="D117" s="14" t="s">
        <v>1460</v>
      </c>
      <c r="E117" s="15"/>
      <c r="F117" s="14" t="s">
        <v>1350</v>
      </c>
      <c r="G117" s="15"/>
      <c r="H117" s="14" t="s">
        <v>1255</v>
      </c>
      <c r="I117" s="14" t="s">
        <v>1351</v>
      </c>
      <c r="J117" s="14" t="s">
        <v>1360</v>
      </c>
      <c r="K117" s="14" t="s">
        <v>1257</v>
      </c>
      <c r="L117" s="14" t="s">
        <v>1424</v>
      </c>
      <c r="M117" s="14" t="s">
        <v>1461</v>
      </c>
      <c r="N117" s="14" t="s">
        <v>1219</v>
      </c>
      <c r="O117" s="14" t="s">
        <v>1220</v>
      </c>
    </row>
    <row r="118" spans="1:15" x14ac:dyDescent="0.25">
      <c r="A118" s="14">
        <v>3643</v>
      </c>
      <c r="B118" s="14" t="s">
        <v>1465</v>
      </c>
      <c r="C118" s="14" t="s">
        <v>1465</v>
      </c>
      <c r="D118" s="14" t="s">
        <v>1460</v>
      </c>
      <c r="E118" s="15"/>
      <c r="F118" s="14" t="s">
        <v>1350</v>
      </c>
      <c r="G118" s="15"/>
      <c r="H118" s="14" t="s">
        <v>1255</v>
      </c>
      <c r="I118" s="14" t="s">
        <v>1351</v>
      </c>
      <c r="J118" s="14" t="s">
        <v>1385</v>
      </c>
      <c r="K118" s="14" t="s">
        <v>1257</v>
      </c>
      <c r="L118" s="14" t="s">
        <v>1424</v>
      </c>
      <c r="M118" s="14" t="s">
        <v>1461</v>
      </c>
      <c r="N118" s="14" t="s">
        <v>1219</v>
      </c>
      <c r="O118" s="14" t="s">
        <v>1220</v>
      </c>
    </row>
    <row r="119" spans="1:15" x14ac:dyDescent="0.25">
      <c r="A119" s="14">
        <v>2461</v>
      </c>
      <c r="B119" s="14" t="s">
        <v>1466</v>
      </c>
      <c r="C119" s="14" t="s">
        <v>1466</v>
      </c>
      <c r="D119" s="14" t="s">
        <v>1460</v>
      </c>
      <c r="E119" s="15"/>
      <c r="F119" s="14" t="s">
        <v>1350</v>
      </c>
      <c r="G119" s="15"/>
      <c r="H119" s="14" t="s">
        <v>1255</v>
      </c>
      <c r="I119" s="14" t="s">
        <v>1351</v>
      </c>
      <c r="J119" s="14" t="s">
        <v>1385</v>
      </c>
      <c r="K119" s="14" t="s">
        <v>1257</v>
      </c>
      <c r="L119" s="14" t="s">
        <v>1424</v>
      </c>
      <c r="M119" s="14" t="s">
        <v>1461</v>
      </c>
      <c r="N119" s="14" t="s">
        <v>1219</v>
      </c>
      <c r="O119" s="14" t="s">
        <v>1220</v>
      </c>
    </row>
    <row r="120" spans="1:15" x14ac:dyDescent="0.25">
      <c r="A120" s="14" t="s">
        <v>1467</v>
      </c>
      <c r="B120" s="14" t="s">
        <v>1468</v>
      </c>
      <c r="C120" s="14" t="s">
        <v>1468</v>
      </c>
      <c r="D120" s="14" t="s">
        <v>1349</v>
      </c>
      <c r="E120" s="15"/>
      <c r="F120" s="14"/>
      <c r="G120" s="15"/>
      <c r="H120" s="14" t="s">
        <v>1380</v>
      </c>
      <c r="I120" s="14" t="s">
        <v>1360</v>
      </c>
      <c r="J120" s="14" t="s">
        <v>1360</v>
      </c>
      <c r="K120" s="14"/>
      <c r="L120" s="14"/>
      <c r="M120" s="14" t="s">
        <v>1461</v>
      </c>
      <c r="N120" s="14" t="s">
        <v>1219</v>
      </c>
      <c r="O120" s="14" t="s">
        <v>1220</v>
      </c>
    </row>
    <row r="121" spans="1:15" x14ac:dyDescent="0.25">
      <c r="A121" s="14" t="s">
        <v>1469</v>
      </c>
      <c r="B121" s="14" t="s">
        <v>1470</v>
      </c>
      <c r="C121" s="14" t="s">
        <v>1470</v>
      </c>
      <c r="D121" s="14" t="s">
        <v>1349</v>
      </c>
      <c r="E121" s="15"/>
      <c r="F121" s="14"/>
      <c r="G121" s="15"/>
      <c r="H121" s="14" t="s">
        <v>1380</v>
      </c>
      <c r="I121" s="14" t="s">
        <v>1360</v>
      </c>
      <c r="J121" s="14" t="s">
        <v>1360</v>
      </c>
      <c r="K121" s="14"/>
      <c r="L121" s="14"/>
      <c r="M121" s="14" t="s">
        <v>1461</v>
      </c>
      <c r="N121" s="14" t="s">
        <v>1219</v>
      </c>
      <c r="O121" s="14" t="s">
        <v>1220</v>
      </c>
    </row>
    <row r="122" spans="1:15" x14ac:dyDescent="0.25">
      <c r="A122" s="14" t="s">
        <v>1471</v>
      </c>
      <c r="B122" s="14" t="s">
        <v>1472</v>
      </c>
      <c r="C122" s="14" t="s">
        <v>1472</v>
      </c>
      <c r="D122" s="14" t="s">
        <v>1349</v>
      </c>
      <c r="E122" s="15"/>
      <c r="F122" s="14"/>
      <c r="G122" s="15"/>
      <c r="H122" s="14" t="s">
        <v>1380</v>
      </c>
      <c r="I122" s="14" t="s">
        <v>1360</v>
      </c>
      <c r="J122" s="14" t="s">
        <v>1360</v>
      </c>
      <c r="K122" s="14"/>
      <c r="L122" s="14"/>
      <c r="M122" s="14" t="s">
        <v>1461</v>
      </c>
      <c r="N122" s="14" t="s">
        <v>1219</v>
      </c>
      <c r="O122" s="14" t="s">
        <v>1220</v>
      </c>
    </row>
    <row r="123" spans="1:15" x14ac:dyDescent="0.25">
      <c r="A123" s="14" t="s">
        <v>1473</v>
      </c>
      <c r="B123" s="14" t="s">
        <v>1474</v>
      </c>
      <c r="C123" s="14" t="s">
        <v>1474</v>
      </c>
      <c r="D123" s="14" t="s">
        <v>1349</v>
      </c>
      <c r="E123" s="15"/>
      <c r="F123" s="14"/>
      <c r="G123" s="15"/>
      <c r="H123" s="14" t="s">
        <v>1380</v>
      </c>
      <c r="I123" s="14" t="s">
        <v>1360</v>
      </c>
      <c r="J123" s="14" t="s">
        <v>1360</v>
      </c>
      <c r="K123" s="14"/>
      <c r="L123" s="14"/>
      <c r="M123" s="14" t="s">
        <v>1461</v>
      </c>
      <c r="N123" s="14" t="s">
        <v>1219</v>
      </c>
      <c r="O123" s="14" t="s">
        <v>1220</v>
      </c>
    </row>
    <row r="124" spans="1:15" x14ac:dyDescent="0.25">
      <c r="A124" s="14" t="s">
        <v>1475</v>
      </c>
      <c r="B124" s="14" t="s">
        <v>1476</v>
      </c>
      <c r="C124" s="14" t="s">
        <v>1476</v>
      </c>
      <c r="D124" s="14" t="s">
        <v>1477</v>
      </c>
      <c r="E124" s="15"/>
      <c r="F124" s="14" t="s">
        <v>1350</v>
      </c>
      <c r="G124" s="15"/>
      <c r="H124" s="14" t="s">
        <v>1380</v>
      </c>
      <c r="I124" s="14" t="s">
        <v>1360</v>
      </c>
      <c r="J124" s="14" t="s">
        <v>1385</v>
      </c>
      <c r="K124" s="14" t="s">
        <v>1257</v>
      </c>
      <c r="L124" s="14" t="s">
        <v>1424</v>
      </c>
      <c r="M124" s="14" t="s">
        <v>1461</v>
      </c>
      <c r="N124" s="14" t="s">
        <v>1219</v>
      </c>
      <c r="O124" s="14" t="s">
        <v>1220</v>
      </c>
    </row>
    <row r="125" spans="1:15" x14ac:dyDescent="0.25">
      <c r="A125" s="14" t="s">
        <v>1478</v>
      </c>
      <c r="B125" s="14" t="s">
        <v>1479</v>
      </c>
      <c r="C125" s="14" t="s">
        <v>1479</v>
      </c>
      <c r="D125" s="14" t="s">
        <v>1349</v>
      </c>
      <c r="E125" s="15"/>
      <c r="F125" s="14"/>
      <c r="G125" s="15"/>
      <c r="H125" s="14" t="s">
        <v>1380</v>
      </c>
      <c r="I125" s="14" t="s">
        <v>1360</v>
      </c>
      <c r="J125" s="14" t="s">
        <v>1360</v>
      </c>
      <c r="K125" s="14"/>
      <c r="L125" s="14"/>
      <c r="M125" s="14" t="s">
        <v>1461</v>
      </c>
      <c r="N125" s="14" t="s">
        <v>1219</v>
      </c>
      <c r="O125" s="14" t="s">
        <v>1220</v>
      </c>
    </row>
    <row r="126" spans="1:15" x14ac:dyDescent="0.25">
      <c r="A126" s="14" t="s">
        <v>1480</v>
      </c>
      <c r="B126" s="14" t="s">
        <v>1481</v>
      </c>
      <c r="C126" s="14" t="s">
        <v>1481</v>
      </c>
      <c r="D126" s="14" t="s">
        <v>1349</v>
      </c>
      <c r="E126" s="15"/>
      <c r="F126" s="14"/>
      <c r="G126" s="15"/>
      <c r="H126" s="14" t="s">
        <v>1380</v>
      </c>
      <c r="I126" s="14" t="s">
        <v>1360</v>
      </c>
      <c r="J126" s="14" t="s">
        <v>1360</v>
      </c>
      <c r="K126" s="14"/>
      <c r="L126" s="14"/>
      <c r="M126" s="14" t="s">
        <v>1461</v>
      </c>
      <c r="N126" s="14" t="s">
        <v>1219</v>
      </c>
      <c r="O126" s="14" t="s">
        <v>1220</v>
      </c>
    </row>
    <row r="127" spans="1:15" x14ac:dyDescent="0.25">
      <c r="A127" s="14" t="s">
        <v>1482</v>
      </c>
      <c r="B127" s="14" t="s">
        <v>1483</v>
      </c>
      <c r="C127" s="14" t="s">
        <v>1483</v>
      </c>
      <c r="D127" s="14" t="s">
        <v>1283</v>
      </c>
      <c r="E127" s="15"/>
      <c r="F127" s="14" t="s">
        <v>1255</v>
      </c>
      <c r="G127" s="15"/>
      <c r="H127" s="14" t="s">
        <v>1255</v>
      </c>
      <c r="I127" s="14" t="s">
        <v>1217</v>
      </c>
      <c r="J127" s="14" t="s">
        <v>1296</v>
      </c>
      <c r="K127" s="14"/>
      <c r="L127" s="14"/>
      <c r="M127" s="14" t="s">
        <v>1484</v>
      </c>
      <c r="N127" s="14" t="s">
        <v>1219</v>
      </c>
      <c r="O127" s="14" t="s">
        <v>1220</v>
      </c>
    </row>
    <row r="128" spans="1:15" x14ac:dyDescent="0.25">
      <c r="A128" s="14" t="s">
        <v>1485</v>
      </c>
      <c r="B128" s="14" t="s">
        <v>1486</v>
      </c>
      <c r="C128" s="14" t="s">
        <v>1486</v>
      </c>
      <c r="D128" s="14" t="s">
        <v>1283</v>
      </c>
      <c r="E128" s="15"/>
      <c r="F128" s="14" t="s">
        <v>1255</v>
      </c>
      <c r="G128" s="15"/>
      <c r="H128" s="14" t="s">
        <v>1255</v>
      </c>
      <c r="I128" s="14" t="s">
        <v>1217</v>
      </c>
      <c r="J128" s="14" t="s">
        <v>1296</v>
      </c>
      <c r="K128" s="14"/>
      <c r="L128" s="14"/>
      <c r="M128" s="14" t="s">
        <v>1484</v>
      </c>
      <c r="N128" s="14" t="s">
        <v>1219</v>
      </c>
      <c r="O128" s="14" t="s">
        <v>1220</v>
      </c>
    </row>
    <row r="129" spans="1:15" x14ac:dyDescent="0.25">
      <c r="A129" s="14" t="s">
        <v>1487</v>
      </c>
      <c r="B129" s="14" t="s">
        <v>1488</v>
      </c>
      <c r="C129" s="14" t="s">
        <v>1488</v>
      </c>
      <c r="D129" s="14" t="s">
        <v>1283</v>
      </c>
      <c r="E129" s="15"/>
      <c r="F129" s="14" t="s">
        <v>1255</v>
      </c>
      <c r="G129" s="15"/>
      <c r="H129" s="14" t="s">
        <v>1255</v>
      </c>
      <c r="I129" s="14" t="s">
        <v>1217</v>
      </c>
      <c r="J129" s="14" t="s">
        <v>1296</v>
      </c>
      <c r="K129" s="14"/>
      <c r="L129" s="14"/>
      <c r="M129" s="14" t="s">
        <v>1484</v>
      </c>
      <c r="N129" s="14" t="s">
        <v>1219</v>
      </c>
      <c r="O129" s="14" t="s">
        <v>1220</v>
      </c>
    </row>
    <row r="130" spans="1:15" x14ac:dyDescent="0.25">
      <c r="A130" s="14">
        <v>3625</v>
      </c>
      <c r="B130" s="14" t="s">
        <v>389</v>
      </c>
      <c r="C130" s="14" t="s">
        <v>389</v>
      </c>
      <c r="D130" s="14" t="s">
        <v>1460</v>
      </c>
      <c r="E130" s="16">
        <v>50</v>
      </c>
      <c r="F130" s="14" t="s">
        <v>1255</v>
      </c>
      <c r="G130" s="16">
        <v>350</v>
      </c>
      <c r="H130" s="14" t="s">
        <v>1255</v>
      </c>
      <c r="I130" s="14" t="s">
        <v>1256</v>
      </c>
      <c r="J130" s="14" t="s">
        <v>1242</v>
      </c>
      <c r="K130" s="14" t="s">
        <v>1257</v>
      </c>
      <c r="L130" s="14" t="s">
        <v>1489</v>
      </c>
      <c r="M130" s="14" t="s">
        <v>1484</v>
      </c>
      <c r="N130" s="14" t="s">
        <v>1237</v>
      </c>
      <c r="O130" s="14" t="s">
        <v>1220</v>
      </c>
    </row>
    <row r="131" spans="1:15" x14ac:dyDescent="0.25">
      <c r="A131" s="14">
        <v>3626</v>
      </c>
      <c r="B131" s="14" t="s">
        <v>390</v>
      </c>
      <c r="C131" s="14" t="s">
        <v>390</v>
      </c>
      <c r="D131" s="14" t="s">
        <v>1460</v>
      </c>
      <c r="E131" s="16">
        <v>30</v>
      </c>
      <c r="F131" s="14" t="s">
        <v>1255</v>
      </c>
      <c r="G131" s="16">
        <v>250</v>
      </c>
      <c r="H131" s="14" t="s">
        <v>1255</v>
      </c>
      <c r="I131" s="14" t="s">
        <v>1256</v>
      </c>
      <c r="J131" s="14" t="s">
        <v>1296</v>
      </c>
      <c r="K131" s="14" t="s">
        <v>1257</v>
      </c>
      <c r="L131" s="14" t="s">
        <v>1490</v>
      </c>
      <c r="M131" s="14" t="s">
        <v>1484</v>
      </c>
      <c r="N131" s="14" t="s">
        <v>1237</v>
      </c>
      <c r="O131" s="14" t="s">
        <v>1220</v>
      </c>
    </row>
    <row r="132" spans="1:15" x14ac:dyDescent="0.25">
      <c r="A132" s="14">
        <v>3627</v>
      </c>
      <c r="B132" s="14" t="s">
        <v>391</v>
      </c>
      <c r="C132" s="14" t="s">
        <v>391</v>
      </c>
      <c r="D132" s="14" t="s">
        <v>1460</v>
      </c>
      <c r="E132" s="16">
        <v>30</v>
      </c>
      <c r="F132" s="14" t="s">
        <v>1255</v>
      </c>
      <c r="G132" s="16">
        <v>175</v>
      </c>
      <c r="H132" s="14" t="s">
        <v>1255</v>
      </c>
      <c r="I132" s="14" t="s">
        <v>1256</v>
      </c>
      <c r="J132" s="14" t="s">
        <v>1296</v>
      </c>
      <c r="K132" s="14" t="s">
        <v>1257</v>
      </c>
      <c r="L132" s="14" t="s">
        <v>1491</v>
      </c>
      <c r="M132" s="14" t="s">
        <v>1484</v>
      </c>
      <c r="N132" s="14" t="s">
        <v>1237</v>
      </c>
      <c r="O132" s="14" t="s">
        <v>1220</v>
      </c>
    </row>
    <row r="133" spans="1:15" x14ac:dyDescent="0.25">
      <c r="A133" s="14">
        <v>3631</v>
      </c>
      <c r="B133" s="14" t="s">
        <v>1492</v>
      </c>
      <c r="C133" s="14" t="s">
        <v>1492</v>
      </c>
      <c r="D133" s="14" t="s">
        <v>1349</v>
      </c>
      <c r="E133" s="15"/>
      <c r="F133" s="14"/>
      <c r="G133" s="15"/>
      <c r="H133" s="14" t="s">
        <v>1255</v>
      </c>
      <c r="I133" s="14" t="s">
        <v>1360</v>
      </c>
      <c r="J133" s="14" t="s">
        <v>1360</v>
      </c>
      <c r="K133" s="14"/>
      <c r="L133" s="14"/>
      <c r="M133" s="14" t="s">
        <v>1461</v>
      </c>
      <c r="N133" s="14" t="s">
        <v>1219</v>
      </c>
      <c r="O133" s="14" t="s">
        <v>1220</v>
      </c>
    </row>
    <row r="134" spans="1:15" x14ac:dyDescent="0.25">
      <c r="A134" s="14">
        <v>3632</v>
      </c>
      <c r="B134" s="14" t="s">
        <v>1493</v>
      </c>
      <c r="C134" s="14" t="s">
        <v>1493</v>
      </c>
      <c r="D134" s="14" t="s">
        <v>1349</v>
      </c>
      <c r="E134" s="15"/>
      <c r="F134" s="14"/>
      <c r="G134" s="15"/>
      <c r="H134" s="14" t="s">
        <v>1255</v>
      </c>
      <c r="I134" s="14" t="s">
        <v>1360</v>
      </c>
      <c r="J134" s="14" t="s">
        <v>1360</v>
      </c>
      <c r="K134" s="14"/>
      <c r="L134" s="14"/>
      <c r="M134" s="14" t="s">
        <v>1461</v>
      </c>
      <c r="N134" s="14" t="s">
        <v>1219</v>
      </c>
      <c r="O134" s="14" t="s">
        <v>1220</v>
      </c>
    </row>
    <row r="135" spans="1:15" x14ac:dyDescent="0.25">
      <c r="A135" s="14">
        <v>3633</v>
      </c>
      <c r="B135" s="14" t="s">
        <v>1494</v>
      </c>
      <c r="C135" s="14" t="s">
        <v>1494</v>
      </c>
      <c r="D135" s="14" t="s">
        <v>1349</v>
      </c>
      <c r="E135" s="15"/>
      <c r="F135" s="14"/>
      <c r="G135" s="15"/>
      <c r="H135" s="14" t="s">
        <v>1255</v>
      </c>
      <c r="I135" s="14" t="s">
        <v>1360</v>
      </c>
      <c r="J135" s="14" t="s">
        <v>1360</v>
      </c>
      <c r="K135" s="14"/>
      <c r="L135" s="14"/>
      <c r="M135" s="14" t="s">
        <v>1461</v>
      </c>
      <c r="N135" s="14" t="s">
        <v>1219</v>
      </c>
      <c r="O135" s="14" t="s">
        <v>1220</v>
      </c>
    </row>
    <row r="136" spans="1:15" x14ac:dyDescent="0.25">
      <c r="A136" s="14">
        <v>3628</v>
      </c>
      <c r="B136" s="14" t="s">
        <v>1495</v>
      </c>
      <c r="C136" s="14" t="s">
        <v>1495</v>
      </c>
      <c r="D136" s="14" t="s">
        <v>1349</v>
      </c>
      <c r="E136" s="15"/>
      <c r="F136" s="14"/>
      <c r="G136" s="15"/>
      <c r="H136" s="14" t="s">
        <v>1255</v>
      </c>
      <c r="I136" s="14" t="s">
        <v>1360</v>
      </c>
      <c r="J136" s="14" t="s">
        <v>1360</v>
      </c>
      <c r="K136" s="14"/>
      <c r="L136" s="14"/>
      <c r="M136" s="14" t="s">
        <v>1461</v>
      </c>
      <c r="N136" s="14" t="s">
        <v>1219</v>
      </c>
      <c r="O136" s="14" t="s">
        <v>1220</v>
      </c>
    </row>
    <row r="137" spans="1:15" x14ac:dyDescent="0.25">
      <c r="A137" s="14">
        <v>3629</v>
      </c>
      <c r="B137" s="14" t="s">
        <v>1496</v>
      </c>
      <c r="C137" s="14" t="s">
        <v>1496</v>
      </c>
      <c r="D137" s="14" t="s">
        <v>1349</v>
      </c>
      <c r="E137" s="15"/>
      <c r="F137" s="14"/>
      <c r="G137" s="15"/>
      <c r="H137" s="14" t="s">
        <v>1255</v>
      </c>
      <c r="I137" s="14" t="s">
        <v>1360</v>
      </c>
      <c r="J137" s="14" t="s">
        <v>1360</v>
      </c>
      <c r="K137" s="14"/>
      <c r="L137" s="14"/>
      <c r="M137" s="14" t="s">
        <v>1461</v>
      </c>
      <c r="N137" s="14" t="s">
        <v>1219</v>
      </c>
      <c r="O137" s="14" t="s">
        <v>1220</v>
      </c>
    </row>
    <row r="138" spans="1:15" x14ac:dyDescent="0.25">
      <c r="A138" s="14">
        <v>3630</v>
      </c>
      <c r="B138" s="14" t="s">
        <v>1497</v>
      </c>
      <c r="C138" s="14" t="s">
        <v>1497</v>
      </c>
      <c r="D138" s="14" t="s">
        <v>1349</v>
      </c>
      <c r="E138" s="15"/>
      <c r="F138" s="14"/>
      <c r="G138" s="15"/>
      <c r="H138" s="14" t="s">
        <v>1255</v>
      </c>
      <c r="I138" s="14" t="s">
        <v>1360</v>
      </c>
      <c r="J138" s="14" t="s">
        <v>1360</v>
      </c>
      <c r="K138" s="14"/>
      <c r="L138" s="14"/>
      <c r="M138" s="14" t="s">
        <v>1461</v>
      </c>
      <c r="N138" s="14" t="s">
        <v>1219</v>
      </c>
      <c r="O138" s="14" t="s">
        <v>1220</v>
      </c>
    </row>
    <row r="139" spans="1:15" x14ac:dyDescent="0.25">
      <c r="A139" s="14">
        <v>3968</v>
      </c>
      <c r="B139" s="14" t="s">
        <v>913</v>
      </c>
      <c r="C139" s="14" t="s">
        <v>1498</v>
      </c>
      <c r="D139" s="14" t="s">
        <v>1499</v>
      </c>
      <c r="E139" s="16">
        <v>100</v>
      </c>
      <c r="F139" s="14" t="s">
        <v>1216</v>
      </c>
      <c r="G139" s="17">
        <v>3000</v>
      </c>
      <c r="H139" s="14" t="s">
        <v>1216</v>
      </c>
      <c r="I139" s="14" t="s">
        <v>1256</v>
      </c>
      <c r="J139" s="14" t="s">
        <v>1242</v>
      </c>
      <c r="K139" s="14" t="s">
        <v>1257</v>
      </c>
      <c r="L139" s="14" t="s">
        <v>1500</v>
      </c>
      <c r="M139" s="14" t="s">
        <v>1484</v>
      </c>
      <c r="N139" s="14" t="s">
        <v>1237</v>
      </c>
      <c r="O139" s="14" t="s">
        <v>1220</v>
      </c>
    </row>
    <row r="140" spans="1:15" x14ac:dyDescent="0.25">
      <c r="A140" s="14" t="s">
        <v>1501</v>
      </c>
      <c r="B140" s="14" t="s">
        <v>1502</v>
      </c>
      <c r="C140" s="14" t="s">
        <v>1503</v>
      </c>
      <c r="D140" s="14" t="s">
        <v>1504</v>
      </c>
      <c r="E140" s="15"/>
      <c r="F140" s="14" t="s">
        <v>1216</v>
      </c>
      <c r="G140" s="15"/>
      <c r="H140" s="14" t="s">
        <v>1216</v>
      </c>
      <c r="I140" s="14" t="s">
        <v>1262</v>
      </c>
      <c r="J140" s="14" t="s">
        <v>1262</v>
      </c>
      <c r="K140" s="14"/>
      <c r="L140" s="14" t="s">
        <v>1500</v>
      </c>
      <c r="M140" s="14" t="s">
        <v>1218</v>
      </c>
      <c r="N140" s="14" t="s">
        <v>1219</v>
      </c>
      <c r="O140" s="14" t="s">
        <v>1220</v>
      </c>
    </row>
    <row r="141" spans="1:15" x14ac:dyDescent="0.25">
      <c r="A141" s="14" t="s">
        <v>1505</v>
      </c>
      <c r="B141" s="14" t="s">
        <v>1506</v>
      </c>
      <c r="C141" s="14" t="s">
        <v>1506</v>
      </c>
      <c r="D141" s="14" t="s">
        <v>1427</v>
      </c>
      <c r="E141" s="15"/>
      <c r="F141" s="14"/>
      <c r="G141" s="15"/>
      <c r="H141" s="14" t="s">
        <v>1440</v>
      </c>
      <c r="I141" s="14"/>
      <c r="J141" s="14"/>
      <c r="K141" s="14"/>
      <c r="L141" s="14" t="s">
        <v>1507</v>
      </c>
      <c r="M141" s="14"/>
      <c r="N141" s="14" t="s">
        <v>1219</v>
      </c>
      <c r="O141" s="14" t="s">
        <v>1429</v>
      </c>
    </row>
    <row r="142" spans="1:15" x14ac:dyDescent="0.25">
      <c r="A142" s="14">
        <v>546</v>
      </c>
      <c r="B142" s="14" t="s">
        <v>1508</v>
      </c>
      <c r="C142" s="14" t="s">
        <v>1509</v>
      </c>
      <c r="D142" s="14" t="s">
        <v>1349</v>
      </c>
      <c r="E142" s="15"/>
      <c r="F142" s="14"/>
      <c r="G142" s="15"/>
      <c r="H142" s="14" t="s">
        <v>1510</v>
      </c>
      <c r="I142" s="14" t="s">
        <v>1360</v>
      </c>
      <c r="J142" s="14" t="s">
        <v>1360</v>
      </c>
      <c r="K142" s="14"/>
      <c r="L142" s="14"/>
      <c r="M142" s="14" t="s">
        <v>1324</v>
      </c>
      <c r="N142" s="14" t="s">
        <v>1219</v>
      </c>
      <c r="O142" s="14" t="s">
        <v>1220</v>
      </c>
    </row>
    <row r="143" spans="1:15" x14ac:dyDescent="0.25">
      <c r="A143" s="14">
        <v>286</v>
      </c>
      <c r="B143" s="14" t="s">
        <v>307</v>
      </c>
      <c r="C143" s="14" t="s">
        <v>1511</v>
      </c>
      <c r="D143" s="14" t="s">
        <v>1512</v>
      </c>
      <c r="E143" s="16">
        <v>100</v>
      </c>
      <c r="F143" s="14" t="s">
        <v>1510</v>
      </c>
      <c r="G143" s="17">
        <v>1000</v>
      </c>
      <c r="H143" s="14" t="s">
        <v>1510</v>
      </c>
      <c r="I143" s="14" t="s">
        <v>1256</v>
      </c>
      <c r="J143" s="14" t="s">
        <v>1242</v>
      </c>
      <c r="K143" s="14" t="s">
        <v>1257</v>
      </c>
      <c r="L143" s="14" t="s">
        <v>1513</v>
      </c>
      <c r="M143" s="14" t="s">
        <v>1324</v>
      </c>
      <c r="N143" s="14" t="s">
        <v>1237</v>
      </c>
      <c r="O143" s="14" t="s">
        <v>1220</v>
      </c>
    </row>
    <row r="144" spans="1:15" x14ac:dyDescent="0.25">
      <c r="A144" s="14" t="s">
        <v>1514</v>
      </c>
      <c r="B144" s="14" t="s">
        <v>1515</v>
      </c>
      <c r="C144" s="14" t="s">
        <v>1516</v>
      </c>
      <c r="D144" s="14" t="s">
        <v>1517</v>
      </c>
      <c r="E144" s="15"/>
      <c r="F144" s="14" t="s">
        <v>1510</v>
      </c>
      <c r="G144" s="15"/>
      <c r="H144" s="14" t="s">
        <v>1510</v>
      </c>
      <c r="I144" s="14" t="s">
        <v>1262</v>
      </c>
      <c r="J144" s="14" t="s">
        <v>1262</v>
      </c>
      <c r="K144" s="14"/>
      <c r="L144" s="14" t="s">
        <v>1513</v>
      </c>
      <c r="M144" s="14" t="s">
        <v>1324</v>
      </c>
      <c r="N144" s="14" t="s">
        <v>1219</v>
      </c>
      <c r="O144" s="14" t="s">
        <v>1220</v>
      </c>
    </row>
    <row r="145" spans="1:15" x14ac:dyDescent="0.25">
      <c r="A145" s="14">
        <v>468</v>
      </c>
      <c r="B145" s="14" t="s">
        <v>1518</v>
      </c>
      <c r="C145" s="14" t="s">
        <v>1519</v>
      </c>
      <c r="D145" s="14" t="s">
        <v>1349</v>
      </c>
      <c r="E145" s="15"/>
      <c r="F145" s="14"/>
      <c r="G145" s="15"/>
      <c r="H145" s="14" t="s">
        <v>1510</v>
      </c>
      <c r="I145" s="14" t="s">
        <v>1360</v>
      </c>
      <c r="J145" s="14" t="s">
        <v>1360</v>
      </c>
      <c r="K145" s="14"/>
      <c r="L145" s="14"/>
      <c r="M145" s="14" t="s">
        <v>1324</v>
      </c>
      <c r="N145" s="14" t="s">
        <v>1219</v>
      </c>
      <c r="O145" s="14" t="s">
        <v>1220</v>
      </c>
    </row>
    <row r="146" spans="1:15" x14ac:dyDescent="0.25">
      <c r="A146" s="14">
        <v>168</v>
      </c>
      <c r="B146" s="14" t="s">
        <v>308</v>
      </c>
      <c r="C146" s="14" t="s">
        <v>1520</v>
      </c>
      <c r="D146" s="14" t="s">
        <v>1512</v>
      </c>
      <c r="E146" s="16">
        <v>60</v>
      </c>
      <c r="F146" s="14" t="s">
        <v>1510</v>
      </c>
      <c r="G146" s="16">
        <v>600</v>
      </c>
      <c r="H146" s="14" t="s">
        <v>1510</v>
      </c>
      <c r="I146" s="14" t="s">
        <v>1256</v>
      </c>
      <c r="J146" s="14" t="s">
        <v>1296</v>
      </c>
      <c r="K146" s="14" t="s">
        <v>1257</v>
      </c>
      <c r="L146" s="14" t="s">
        <v>1521</v>
      </c>
      <c r="M146" s="14" t="s">
        <v>1324</v>
      </c>
      <c r="N146" s="14" t="s">
        <v>1237</v>
      </c>
      <c r="O146" s="14" t="s">
        <v>1220</v>
      </c>
    </row>
    <row r="147" spans="1:15" x14ac:dyDescent="0.25">
      <c r="A147" s="14" t="s">
        <v>1522</v>
      </c>
      <c r="B147" s="14" t="s">
        <v>1523</v>
      </c>
      <c r="C147" s="14" t="s">
        <v>1524</v>
      </c>
      <c r="D147" s="14" t="s">
        <v>1512</v>
      </c>
      <c r="E147" s="15"/>
      <c r="F147" s="14" t="s">
        <v>1350</v>
      </c>
      <c r="G147" s="15"/>
      <c r="H147" s="14" t="s">
        <v>1510</v>
      </c>
      <c r="I147" s="14" t="s">
        <v>1262</v>
      </c>
      <c r="J147" s="14" t="s">
        <v>1262</v>
      </c>
      <c r="K147" s="14" t="s">
        <v>1257</v>
      </c>
      <c r="L147" s="14" t="s">
        <v>1521</v>
      </c>
      <c r="M147" s="14" t="s">
        <v>1324</v>
      </c>
      <c r="N147" s="14" t="s">
        <v>1219</v>
      </c>
      <c r="O147" s="14" t="s">
        <v>1220</v>
      </c>
    </row>
    <row r="148" spans="1:15" x14ac:dyDescent="0.25">
      <c r="A148" s="14">
        <v>492</v>
      </c>
      <c r="B148" s="14" t="s">
        <v>309</v>
      </c>
      <c r="C148" s="14" t="s">
        <v>1525</v>
      </c>
      <c r="D148" s="14" t="s">
        <v>1512</v>
      </c>
      <c r="E148" s="16">
        <v>60</v>
      </c>
      <c r="F148" s="14" t="s">
        <v>1510</v>
      </c>
      <c r="G148" s="16">
        <v>300</v>
      </c>
      <c r="H148" s="14" t="s">
        <v>1510</v>
      </c>
      <c r="I148" s="14" t="s">
        <v>1256</v>
      </c>
      <c r="J148" s="14" t="s">
        <v>1296</v>
      </c>
      <c r="K148" s="14" t="s">
        <v>1257</v>
      </c>
      <c r="L148" s="14" t="s">
        <v>1526</v>
      </c>
      <c r="M148" s="14" t="s">
        <v>1324</v>
      </c>
      <c r="N148" s="14" t="s">
        <v>1237</v>
      </c>
      <c r="O148" s="14" t="s">
        <v>1220</v>
      </c>
    </row>
    <row r="149" spans="1:15" x14ac:dyDescent="0.25">
      <c r="A149" s="14" t="s">
        <v>1527</v>
      </c>
      <c r="B149" s="14" t="s">
        <v>1528</v>
      </c>
      <c r="C149" s="14" t="s">
        <v>1529</v>
      </c>
      <c r="D149" s="14" t="s">
        <v>1512</v>
      </c>
      <c r="E149" s="15"/>
      <c r="F149" s="14" t="s">
        <v>1350</v>
      </c>
      <c r="G149" s="15"/>
      <c r="H149" s="14" t="s">
        <v>1510</v>
      </c>
      <c r="I149" s="14" t="s">
        <v>1262</v>
      </c>
      <c r="J149" s="14" t="s">
        <v>1262</v>
      </c>
      <c r="K149" s="14" t="s">
        <v>1257</v>
      </c>
      <c r="L149" s="14" t="s">
        <v>1526</v>
      </c>
      <c r="M149" s="14" t="s">
        <v>1324</v>
      </c>
      <c r="N149" s="14" t="s">
        <v>1219</v>
      </c>
      <c r="O149" s="14" t="s">
        <v>1220</v>
      </c>
    </row>
    <row r="150" spans="1:15" x14ac:dyDescent="0.25">
      <c r="A150" s="14">
        <v>4060101</v>
      </c>
      <c r="B150" s="14" t="s">
        <v>1530</v>
      </c>
      <c r="C150" s="14" t="s">
        <v>1530</v>
      </c>
      <c r="D150" s="14" t="s">
        <v>1215</v>
      </c>
      <c r="E150" s="15"/>
      <c r="F150" s="14"/>
      <c r="G150" s="15"/>
      <c r="H150" s="14" t="s">
        <v>1216</v>
      </c>
      <c r="I150" s="14" t="s">
        <v>1217</v>
      </c>
      <c r="J150" s="14"/>
      <c r="K150" s="14"/>
      <c r="L150" s="14"/>
      <c r="M150" s="14" t="s">
        <v>1218</v>
      </c>
      <c r="N150" s="14" t="s">
        <v>1219</v>
      </c>
      <c r="O150" s="14" t="s">
        <v>1220</v>
      </c>
    </row>
    <row r="151" spans="1:15" x14ac:dyDescent="0.25">
      <c r="A151" s="14">
        <v>10700002</v>
      </c>
      <c r="B151" s="14" t="s">
        <v>1531</v>
      </c>
      <c r="C151" s="14" t="s">
        <v>1531</v>
      </c>
      <c r="D151" s="14" t="s">
        <v>1532</v>
      </c>
      <c r="E151" s="15"/>
      <c r="F151" s="14" t="s">
        <v>1533</v>
      </c>
      <c r="G151" s="15"/>
      <c r="H151" s="14" t="s">
        <v>1534</v>
      </c>
      <c r="I151" s="14" t="s">
        <v>1360</v>
      </c>
      <c r="J151" s="14" t="s">
        <v>1360</v>
      </c>
      <c r="K151" s="14"/>
      <c r="L151" s="14"/>
      <c r="M151" s="14" t="s">
        <v>1218</v>
      </c>
      <c r="N151" s="14" t="s">
        <v>1219</v>
      </c>
      <c r="O151" s="14" t="s">
        <v>1220</v>
      </c>
    </row>
    <row r="152" spans="1:15" x14ac:dyDescent="0.25">
      <c r="A152" s="14">
        <v>2651</v>
      </c>
      <c r="B152" s="14" t="s">
        <v>13</v>
      </c>
      <c r="C152" s="14" t="s">
        <v>13</v>
      </c>
      <c r="D152" s="14" t="s">
        <v>1535</v>
      </c>
      <c r="E152" s="16">
        <v>100</v>
      </c>
      <c r="F152" s="14" t="s">
        <v>1536</v>
      </c>
      <c r="G152" s="17">
        <v>1000</v>
      </c>
      <c r="H152" s="14" t="s">
        <v>1535</v>
      </c>
      <c r="I152" s="14" t="s">
        <v>1256</v>
      </c>
      <c r="J152" s="14" t="s">
        <v>1233</v>
      </c>
      <c r="K152" s="14" t="s">
        <v>1537</v>
      </c>
      <c r="L152" s="14" t="s">
        <v>1538</v>
      </c>
      <c r="M152" s="14" t="s">
        <v>1539</v>
      </c>
      <c r="N152" s="14" t="s">
        <v>1237</v>
      </c>
      <c r="O152" s="14" t="s">
        <v>1220</v>
      </c>
    </row>
    <row r="153" spans="1:15" x14ac:dyDescent="0.25">
      <c r="A153" s="14">
        <v>2652</v>
      </c>
      <c r="B153" s="14" t="s">
        <v>1540</v>
      </c>
      <c r="C153" s="14" t="s">
        <v>1540</v>
      </c>
      <c r="D153" s="14" t="s">
        <v>1535</v>
      </c>
      <c r="E153" s="16">
        <v>140</v>
      </c>
      <c r="F153" s="14" t="s">
        <v>1536</v>
      </c>
      <c r="G153" s="16">
        <v>700</v>
      </c>
      <c r="H153" s="14" t="s">
        <v>1535</v>
      </c>
      <c r="I153" s="14" t="s">
        <v>1256</v>
      </c>
      <c r="J153" s="14" t="s">
        <v>1242</v>
      </c>
      <c r="K153" s="14" t="s">
        <v>1537</v>
      </c>
      <c r="L153" s="14" t="s">
        <v>1541</v>
      </c>
      <c r="M153" s="14" t="s">
        <v>1539</v>
      </c>
      <c r="N153" s="14" t="s">
        <v>1237</v>
      </c>
      <c r="O153" s="14" t="s">
        <v>1220</v>
      </c>
    </row>
    <row r="154" spans="1:15" x14ac:dyDescent="0.25">
      <c r="A154" s="14">
        <v>2606</v>
      </c>
      <c r="B154" s="14" t="s">
        <v>251</v>
      </c>
      <c r="C154" s="14" t="s">
        <v>1542</v>
      </c>
      <c r="D154" s="14" t="s">
        <v>1543</v>
      </c>
      <c r="E154" s="16">
        <v>120</v>
      </c>
      <c r="F154" s="14" t="s">
        <v>1544</v>
      </c>
      <c r="G154" s="17">
        <v>1080</v>
      </c>
      <c r="H154" s="14" t="s">
        <v>1545</v>
      </c>
      <c r="I154" s="14" t="s">
        <v>1256</v>
      </c>
      <c r="J154" s="14" t="s">
        <v>1296</v>
      </c>
      <c r="K154" s="14" t="s">
        <v>1546</v>
      </c>
      <c r="L154" s="14" t="s">
        <v>1547</v>
      </c>
      <c r="M154" s="14" t="s">
        <v>1548</v>
      </c>
      <c r="N154" s="14" t="s">
        <v>1237</v>
      </c>
      <c r="O154" s="14" t="s">
        <v>1220</v>
      </c>
    </row>
    <row r="155" spans="1:15" x14ac:dyDescent="0.25">
      <c r="A155" s="14">
        <v>2605</v>
      </c>
      <c r="B155" s="14" t="s">
        <v>252</v>
      </c>
      <c r="C155" s="14" t="s">
        <v>1549</v>
      </c>
      <c r="D155" s="14" t="s">
        <v>1543</v>
      </c>
      <c r="E155" s="16">
        <v>120</v>
      </c>
      <c r="F155" s="14" t="s">
        <v>1544</v>
      </c>
      <c r="G155" s="17">
        <v>1080</v>
      </c>
      <c r="H155" s="14" t="s">
        <v>1545</v>
      </c>
      <c r="I155" s="14" t="s">
        <v>1256</v>
      </c>
      <c r="J155" s="14" t="s">
        <v>1296</v>
      </c>
      <c r="K155" s="14" t="s">
        <v>1546</v>
      </c>
      <c r="L155" s="14" t="s">
        <v>1550</v>
      </c>
      <c r="M155" s="14" t="s">
        <v>1548</v>
      </c>
      <c r="N155" s="14" t="s">
        <v>1237</v>
      </c>
      <c r="O155" s="14" t="s">
        <v>1220</v>
      </c>
    </row>
    <row r="156" spans="1:15" x14ac:dyDescent="0.25">
      <c r="A156" s="14" t="s">
        <v>1551</v>
      </c>
      <c r="B156" s="14" t="s">
        <v>1552</v>
      </c>
      <c r="C156" s="14" t="s">
        <v>1552</v>
      </c>
      <c r="D156" s="14" t="s">
        <v>1553</v>
      </c>
      <c r="E156" s="15"/>
      <c r="F156" s="14" t="s">
        <v>1544</v>
      </c>
      <c r="G156" s="15"/>
      <c r="H156" s="14" t="s">
        <v>1545</v>
      </c>
      <c r="I156" s="14" t="s">
        <v>1262</v>
      </c>
      <c r="J156" s="14" t="s">
        <v>1262</v>
      </c>
      <c r="K156" s="14"/>
      <c r="L156" s="14" t="s">
        <v>1547</v>
      </c>
      <c r="M156" s="14" t="s">
        <v>1548</v>
      </c>
      <c r="N156" s="14" t="s">
        <v>1219</v>
      </c>
      <c r="O156" s="14" t="s">
        <v>1220</v>
      </c>
    </row>
    <row r="157" spans="1:15" x14ac:dyDescent="0.25">
      <c r="A157" s="14" t="s">
        <v>1554</v>
      </c>
      <c r="B157" s="14" t="s">
        <v>1555</v>
      </c>
      <c r="C157" s="14" t="s">
        <v>1555</v>
      </c>
      <c r="D157" s="14" t="s">
        <v>1553</v>
      </c>
      <c r="E157" s="15"/>
      <c r="F157" s="14" t="s">
        <v>1544</v>
      </c>
      <c r="G157" s="15"/>
      <c r="H157" s="14" t="s">
        <v>1545</v>
      </c>
      <c r="I157" s="14" t="s">
        <v>1262</v>
      </c>
      <c r="J157" s="14" t="s">
        <v>1262</v>
      </c>
      <c r="K157" s="14"/>
      <c r="L157" s="14" t="s">
        <v>1550</v>
      </c>
      <c r="M157" s="14" t="s">
        <v>1548</v>
      </c>
      <c r="N157" s="14" t="s">
        <v>1219</v>
      </c>
      <c r="O157" s="14" t="s">
        <v>1220</v>
      </c>
    </row>
    <row r="158" spans="1:15" x14ac:dyDescent="0.25">
      <c r="A158" s="14">
        <v>10020003</v>
      </c>
      <c r="B158" s="14" t="s">
        <v>1556</v>
      </c>
      <c r="C158" s="14" t="s">
        <v>1556</v>
      </c>
      <c r="D158" s="14" t="s">
        <v>1532</v>
      </c>
      <c r="E158" s="15"/>
      <c r="F158" s="14" t="s">
        <v>1533</v>
      </c>
      <c r="G158" s="15"/>
      <c r="H158" s="14" t="s">
        <v>1534</v>
      </c>
      <c r="I158" s="14" t="s">
        <v>1360</v>
      </c>
      <c r="J158" s="14" t="s">
        <v>1360</v>
      </c>
      <c r="K158" s="14"/>
      <c r="L158" s="14"/>
      <c r="M158" s="14" t="s">
        <v>1218</v>
      </c>
      <c r="N158" s="14" t="s">
        <v>1219</v>
      </c>
      <c r="O158" s="14" t="s">
        <v>1220</v>
      </c>
    </row>
    <row r="159" spans="1:15" x14ac:dyDescent="0.25">
      <c r="A159" s="14" t="s">
        <v>1557</v>
      </c>
      <c r="B159" s="14" t="s">
        <v>1558</v>
      </c>
      <c r="C159" s="14" t="s">
        <v>1558</v>
      </c>
      <c r="D159" s="14" t="s">
        <v>1545</v>
      </c>
      <c r="E159" s="15"/>
      <c r="F159" s="14" t="s">
        <v>1545</v>
      </c>
      <c r="G159" s="15"/>
      <c r="H159" s="14" t="s">
        <v>1545</v>
      </c>
      <c r="I159" s="14" t="s">
        <v>1262</v>
      </c>
      <c r="J159" s="14" t="s">
        <v>1262</v>
      </c>
      <c r="K159" s="14"/>
      <c r="L159" s="14" t="s">
        <v>1559</v>
      </c>
      <c r="M159" s="14" t="s">
        <v>1548</v>
      </c>
      <c r="N159" s="14" t="s">
        <v>1219</v>
      </c>
      <c r="O159" s="14" t="s">
        <v>1220</v>
      </c>
    </row>
    <row r="160" spans="1:15" x14ac:dyDescent="0.25">
      <c r="A160" s="14" t="s">
        <v>1560</v>
      </c>
      <c r="B160" s="14" t="s">
        <v>1561</v>
      </c>
      <c r="C160" s="14" t="s">
        <v>1561</v>
      </c>
      <c r="D160" s="14" t="s">
        <v>1545</v>
      </c>
      <c r="E160" s="15"/>
      <c r="F160" s="14" t="s">
        <v>1545</v>
      </c>
      <c r="G160" s="15"/>
      <c r="H160" s="14" t="s">
        <v>1545</v>
      </c>
      <c r="I160" s="14" t="s">
        <v>1262</v>
      </c>
      <c r="J160" s="14" t="s">
        <v>1262</v>
      </c>
      <c r="K160" s="14"/>
      <c r="L160" s="14" t="s">
        <v>1562</v>
      </c>
      <c r="M160" s="14" t="s">
        <v>1548</v>
      </c>
      <c r="N160" s="14" t="s">
        <v>1219</v>
      </c>
      <c r="O160" s="14" t="s">
        <v>1220</v>
      </c>
    </row>
    <row r="161" spans="1:15" x14ac:dyDescent="0.25">
      <c r="A161" s="14">
        <v>1330</v>
      </c>
      <c r="B161" s="14" t="s">
        <v>253</v>
      </c>
      <c r="C161" s="14" t="s">
        <v>253</v>
      </c>
      <c r="D161" s="14" t="s">
        <v>1543</v>
      </c>
      <c r="E161" s="17">
        <v>1000</v>
      </c>
      <c r="F161" s="14" t="s">
        <v>1545</v>
      </c>
      <c r="G161" s="17">
        <v>10000</v>
      </c>
      <c r="H161" s="14" t="s">
        <v>1545</v>
      </c>
      <c r="I161" s="14" t="s">
        <v>1256</v>
      </c>
      <c r="J161" s="14" t="s">
        <v>1233</v>
      </c>
      <c r="K161" s="14" t="s">
        <v>1257</v>
      </c>
      <c r="L161" s="14" t="s">
        <v>1559</v>
      </c>
      <c r="M161" s="14" t="s">
        <v>1548</v>
      </c>
      <c r="N161" s="14" t="s">
        <v>1237</v>
      </c>
      <c r="O161" s="14" t="s">
        <v>1220</v>
      </c>
    </row>
    <row r="162" spans="1:15" x14ac:dyDescent="0.25">
      <c r="A162" s="14">
        <v>2061</v>
      </c>
      <c r="B162" s="14" t="s">
        <v>254</v>
      </c>
      <c r="C162" s="14" t="s">
        <v>254</v>
      </c>
      <c r="D162" s="14" t="s">
        <v>1543</v>
      </c>
      <c r="E162" s="16">
        <v>500</v>
      </c>
      <c r="F162" s="14" t="s">
        <v>1545</v>
      </c>
      <c r="G162" s="17">
        <v>5000</v>
      </c>
      <c r="H162" s="14" t="s">
        <v>1545</v>
      </c>
      <c r="I162" s="14" t="s">
        <v>1256</v>
      </c>
      <c r="J162" s="14" t="s">
        <v>1242</v>
      </c>
      <c r="K162" s="14" t="s">
        <v>1257</v>
      </c>
      <c r="L162" s="14" t="s">
        <v>1562</v>
      </c>
      <c r="M162" s="14" t="s">
        <v>1548</v>
      </c>
      <c r="N162" s="14" t="s">
        <v>1237</v>
      </c>
      <c r="O162" s="14" t="s">
        <v>1220</v>
      </c>
    </row>
    <row r="163" spans="1:15" x14ac:dyDescent="0.25">
      <c r="A163" s="14">
        <v>4602</v>
      </c>
      <c r="B163" s="14" t="s">
        <v>255</v>
      </c>
      <c r="C163" s="14" t="s">
        <v>255</v>
      </c>
      <c r="D163" s="14" t="s">
        <v>1543</v>
      </c>
      <c r="E163" s="17">
        <v>1000</v>
      </c>
      <c r="F163" s="14" t="s">
        <v>1545</v>
      </c>
      <c r="G163" s="17">
        <v>1000</v>
      </c>
      <c r="H163" s="14" t="s">
        <v>1545</v>
      </c>
      <c r="I163" s="14" t="s">
        <v>1256</v>
      </c>
      <c r="J163" s="14" t="s">
        <v>1242</v>
      </c>
      <c r="K163" s="14" t="s">
        <v>1546</v>
      </c>
      <c r="L163" s="14" t="s">
        <v>1563</v>
      </c>
      <c r="M163" s="14" t="s">
        <v>1548</v>
      </c>
      <c r="N163" s="14" t="s">
        <v>1237</v>
      </c>
      <c r="O163" s="14" t="s">
        <v>1220</v>
      </c>
    </row>
    <row r="164" spans="1:15" x14ac:dyDescent="0.25">
      <c r="A164" s="14" t="s">
        <v>1564</v>
      </c>
      <c r="B164" s="14" t="s">
        <v>1565</v>
      </c>
      <c r="C164" s="14" t="s">
        <v>1565</v>
      </c>
      <c r="D164" s="14" t="s">
        <v>1553</v>
      </c>
      <c r="E164" s="15"/>
      <c r="F164" s="14" t="s">
        <v>1545</v>
      </c>
      <c r="G164" s="15"/>
      <c r="H164" s="14" t="s">
        <v>1545</v>
      </c>
      <c r="I164" s="14" t="s">
        <v>1262</v>
      </c>
      <c r="J164" s="14" t="s">
        <v>1262</v>
      </c>
      <c r="K164" s="14"/>
      <c r="L164" s="14" t="s">
        <v>1563</v>
      </c>
      <c r="M164" s="14" t="s">
        <v>1548</v>
      </c>
      <c r="N164" s="14" t="s">
        <v>1219</v>
      </c>
      <c r="O164" s="14" t="s">
        <v>1220</v>
      </c>
    </row>
    <row r="165" spans="1:15" x14ac:dyDescent="0.25">
      <c r="A165" s="14">
        <v>4603</v>
      </c>
      <c r="B165" s="14" t="s">
        <v>256</v>
      </c>
      <c r="C165" s="14" t="s">
        <v>256</v>
      </c>
      <c r="D165" s="14" t="s">
        <v>1543</v>
      </c>
      <c r="E165" s="16">
        <v>500</v>
      </c>
      <c r="F165" s="14" t="s">
        <v>1545</v>
      </c>
      <c r="G165" s="16">
        <v>500</v>
      </c>
      <c r="H165" s="14" t="s">
        <v>1545</v>
      </c>
      <c r="I165" s="14" t="s">
        <v>1256</v>
      </c>
      <c r="J165" s="14" t="s">
        <v>1296</v>
      </c>
      <c r="K165" s="14" t="s">
        <v>1546</v>
      </c>
      <c r="L165" s="14" t="s">
        <v>1566</v>
      </c>
      <c r="M165" s="14" t="s">
        <v>1548</v>
      </c>
      <c r="N165" s="14" t="s">
        <v>1237</v>
      </c>
      <c r="O165" s="14" t="s">
        <v>1220</v>
      </c>
    </row>
    <row r="166" spans="1:15" x14ac:dyDescent="0.25">
      <c r="A166" s="14" t="s">
        <v>1567</v>
      </c>
      <c r="B166" s="14" t="s">
        <v>1568</v>
      </c>
      <c r="C166" s="14" t="s">
        <v>1568</v>
      </c>
      <c r="D166" s="14" t="s">
        <v>1553</v>
      </c>
      <c r="E166" s="15"/>
      <c r="F166" s="14" t="s">
        <v>1545</v>
      </c>
      <c r="G166" s="15"/>
      <c r="H166" s="14" t="s">
        <v>1545</v>
      </c>
      <c r="I166" s="14" t="s">
        <v>1262</v>
      </c>
      <c r="J166" s="14" t="s">
        <v>1262</v>
      </c>
      <c r="K166" s="14"/>
      <c r="L166" s="14" t="s">
        <v>1566</v>
      </c>
      <c r="M166" s="14" t="s">
        <v>1548</v>
      </c>
      <c r="N166" s="14" t="s">
        <v>1219</v>
      </c>
      <c r="O166" s="14" t="s">
        <v>1220</v>
      </c>
    </row>
    <row r="167" spans="1:15" x14ac:dyDescent="0.25">
      <c r="A167" s="14" t="s">
        <v>1569</v>
      </c>
      <c r="B167" s="14" t="s">
        <v>1570</v>
      </c>
      <c r="C167" s="14" t="s">
        <v>1570</v>
      </c>
      <c r="D167" s="14" t="s">
        <v>1349</v>
      </c>
      <c r="E167" s="15"/>
      <c r="F167" s="14"/>
      <c r="G167" s="15"/>
      <c r="H167" s="14" t="s">
        <v>1380</v>
      </c>
      <c r="I167" s="14" t="s">
        <v>1360</v>
      </c>
      <c r="J167" s="14" t="s">
        <v>1360</v>
      </c>
      <c r="K167" s="14"/>
      <c r="L167" s="14"/>
      <c r="M167" s="14" t="s">
        <v>1324</v>
      </c>
      <c r="N167" s="14" t="s">
        <v>1219</v>
      </c>
      <c r="O167" s="14" t="s">
        <v>1220</v>
      </c>
    </row>
    <row r="168" spans="1:15" x14ac:dyDescent="0.25">
      <c r="A168" s="14" t="s">
        <v>1571</v>
      </c>
      <c r="B168" s="14" t="s">
        <v>1572</v>
      </c>
      <c r="C168" s="14" t="s">
        <v>1572</v>
      </c>
      <c r="D168" s="14" t="s">
        <v>1573</v>
      </c>
      <c r="E168" s="15"/>
      <c r="F168" s="14" t="s">
        <v>1350</v>
      </c>
      <c r="G168" s="15"/>
      <c r="H168" s="14" t="s">
        <v>1380</v>
      </c>
      <c r="I168" s="14" t="s">
        <v>1360</v>
      </c>
      <c r="J168" s="14" t="s">
        <v>1360</v>
      </c>
      <c r="K168" s="14" t="s">
        <v>1257</v>
      </c>
      <c r="L168" s="14" t="s">
        <v>1566</v>
      </c>
      <c r="M168" s="14" t="s">
        <v>1324</v>
      </c>
      <c r="N168" s="14" t="s">
        <v>1219</v>
      </c>
      <c r="O168" s="14" t="s">
        <v>1220</v>
      </c>
    </row>
    <row r="169" spans="1:15" x14ac:dyDescent="0.25">
      <c r="A169" s="14" t="s">
        <v>1574</v>
      </c>
      <c r="B169" s="14" t="s">
        <v>1575</v>
      </c>
      <c r="C169" s="14" t="s">
        <v>1575</v>
      </c>
      <c r="D169" s="14" t="s">
        <v>1222</v>
      </c>
      <c r="E169" s="15"/>
      <c r="F169" s="14"/>
      <c r="G169" s="15"/>
      <c r="H169" s="14" t="s">
        <v>1223</v>
      </c>
      <c r="I169" s="14"/>
      <c r="J169" s="14"/>
      <c r="K169" s="14"/>
      <c r="L169" s="14"/>
      <c r="M169" s="14"/>
      <c r="N169" s="14" t="s">
        <v>1219</v>
      </c>
      <c r="O169" s="14" t="s">
        <v>1220</v>
      </c>
    </row>
    <row r="170" spans="1:15" x14ac:dyDescent="0.25">
      <c r="A170" s="14">
        <v>1000</v>
      </c>
      <c r="B170" s="14" t="s">
        <v>1576</v>
      </c>
      <c r="C170" s="14" t="s">
        <v>1576</v>
      </c>
      <c r="D170" s="14" t="s">
        <v>1577</v>
      </c>
      <c r="E170" s="16">
        <v>140</v>
      </c>
      <c r="F170" s="14" t="s">
        <v>1321</v>
      </c>
      <c r="G170" s="16">
        <v>100</v>
      </c>
      <c r="H170" s="14" t="s">
        <v>1578</v>
      </c>
      <c r="I170" s="14" t="s">
        <v>1232</v>
      </c>
      <c r="J170" s="14" t="s">
        <v>1296</v>
      </c>
      <c r="K170" s="14" t="s">
        <v>1579</v>
      </c>
      <c r="L170" s="14" t="s">
        <v>1580</v>
      </c>
      <c r="M170" s="14" t="s">
        <v>1324</v>
      </c>
      <c r="N170" s="14" t="s">
        <v>1219</v>
      </c>
      <c r="O170" s="14" t="s">
        <v>1220</v>
      </c>
    </row>
    <row r="171" spans="1:15" x14ac:dyDescent="0.25">
      <c r="A171" s="14">
        <v>1001</v>
      </c>
      <c r="B171" s="14" t="s">
        <v>1581</v>
      </c>
      <c r="C171" s="14" t="s">
        <v>1581</v>
      </c>
      <c r="D171" s="14" t="s">
        <v>1577</v>
      </c>
      <c r="E171" s="16">
        <v>140</v>
      </c>
      <c r="F171" s="14" t="s">
        <v>1321</v>
      </c>
      <c r="G171" s="16">
        <v>100</v>
      </c>
      <c r="H171" s="14" t="s">
        <v>1578</v>
      </c>
      <c r="I171" s="14" t="s">
        <v>1232</v>
      </c>
      <c r="J171" s="14" t="s">
        <v>1296</v>
      </c>
      <c r="K171" s="14" t="s">
        <v>1579</v>
      </c>
      <c r="L171" s="14" t="s">
        <v>1582</v>
      </c>
      <c r="M171" s="14" t="s">
        <v>1324</v>
      </c>
      <c r="N171" s="14" t="s">
        <v>1219</v>
      </c>
      <c r="O171" s="14" t="s">
        <v>1220</v>
      </c>
    </row>
    <row r="172" spans="1:15" x14ac:dyDescent="0.25">
      <c r="A172" s="14">
        <v>88500001</v>
      </c>
      <c r="B172" s="14" t="s">
        <v>1583</v>
      </c>
      <c r="C172" s="14" t="s">
        <v>1583</v>
      </c>
      <c r="D172" s="14" t="s">
        <v>1584</v>
      </c>
      <c r="E172" s="15"/>
      <c r="F172" s="14" t="s">
        <v>1533</v>
      </c>
      <c r="G172" s="15"/>
      <c r="H172" s="14" t="s">
        <v>1534</v>
      </c>
      <c r="I172" s="14" t="s">
        <v>1360</v>
      </c>
      <c r="J172" s="14" t="s">
        <v>1360</v>
      </c>
      <c r="K172" s="14"/>
      <c r="L172" s="14"/>
      <c r="M172" s="14" t="s">
        <v>1218</v>
      </c>
      <c r="N172" s="14" t="s">
        <v>1219</v>
      </c>
      <c r="O172" s="14" t="s">
        <v>1220</v>
      </c>
    </row>
    <row r="173" spans="1:15" x14ac:dyDescent="0.25">
      <c r="A173" s="14" t="s">
        <v>1585</v>
      </c>
      <c r="B173" s="14" t="s">
        <v>1586</v>
      </c>
      <c r="C173" s="14" t="s">
        <v>1586</v>
      </c>
      <c r="D173" s="14" t="s">
        <v>1587</v>
      </c>
      <c r="E173" s="15"/>
      <c r="F173" s="14"/>
      <c r="G173" s="15"/>
      <c r="H173" s="14" t="s">
        <v>1588</v>
      </c>
      <c r="I173" s="14"/>
      <c r="J173" s="14"/>
      <c r="K173" s="14"/>
      <c r="L173" s="14" t="s">
        <v>1589</v>
      </c>
      <c r="M173" s="14"/>
      <c r="N173" s="14" t="s">
        <v>1219</v>
      </c>
      <c r="O173" s="14" t="s">
        <v>1429</v>
      </c>
    </row>
    <row r="174" spans="1:15" x14ac:dyDescent="0.25">
      <c r="A174" s="14" t="s">
        <v>1590</v>
      </c>
      <c r="B174" s="14" t="s">
        <v>1591</v>
      </c>
      <c r="C174" s="14" t="s">
        <v>1591</v>
      </c>
      <c r="D174" s="14" t="s">
        <v>1587</v>
      </c>
      <c r="E174" s="15"/>
      <c r="F174" s="14"/>
      <c r="G174" s="15"/>
      <c r="H174" s="14" t="s">
        <v>1588</v>
      </c>
      <c r="I174" s="14"/>
      <c r="J174" s="14"/>
      <c r="K174" s="14"/>
      <c r="L174" s="14" t="s">
        <v>1592</v>
      </c>
      <c r="M174" s="14"/>
      <c r="N174" s="14" t="s">
        <v>1219</v>
      </c>
      <c r="O174" s="14" t="s">
        <v>1429</v>
      </c>
    </row>
    <row r="175" spans="1:15" x14ac:dyDescent="0.25">
      <c r="A175" s="14" t="s">
        <v>1593</v>
      </c>
      <c r="B175" s="14" t="s">
        <v>1594</v>
      </c>
      <c r="C175" s="14" t="s">
        <v>1594</v>
      </c>
      <c r="D175" s="14" t="s">
        <v>1587</v>
      </c>
      <c r="E175" s="15"/>
      <c r="F175" s="14"/>
      <c r="G175" s="15"/>
      <c r="H175" s="14" t="s">
        <v>1588</v>
      </c>
      <c r="I175" s="14"/>
      <c r="J175" s="14"/>
      <c r="K175" s="14"/>
      <c r="L175" s="14" t="s">
        <v>1595</v>
      </c>
      <c r="M175" s="14"/>
      <c r="N175" s="14" t="s">
        <v>1219</v>
      </c>
      <c r="O175" s="14" t="s">
        <v>1429</v>
      </c>
    </row>
    <row r="176" spans="1:15" x14ac:dyDescent="0.25">
      <c r="A176" s="14" t="s">
        <v>1596</v>
      </c>
      <c r="B176" s="14" t="s">
        <v>1597</v>
      </c>
      <c r="C176" s="14" t="s">
        <v>1597</v>
      </c>
      <c r="D176" s="14" t="s">
        <v>1587</v>
      </c>
      <c r="E176" s="15"/>
      <c r="F176" s="14"/>
      <c r="G176" s="15"/>
      <c r="H176" s="14" t="s">
        <v>1588</v>
      </c>
      <c r="I176" s="14"/>
      <c r="J176" s="14"/>
      <c r="K176" s="14"/>
      <c r="L176" s="14" t="s">
        <v>1598</v>
      </c>
      <c r="M176" s="14"/>
      <c r="N176" s="14" t="s">
        <v>1219</v>
      </c>
      <c r="O176" s="14" t="s">
        <v>1429</v>
      </c>
    </row>
    <row r="177" spans="1:15" x14ac:dyDescent="0.25">
      <c r="A177" s="14" t="s">
        <v>1599</v>
      </c>
      <c r="B177" s="14" t="s">
        <v>1600</v>
      </c>
      <c r="C177" s="14" t="s">
        <v>1600</v>
      </c>
      <c r="D177" s="14" t="s">
        <v>1587</v>
      </c>
      <c r="E177" s="15"/>
      <c r="F177" s="14"/>
      <c r="G177" s="15"/>
      <c r="H177" s="14" t="s">
        <v>1588</v>
      </c>
      <c r="I177" s="14"/>
      <c r="J177" s="14"/>
      <c r="K177" s="14"/>
      <c r="L177" s="14" t="s">
        <v>1601</v>
      </c>
      <c r="M177" s="14"/>
      <c r="N177" s="14" t="s">
        <v>1219</v>
      </c>
      <c r="O177" s="14" t="s">
        <v>1429</v>
      </c>
    </row>
    <row r="178" spans="1:15" x14ac:dyDescent="0.25">
      <c r="A178" s="14" t="s">
        <v>1602</v>
      </c>
      <c r="B178" s="14" t="s">
        <v>1603</v>
      </c>
      <c r="C178" s="14" t="s">
        <v>1603</v>
      </c>
      <c r="D178" s="14" t="s">
        <v>1587</v>
      </c>
      <c r="E178" s="15"/>
      <c r="F178" s="14"/>
      <c r="G178" s="15"/>
      <c r="H178" s="14" t="s">
        <v>1588</v>
      </c>
      <c r="I178" s="14"/>
      <c r="J178" s="14"/>
      <c r="K178" s="14"/>
      <c r="L178" s="14" t="s">
        <v>1604</v>
      </c>
      <c r="M178" s="14"/>
      <c r="N178" s="14" t="s">
        <v>1219</v>
      </c>
      <c r="O178" s="14" t="s">
        <v>1429</v>
      </c>
    </row>
    <row r="179" spans="1:15" x14ac:dyDescent="0.25">
      <c r="A179" s="14">
        <v>2746</v>
      </c>
      <c r="B179" s="14" t="s">
        <v>15</v>
      </c>
      <c r="C179" s="14" t="s">
        <v>15</v>
      </c>
      <c r="D179" s="14" t="s">
        <v>1535</v>
      </c>
      <c r="E179" s="16">
        <v>12</v>
      </c>
      <c r="F179" s="14" t="s">
        <v>1536</v>
      </c>
      <c r="G179" s="16">
        <v>480</v>
      </c>
      <c r="H179" s="14" t="s">
        <v>1535</v>
      </c>
      <c r="I179" s="14" t="s">
        <v>1256</v>
      </c>
      <c r="J179" s="14" t="s">
        <v>1233</v>
      </c>
      <c r="K179" s="14" t="s">
        <v>1537</v>
      </c>
      <c r="L179" s="14" t="s">
        <v>1605</v>
      </c>
      <c r="M179" s="14" t="s">
        <v>1606</v>
      </c>
      <c r="N179" s="14" t="s">
        <v>1237</v>
      </c>
      <c r="O179" s="14" t="s">
        <v>1220</v>
      </c>
    </row>
    <row r="180" spans="1:15" x14ac:dyDescent="0.25">
      <c r="A180" s="14">
        <v>2745</v>
      </c>
      <c r="B180" s="14" t="s">
        <v>16</v>
      </c>
      <c r="C180" s="14" t="s">
        <v>16</v>
      </c>
      <c r="D180" s="14" t="s">
        <v>1535</v>
      </c>
      <c r="E180" s="16">
        <v>12</v>
      </c>
      <c r="F180" s="14" t="s">
        <v>1536</v>
      </c>
      <c r="G180" s="16">
        <v>480</v>
      </c>
      <c r="H180" s="14" t="s">
        <v>1535</v>
      </c>
      <c r="I180" s="14" t="s">
        <v>1256</v>
      </c>
      <c r="J180" s="14" t="s">
        <v>1233</v>
      </c>
      <c r="K180" s="14" t="s">
        <v>1537</v>
      </c>
      <c r="L180" s="14" t="s">
        <v>1607</v>
      </c>
      <c r="M180" s="14" t="s">
        <v>1606</v>
      </c>
      <c r="N180" s="14" t="s">
        <v>1237</v>
      </c>
      <c r="O180" s="14" t="s">
        <v>1220</v>
      </c>
    </row>
    <row r="181" spans="1:15" x14ac:dyDescent="0.25">
      <c r="A181" s="14">
        <v>2747</v>
      </c>
      <c r="B181" s="14" t="s">
        <v>17</v>
      </c>
      <c r="C181" s="14" t="s">
        <v>17</v>
      </c>
      <c r="D181" s="14" t="s">
        <v>1535</v>
      </c>
      <c r="E181" s="16">
        <v>5</v>
      </c>
      <c r="F181" s="14" t="s">
        <v>1536</v>
      </c>
      <c r="G181" s="16">
        <v>100</v>
      </c>
      <c r="H181" s="14" t="s">
        <v>1535</v>
      </c>
      <c r="I181" s="14" t="s">
        <v>1256</v>
      </c>
      <c r="J181" s="14" t="s">
        <v>1242</v>
      </c>
      <c r="K181" s="14" t="s">
        <v>1537</v>
      </c>
      <c r="L181" s="14" t="s">
        <v>1608</v>
      </c>
      <c r="M181" s="14" t="s">
        <v>1539</v>
      </c>
      <c r="N181" s="14" t="s">
        <v>1237</v>
      </c>
      <c r="O181" s="14" t="s">
        <v>1220</v>
      </c>
    </row>
    <row r="182" spans="1:15" x14ac:dyDescent="0.25">
      <c r="A182" s="14" t="s">
        <v>1609</v>
      </c>
      <c r="B182" s="14" t="s">
        <v>1610</v>
      </c>
      <c r="C182" s="14" t="s">
        <v>1610</v>
      </c>
      <c r="D182" s="14" t="s">
        <v>1349</v>
      </c>
      <c r="E182" s="15"/>
      <c r="F182" s="14" t="s">
        <v>1611</v>
      </c>
      <c r="G182" s="15"/>
      <c r="H182" s="14" t="s">
        <v>1612</v>
      </c>
      <c r="I182" s="14"/>
      <c r="J182" s="14" t="s">
        <v>1360</v>
      </c>
      <c r="K182" s="14"/>
      <c r="L182" s="14"/>
      <c r="M182" s="14" t="s">
        <v>1613</v>
      </c>
      <c r="N182" s="14" t="s">
        <v>1219</v>
      </c>
      <c r="O182" s="14" t="s">
        <v>1220</v>
      </c>
    </row>
    <row r="183" spans="1:15" x14ac:dyDescent="0.25">
      <c r="A183" s="14" t="s">
        <v>1614</v>
      </c>
      <c r="B183" s="14" t="s">
        <v>1615</v>
      </c>
      <c r="C183" s="14" t="s">
        <v>1615</v>
      </c>
      <c r="D183" s="14" t="s">
        <v>1349</v>
      </c>
      <c r="E183" s="15"/>
      <c r="F183" s="14" t="s">
        <v>1611</v>
      </c>
      <c r="G183" s="15"/>
      <c r="H183" s="14" t="s">
        <v>1612</v>
      </c>
      <c r="I183" s="14"/>
      <c r="J183" s="14" t="s">
        <v>1360</v>
      </c>
      <c r="K183" s="14"/>
      <c r="L183" s="14"/>
      <c r="M183" s="14" t="s">
        <v>1613</v>
      </c>
      <c r="N183" s="14" t="s">
        <v>1219</v>
      </c>
      <c r="O183" s="14" t="s">
        <v>1220</v>
      </c>
    </row>
    <row r="184" spans="1:15" x14ac:dyDescent="0.25">
      <c r="A184" s="14" t="s">
        <v>1616</v>
      </c>
      <c r="B184" s="14" t="s">
        <v>1617</v>
      </c>
      <c r="C184" s="14" t="s">
        <v>1617</v>
      </c>
      <c r="D184" s="14" t="s">
        <v>1349</v>
      </c>
      <c r="E184" s="15"/>
      <c r="F184" s="14" t="s">
        <v>1611</v>
      </c>
      <c r="G184" s="15"/>
      <c r="H184" s="14" t="s">
        <v>1612</v>
      </c>
      <c r="I184" s="14"/>
      <c r="J184" s="14" t="s">
        <v>1360</v>
      </c>
      <c r="K184" s="14"/>
      <c r="L184" s="14"/>
      <c r="M184" s="14" t="s">
        <v>1613</v>
      </c>
      <c r="N184" s="14" t="s">
        <v>1219</v>
      </c>
      <c r="O184" s="14" t="s">
        <v>1220</v>
      </c>
    </row>
    <row r="185" spans="1:15" x14ac:dyDescent="0.25">
      <c r="A185" s="14" t="s">
        <v>1618</v>
      </c>
      <c r="B185" s="14" t="s">
        <v>1619</v>
      </c>
      <c r="C185" s="14" t="s">
        <v>1619</v>
      </c>
      <c r="D185" s="14" t="s">
        <v>1349</v>
      </c>
      <c r="E185" s="15"/>
      <c r="F185" s="14" t="s">
        <v>1611</v>
      </c>
      <c r="G185" s="15"/>
      <c r="H185" s="14" t="s">
        <v>1612</v>
      </c>
      <c r="I185" s="14"/>
      <c r="J185" s="14" t="s">
        <v>1360</v>
      </c>
      <c r="K185" s="14"/>
      <c r="L185" s="14"/>
      <c r="M185" s="14" t="s">
        <v>1613</v>
      </c>
      <c r="N185" s="14" t="s">
        <v>1219</v>
      </c>
      <c r="O185" s="14" t="s">
        <v>1220</v>
      </c>
    </row>
    <row r="186" spans="1:15" x14ac:dyDescent="0.25">
      <c r="A186" s="14" t="s">
        <v>1620</v>
      </c>
      <c r="B186" s="14" t="s">
        <v>1621</v>
      </c>
      <c r="C186" s="14" t="s">
        <v>1621</v>
      </c>
      <c r="D186" s="14" t="s">
        <v>1349</v>
      </c>
      <c r="E186" s="15"/>
      <c r="F186" s="14" t="s">
        <v>1611</v>
      </c>
      <c r="G186" s="15"/>
      <c r="H186" s="14" t="s">
        <v>1612</v>
      </c>
      <c r="I186" s="14"/>
      <c r="J186" s="14" t="s">
        <v>1360</v>
      </c>
      <c r="K186" s="14"/>
      <c r="L186" s="14"/>
      <c r="M186" s="14" t="s">
        <v>1613</v>
      </c>
      <c r="N186" s="14" t="s">
        <v>1219</v>
      </c>
      <c r="O186" s="14" t="s">
        <v>1220</v>
      </c>
    </row>
    <row r="187" spans="1:15" x14ac:dyDescent="0.25">
      <c r="A187" s="14" t="s">
        <v>1622</v>
      </c>
      <c r="B187" s="14" t="s">
        <v>1623</v>
      </c>
      <c r="C187" s="14" t="s">
        <v>1623</v>
      </c>
      <c r="D187" s="14" t="s">
        <v>1349</v>
      </c>
      <c r="E187" s="15"/>
      <c r="F187" s="14" t="s">
        <v>1611</v>
      </c>
      <c r="G187" s="15"/>
      <c r="H187" s="14" t="s">
        <v>1612</v>
      </c>
      <c r="I187" s="14"/>
      <c r="J187" s="14" t="s">
        <v>1360</v>
      </c>
      <c r="K187" s="14"/>
      <c r="L187" s="14"/>
      <c r="M187" s="14" t="s">
        <v>1613</v>
      </c>
      <c r="N187" s="14" t="s">
        <v>1219</v>
      </c>
      <c r="O187" s="14" t="s">
        <v>1220</v>
      </c>
    </row>
    <row r="188" spans="1:15" x14ac:dyDescent="0.25">
      <c r="A188" s="14" t="s">
        <v>1624</v>
      </c>
      <c r="B188" s="14" t="s">
        <v>1625</v>
      </c>
      <c r="C188" s="14" t="s">
        <v>1625</v>
      </c>
      <c r="D188" s="14" t="s">
        <v>1349</v>
      </c>
      <c r="E188" s="15"/>
      <c r="F188" s="14" t="s">
        <v>1611</v>
      </c>
      <c r="G188" s="15"/>
      <c r="H188" s="14" t="s">
        <v>1612</v>
      </c>
      <c r="I188" s="14"/>
      <c r="J188" s="14" t="s">
        <v>1360</v>
      </c>
      <c r="K188" s="14"/>
      <c r="L188" s="14"/>
      <c r="M188" s="14" t="s">
        <v>1613</v>
      </c>
      <c r="N188" s="14" t="s">
        <v>1219</v>
      </c>
      <c r="O188" s="14" t="s">
        <v>1220</v>
      </c>
    </row>
    <row r="189" spans="1:15" x14ac:dyDescent="0.25">
      <c r="A189" s="14" t="s">
        <v>1626</v>
      </c>
      <c r="B189" s="14" t="s">
        <v>1627</v>
      </c>
      <c r="C189" s="14" t="s">
        <v>1627</v>
      </c>
      <c r="D189" s="14" t="s">
        <v>1349</v>
      </c>
      <c r="E189" s="15"/>
      <c r="F189" s="14" t="s">
        <v>1611</v>
      </c>
      <c r="G189" s="15"/>
      <c r="H189" s="14" t="s">
        <v>1612</v>
      </c>
      <c r="I189" s="14"/>
      <c r="J189" s="14" t="s">
        <v>1360</v>
      </c>
      <c r="K189" s="14"/>
      <c r="L189" s="14"/>
      <c r="M189" s="14" t="s">
        <v>1613</v>
      </c>
      <c r="N189" s="14" t="s">
        <v>1219</v>
      </c>
      <c r="O189" s="14" t="s">
        <v>1220</v>
      </c>
    </row>
    <row r="190" spans="1:15" x14ac:dyDescent="0.25">
      <c r="A190" s="14">
        <v>53344</v>
      </c>
      <c r="B190" s="14" t="s">
        <v>1628</v>
      </c>
      <c r="C190" s="14" t="s">
        <v>1628</v>
      </c>
      <c r="D190" s="14" t="s">
        <v>1222</v>
      </c>
      <c r="E190" s="15"/>
      <c r="F190" s="14"/>
      <c r="G190" s="15"/>
      <c r="H190" s="14" t="s">
        <v>1223</v>
      </c>
      <c r="I190" s="14"/>
      <c r="J190" s="14"/>
      <c r="K190" s="14"/>
      <c r="L190" s="14"/>
      <c r="M190" s="14"/>
      <c r="N190" s="14" t="s">
        <v>1219</v>
      </c>
      <c r="O190" s="14" t="s">
        <v>1220</v>
      </c>
    </row>
    <row r="191" spans="1:15" x14ac:dyDescent="0.25">
      <c r="A191" s="14">
        <v>51020</v>
      </c>
      <c r="B191" s="14" t="s">
        <v>1629</v>
      </c>
      <c r="C191" s="14" t="s">
        <v>1629</v>
      </c>
      <c r="D191" s="14" t="s">
        <v>1222</v>
      </c>
      <c r="E191" s="15"/>
      <c r="F191" s="14"/>
      <c r="G191" s="15"/>
      <c r="H191" s="14" t="s">
        <v>1223</v>
      </c>
      <c r="I191" s="14"/>
      <c r="J191" s="14"/>
      <c r="K191" s="14"/>
      <c r="L191" s="14"/>
      <c r="M191" s="14"/>
      <c r="N191" s="14" t="s">
        <v>1219</v>
      </c>
      <c r="O191" s="14" t="s">
        <v>1220</v>
      </c>
    </row>
    <row r="192" spans="1:15" x14ac:dyDescent="0.25">
      <c r="A192" s="14">
        <v>51040</v>
      </c>
      <c r="B192" s="14" t="s">
        <v>1630</v>
      </c>
      <c r="C192" s="14" t="s">
        <v>1630</v>
      </c>
      <c r="D192" s="14" t="s">
        <v>1222</v>
      </c>
      <c r="E192" s="15"/>
      <c r="F192" s="14"/>
      <c r="G192" s="15"/>
      <c r="H192" s="14" t="s">
        <v>1223</v>
      </c>
      <c r="I192" s="14"/>
      <c r="J192" s="14"/>
      <c r="K192" s="14"/>
      <c r="L192" s="14"/>
      <c r="M192" s="14"/>
      <c r="N192" s="14" t="s">
        <v>1219</v>
      </c>
      <c r="O192" s="14" t="s">
        <v>1220</v>
      </c>
    </row>
    <row r="193" spans="1:15" x14ac:dyDescent="0.25">
      <c r="A193" s="14">
        <v>1000483632</v>
      </c>
      <c r="B193" s="14" t="s">
        <v>1631</v>
      </c>
      <c r="C193" s="14" t="s">
        <v>1631</v>
      </c>
      <c r="D193" s="14" t="s">
        <v>1222</v>
      </c>
      <c r="E193" s="15"/>
      <c r="F193" s="14"/>
      <c r="G193" s="15"/>
      <c r="H193" s="14" t="s">
        <v>1223</v>
      </c>
      <c r="I193" s="14"/>
      <c r="J193" s="14"/>
      <c r="K193" s="14"/>
      <c r="L193" s="14"/>
      <c r="M193" s="14"/>
      <c r="N193" s="14" t="s">
        <v>1219</v>
      </c>
      <c r="O193" s="14" t="s">
        <v>1220</v>
      </c>
    </row>
    <row r="194" spans="1:15" x14ac:dyDescent="0.25">
      <c r="A194" s="14">
        <v>1000443736</v>
      </c>
      <c r="B194" s="14" t="s">
        <v>1632</v>
      </c>
      <c r="C194" s="14" t="s">
        <v>1632</v>
      </c>
      <c r="D194" s="14" t="s">
        <v>1222</v>
      </c>
      <c r="E194" s="15"/>
      <c r="F194" s="14"/>
      <c r="G194" s="15"/>
      <c r="H194" s="14" t="s">
        <v>1223</v>
      </c>
      <c r="I194" s="14"/>
      <c r="J194" s="14"/>
      <c r="K194" s="14"/>
      <c r="L194" s="14"/>
      <c r="M194" s="14"/>
      <c r="N194" s="14" t="s">
        <v>1219</v>
      </c>
      <c r="O194" s="14" t="s">
        <v>1220</v>
      </c>
    </row>
    <row r="195" spans="1:15" x14ac:dyDescent="0.25">
      <c r="A195" s="14" t="s">
        <v>1633</v>
      </c>
      <c r="B195" s="14" t="s">
        <v>1634</v>
      </c>
      <c r="C195" s="14" t="s">
        <v>1634</v>
      </c>
      <c r="D195" s="14" t="s">
        <v>1222</v>
      </c>
      <c r="E195" s="15"/>
      <c r="F195" s="14"/>
      <c r="G195" s="15"/>
      <c r="H195" s="14" t="s">
        <v>1223</v>
      </c>
      <c r="I195" s="14"/>
      <c r="J195" s="14"/>
      <c r="K195" s="14"/>
      <c r="L195" s="14"/>
      <c r="M195" s="14"/>
      <c r="N195" s="14" t="s">
        <v>1219</v>
      </c>
      <c r="O195" s="14" t="s">
        <v>1220</v>
      </c>
    </row>
    <row r="196" spans="1:15" x14ac:dyDescent="0.25">
      <c r="A196" s="14">
        <v>1000536480</v>
      </c>
      <c r="B196" s="14" t="s">
        <v>1635</v>
      </c>
      <c r="C196" s="14" t="s">
        <v>1635</v>
      </c>
      <c r="D196" s="14" t="s">
        <v>1222</v>
      </c>
      <c r="E196" s="15"/>
      <c r="F196" s="14"/>
      <c r="G196" s="15"/>
      <c r="H196" s="14" t="s">
        <v>1223</v>
      </c>
      <c r="I196" s="14"/>
      <c r="J196" s="14"/>
      <c r="K196" s="14"/>
      <c r="L196" s="14"/>
      <c r="M196" s="14"/>
      <c r="N196" s="14" t="s">
        <v>1219</v>
      </c>
      <c r="O196" s="14" t="s">
        <v>1220</v>
      </c>
    </row>
    <row r="197" spans="1:15" x14ac:dyDescent="0.25">
      <c r="A197" s="14">
        <v>1000529266</v>
      </c>
      <c r="B197" s="14" t="s">
        <v>1636</v>
      </c>
      <c r="C197" s="14" t="s">
        <v>1636</v>
      </c>
      <c r="D197" s="14" t="s">
        <v>1222</v>
      </c>
      <c r="E197" s="15"/>
      <c r="F197" s="14"/>
      <c r="G197" s="15"/>
      <c r="H197" s="14" t="s">
        <v>1223</v>
      </c>
      <c r="I197" s="14"/>
      <c r="J197" s="14"/>
      <c r="K197" s="14"/>
      <c r="L197" s="14"/>
      <c r="M197" s="14"/>
      <c r="N197" s="14" t="s">
        <v>1219</v>
      </c>
      <c r="O197" s="14" t="s">
        <v>1220</v>
      </c>
    </row>
    <row r="198" spans="1:15" x14ac:dyDescent="0.25">
      <c r="A198" s="14">
        <v>7002</v>
      </c>
      <c r="B198" s="14" t="s">
        <v>805</v>
      </c>
      <c r="C198" s="14" t="s">
        <v>805</v>
      </c>
      <c r="D198" s="14" t="s">
        <v>1637</v>
      </c>
      <c r="E198" s="16">
        <v>200</v>
      </c>
      <c r="F198" s="14" t="s">
        <v>1638</v>
      </c>
      <c r="G198" s="17">
        <v>2000</v>
      </c>
      <c r="H198" s="14" t="s">
        <v>1639</v>
      </c>
      <c r="I198" s="14" t="s">
        <v>1256</v>
      </c>
      <c r="J198" s="14" t="s">
        <v>1242</v>
      </c>
      <c r="K198" s="14" t="s">
        <v>1640</v>
      </c>
      <c r="L198" s="14" t="s">
        <v>1641</v>
      </c>
      <c r="M198" s="14" t="s">
        <v>1259</v>
      </c>
      <c r="N198" s="14" t="s">
        <v>1237</v>
      </c>
      <c r="O198" s="14" t="s">
        <v>1220</v>
      </c>
    </row>
    <row r="199" spans="1:15" x14ac:dyDescent="0.25">
      <c r="A199" s="14" t="s">
        <v>1642</v>
      </c>
      <c r="B199" s="14" t="s">
        <v>1643</v>
      </c>
      <c r="C199" s="14" t="s">
        <v>1643</v>
      </c>
      <c r="D199" s="14" t="s">
        <v>1644</v>
      </c>
      <c r="E199" s="16">
        <v>200</v>
      </c>
      <c r="F199" s="14" t="s">
        <v>1638</v>
      </c>
      <c r="G199" s="16">
        <v>200</v>
      </c>
      <c r="H199" s="14" t="s">
        <v>1639</v>
      </c>
      <c r="I199" s="14" t="s">
        <v>1262</v>
      </c>
      <c r="J199" s="14" t="s">
        <v>1262</v>
      </c>
      <c r="K199" s="14" t="s">
        <v>1640</v>
      </c>
      <c r="L199" s="14" t="s">
        <v>1641</v>
      </c>
      <c r="M199" s="14" t="s">
        <v>1259</v>
      </c>
      <c r="N199" s="14" t="s">
        <v>1219</v>
      </c>
      <c r="O199" s="14" t="s">
        <v>1220</v>
      </c>
    </row>
    <row r="200" spans="1:15" x14ac:dyDescent="0.25">
      <c r="A200" s="14">
        <v>7000</v>
      </c>
      <c r="B200" s="14" t="s">
        <v>806</v>
      </c>
      <c r="C200" s="14" t="s">
        <v>806</v>
      </c>
      <c r="D200" s="14" t="s">
        <v>1637</v>
      </c>
      <c r="E200" s="16">
        <v>250</v>
      </c>
      <c r="F200" s="14" t="s">
        <v>1638</v>
      </c>
      <c r="G200" s="17">
        <v>2500</v>
      </c>
      <c r="H200" s="14" t="s">
        <v>1639</v>
      </c>
      <c r="I200" s="14" t="s">
        <v>1256</v>
      </c>
      <c r="J200" s="14" t="s">
        <v>1242</v>
      </c>
      <c r="K200" s="14" t="s">
        <v>1640</v>
      </c>
      <c r="L200" s="14" t="s">
        <v>1645</v>
      </c>
      <c r="M200" s="14" t="s">
        <v>1259</v>
      </c>
      <c r="N200" s="14" t="s">
        <v>1237</v>
      </c>
      <c r="O200" s="14" t="s">
        <v>1220</v>
      </c>
    </row>
    <row r="201" spans="1:15" x14ac:dyDescent="0.25">
      <c r="A201" s="14" t="s">
        <v>1646</v>
      </c>
      <c r="B201" s="14" t="s">
        <v>1647</v>
      </c>
      <c r="C201" s="14" t="s">
        <v>1647</v>
      </c>
      <c r="D201" s="14" t="s">
        <v>1644</v>
      </c>
      <c r="E201" s="15"/>
      <c r="F201" s="14" t="s">
        <v>1350</v>
      </c>
      <c r="G201" s="15"/>
      <c r="H201" s="14" t="s">
        <v>1639</v>
      </c>
      <c r="I201" s="14" t="s">
        <v>1262</v>
      </c>
      <c r="J201" s="14" t="s">
        <v>1262</v>
      </c>
      <c r="K201" s="14" t="s">
        <v>1640</v>
      </c>
      <c r="L201" s="14" t="s">
        <v>1645</v>
      </c>
      <c r="M201" s="14" t="s">
        <v>1259</v>
      </c>
      <c r="N201" s="14" t="s">
        <v>1219</v>
      </c>
      <c r="O201" s="14" t="s">
        <v>1220</v>
      </c>
    </row>
    <row r="202" spans="1:15" x14ac:dyDescent="0.25">
      <c r="A202" s="14">
        <v>7003</v>
      </c>
      <c r="B202" s="14" t="s">
        <v>807</v>
      </c>
      <c r="C202" s="14" t="s">
        <v>807</v>
      </c>
      <c r="D202" s="14" t="s">
        <v>1637</v>
      </c>
      <c r="E202" s="16">
        <v>140</v>
      </c>
      <c r="F202" s="14" t="s">
        <v>1638</v>
      </c>
      <c r="G202" s="17">
        <v>1400</v>
      </c>
      <c r="H202" s="14" t="s">
        <v>1639</v>
      </c>
      <c r="I202" s="14" t="s">
        <v>1256</v>
      </c>
      <c r="J202" s="14" t="s">
        <v>1242</v>
      </c>
      <c r="K202" s="14" t="s">
        <v>1640</v>
      </c>
      <c r="L202" s="14" t="s">
        <v>1648</v>
      </c>
      <c r="M202" s="14" t="s">
        <v>1259</v>
      </c>
      <c r="N202" s="14" t="s">
        <v>1237</v>
      </c>
      <c r="O202" s="14" t="s">
        <v>1220</v>
      </c>
    </row>
    <row r="203" spans="1:15" x14ac:dyDescent="0.25">
      <c r="A203" s="14">
        <v>7001</v>
      </c>
      <c r="B203" s="14" t="s">
        <v>808</v>
      </c>
      <c r="C203" s="14" t="s">
        <v>808</v>
      </c>
      <c r="D203" s="14" t="s">
        <v>1637</v>
      </c>
      <c r="E203" s="16">
        <v>180</v>
      </c>
      <c r="F203" s="14" t="s">
        <v>1638</v>
      </c>
      <c r="G203" s="17">
        <v>1800</v>
      </c>
      <c r="H203" s="14" t="s">
        <v>1639</v>
      </c>
      <c r="I203" s="14" t="s">
        <v>1256</v>
      </c>
      <c r="J203" s="14" t="s">
        <v>1296</v>
      </c>
      <c r="K203" s="14" t="s">
        <v>1640</v>
      </c>
      <c r="L203" s="14" t="s">
        <v>1649</v>
      </c>
      <c r="M203" s="14" t="s">
        <v>1259</v>
      </c>
      <c r="N203" s="14" t="s">
        <v>1237</v>
      </c>
      <c r="O203" s="14" t="s">
        <v>1220</v>
      </c>
    </row>
    <row r="204" spans="1:15" x14ac:dyDescent="0.25">
      <c r="A204" s="14" t="s">
        <v>1650</v>
      </c>
      <c r="B204" s="14" t="s">
        <v>1651</v>
      </c>
      <c r="C204" s="14" t="s">
        <v>1651</v>
      </c>
      <c r="D204" s="14" t="s">
        <v>1349</v>
      </c>
      <c r="E204" s="15"/>
      <c r="F204" s="14" t="s">
        <v>1611</v>
      </c>
      <c r="G204" s="15"/>
      <c r="H204" s="14" t="s">
        <v>1612</v>
      </c>
      <c r="I204" s="14"/>
      <c r="J204" s="14" t="s">
        <v>1360</v>
      </c>
      <c r="K204" s="14"/>
      <c r="L204" s="14"/>
      <c r="M204" s="14" t="s">
        <v>1613</v>
      </c>
      <c r="N204" s="14" t="s">
        <v>1219</v>
      </c>
      <c r="O204" s="14" t="s">
        <v>1220</v>
      </c>
    </row>
    <row r="205" spans="1:15" x14ac:dyDescent="0.25">
      <c r="A205" s="14" t="s">
        <v>1652</v>
      </c>
      <c r="B205" s="14" t="s">
        <v>1653</v>
      </c>
      <c r="C205" s="14" t="s">
        <v>1653</v>
      </c>
      <c r="D205" s="14" t="s">
        <v>1349</v>
      </c>
      <c r="E205" s="15"/>
      <c r="F205" s="14" t="s">
        <v>1611</v>
      </c>
      <c r="G205" s="15"/>
      <c r="H205" s="14" t="s">
        <v>1612</v>
      </c>
      <c r="I205" s="14"/>
      <c r="J205" s="14" t="s">
        <v>1360</v>
      </c>
      <c r="K205" s="14"/>
      <c r="L205" s="14"/>
      <c r="M205" s="14" t="s">
        <v>1613</v>
      </c>
      <c r="N205" s="14" t="s">
        <v>1219</v>
      </c>
      <c r="O205" s="14" t="s">
        <v>1220</v>
      </c>
    </row>
    <row r="206" spans="1:15" x14ac:dyDescent="0.25">
      <c r="A206" s="14" t="s">
        <v>1654</v>
      </c>
      <c r="B206" s="14" t="s">
        <v>1655</v>
      </c>
      <c r="C206" s="14" t="s">
        <v>1655</v>
      </c>
      <c r="D206" s="14" t="s">
        <v>1349</v>
      </c>
      <c r="E206" s="15"/>
      <c r="F206" s="14" t="s">
        <v>1611</v>
      </c>
      <c r="G206" s="15"/>
      <c r="H206" s="14" t="s">
        <v>1612</v>
      </c>
      <c r="I206" s="14"/>
      <c r="J206" s="14" t="s">
        <v>1360</v>
      </c>
      <c r="K206" s="14"/>
      <c r="L206" s="14"/>
      <c r="M206" s="14" t="s">
        <v>1613</v>
      </c>
      <c r="N206" s="14" t="s">
        <v>1219</v>
      </c>
      <c r="O206" s="14" t="s">
        <v>1220</v>
      </c>
    </row>
    <row r="207" spans="1:15" x14ac:dyDescent="0.25">
      <c r="A207" s="14" t="s">
        <v>1656</v>
      </c>
      <c r="B207" s="14" t="s">
        <v>1657</v>
      </c>
      <c r="C207" s="14" t="s">
        <v>1657</v>
      </c>
      <c r="D207" s="14" t="s">
        <v>1349</v>
      </c>
      <c r="E207" s="15"/>
      <c r="F207" s="14" t="s">
        <v>1611</v>
      </c>
      <c r="G207" s="15"/>
      <c r="H207" s="14" t="s">
        <v>1612</v>
      </c>
      <c r="I207" s="14"/>
      <c r="J207" s="14" t="s">
        <v>1360</v>
      </c>
      <c r="K207" s="14"/>
      <c r="L207" s="14"/>
      <c r="M207" s="14" t="s">
        <v>1613</v>
      </c>
      <c r="N207" s="14" t="s">
        <v>1219</v>
      </c>
      <c r="O207" s="14" t="s">
        <v>1220</v>
      </c>
    </row>
    <row r="208" spans="1:15" x14ac:dyDescent="0.25">
      <c r="A208" s="14" t="s">
        <v>1658</v>
      </c>
      <c r="B208" s="14" t="s">
        <v>1659</v>
      </c>
      <c r="C208" s="14" t="s">
        <v>1659</v>
      </c>
      <c r="D208" s="14" t="s">
        <v>1349</v>
      </c>
      <c r="E208" s="15"/>
      <c r="F208" s="14" t="s">
        <v>1611</v>
      </c>
      <c r="G208" s="15"/>
      <c r="H208" s="14" t="s">
        <v>1612</v>
      </c>
      <c r="I208" s="14"/>
      <c r="J208" s="14" t="s">
        <v>1360</v>
      </c>
      <c r="K208" s="14"/>
      <c r="L208" s="14"/>
      <c r="M208" s="14" t="s">
        <v>1613</v>
      </c>
      <c r="N208" s="14" t="s">
        <v>1219</v>
      </c>
      <c r="O208" s="14" t="s">
        <v>1220</v>
      </c>
    </row>
    <row r="209" spans="1:15" x14ac:dyDescent="0.25">
      <c r="A209" s="14" t="s">
        <v>1660</v>
      </c>
      <c r="B209" s="14" t="s">
        <v>1661</v>
      </c>
      <c r="C209" s="14" t="s">
        <v>1661</v>
      </c>
      <c r="D209" s="14" t="s">
        <v>1349</v>
      </c>
      <c r="E209" s="15"/>
      <c r="F209" s="14" t="s">
        <v>1611</v>
      </c>
      <c r="G209" s="15"/>
      <c r="H209" s="14" t="s">
        <v>1612</v>
      </c>
      <c r="I209" s="14"/>
      <c r="J209" s="14" t="s">
        <v>1360</v>
      </c>
      <c r="K209" s="14"/>
      <c r="L209" s="14"/>
      <c r="M209" s="14" t="s">
        <v>1613</v>
      </c>
      <c r="N209" s="14" t="s">
        <v>1219</v>
      </c>
      <c r="O209" s="14" t="s">
        <v>1220</v>
      </c>
    </row>
    <row r="210" spans="1:15" x14ac:dyDescent="0.25">
      <c r="A210" s="14" t="s">
        <v>1662</v>
      </c>
      <c r="B210" s="14" t="s">
        <v>1663</v>
      </c>
      <c r="C210" s="14" t="s">
        <v>1663</v>
      </c>
      <c r="D210" s="14" t="s">
        <v>1349</v>
      </c>
      <c r="E210" s="15"/>
      <c r="F210" s="14" t="s">
        <v>1611</v>
      </c>
      <c r="G210" s="15"/>
      <c r="H210" s="14" t="s">
        <v>1612</v>
      </c>
      <c r="I210" s="14"/>
      <c r="J210" s="14" t="s">
        <v>1360</v>
      </c>
      <c r="K210" s="14"/>
      <c r="L210" s="14"/>
      <c r="M210" s="14" t="s">
        <v>1613</v>
      </c>
      <c r="N210" s="14" t="s">
        <v>1219</v>
      </c>
      <c r="O210" s="14" t="s">
        <v>1220</v>
      </c>
    </row>
    <row r="211" spans="1:15" x14ac:dyDescent="0.25">
      <c r="A211" s="14" t="s">
        <v>1664</v>
      </c>
      <c r="B211" s="14" t="s">
        <v>1665</v>
      </c>
      <c r="C211" s="14" t="s">
        <v>1665</v>
      </c>
      <c r="D211" s="14" t="s">
        <v>1349</v>
      </c>
      <c r="E211" s="15"/>
      <c r="F211" s="14" t="s">
        <v>1611</v>
      </c>
      <c r="G211" s="15"/>
      <c r="H211" s="14" t="s">
        <v>1612</v>
      </c>
      <c r="I211" s="14"/>
      <c r="J211" s="14" t="s">
        <v>1360</v>
      </c>
      <c r="K211" s="14"/>
      <c r="L211" s="14"/>
      <c r="M211" s="14" t="s">
        <v>1613</v>
      </c>
      <c r="N211" s="14" t="s">
        <v>1219</v>
      </c>
      <c r="O211" s="14" t="s">
        <v>1220</v>
      </c>
    </row>
    <row r="212" spans="1:15" x14ac:dyDescent="0.25">
      <c r="A212" s="14" t="s">
        <v>1666</v>
      </c>
      <c r="B212" s="14" t="s">
        <v>1667</v>
      </c>
      <c r="C212" s="14" t="s">
        <v>1667</v>
      </c>
      <c r="D212" s="14" t="s">
        <v>1349</v>
      </c>
      <c r="E212" s="15"/>
      <c r="F212" s="14" t="s">
        <v>1611</v>
      </c>
      <c r="G212" s="15"/>
      <c r="H212" s="14" t="s">
        <v>1612</v>
      </c>
      <c r="I212" s="14"/>
      <c r="J212" s="14" t="s">
        <v>1360</v>
      </c>
      <c r="K212" s="14"/>
      <c r="L212" s="14"/>
      <c r="M212" s="14" t="s">
        <v>1613</v>
      </c>
      <c r="N212" s="14" t="s">
        <v>1219</v>
      </c>
      <c r="O212" s="14" t="s">
        <v>1220</v>
      </c>
    </row>
    <row r="213" spans="1:15" x14ac:dyDescent="0.25">
      <c r="A213" s="14" t="s">
        <v>1668</v>
      </c>
      <c r="B213" s="14" t="s">
        <v>1669</v>
      </c>
      <c r="C213" s="14" t="s">
        <v>1669</v>
      </c>
      <c r="D213" s="14" t="s">
        <v>1349</v>
      </c>
      <c r="E213" s="15"/>
      <c r="F213" s="14" t="s">
        <v>1611</v>
      </c>
      <c r="G213" s="15"/>
      <c r="H213" s="14" t="s">
        <v>1612</v>
      </c>
      <c r="I213" s="14"/>
      <c r="J213" s="14" t="s">
        <v>1360</v>
      </c>
      <c r="K213" s="14"/>
      <c r="L213" s="14"/>
      <c r="M213" s="14" t="s">
        <v>1613</v>
      </c>
      <c r="N213" s="14" t="s">
        <v>1219</v>
      </c>
      <c r="O213" s="14" t="s">
        <v>1220</v>
      </c>
    </row>
    <row r="214" spans="1:15" x14ac:dyDescent="0.25">
      <c r="A214" s="14" t="s">
        <v>1670</v>
      </c>
      <c r="B214" s="14" t="s">
        <v>1671</v>
      </c>
      <c r="C214" s="14" t="s">
        <v>1671</v>
      </c>
      <c r="D214" s="14" t="s">
        <v>1349</v>
      </c>
      <c r="E214" s="15"/>
      <c r="F214" s="14" t="s">
        <v>1611</v>
      </c>
      <c r="G214" s="15"/>
      <c r="H214" s="14" t="s">
        <v>1612</v>
      </c>
      <c r="I214" s="14"/>
      <c r="J214" s="14" t="s">
        <v>1360</v>
      </c>
      <c r="K214" s="14"/>
      <c r="L214" s="14"/>
      <c r="M214" s="14" t="s">
        <v>1613</v>
      </c>
      <c r="N214" s="14" t="s">
        <v>1219</v>
      </c>
      <c r="O214" s="14" t="s">
        <v>1220</v>
      </c>
    </row>
    <row r="215" spans="1:15" x14ac:dyDescent="0.25">
      <c r="A215" s="14" t="s">
        <v>1672</v>
      </c>
      <c r="B215" s="14" t="s">
        <v>1673</v>
      </c>
      <c r="C215" s="14" t="s">
        <v>1673</v>
      </c>
      <c r="D215" s="14" t="s">
        <v>1349</v>
      </c>
      <c r="E215" s="15"/>
      <c r="F215" s="14" t="s">
        <v>1611</v>
      </c>
      <c r="G215" s="15"/>
      <c r="H215" s="14" t="s">
        <v>1612</v>
      </c>
      <c r="I215" s="14"/>
      <c r="J215" s="14" t="s">
        <v>1360</v>
      </c>
      <c r="K215" s="14"/>
      <c r="L215" s="14"/>
      <c r="M215" s="14" t="s">
        <v>1613</v>
      </c>
      <c r="N215" s="14" t="s">
        <v>1219</v>
      </c>
      <c r="O215" s="14" t="s">
        <v>1220</v>
      </c>
    </row>
    <row r="216" spans="1:15" x14ac:dyDescent="0.25">
      <c r="A216" s="14" t="s">
        <v>1674</v>
      </c>
      <c r="B216" s="14" t="s">
        <v>1675</v>
      </c>
      <c r="C216" s="14" t="s">
        <v>1675</v>
      </c>
      <c r="D216" s="14" t="s">
        <v>1349</v>
      </c>
      <c r="E216" s="15"/>
      <c r="F216" s="14" t="s">
        <v>1611</v>
      </c>
      <c r="G216" s="15"/>
      <c r="H216" s="14" t="s">
        <v>1612</v>
      </c>
      <c r="I216" s="14"/>
      <c r="J216" s="14" t="s">
        <v>1360</v>
      </c>
      <c r="K216" s="14"/>
      <c r="L216" s="14"/>
      <c r="M216" s="14" t="s">
        <v>1613</v>
      </c>
      <c r="N216" s="14" t="s">
        <v>1219</v>
      </c>
      <c r="O216" s="14" t="s">
        <v>1220</v>
      </c>
    </row>
    <row r="217" spans="1:15" x14ac:dyDescent="0.25">
      <c r="A217" s="14" t="s">
        <v>1676</v>
      </c>
      <c r="B217" s="14" t="s">
        <v>1677</v>
      </c>
      <c r="C217" s="14" t="s">
        <v>1677</v>
      </c>
      <c r="D217" s="14" t="s">
        <v>1349</v>
      </c>
      <c r="E217" s="15"/>
      <c r="F217" s="14" t="s">
        <v>1611</v>
      </c>
      <c r="G217" s="15"/>
      <c r="H217" s="14" t="s">
        <v>1612</v>
      </c>
      <c r="I217" s="14"/>
      <c r="J217" s="14" t="s">
        <v>1360</v>
      </c>
      <c r="K217" s="14"/>
      <c r="L217" s="14"/>
      <c r="M217" s="14" t="s">
        <v>1613</v>
      </c>
      <c r="N217" s="14" t="s">
        <v>1219</v>
      </c>
      <c r="O217" s="14" t="s">
        <v>1220</v>
      </c>
    </row>
    <row r="218" spans="1:15" x14ac:dyDescent="0.25">
      <c r="A218" s="14" t="s">
        <v>1678</v>
      </c>
      <c r="B218" s="14" t="s">
        <v>1679</v>
      </c>
      <c r="C218" s="14" t="s">
        <v>1679</v>
      </c>
      <c r="D218" s="14" t="s">
        <v>1222</v>
      </c>
      <c r="E218" s="15"/>
      <c r="F218" s="14"/>
      <c r="G218" s="15"/>
      <c r="H218" s="14" t="s">
        <v>1223</v>
      </c>
      <c r="I218" s="14"/>
      <c r="J218" s="14"/>
      <c r="K218" s="14"/>
      <c r="L218" s="14"/>
      <c r="M218" s="14"/>
      <c r="N218" s="14" t="s">
        <v>1219</v>
      </c>
      <c r="O218" s="14" t="s">
        <v>1220</v>
      </c>
    </row>
    <row r="219" spans="1:15" x14ac:dyDescent="0.25">
      <c r="A219" s="14">
        <v>1050103</v>
      </c>
      <c r="B219" s="14" t="s">
        <v>1680</v>
      </c>
      <c r="C219" s="14" t="s">
        <v>1680</v>
      </c>
      <c r="D219" s="14" t="s">
        <v>1215</v>
      </c>
      <c r="E219" s="15"/>
      <c r="F219" s="14"/>
      <c r="G219" s="15"/>
      <c r="H219" s="14" t="s">
        <v>1216</v>
      </c>
      <c r="I219" s="14" t="s">
        <v>1217</v>
      </c>
      <c r="J219" s="14"/>
      <c r="K219" s="14"/>
      <c r="L219" s="14"/>
      <c r="M219" s="14" t="s">
        <v>1218</v>
      </c>
      <c r="N219" s="14" t="s">
        <v>1219</v>
      </c>
      <c r="O219" s="14" t="s">
        <v>1220</v>
      </c>
    </row>
    <row r="220" spans="1:15" x14ac:dyDescent="0.25">
      <c r="A220" s="14">
        <v>4475</v>
      </c>
      <c r="B220" s="14" t="s">
        <v>914</v>
      </c>
      <c r="C220" s="14" t="s">
        <v>914</v>
      </c>
      <c r="D220" s="14" t="s">
        <v>1681</v>
      </c>
      <c r="E220" s="16">
        <v>300</v>
      </c>
      <c r="F220" s="14" t="s">
        <v>1510</v>
      </c>
      <c r="G220" s="17">
        <v>1500</v>
      </c>
      <c r="H220" s="14" t="s">
        <v>1216</v>
      </c>
      <c r="I220" s="14" t="s">
        <v>1256</v>
      </c>
      <c r="J220" s="14" t="s">
        <v>1242</v>
      </c>
      <c r="K220" s="14" t="s">
        <v>1257</v>
      </c>
      <c r="L220" s="14" t="s">
        <v>1682</v>
      </c>
      <c r="M220" s="14" t="s">
        <v>1324</v>
      </c>
      <c r="N220" s="14" t="s">
        <v>1237</v>
      </c>
      <c r="O220" s="14" t="s">
        <v>1220</v>
      </c>
    </row>
    <row r="221" spans="1:15" x14ac:dyDescent="0.25">
      <c r="A221" s="14" t="s">
        <v>1683</v>
      </c>
      <c r="B221" s="14" t="s">
        <v>1684</v>
      </c>
      <c r="C221" s="14" t="s">
        <v>1684</v>
      </c>
      <c r="D221" s="14" t="s">
        <v>1685</v>
      </c>
      <c r="E221" s="15"/>
      <c r="F221" s="14" t="s">
        <v>1510</v>
      </c>
      <c r="G221" s="15"/>
      <c r="H221" s="14" t="s">
        <v>1216</v>
      </c>
      <c r="I221" s="14" t="s">
        <v>1262</v>
      </c>
      <c r="J221" s="14" t="s">
        <v>1262</v>
      </c>
      <c r="K221" s="14"/>
      <c r="L221" s="14" t="s">
        <v>1682</v>
      </c>
      <c r="M221" s="14" t="s">
        <v>1324</v>
      </c>
      <c r="N221" s="14" t="s">
        <v>1219</v>
      </c>
      <c r="O221" s="14" t="s">
        <v>1220</v>
      </c>
    </row>
    <row r="222" spans="1:15" x14ac:dyDescent="0.25">
      <c r="A222" s="14" t="s">
        <v>1686</v>
      </c>
      <c r="B222" s="14" t="s">
        <v>1687</v>
      </c>
      <c r="C222" s="14" t="s">
        <v>1687</v>
      </c>
      <c r="D222" s="14" t="s">
        <v>1427</v>
      </c>
      <c r="E222" s="15"/>
      <c r="F222" s="14"/>
      <c r="G222" s="15"/>
      <c r="H222" s="14" t="s">
        <v>1440</v>
      </c>
      <c r="I222" s="14"/>
      <c r="J222" s="14"/>
      <c r="K222" s="14"/>
      <c r="L222" s="14" t="s">
        <v>1688</v>
      </c>
      <c r="M222" s="14"/>
      <c r="N222" s="14" t="s">
        <v>1219</v>
      </c>
      <c r="O222" s="14" t="s">
        <v>1429</v>
      </c>
    </row>
    <row r="223" spans="1:15" x14ac:dyDescent="0.25">
      <c r="A223" s="14" t="s">
        <v>1689</v>
      </c>
      <c r="B223" s="14" t="s">
        <v>1690</v>
      </c>
      <c r="C223" s="14" t="s">
        <v>1690</v>
      </c>
      <c r="D223" s="14" t="s">
        <v>1222</v>
      </c>
      <c r="E223" s="15"/>
      <c r="F223" s="14"/>
      <c r="G223" s="15"/>
      <c r="H223" s="14" t="s">
        <v>1223</v>
      </c>
      <c r="I223" s="14"/>
      <c r="J223" s="14"/>
      <c r="K223" s="14"/>
      <c r="L223" s="14"/>
      <c r="M223" s="14"/>
      <c r="N223" s="14" t="s">
        <v>1219</v>
      </c>
      <c r="O223" s="14" t="s">
        <v>1220</v>
      </c>
    </row>
    <row r="224" spans="1:15" x14ac:dyDescent="0.25">
      <c r="A224" s="14">
        <v>3675</v>
      </c>
      <c r="B224" s="14" t="s">
        <v>392</v>
      </c>
      <c r="C224" s="14" t="s">
        <v>392</v>
      </c>
      <c r="D224" s="14" t="s">
        <v>1691</v>
      </c>
      <c r="E224" s="17">
        <v>1200</v>
      </c>
      <c r="F224" s="14" t="s">
        <v>1255</v>
      </c>
      <c r="G224" s="17">
        <v>6000</v>
      </c>
      <c r="H224" s="14" t="s">
        <v>1255</v>
      </c>
      <c r="I224" s="14" t="s">
        <v>1256</v>
      </c>
      <c r="J224" s="14" t="s">
        <v>1296</v>
      </c>
      <c r="K224" s="14" t="s">
        <v>1257</v>
      </c>
      <c r="L224" s="14" t="s">
        <v>1692</v>
      </c>
      <c r="M224" s="14" t="s">
        <v>1259</v>
      </c>
      <c r="N224" s="14" t="s">
        <v>1237</v>
      </c>
      <c r="O224" s="14" t="s">
        <v>1220</v>
      </c>
    </row>
    <row r="225" spans="1:15" x14ac:dyDescent="0.25">
      <c r="A225" s="14" t="s">
        <v>1693</v>
      </c>
      <c r="B225" s="14" t="s">
        <v>1694</v>
      </c>
      <c r="C225" s="14" t="s">
        <v>1694</v>
      </c>
      <c r="D225" s="14" t="s">
        <v>1691</v>
      </c>
      <c r="E225" s="15"/>
      <c r="F225" s="14" t="s">
        <v>1255</v>
      </c>
      <c r="G225" s="15"/>
      <c r="H225" s="14" t="s">
        <v>1255</v>
      </c>
      <c r="I225" s="14" t="s">
        <v>1262</v>
      </c>
      <c r="J225" s="14" t="s">
        <v>1262</v>
      </c>
      <c r="K225" s="14"/>
      <c r="L225" s="14" t="s">
        <v>1692</v>
      </c>
      <c r="M225" s="14" t="s">
        <v>1259</v>
      </c>
      <c r="N225" s="14" t="s">
        <v>1219</v>
      </c>
      <c r="O225" s="14" t="s">
        <v>1220</v>
      </c>
    </row>
    <row r="226" spans="1:15" x14ac:dyDescent="0.25">
      <c r="A226" s="14">
        <v>3676</v>
      </c>
      <c r="B226" s="14" t="s">
        <v>393</v>
      </c>
      <c r="C226" s="14" t="s">
        <v>393</v>
      </c>
      <c r="D226" s="14" t="s">
        <v>1691</v>
      </c>
      <c r="E226" s="16">
        <v>700</v>
      </c>
      <c r="F226" s="14" t="s">
        <v>1255</v>
      </c>
      <c r="G226" s="17">
        <v>3500</v>
      </c>
      <c r="H226" s="14" t="s">
        <v>1255</v>
      </c>
      <c r="I226" s="14" t="s">
        <v>1256</v>
      </c>
      <c r="J226" s="14" t="s">
        <v>1296</v>
      </c>
      <c r="K226" s="14" t="s">
        <v>1257</v>
      </c>
      <c r="L226" s="14" t="s">
        <v>1695</v>
      </c>
      <c r="M226" s="14" t="s">
        <v>1259</v>
      </c>
      <c r="N226" s="14" t="s">
        <v>1237</v>
      </c>
      <c r="O226" s="14" t="s">
        <v>1220</v>
      </c>
    </row>
    <row r="227" spans="1:15" x14ac:dyDescent="0.25">
      <c r="A227" s="14" t="s">
        <v>1696</v>
      </c>
      <c r="B227" s="14" t="s">
        <v>1697</v>
      </c>
      <c r="C227" s="14" t="s">
        <v>1697</v>
      </c>
      <c r="D227" s="14" t="s">
        <v>1691</v>
      </c>
      <c r="E227" s="15"/>
      <c r="F227" s="14" t="s">
        <v>1255</v>
      </c>
      <c r="G227" s="15"/>
      <c r="H227" s="14" t="s">
        <v>1255</v>
      </c>
      <c r="I227" s="14" t="s">
        <v>1262</v>
      </c>
      <c r="J227" s="14" t="s">
        <v>1262</v>
      </c>
      <c r="K227" s="14"/>
      <c r="L227" s="14" t="s">
        <v>1695</v>
      </c>
      <c r="M227" s="14" t="s">
        <v>1259</v>
      </c>
      <c r="N227" s="14" t="s">
        <v>1219</v>
      </c>
      <c r="O227" s="14" t="s">
        <v>1220</v>
      </c>
    </row>
    <row r="228" spans="1:15" x14ac:dyDescent="0.25">
      <c r="A228" s="14">
        <v>3677</v>
      </c>
      <c r="B228" s="14" t="s">
        <v>394</v>
      </c>
      <c r="C228" s="14" t="s">
        <v>394</v>
      </c>
      <c r="D228" s="14" t="s">
        <v>1691</v>
      </c>
      <c r="E228" s="16">
        <v>400</v>
      </c>
      <c r="F228" s="14" t="s">
        <v>1255</v>
      </c>
      <c r="G228" s="17">
        <v>2000</v>
      </c>
      <c r="H228" s="14" t="s">
        <v>1255</v>
      </c>
      <c r="I228" s="14" t="s">
        <v>1256</v>
      </c>
      <c r="J228" s="14" t="s">
        <v>1296</v>
      </c>
      <c r="K228" s="14" t="s">
        <v>1257</v>
      </c>
      <c r="L228" s="14" t="s">
        <v>1698</v>
      </c>
      <c r="M228" s="14" t="s">
        <v>1259</v>
      </c>
      <c r="N228" s="14" t="s">
        <v>1237</v>
      </c>
      <c r="O228" s="14" t="s">
        <v>1220</v>
      </c>
    </row>
    <row r="229" spans="1:15" x14ac:dyDescent="0.25">
      <c r="A229" s="14">
        <v>4524</v>
      </c>
      <c r="B229" s="14" t="s">
        <v>584</v>
      </c>
      <c r="C229" s="14" t="s">
        <v>1699</v>
      </c>
      <c r="D229" s="14" t="s">
        <v>1691</v>
      </c>
      <c r="E229" s="16">
        <v>80</v>
      </c>
      <c r="F229" s="14" t="s">
        <v>1321</v>
      </c>
      <c r="G229" s="17">
        <v>1440</v>
      </c>
      <c r="H229" s="14" t="s">
        <v>1322</v>
      </c>
      <c r="I229" s="14" t="s">
        <v>1256</v>
      </c>
      <c r="J229" s="14" t="s">
        <v>1242</v>
      </c>
      <c r="K229" s="14" t="s">
        <v>1257</v>
      </c>
      <c r="L229" s="14" t="s">
        <v>1700</v>
      </c>
      <c r="M229" s="14" t="s">
        <v>1324</v>
      </c>
      <c r="N229" s="14" t="s">
        <v>1237</v>
      </c>
      <c r="O229" s="14" t="s">
        <v>1220</v>
      </c>
    </row>
    <row r="230" spans="1:15" x14ac:dyDescent="0.25">
      <c r="A230" s="14">
        <v>4527</v>
      </c>
      <c r="B230" s="14" t="s">
        <v>590</v>
      </c>
      <c r="C230" s="14" t="s">
        <v>1701</v>
      </c>
      <c r="D230" s="14" t="s">
        <v>1691</v>
      </c>
      <c r="E230" s="16">
        <v>70</v>
      </c>
      <c r="F230" s="14" t="s">
        <v>1321</v>
      </c>
      <c r="G230" s="16">
        <v>770</v>
      </c>
      <c r="H230" s="14" t="s">
        <v>1322</v>
      </c>
      <c r="I230" s="14" t="s">
        <v>1256</v>
      </c>
      <c r="J230" s="14" t="s">
        <v>1296</v>
      </c>
      <c r="K230" s="14" t="s">
        <v>1257</v>
      </c>
      <c r="L230" s="14" t="s">
        <v>1702</v>
      </c>
      <c r="M230" s="14" t="s">
        <v>1324</v>
      </c>
      <c r="N230" s="14" t="s">
        <v>1237</v>
      </c>
      <c r="O230" s="14" t="s">
        <v>1220</v>
      </c>
    </row>
    <row r="231" spans="1:15" x14ac:dyDescent="0.25">
      <c r="A231" s="14">
        <v>4523</v>
      </c>
      <c r="B231" s="14" t="s">
        <v>585</v>
      </c>
      <c r="C231" s="14" t="s">
        <v>1703</v>
      </c>
      <c r="D231" s="14" t="s">
        <v>1691</v>
      </c>
      <c r="E231" s="16">
        <v>160</v>
      </c>
      <c r="F231" s="14" t="s">
        <v>1321</v>
      </c>
      <c r="G231" s="17">
        <v>1440</v>
      </c>
      <c r="H231" s="14" t="s">
        <v>1322</v>
      </c>
      <c r="I231" s="14" t="s">
        <v>1256</v>
      </c>
      <c r="J231" s="14" t="s">
        <v>1242</v>
      </c>
      <c r="K231" s="14" t="s">
        <v>1257</v>
      </c>
      <c r="L231" s="14" t="s">
        <v>1704</v>
      </c>
      <c r="M231" s="14" t="s">
        <v>1324</v>
      </c>
      <c r="N231" s="14" t="s">
        <v>1237</v>
      </c>
      <c r="O231" s="14" t="s">
        <v>1220</v>
      </c>
    </row>
    <row r="232" spans="1:15" x14ac:dyDescent="0.25">
      <c r="A232" s="14" t="s">
        <v>1705</v>
      </c>
      <c r="B232" s="14" t="s">
        <v>1706</v>
      </c>
      <c r="C232" s="14" t="s">
        <v>1707</v>
      </c>
      <c r="D232" s="14" t="s">
        <v>1691</v>
      </c>
      <c r="E232" s="15"/>
      <c r="F232" s="14" t="s">
        <v>1321</v>
      </c>
      <c r="G232" s="15"/>
      <c r="H232" s="14" t="s">
        <v>1322</v>
      </c>
      <c r="I232" s="14" t="s">
        <v>1262</v>
      </c>
      <c r="J232" s="14" t="s">
        <v>1262</v>
      </c>
      <c r="K232" s="14"/>
      <c r="L232" s="14" t="s">
        <v>1704</v>
      </c>
      <c r="M232" s="14" t="s">
        <v>1324</v>
      </c>
      <c r="N232" s="14" t="s">
        <v>1219</v>
      </c>
      <c r="O232" s="14" t="s">
        <v>1220</v>
      </c>
    </row>
    <row r="233" spans="1:15" x14ac:dyDescent="0.25">
      <c r="A233" s="14">
        <v>4526</v>
      </c>
      <c r="B233" s="14" t="s">
        <v>591</v>
      </c>
      <c r="C233" s="14" t="s">
        <v>1708</v>
      </c>
      <c r="D233" s="14" t="s">
        <v>1691</v>
      </c>
      <c r="E233" s="16">
        <v>120</v>
      </c>
      <c r="F233" s="14" t="s">
        <v>1321</v>
      </c>
      <c r="G233" s="17">
        <v>1320</v>
      </c>
      <c r="H233" s="14" t="s">
        <v>1322</v>
      </c>
      <c r="I233" s="14" t="s">
        <v>1256</v>
      </c>
      <c r="J233" s="14" t="s">
        <v>1296</v>
      </c>
      <c r="K233" s="14" t="s">
        <v>1257</v>
      </c>
      <c r="L233" s="14" t="s">
        <v>1709</v>
      </c>
      <c r="M233" s="14" t="s">
        <v>1324</v>
      </c>
      <c r="N233" s="14" t="s">
        <v>1237</v>
      </c>
      <c r="O233" s="14" t="s">
        <v>1220</v>
      </c>
    </row>
    <row r="234" spans="1:15" x14ac:dyDescent="0.25">
      <c r="A234" s="14" t="s">
        <v>1710</v>
      </c>
      <c r="B234" s="14" t="s">
        <v>1711</v>
      </c>
      <c r="C234" s="14" t="s">
        <v>1712</v>
      </c>
      <c r="D234" s="14" t="s">
        <v>1691</v>
      </c>
      <c r="E234" s="15"/>
      <c r="F234" s="14" t="s">
        <v>1321</v>
      </c>
      <c r="G234" s="15"/>
      <c r="H234" s="14" t="s">
        <v>1322</v>
      </c>
      <c r="I234" s="14" t="s">
        <v>1262</v>
      </c>
      <c r="J234" s="14" t="s">
        <v>1262</v>
      </c>
      <c r="K234" s="14"/>
      <c r="L234" s="14" t="s">
        <v>1709</v>
      </c>
      <c r="M234" s="14" t="s">
        <v>1324</v>
      </c>
      <c r="N234" s="14" t="s">
        <v>1219</v>
      </c>
      <c r="O234" s="14" t="s">
        <v>1220</v>
      </c>
    </row>
    <row r="235" spans="1:15" x14ac:dyDescent="0.25">
      <c r="A235" s="14" t="s">
        <v>1713</v>
      </c>
      <c r="B235" s="14" t="s">
        <v>1714</v>
      </c>
      <c r="C235" s="14" t="s">
        <v>1714</v>
      </c>
      <c r="D235" s="14" t="s">
        <v>1349</v>
      </c>
      <c r="E235" s="15"/>
      <c r="F235" s="14" t="s">
        <v>1350</v>
      </c>
      <c r="G235" s="15"/>
      <c r="H235" s="14" t="s">
        <v>1380</v>
      </c>
      <c r="I235" s="14" t="s">
        <v>1360</v>
      </c>
      <c r="J235" s="14" t="s">
        <v>1360</v>
      </c>
      <c r="K235" s="14" t="s">
        <v>1257</v>
      </c>
      <c r="L235" s="14" t="s">
        <v>1698</v>
      </c>
      <c r="M235" s="14" t="s">
        <v>1324</v>
      </c>
      <c r="N235" s="14" t="s">
        <v>1219</v>
      </c>
      <c r="O235" s="14" t="s">
        <v>1220</v>
      </c>
    </row>
    <row r="236" spans="1:15" x14ac:dyDescent="0.25">
      <c r="A236" s="14" t="s">
        <v>1715</v>
      </c>
      <c r="B236" s="14" t="s">
        <v>1716</v>
      </c>
      <c r="C236" s="14" t="s">
        <v>1716</v>
      </c>
      <c r="D236" s="14" t="s">
        <v>1691</v>
      </c>
      <c r="E236" s="15"/>
      <c r="F236" s="14" t="s">
        <v>1350</v>
      </c>
      <c r="G236" s="15"/>
      <c r="H236" s="14" t="s">
        <v>1380</v>
      </c>
      <c r="I236" s="14" t="s">
        <v>1360</v>
      </c>
      <c r="J236" s="14" t="s">
        <v>1385</v>
      </c>
      <c r="K236" s="14" t="s">
        <v>1257</v>
      </c>
      <c r="L236" s="14" t="s">
        <v>1698</v>
      </c>
      <c r="M236" s="14" t="s">
        <v>1324</v>
      </c>
      <c r="N236" s="14" t="s">
        <v>1219</v>
      </c>
      <c r="O236" s="14" t="s">
        <v>1220</v>
      </c>
    </row>
    <row r="237" spans="1:15" x14ac:dyDescent="0.25">
      <c r="A237" s="14" t="s">
        <v>1717</v>
      </c>
      <c r="B237" s="14" t="s">
        <v>1718</v>
      </c>
      <c r="C237" s="14" t="s">
        <v>1718</v>
      </c>
      <c r="D237" s="14" t="s">
        <v>1349</v>
      </c>
      <c r="E237" s="15"/>
      <c r="F237" s="14" t="s">
        <v>1350</v>
      </c>
      <c r="G237" s="15"/>
      <c r="H237" s="14" t="s">
        <v>1380</v>
      </c>
      <c r="I237" s="14" t="s">
        <v>1360</v>
      </c>
      <c r="J237" s="14" t="s">
        <v>1360</v>
      </c>
      <c r="K237" s="14" t="s">
        <v>1257</v>
      </c>
      <c r="L237" s="14" t="s">
        <v>1698</v>
      </c>
      <c r="M237" s="14" t="s">
        <v>1324</v>
      </c>
      <c r="N237" s="14" t="s">
        <v>1219</v>
      </c>
      <c r="O237" s="14" t="s">
        <v>1220</v>
      </c>
    </row>
    <row r="238" spans="1:15" x14ac:dyDescent="0.25">
      <c r="A238" s="14" t="s">
        <v>1719</v>
      </c>
      <c r="B238" s="14" t="s">
        <v>1720</v>
      </c>
      <c r="C238" s="14" t="s">
        <v>1720</v>
      </c>
      <c r="D238" s="14" t="s">
        <v>1349</v>
      </c>
      <c r="E238" s="15"/>
      <c r="F238" s="14"/>
      <c r="G238" s="15"/>
      <c r="H238" s="14" t="s">
        <v>1380</v>
      </c>
      <c r="I238" s="14" t="s">
        <v>1360</v>
      </c>
      <c r="J238" s="14" t="s">
        <v>1360</v>
      </c>
      <c r="K238" s="14"/>
      <c r="L238" s="14"/>
      <c r="M238" s="14" t="s">
        <v>1324</v>
      </c>
      <c r="N238" s="14" t="s">
        <v>1219</v>
      </c>
      <c r="O238" s="14" t="s">
        <v>1220</v>
      </c>
    </row>
    <row r="239" spans="1:15" x14ac:dyDescent="0.25">
      <c r="A239" s="14" t="s">
        <v>1721</v>
      </c>
      <c r="B239" s="14" t="s">
        <v>1722</v>
      </c>
      <c r="C239" s="14" t="s">
        <v>1722</v>
      </c>
      <c r="D239" s="14" t="s">
        <v>1349</v>
      </c>
      <c r="E239" s="15"/>
      <c r="F239" s="14"/>
      <c r="G239" s="15"/>
      <c r="H239" s="14" t="s">
        <v>1380</v>
      </c>
      <c r="I239" s="14" t="s">
        <v>1360</v>
      </c>
      <c r="J239" s="14" t="s">
        <v>1360</v>
      </c>
      <c r="K239" s="14"/>
      <c r="L239" s="14"/>
      <c r="M239" s="14" t="s">
        <v>1324</v>
      </c>
      <c r="N239" s="14" t="s">
        <v>1219</v>
      </c>
      <c r="O239" s="14" t="s">
        <v>1220</v>
      </c>
    </row>
    <row r="240" spans="1:15" x14ac:dyDescent="0.25">
      <c r="A240" s="14" t="s">
        <v>1723</v>
      </c>
      <c r="B240" s="14" t="s">
        <v>1724</v>
      </c>
      <c r="C240" s="14" t="s">
        <v>1724</v>
      </c>
      <c r="D240" s="14" t="s">
        <v>1349</v>
      </c>
      <c r="E240" s="15"/>
      <c r="F240" s="14"/>
      <c r="G240" s="15"/>
      <c r="H240" s="14" t="s">
        <v>1380</v>
      </c>
      <c r="I240" s="14" t="s">
        <v>1360</v>
      </c>
      <c r="J240" s="14" t="s">
        <v>1360</v>
      </c>
      <c r="K240" s="14"/>
      <c r="L240" s="14"/>
      <c r="M240" s="14" t="s">
        <v>1324</v>
      </c>
      <c r="N240" s="14" t="s">
        <v>1219</v>
      </c>
      <c r="O240" s="14" t="s">
        <v>1220</v>
      </c>
    </row>
    <row r="241" spans="1:15" x14ac:dyDescent="0.25">
      <c r="A241" s="14">
        <v>2584</v>
      </c>
      <c r="B241" s="14" t="s">
        <v>587</v>
      </c>
      <c r="C241" s="14" t="s">
        <v>1725</v>
      </c>
      <c r="D241" s="14" t="s">
        <v>1691</v>
      </c>
      <c r="E241" s="16">
        <v>500</v>
      </c>
      <c r="F241" s="14" t="s">
        <v>1321</v>
      </c>
      <c r="G241" s="17">
        <v>23500</v>
      </c>
      <c r="H241" s="14" t="s">
        <v>1322</v>
      </c>
      <c r="I241" s="14" t="s">
        <v>1256</v>
      </c>
      <c r="J241" s="14" t="s">
        <v>1233</v>
      </c>
      <c r="K241" s="14" t="s">
        <v>1257</v>
      </c>
      <c r="L241" s="14" t="s">
        <v>1726</v>
      </c>
      <c r="M241" s="14" t="s">
        <v>1324</v>
      </c>
      <c r="N241" s="14" t="s">
        <v>1237</v>
      </c>
      <c r="O241" s="14" t="s">
        <v>1220</v>
      </c>
    </row>
    <row r="242" spans="1:15" x14ac:dyDescent="0.25">
      <c r="A242" s="14" t="s">
        <v>1727</v>
      </c>
      <c r="B242" s="14" t="s">
        <v>1728</v>
      </c>
      <c r="C242" s="14" t="s">
        <v>1729</v>
      </c>
      <c r="D242" s="14" t="s">
        <v>1691</v>
      </c>
      <c r="E242" s="15"/>
      <c r="F242" s="14" t="s">
        <v>1321</v>
      </c>
      <c r="G242" s="15"/>
      <c r="H242" s="14" t="s">
        <v>1322</v>
      </c>
      <c r="I242" s="14" t="s">
        <v>1262</v>
      </c>
      <c r="J242" s="14" t="s">
        <v>1262</v>
      </c>
      <c r="K242" s="14"/>
      <c r="L242" s="14" t="s">
        <v>1726</v>
      </c>
      <c r="M242" s="14" t="s">
        <v>1324</v>
      </c>
      <c r="N242" s="14" t="s">
        <v>1219</v>
      </c>
      <c r="O242" s="14" t="s">
        <v>1220</v>
      </c>
    </row>
    <row r="243" spans="1:15" x14ac:dyDescent="0.25">
      <c r="A243" s="14">
        <v>2581</v>
      </c>
      <c r="B243" s="14" t="s">
        <v>583</v>
      </c>
      <c r="C243" s="14" t="s">
        <v>1730</v>
      </c>
      <c r="D243" s="14" t="s">
        <v>1691</v>
      </c>
      <c r="E243" s="16">
        <v>200</v>
      </c>
      <c r="F243" s="14" t="s">
        <v>1321</v>
      </c>
      <c r="G243" s="17">
        <v>5200</v>
      </c>
      <c r="H243" s="14" t="s">
        <v>1322</v>
      </c>
      <c r="I243" s="14" t="s">
        <v>1256</v>
      </c>
      <c r="J243" s="14" t="s">
        <v>1233</v>
      </c>
      <c r="K243" s="14" t="s">
        <v>1257</v>
      </c>
      <c r="L243" s="14" t="s">
        <v>1731</v>
      </c>
      <c r="M243" s="14" t="s">
        <v>1324</v>
      </c>
      <c r="N243" s="14" t="s">
        <v>1237</v>
      </c>
      <c r="O243" s="14" t="s">
        <v>1220</v>
      </c>
    </row>
    <row r="244" spans="1:15" x14ac:dyDescent="0.25">
      <c r="A244" s="14" t="s">
        <v>1732</v>
      </c>
      <c r="B244" s="14" t="s">
        <v>1733</v>
      </c>
      <c r="C244" s="14" t="s">
        <v>1734</v>
      </c>
      <c r="D244" s="14" t="s">
        <v>1691</v>
      </c>
      <c r="E244" s="15"/>
      <c r="F244" s="14" t="s">
        <v>1321</v>
      </c>
      <c r="G244" s="15"/>
      <c r="H244" s="14" t="s">
        <v>1322</v>
      </c>
      <c r="I244" s="14" t="s">
        <v>1262</v>
      </c>
      <c r="J244" s="14" t="s">
        <v>1262</v>
      </c>
      <c r="K244" s="14"/>
      <c r="L244" s="14" t="s">
        <v>1731</v>
      </c>
      <c r="M244" s="14" t="s">
        <v>1324</v>
      </c>
      <c r="N244" s="14" t="s">
        <v>1219</v>
      </c>
      <c r="O244" s="14" t="s">
        <v>1220</v>
      </c>
    </row>
    <row r="245" spans="1:15" x14ac:dyDescent="0.25">
      <c r="A245" s="14">
        <v>2580</v>
      </c>
      <c r="B245" s="14" t="s">
        <v>589</v>
      </c>
      <c r="C245" s="14" t="s">
        <v>1735</v>
      </c>
      <c r="D245" s="14" t="s">
        <v>1691</v>
      </c>
      <c r="E245" s="16">
        <v>200</v>
      </c>
      <c r="F245" s="14" t="s">
        <v>1321</v>
      </c>
      <c r="G245" s="17">
        <v>5000</v>
      </c>
      <c r="H245" s="14" t="s">
        <v>1322</v>
      </c>
      <c r="I245" s="14" t="s">
        <v>1256</v>
      </c>
      <c r="J245" s="14" t="s">
        <v>1242</v>
      </c>
      <c r="K245" s="14" t="s">
        <v>1257</v>
      </c>
      <c r="L245" s="14" t="s">
        <v>1736</v>
      </c>
      <c r="M245" s="14" t="s">
        <v>1324</v>
      </c>
      <c r="N245" s="14" t="s">
        <v>1237</v>
      </c>
      <c r="O245" s="14" t="s">
        <v>1220</v>
      </c>
    </row>
    <row r="246" spans="1:15" x14ac:dyDescent="0.25">
      <c r="A246" s="14" t="s">
        <v>1737</v>
      </c>
      <c r="B246" s="14" t="s">
        <v>1738</v>
      </c>
      <c r="C246" s="14" t="s">
        <v>1739</v>
      </c>
      <c r="D246" s="14" t="s">
        <v>1691</v>
      </c>
      <c r="E246" s="15"/>
      <c r="F246" s="14" t="s">
        <v>1321</v>
      </c>
      <c r="G246" s="15"/>
      <c r="H246" s="14" t="s">
        <v>1322</v>
      </c>
      <c r="I246" s="14" t="s">
        <v>1262</v>
      </c>
      <c r="J246" s="14" t="s">
        <v>1262</v>
      </c>
      <c r="K246" s="14"/>
      <c r="L246" s="14" t="s">
        <v>1736</v>
      </c>
      <c r="M246" s="14" t="s">
        <v>1324</v>
      </c>
      <c r="N246" s="14" t="s">
        <v>1219</v>
      </c>
      <c r="O246" s="14" t="s">
        <v>1220</v>
      </c>
    </row>
    <row r="247" spans="1:15" x14ac:dyDescent="0.25">
      <c r="A247" s="14" t="s">
        <v>1740</v>
      </c>
      <c r="B247" s="14" t="s">
        <v>1741</v>
      </c>
      <c r="C247" s="14" t="s">
        <v>1741</v>
      </c>
      <c r="D247" s="14" t="s">
        <v>1283</v>
      </c>
      <c r="E247" s="15"/>
      <c r="F247" s="14" t="s">
        <v>1742</v>
      </c>
      <c r="G247" s="15"/>
      <c r="H247" s="14" t="s">
        <v>1255</v>
      </c>
      <c r="I247" s="14" t="s">
        <v>1217</v>
      </c>
      <c r="J247" s="14" t="s">
        <v>1296</v>
      </c>
      <c r="K247" s="14"/>
      <c r="L247" s="14"/>
      <c r="M247" s="14" t="s">
        <v>1259</v>
      </c>
      <c r="N247" s="14" t="s">
        <v>1219</v>
      </c>
      <c r="O247" s="14" t="s">
        <v>1220</v>
      </c>
    </row>
    <row r="248" spans="1:15" x14ac:dyDescent="0.25">
      <c r="A248" s="14" t="s">
        <v>1743</v>
      </c>
      <c r="B248" s="14" t="s">
        <v>1744</v>
      </c>
      <c r="C248" s="14" t="s">
        <v>1744</v>
      </c>
      <c r="D248" s="14" t="s">
        <v>1283</v>
      </c>
      <c r="E248" s="15"/>
      <c r="F248" s="14" t="s">
        <v>1742</v>
      </c>
      <c r="G248" s="15"/>
      <c r="H248" s="14" t="s">
        <v>1255</v>
      </c>
      <c r="I248" s="14" t="s">
        <v>1217</v>
      </c>
      <c r="J248" s="14" t="s">
        <v>1296</v>
      </c>
      <c r="K248" s="14"/>
      <c r="L248" s="14"/>
      <c r="M248" s="14" t="s">
        <v>1259</v>
      </c>
      <c r="N248" s="14" t="s">
        <v>1219</v>
      </c>
      <c r="O248" s="14" t="s">
        <v>1220</v>
      </c>
    </row>
    <row r="249" spans="1:15" x14ac:dyDescent="0.25">
      <c r="A249" s="14">
        <v>4525</v>
      </c>
      <c r="B249" s="14" t="s">
        <v>586</v>
      </c>
      <c r="C249" s="14" t="s">
        <v>1745</v>
      </c>
      <c r="D249" s="14" t="s">
        <v>1691</v>
      </c>
      <c r="E249" s="16">
        <v>60</v>
      </c>
      <c r="F249" s="14" t="s">
        <v>1321</v>
      </c>
      <c r="G249" s="16">
        <v>960</v>
      </c>
      <c r="H249" s="14" t="s">
        <v>1322</v>
      </c>
      <c r="I249" s="14" t="s">
        <v>1256</v>
      </c>
      <c r="J249" s="14" t="s">
        <v>1242</v>
      </c>
      <c r="K249" s="14" t="s">
        <v>1257</v>
      </c>
      <c r="L249" s="14" t="s">
        <v>1746</v>
      </c>
      <c r="M249" s="14" t="s">
        <v>1324</v>
      </c>
      <c r="N249" s="14" t="s">
        <v>1237</v>
      </c>
      <c r="O249" s="14" t="s">
        <v>1220</v>
      </c>
    </row>
    <row r="250" spans="1:15" x14ac:dyDescent="0.25">
      <c r="A250" s="14">
        <v>4528</v>
      </c>
      <c r="B250" s="14" t="s">
        <v>592</v>
      </c>
      <c r="C250" s="14" t="s">
        <v>1747</v>
      </c>
      <c r="D250" s="14" t="s">
        <v>1691</v>
      </c>
      <c r="E250" s="16">
        <v>50</v>
      </c>
      <c r="F250" s="14" t="s">
        <v>1321</v>
      </c>
      <c r="G250" s="16">
        <v>500</v>
      </c>
      <c r="H250" s="14" t="s">
        <v>1322</v>
      </c>
      <c r="I250" s="14" t="s">
        <v>1256</v>
      </c>
      <c r="J250" s="14" t="s">
        <v>1296</v>
      </c>
      <c r="K250" s="14" t="s">
        <v>1257</v>
      </c>
      <c r="L250" s="14" t="s">
        <v>1748</v>
      </c>
      <c r="M250" s="14" t="s">
        <v>1324</v>
      </c>
      <c r="N250" s="14" t="s">
        <v>1237</v>
      </c>
      <c r="O250" s="14" t="s">
        <v>1220</v>
      </c>
    </row>
    <row r="251" spans="1:15" x14ac:dyDescent="0.25">
      <c r="A251" s="14" t="s">
        <v>1749</v>
      </c>
      <c r="B251" s="14" t="s">
        <v>1750</v>
      </c>
      <c r="C251" s="14" t="s">
        <v>1750</v>
      </c>
      <c r="D251" s="14" t="s">
        <v>1349</v>
      </c>
      <c r="E251" s="15"/>
      <c r="F251" s="14"/>
      <c r="G251" s="15"/>
      <c r="H251" s="14" t="s">
        <v>1380</v>
      </c>
      <c r="I251" s="14" t="s">
        <v>1360</v>
      </c>
      <c r="J251" s="14" t="s">
        <v>1360</v>
      </c>
      <c r="K251" s="14"/>
      <c r="L251" s="14"/>
      <c r="M251" s="14" t="s">
        <v>1324</v>
      </c>
      <c r="N251" s="14" t="s">
        <v>1219</v>
      </c>
      <c r="O251" s="14" t="s">
        <v>1220</v>
      </c>
    </row>
    <row r="252" spans="1:15" x14ac:dyDescent="0.25">
      <c r="A252" s="14" t="s">
        <v>1751</v>
      </c>
      <c r="B252" s="14" t="s">
        <v>1752</v>
      </c>
      <c r="C252" s="14" t="s">
        <v>1752</v>
      </c>
      <c r="D252" s="14" t="s">
        <v>1349</v>
      </c>
      <c r="E252" s="15"/>
      <c r="F252" s="14"/>
      <c r="G252" s="15"/>
      <c r="H252" s="14" t="s">
        <v>1380</v>
      </c>
      <c r="I252" s="14" t="s">
        <v>1360</v>
      </c>
      <c r="J252" s="14" t="s">
        <v>1360</v>
      </c>
      <c r="K252" s="14"/>
      <c r="L252" s="14"/>
      <c r="M252" s="14" t="s">
        <v>1324</v>
      </c>
      <c r="N252" s="14" t="s">
        <v>1219</v>
      </c>
      <c r="O252" s="14" t="s">
        <v>1220</v>
      </c>
    </row>
    <row r="253" spans="1:15" x14ac:dyDescent="0.25">
      <c r="A253" s="14" t="s">
        <v>1753</v>
      </c>
      <c r="B253" s="14" t="s">
        <v>1754</v>
      </c>
      <c r="C253" s="14" t="s">
        <v>1754</v>
      </c>
      <c r="D253" s="14" t="s">
        <v>1349</v>
      </c>
      <c r="E253" s="15"/>
      <c r="F253" s="14"/>
      <c r="G253" s="15"/>
      <c r="H253" s="14" t="s">
        <v>1380</v>
      </c>
      <c r="I253" s="14" t="s">
        <v>1360</v>
      </c>
      <c r="J253" s="14" t="s">
        <v>1360</v>
      </c>
      <c r="K253" s="14"/>
      <c r="L253" s="14"/>
      <c r="M253" s="14" t="s">
        <v>1324</v>
      </c>
      <c r="N253" s="14" t="s">
        <v>1219</v>
      </c>
      <c r="O253" s="14" t="s">
        <v>1220</v>
      </c>
    </row>
    <row r="254" spans="1:15" x14ac:dyDescent="0.25">
      <c r="A254" s="14" t="s">
        <v>1755</v>
      </c>
      <c r="B254" s="14" t="s">
        <v>1756</v>
      </c>
      <c r="C254" s="14" t="s">
        <v>1756</v>
      </c>
      <c r="D254" s="14" t="s">
        <v>1349</v>
      </c>
      <c r="E254" s="15"/>
      <c r="F254" s="14"/>
      <c r="G254" s="15"/>
      <c r="H254" s="14" t="s">
        <v>1380</v>
      </c>
      <c r="I254" s="14" t="s">
        <v>1360</v>
      </c>
      <c r="J254" s="14" t="s">
        <v>1360</v>
      </c>
      <c r="K254" s="14"/>
      <c r="L254" s="14"/>
      <c r="M254" s="14" t="s">
        <v>1324</v>
      </c>
      <c r="N254" s="14" t="s">
        <v>1219</v>
      </c>
      <c r="O254" s="14" t="s">
        <v>1220</v>
      </c>
    </row>
    <row r="255" spans="1:15" x14ac:dyDescent="0.25">
      <c r="A255" s="14">
        <v>2583</v>
      </c>
      <c r="B255" s="14" t="s">
        <v>582</v>
      </c>
      <c r="C255" s="14" t="s">
        <v>1757</v>
      </c>
      <c r="D255" s="14" t="s">
        <v>1691</v>
      </c>
      <c r="E255" s="16">
        <v>300</v>
      </c>
      <c r="F255" s="14" t="s">
        <v>1321</v>
      </c>
      <c r="G255" s="17">
        <v>11100</v>
      </c>
      <c r="H255" s="14" t="s">
        <v>1322</v>
      </c>
      <c r="I255" s="14" t="s">
        <v>1256</v>
      </c>
      <c r="J255" s="14" t="s">
        <v>1233</v>
      </c>
      <c r="K255" s="14" t="s">
        <v>1257</v>
      </c>
      <c r="L255" s="14" t="s">
        <v>1758</v>
      </c>
      <c r="M255" s="14" t="s">
        <v>1324</v>
      </c>
      <c r="N255" s="14" t="s">
        <v>1237</v>
      </c>
      <c r="O255" s="14" t="s">
        <v>1220</v>
      </c>
    </row>
    <row r="256" spans="1:15" x14ac:dyDescent="0.25">
      <c r="A256" s="14">
        <v>2585</v>
      </c>
      <c r="B256" s="14" t="s">
        <v>588</v>
      </c>
      <c r="C256" s="14" t="s">
        <v>1759</v>
      </c>
      <c r="D256" s="14" t="s">
        <v>1691</v>
      </c>
      <c r="E256" s="16">
        <v>300</v>
      </c>
      <c r="F256" s="14" t="s">
        <v>1321</v>
      </c>
      <c r="G256" s="17">
        <v>8400</v>
      </c>
      <c r="H256" s="14" t="s">
        <v>1322</v>
      </c>
      <c r="I256" s="14" t="s">
        <v>1256</v>
      </c>
      <c r="J256" s="14" t="s">
        <v>1242</v>
      </c>
      <c r="K256" s="14" t="s">
        <v>1257</v>
      </c>
      <c r="L256" s="14" t="s">
        <v>1760</v>
      </c>
      <c r="M256" s="14" t="s">
        <v>1324</v>
      </c>
      <c r="N256" s="14" t="s">
        <v>1237</v>
      </c>
      <c r="O256" s="14" t="s">
        <v>1220</v>
      </c>
    </row>
    <row r="257" spans="1:15" x14ac:dyDescent="0.25">
      <c r="A257" s="14" t="s">
        <v>1761</v>
      </c>
      <c r="B257" s="14" t="s">
        <v>1762</v>
      </c>
      <c r="C257" s="14" t="s">
        <v>1763</v>
      </c>
      <c r="D257" s="14" t="s">
        <v>1691</v>
      </c>
      <c r="E257" s="15"/>
      <c r="F257" s="14" t="s">
        <v>1321</v>
      </c>
      <c r="G257" s="15"/>
      <c r="H257" s="14" t="s">
        <v>1322</v>
      </c>
      <c r="I257" s="14" t="s">
        <v>1262</v>
      </c>
      <c r="J257" s="14" t="s">
        <v>1262</v>
      </c>
      <c r="K257" s="14"/>
      <c r="L257" s="14" t="s">
        <v>1760</v>
      </c>
      <c r="M257" s="14" t="s">
        <v>1324</v>
      </c>
      <c r="N257" s="14" t="s">
        <v>1219</v>
      </c>
      <c r="O257" s="14" t="s">
        <v>1220</v>
      </c>
    </row>
    <row r="258" spans="1:15" x14ac:dyDescent="0.25">
      <c r="A258" s="14" t="s">
        <v>1764</v>
      </c>
      <c r="B258" s="14" t="s">
        <v>1765</v>
      </c>
      <c r="C258" s="14" t="s">
        <v>1765</v>
      </c>
      <c r="D258" s="14" t="s">
        <v>1283</v>
      </c>
      <c r="E258" s="15"/>
      <c r="F258" s="14" t="s">
        <v>1742</v>
      </c>
      <c r="G258" s="15"/>
      <c r="H258" s="14" t="s">
        <v>1255</v>
      </c>
      <c r="I258" s="14" t="s">
        <v>1217</v>
      </c>
      <c r="J258" s="14" t="s">
        <v>1296</v>
      </c>
      <c r="K258" s="14"/>
      <c r="L258" s="14"/>
      <c r="M258" s="14" t="s">
        <v>1259</v>
      </c>
      <c r="N258" s="14" t="s">
        <v>1219</v>
      </c>
      <c r="O258" s="14" t="s">
        <v>1220</v>
      </c>
    </row>
    <row r="259" spans="1:15" x14ac:dyDescent="0.25">
      <c r="A259" s="14">
        <v>3678</v>
      </c>
      <c r="B259" s="14" t="s">
        <v>395</v>
      </c>
      <c r="C259" s="14" t="s">
        <v>395</v>
      </c>
      <c r="D259" s="14" t="s">
        <v>1691</v>
      </c>
      <c r="E259" s="16">
        <v>210</v>
      </c>
      <c r="F259" s="14" t="s">
        <v>1255</v>
      </c>
      <c r="G259" s="17">
        <v>1050</v>
      </c>
      <c r="H259" s="14" t="s">
        <v>1255</v>
      </c>
      <c r="I259" s="14" t="s">
        <v>1256</v>
      </c>
      <c r="J259" s="14" t="s">
        <v>1296</v>
      </c>
      <c r="K259" s="14" t="s">
        <v>1257</v>
      </c>
      <c r="L259" s="14" t="s">
        <v>1766</v>
      </c>
      <c r="M259" s="14" t="s">
        <v>1259</v>
      </c>
      <c r="N259" s="14" t="s">
        <v>1237</v>
      </c>
      <c r="O259" s="14" t="s">
        <v>1220</v>
      </c>
    </row>
    <row r="260" spans="1:15" x14ac:dyDescent="0.25">
      <c r="A260" s="14">
        <v>3679</v>
      </c>
      <c r="B260" s="14" t="s">
        <v>396</v>
      </c>
      <c r="C260" s="14" t="s">
        <v>396</v>
      </c>
      <c r="D260" s="14" t="s">
        <v>1691</v>
      </c>
      <c r="E260" s="16">
        <v>160</v>
      </c>
      <c r="F260" s="14" t="s">
        <v>1255</v>
      </c>
      <c r="G260" s="16">
        <v>700</v>
      </c>
      <c r="H260" s="14" t="s">
        <v>1255</v>
      </c>
      <c r="I260" s="14" t="s">
        <v>1256</v>
      </c>
      <c r="J260" s="14" t="s">
        <v>1296</v>
      </c>
      <c r="K260" s="14" t="s">
        <v>1257</v>
      </c>
      <c r="L260" s="14" t="s">
        <v>1767</v>
      </c>
      <c r="M260" s="14" t="s">
        <v>1259</v>
      </c>
      <c r="N260" s="14" t="s">
        <v>1237</v>
      </c>
      <c r="O260" s="14" t="s">
        <v>1220</v>
      </c>
    </row>
    <row r="261" spans="1:15" x14ac:dyDescent="0.25">
      <c r="A261" s="14">
        <v>3680</v>
      </c>
      <c r="B261" s="14" t="s">
        <v>397</v>
      </c>
      <c r="C261" s="14" t="s">
        <v>397</v>
      </c>
      <c r="D261" s="14" t="s">
        <v>1691</v>
      </c>
      <c r="E261" s="16">
        <v>80</v>
      </c>
      <c r="F261" s="14" t="s">
        <v>1255</v>
      </c>
      <c r="G261" s="16">
        <v>400</v>
      </c>
      <c r="H261" s="14" t="s">
        <v>1255</v>
      </c>
      <c r="I261" s="14" t="s">
        <v>1256</v>
      </c>
      <c r="J261" s="14" t="s">
        <v>1296</v>
      </c>
      <c r="K261" s="14" t="s">
        <v>1257</v>
      </c>
      <c r="L261" s="14" t="s">
        <v>1768</v>
      </c>
      <c r="M261" s="14" t="s">
        <v>1259</v>
      </c>
      <c r="N261" s="14" t="s">
        <v>1237</v>
      </c>
      <c r="O261" s="14" t="s">
        <v>1220</v>
      </c>
    </row>
    <row r="262" spans="1:15" x14ac:dyDescent="0.25">
      <c r="A262" s="14">
        <v>3681</v>
      </c>
      <c r="B262" s="14" t="s">
        <v>1769</v>
      </c>
      <c r="C262" s="14" t="s">
        <v>1769</v>
      </c>
      <c r="D262" s="14" t="s">
        <v>1691</v>
      </c>
      <c r="E262" s="16">
        <v>25</v>
      </c>
      <c r="F262" s="14" t="s">
        <v>1350</v>
      </c>
      <c r="G262" s="16">
        <v>125</v>
      </c>
      <c r="H262" s="14" t="s">
        <v>1255</v>
      </c>
      <c r="I262" s="14" t="s">
        <v>1360</v>
      </c>
      <c r="J262" s="14" t="s">
        <v>1385</v>
      </c>
      <c r="K262" s="14" t="s">
        <v>1257</v>
      </c>
      <c r="L262" s="14" t="s">
        <v>1768</v>
      </c>
      <c r="M262" s="14" t="s">
        <v>1259</v>
      </c>
      <c r="N262" s="14" t="s">
        <v>1219</v>
      </c>
      <c r="O262" s="14" t="s">
        <v>1220</v>
      </c>
    </row>
    <row r="263" spans="1:15" x14ac:dyDescent="0.25">
      <c r="A263" s="14">
        <v>3682</v>
      </c>
      <c r="B263" s="14" t="s">
        <v>1770</v>
      </c>
      <c r="C263" s="14" t="s">
        <v>1770</v>
      </c>
      <c r="D263" s="14" t="s">
        <v>1349</v>
      </c>
      <c r="E263" s="15"/>
      <c r="F263" s="14"/>
      <c r="G263" s="15"/>
      <c r="H263" s="14" t="s">
        <v>1255</v>
      </c>
      <c r="I263" s="14" t="s">
        <v>1360</v>
      </c>
      <c r="J263" s="14" t="s">
        <v>1360</v>
      </c>
      <c r="K263" s="14"/>
      <c r="L263" s="14"/>
      <c r="M263" s="14" t="s">
        <v>1259</v>
      </c>
      <c r="N263" s="14" t="s">
        <v>1219</v>
      </c>
      <c r="O263" s="14" t="s">
        <v>1220</v>
      </c>
    </row>
    <row r="264" spans="1:15" x14ac:dyDescent="0.25">
      <c r="A264" s="14" t="s">
        <v>1771</v>
      </c>
      <c r="B264" s="14" t="s">
        <v>1772</v>
      </c>
      <c r="C264" s="14" t="s">
        <v>1772</v>
      </c>
      <c r="D264" s="14" t="s">
        <v>1691</v>
      </c>
      <c r="E264" s="15"/>
      <c r="F264" s="14" t="s">
        <v>1321</v>
      </c>
      <c r="G264" s="15"/>
      <c r="H264" s="14" t="s">
        <v>1322</v>
      </c>
      <c r="I264" s="14" t="s">
        <v>1262</v>
      </c>
      <c r="J264" s="14" t="s">
        <v>1262</v>
      </c>
      <c r="K264" s="14"/>
      <c r="L264" s="14" t="s">
        <v>1758</v>
      </c>
      <c r="M264" s="14" t="s">
        <v>1324</v>
      </c>
      <c r="N264" s="14" t="s">
        <v>1219</v>
      </c>
      <c r="O264" s="14" t="s">
        <v>1220</v>
      </c>
    </row>
    <row r="265" spans="1:15" x14ac:dyDescent="0.25">
      <c r="A265" s="14">
        <v>3684</v>
      </c>
      <c r="B265" s="14" t="s">
        <v>398</v>
      </c>
      <c r="C265" s="14" t="s">
        <v>1773</v>
      </c>
      <c r="D265" s="14" t="s">
        <v>1691</v>
      </c>
      <c r="E265" s="17">
        <v>2000</v>
      </c>
      <c r="F265" s="14" t="s">
        <v>1255</v>
      </c>
      <c r="G265" s="17">
        <v>12000</v>
      </c>
      <c r="H265" s="14" t="s">
        <v>1255</v>
      </c>
      <c r="I265" s="14" t="s">
        <v>1256</v>
      </c>
      <c r="J265" s="14" t="s">
        <v>1296</v>
      </c>
      <c r="K265" s="14" t="s">
        <v>1257</v>
      </c>
      <c r="L265" s="14" t="s">
        <v>1774</v>
      </c>
      <c r="M265" s="14" t="s">
        <v>1259</v>
      </c>
      <c r="N265" s="14" t="s">
        <v>1237</v>
      </c>
      <c r="O265" s="14" t="s">
        <v>1220</v>
      </c>
    </row>
    <row r="266" spans="1:15" x14ac:dyDescent="0.25">
      <c r="A266" s="14">
        <v>3704</v>
      </c>
      <c r="B266" s="14" t="s">
        <v>1775</v>
      </c>
      <c r="C266" s="14" t="s">
        <v>1776</v>
      </c>
      <c r="D266" s="14" t="s">
        <v>1691</v>
      </c>
      <c r="E266" s="17">
        <v>1600</v>
      </c>
      <c r="F266" s="14" t="s">
        <v>1350</v>
      </c>
      <c r="G266" s="17">
        <v>1600</v>
      </c>
      <c r="H266" s="14" t="s">
        <v>1255</v>
      </c>
      <c r="I266" s="14" t="s">
        <v>1351</v>
      </c>
      <c r="J266" s="14" t="s">
        <v>1385</v>
      </c>
      <c r="K266" s="14" t="s">
        <v>1257</v>
      </c>
      <c r="L266" s="14" t="s">
        <v>1777</v>
      </c>
      <c r="M266" s="14" t="s">
        <v>1259</v>
      </c>
      <c r="N266" s="14" t="s">
        <v>1219</v>
      </c>
      <c r="O266" s="14" t="s">
        <v>1220</v>
      </c>
    </row>
    <row r="267" spans="1:15" x14ac:dyDescent="0.25">
      <c r="A267" s="14">
        <v>3685</v>
      </c>
      <c r="B267" s="14" t="s">
        <v>399</v>
      </c>
      <c r="C267" s="14" t="s">
        <v>399</v>
      </c>
      <c r="D267" s="14" t="s">
        <v>1691</v>
      </c>
      <c r="E267" s="17">
        <v>1000</v>
      </c>
      <c r="F267" s="14" t="s">
        <v>1255</v>
      </c>
      <c r="G267" s="17">
        <v>5000</v>
      </c>
      <c r="H267" s="14" t="s">
        <v>1255</v>
      </c>
      <c r="I267" s="14" t="s">
        <v>1256</v>
      </c>
      <c r="J267" s="14" t="s">
        <v>1296</v>
      </c>
      <c r="K267" s="14" t="s">
        <v>1257</v>
      </c>
      <c r="L267" s="14" t="s">
        <v>1778</v>
      </c>
      <c r="M267" s="14" t="s">
        <v>1259</v>
      </c>
      <c r="N267" s="14" t="s">
        <v>1237</v>
      </c>
      <c r="O267" s="14" t="s">
        <v>1220</v>
      </c>
    </row>
    <row r="268" spans="1:15" x14ac:dyDescent="0.25">
      <c r="A268" s="14">
        <v>3686</v>
      </c>
      <c r="B268" s="14" t="s">
        <v>1779</v>
      </c>
      <c r="C268" s="14" t="s">
        <v>1779</v>
      </c>
      <c r="D268" s="14" t="s">
        <v>1349</v>
      </c>
      <c r="E268" s="15"/>
      <c r="F268" s="14"/>
      <c r="G268" s="15"/>
      <c r="H268" s="14" t="s">
        <v>1255</v>
      </c>
      <c r="I268" s="14" t="s">
        <v>1360</v>
      </c>
      <c r="J268" s="14" t="s">
        <v>1360</v>
      </c>
      <c r="K268" s="14"/>
      <c r="L268" s="14"/>
      <c r="M268" s="14" t="s">
        <v>1259</v>
      </c>
      <c r="N268" s="14" t="s">
        <v>1219</v>
      </c>
      <c r="O268" s="14" t="s">
        <v>1220</v>
      </c>
    </row>
    <row r="269" spans="1:15" x14ac:dyDescent="0.25">
      <c r="A269" s="14">
        <v>2582</v>
      </c>
      <c r="B269" s="14" t="s">
        <v>581</v>
      </c>
      <c r="C269" s="14" t="s">
        <v>1780</v>
      </c>
      <c r="D269" s="14" t="s">
        <v>1691</v>
      </c>
      <c r="E269" s="16">
        <v>500</v>
      </c>
      <c r="F269" s="14" t="s">
        <v>1321</v>
      </c>
      <c r="G269" s="17">
        <v>44000</v>
      </c>
      <c r="H269" s="14" t="s">
        <v>1322</v>
      </c>
      <c r="I269" s="14" t="s">
        <v>1256</v>
      </c>
      <c r="J269" s="14" t="s">
        <v>1233</v>
      </c>
      <c r="K269" s="14" t="s">
        <v>1257</v>
      </c>
      <c r="L269" s="14" t="s">
        <v>1781</v>
      </c>
      <c r="M269" s="14" t="s">
        <v>1324</v>
      </c>
      <c r="N269" s="14" t="s">
        <v>1237</v>
      </c>
      <c r="O269" s="14" t="s">
        <v>1220</v>
      </c>
    </row>
    <row r="270" spans="1:15" x14ac:dyDescent="0.25">
      <c r="A270" s="14" t="s">
        <v>1782</v>
      </c>
      <c r="B270" s="14" t="s">
        <v>1783</v>
      </c>
      <c r="C270" s="14" t="s">
        <v>1784</v>
      </c>
      <c r="D270" s="14" t="s">
        <v>1691</v>
      </c>
      <c r="E270" s="15"/>
      <c r="F270" s="14" t="s">
        <v>1321</v>
      </c>
      <c r="G270" s="15"/>
      <c r="H270" s="14" t="s">
        <v>1322</v>
      </c>
      <c r="I270" s="14" t="s">
        <v>1262</v>
      </c>
      <c r="J270" s="14" t="s">
        <v>1262</v>
      </c>
      <c r="K270" s="14"/>
      <c r="L270" s="14" t="s">
        <v>1781</v>
      </c>
      <c r="M270" s="14" t="s">
        <v>1324</v>
      </c>
      <c r="N270" s="14" t="s">
        <v>1219</v>
      </c>
      <c r="O270" s="14" t="s">
        <v>1220</v>
      </c>
    </row>
    <row r="271" spans="1:15" x14ac:dyDescent="0.25">
      <c r="A271" s="14">
        <v>3683</v>
      </c>
      <c r="B271" s="14" t="s">
        <v>1785</v>
      </c>
      <c r="C271" s="14" t="s">
        <v>1785</v>
      </c>
      <c r="D271" s="14" t="s">
        <v>1349</v>
      </c>
      <c r="E271" s="15"/>
      <c r="F271" s="14"/>
      <c r="G271" s="15"/>
      <c r="H271" s="14" t="s">
        <v>1255</v>
      </c>
      <c r="I271" s="14" t="s">
        <v>1360</v>
      </c>
      <c r="J271" s="14" t="s">
        <v>1360</v>
      </c>
      <c r="K271" s="14"/>
      <c r="L271" s="14"/>
      <c r="M271" s="14" t="s">
        <v>1259</v>
      </c>
      <c r="N271" s="14" t="s">
        <v>1219</v>
      </c>
      <c r="O271" s="14" t="s">
        <v>1220</v>
      </c>
    </row>
    <row r="272" spans="1:15" x14ac:dyDescent="0.25">
      <c r="A272" s="14">
        <v>4757</v>
      </c>
      <c r="B272" s="14" t="s">
        <v>1786</v>
      </c>
      <c r="C272" s="14" t="s">
        <v>1786</v>
      </c>
      <c r="D272" s="14" t="s">
        <v>1349</v>
      </c>
      <c r="E272" s="15"/>
      <c r="F272" s="14"/>
      <c r="G272" s="15"/>
      <c r="H272" s="14" t="s">
        <v>1255</v>
      </c>
      <c r="I272" s="14" t="s">
        <v>1360</v>
      </c>
      <c r="J272" s="14" t="s">
        <v>1360</v>
      </c>
      <c r="K272" s="14"/>
      <c r="L272" s="14"/>
      <c r="M272" s="14" t="s">
        <v>1259</v>
      </c>
      <c r="N272" s="14" t="s">
        <v>1219</v>
      </c>
      <c r="O272" s="14" t="s">
        <v>1220</v>
      </c>
    </row>
    <row r="273" spans="1:15" x14ac:dyDescent="0.25">
      <c r="A273" s="14" t="s">
        <v>1787</v>
      </c>
      <c r="B273" s="14" t="s">
        <v>1788</v>
      </c>
      <c r="C273" s="14" t="s">
        <v>1788</v>
      </c>
      <c r="D273" s="14" t="s">
        <v>1283</v>
      </c>
      <c r="E273" s="15"/>
      <c r="F273" s="14" t="s">
        <v>1742</v>
      </c>
      <c r="G273" s="15"/>
      <c r="H273" s="14" t="s">
        <v>1255</v>
      </c>
      <c r="I273" s="14" t="s">
        <v>1217</v>
      </c>
      <c r="J273" s="14" t="s">
        <v>1296</v>
      </c>
      <c r="K273" s="14"/>
      <c r="L273" s="14"/>
      <c r="M273" s="14" t="s">
        <v>1259</v>
      </c>
      <c r="N273" s="14" t="s">
        <v>1219</v>
      </c>
      <c r="O273" s="14" t="s">
        <v>1220</v>
      </c>
    </row>
    <row r="274" spans="1:15" x14ac:dyDescent="0.25">
      <c r="A274" s="14" t="s">
        <v>1789</v>
      </c>
      <c r="B274" s="14" t="s">
        <v>1790</v>
      </c>
      <c r="C274" s="14" t="s">
        <v>1790</v>
      </c>
      <c r="D274" s="14" t="s">
        <v>1283</v>
      </c>
      <c r="E274" s="15"/>
      <c r="F274" s="14" t="s">
        <v>1742</v>
      </c>
      <c r="G274" s="15"/>
      <c r="H274" s="14" t="s">
        <v>1255</v>
      </c>
      <c r="I274" s="14" t="s">
        <v>1217</v>
      </c>
      <c r="J274" s="14" t="s">
        <v>1296</v>
      </c>
      <c r="K274" s="14"/>
      <c r="L274" s="14"/>
      <c r="M274" s="14" t="s">
        <v>1259</v>
      </c>
      <c r="N274" s="14" t="s">
        <v>1219</v>
      </c>
      <c r="O274" s="14" t="s">
        <v>1220</v>
      </c>
    </row>
    <row r="275" spans="1:15" x14ac:dyDescent="0.25">
      <c r="A275" s="14" t="s">
        <v>1791</v>
      </c>
      <c r="B275" s="14" t="s">
        <v>1792</v>
      </c>
      <c r="C275" s="14" t="s">
        <v>1792</v>
      </c>
      <c r="D275" s="14" t="s">
        <v>1283</v>
      </c>
      <c r="E275" s="15"/>
      <c r="F275" s="14" t="s">
        <v>1742</v>
      </c>
      <c r="G275" s="15"/>
      <c r="H275" s="14" t="s">
        <v>1255</v>
      </c>
      <c r="I275" s="14" t="s">
        <v>1217</v>
      </c>
      <c r="J275" s="14" t="s">
        <v>1296</v>
      </c>
      <c r="K275" s="14"/>
      <c r="L275" s="14"/>
      <c r="M275" s="14" t="s">
        <v>1259</v>
      </c>
      <c r="N275" s="14" t="s">
        <v>1219</v>
      </c>
      <c r="O275" s="14" t="s">
        <v>1220</v>
      </c>
    </row>
    <row r="276" spans="1:15" x14ac:dyDescent="0.25">
      <c r="A276" s="14">
        <v>1041</v>
      </c>
      <c r="B276" s="14" t="s">
        <v>1793</v>
      </c>
      <c r="C276" s="14" t="s">
        <v>1793</v>
      </c>
      <c r="D276" s="14" t="s">
        <v>1794</v>
      </c>
      <c r="E276" s="16">
        <v>140</v>
      </c>
      <c r="F276" s="14" t="s">
        <v>1321</v>
      </c>
      <c r="G276" s="16">
        <v>100</v>
      </c>
      <c r="H276" s="14" t="s">
        <v>1578</v>
      </c>
      <c r="I276" s="14" t="s">
        <v>1232</v>
      </c>
      <c r="J276" s="14" t="s">
        <v>1296</v>
      </c>
      <c r="K276" s="14" t="s">
        <v>1579</v>
      </c>
      <c r="L276" s="14" t="s">
        <v>1795</v>
      </c>
      <c r="M276" s="14" t="s">
        <v>1324</v>
      </c>
      <c r="N276" s="14" t="s">
        <v>1219</v>
      </c>
      <c r="O276" s="14" t="s">
        <v>1220</v>
      </c>
    </row>
    <row r="277" spans="1:15" x14ac:dyDescent="0.25">
      <c r="A277" s="14">
        <v>1042</v>
      </c>
      <c r="B277" s="14" t="s">
        <v>1796</v>
      </c>
      <c r="C277" s="14" t="s">
        <v>1796</v>
      </c>
      <c r="D277" s="14" t="s">
        <v>1794</v>
      </c>
      <c r="E277" s="16">
        <v>140</v>
      </c>
      <c r="F277" s="14" t="s">
        <v>1321</v>
      </c>
      <c r="G277" s="16">
        <v>100</v>
      </c>
      <c r="H277" s="14" t="s">
        <v>1578</v>
      </c>
      <c r="I277" s="14" t="s">
        <v>1232</v>
      </c>
      <c r="J277" s="14" t="s">
        <v>1296</v>
      </c>
      <c r="K277" s="14" t="s">
        <v>1579</v>
      </c>
      <c r="L277" s="14" t="s">
        <v>1797</v>
      </c>
      <c r="M277" s="14" t="s">
        <v>1324</v>
      </c>
      <c r="N277" s="14" t="s">
        <v>1219</v>
      </c>
      <c r="O277" s="14" t="s">
        <v>1220</v>
      </c>
    </row>
    <row r="278" spans="1:15" x14ac:dyDescent="0.25">
      <c r="A278" s="14" t="s">
        <v>1798</v>
      </c>
      <c r="B278" s="14" t="s">
        <v>1799</v>
      </c>
      <c r="C278" s="14" t="s">
        <v>1799</v>
      </c>
      <c r="D278" s="14" t="s">
        <v>1545</v>
      </c>
      <c r="E278" s="15"/>
      <c r="F278" s="14" t="s">
        <v>1545</v>
      </c>
      <c r="G278" s="15"/>
      <c r="H278" s="14" t="s">
        <v>1545</v>
      </c>
      <c r="I278" s="14" t="s">
        <v>1262</v>
      </c>
      <c r="J278" s="14" t="s">
        <v>1262</v>
      </c>
      <c r="K278" s="14"/>
      <c r="L278" s="14" t="s">
        <v>1800</v>
      </c>
      <c r="M278" s="14" t="s">
        <v>1801</v>
      </c>
      <c r="N278" s="14" t="s">
        <v>1219</v>
      </c>
      <c r="O278" s="14" t="s">
        <v>1220</v>
      </c>
    </row>
    <row r="279" spans="1:15" x14ac:dyDescent="0.25">
      <c r="A279" s="14">
        <v>4744</v>
      </c>
      <c r="B279" s="14" t="s">
        <v>257</v>
      </c>
      <c r="C279" s="14" t="s">
        <v>257</v>
      </c>
      <c r="D279" s="14" t="s">
        <v>1543</v>
      </c>
      <c r="E279" s="16">
        <v>200</v>
      </c>
      <c r="F279" s="14" t="s">
        <v>1545</v>
      </c>
      <c r="G279" s="17">
        <v>2000</v>
      </c>
      <c r="H279" s="14" t="s">
        <v>1545</v>
      </c>
      <c r="I279" s="14" t="s">
        <v>1256</v>
      </c>
      <c r="J279" s="14" t="s">
        <v>1296</v>
      </c>
      <c r="K279" s="14" t="s">
        <v>1257</v>
      </c>
      <c r="L279" s="14" t="s">
        <v>1800</v>
      </c>
      <c r="M279" s="14" t="s">
        <v>1801</v>
      </c>
      <c r="N279" s="14" t="s">
        <v>1237</v>
      </c>
      <c r="O279" s="14" t="s">
        <v>1220</v>
      </c>
    </row>
    <row r="280" spans="1:15" x14ac:dyDescent="0.25">
      <c r="A280" s="14" t="s">
        <v>1802</v>
      </c>
      <c r="B280" s="14" t="s">
        <v>1803</v>
      </c>
      <c r="C280" s="14" t="s">
        <v>1803</v>
      </c>
      <c r="D280" s="14" t="s">
        <v>1545</v>
      </c>
      <c r="E280" s="15"/>
      <c r="F280" s="14" t="s">
        <v>1545</v>
      </c>
      <c r="G280" s="15"/>
      <c r="H280" s="14" t="s">
        <v>1545</v>
      </c>
      <c r="I280" s="14" t="s">
        <v>1262</v>
      </c>
      <c r="J280" s="14" t="s">
        <v>1262</v>
      </c>
      <c r="K280" s="14"/>
      <c r="L280" s="14" t="s">
        <v>1804</v>
      </c>
      <c r="M280" s="14" t="s">
        <v>1801</v>
      </c>
      <c r="N280" s="14" t="s">
        <v>1219</v>
      </c>
      <c r="O280" s="14" t="s">
        <v>1220</v>
      </c>
    </row>
    <row r="281" spans="1:15" x14ac:dyDescent="0.25">
      <c r="A281" s="14">
        <v>4743</v>
      </c>
      <c r="B281" s="14" t="s">
        <v>258</v>
      </c>
      <c r="C281" s="14" t="s">
        <v>1805</v>
      </c>
      <c r="D281" s="14" t="s">
        <v>1543</v>
      </c>
      <c r="E281" s="16">
        <v>200</v>
      </c>
      <c r="F281" s="14" t="s">
        <v>1545</v>
      </c>
      <c r="G281" s="17">
        <v>2000</v>
      </c>
      <c r="H281" s="14" t="s">
        <v>1545</v>
      </c>
      <c r="I281" s="14" t="s">
        <v>1256</v>
      </c>
      <c r="J281" s="14" t="s">
        <v>1296</v>
      </c>
      <c r="K281" s="14" t="s">
        <v>1257</v>
      </c>
      <c r="L281" s="14" t="s">
        <v>1804</v>
      </c>
      <c r="M281" s="14" t="s">
        <v>1801</v>
      </c>
      <c r="N281" s="14" t="s">
        <v>1237</v>
      </c>
      <c r="O281" s="14" t="s">
        <v>1220</v>
      </c>
    </row>
    <row r="282" spans="1:15" x14ac:dyDescent="0.25">
      <c r="A282" s="14">
        <v>6019</v>
      </c>
      <c r="B282" s="14" t="s">
        <v>1806</v>
      </c>
      <c r="C282" s="14" t="s">
        <v>1806</v>
      </c>
      <c r="D282" s="14" t="s">
        <v>1807</v>
      </c>
      <c r="E282" s="15"/>
      <c r="F282" s="14"/>
      <c r="G282" s="15"/>
      <c r="H282" s="14" t="s">
        <v>1255</v>
      </c>
      <c r="I282" s="14" t="s">
        <v>1217</v>
      </c>
      <c r="J282" s="14"/>
      <c r="K282" s="14"/>
      <c r="L282" s="14"/>
      <c r="M282" s="14"/>
      <c r="N282" s="14" t="s">
        <v>1219</v>
      </c>
      <c r="O282" s="14" t="s">
        <v>1220</v>
      </c>
    </row>
    <row r="283" spans="1:15" x14ac:dyDescent="0.25">
      <c r="A283" s="14">
        <v>6020</v>
      </c>
      <c r="B283" s="14" t="s">
        <v>1808</v>
      </c>
      <c r="C283" s="14" t="s">
        <v>1808</v>
      </c>
      <c r="D283" s="14" t="s">
        <v>1807</v>
      </c>
      <c r="E283" s="15"/>
      <c r="F283" s="14"/>
      <c r="G283" s="15"/>
      <c r="H283" s="14" t="s">
        <v>1255</v>
      </c>
      <c r="I283" s="14" t="s">
        <v>1217</v>
      </c>
      <c r="J283" s="14"/>
      <c r="K283" s="14"/>
      <c r="L283" s="14"/>
      <c r="M283" s="14"/>
      <c r="N283" s="14" t="s">
        <v>1219</v>
      </c>
      <c r="O283" s="14" t="s">
        <v>1220</v>
      </c>
    </row>
    <row r="284" spans="1:15" x14ac:dyDescent="0.25">
      <c r="A284" s="14">
        <v>6021</v>
      </c>
      <c r="B284" s="14" t="s">
        <v>1809</v>
      </c>
      <c r="C284" s="14" t="s">
        <v>1809</v>
      </c>
      <c r="D284" s="14" t="s">
        <v>1807</v>
      </c>
      <c r="E284" s="15"/>
      <c r="F284" s="14"/>
      <c r="G284" s="15"/>
      <c r="H284" s="14" t="s">
        <v>1255</v>
      </c>
      <c r="I284" s="14" t="s">
        <v>1217</v>
      </c>
      <c r="J284" s="14"/>
      <c r="K284" s="14"/>
      <c r="L284" s="14"/>
      <c r="M284" s="14"/>
      <c r="N284" s="14" t="s">
        <v>1219</v>
      </c>
      <c r="O284" s="14" t="s">
        <v>1220</v>
      </c>
    </row>
    <row r="285" spans="1:15" x14ac:dyDescent="0.25">
      <c r="A285" s="14">
        <v>6061</v>
      </c>
      <c r="B285" s="14" t="s">
        <v>1810</v>
      </c>
      <c r="C285" s="14" t="s">
        <v>1810</v>
      </c>
      <c r="D285" s="14" t="s">
        <v>1807</v>
      </c>
      <c r="E285" s="15"/>
      <c r="F285" s="14"/>
      <c r="G285" s="15"/>
      <c r="H285" s="14" t="s">
        <v>1255</v>
      </c>
      <c r="I285" s="14" t="s">
        <v>1217</v>
      </c>
      <c r="J285" s="14"/>
      <c r="K285" s="14"/>
      <c r="L285" s="14"/>
      <c r="M285" s="14"/>
      <c r="N285" s="14" t="s">
        <v>1219</v>
      </c>
      <c r="O285" s="14" t="s">
        <v>1220</v>
      </c>
    </row>
    <row r="286" spans="1:15" x14ac:dyDescent="0.25">
      <c r="A286" s="14">
        <v>6118</v>
      </c>
      <c r="B286" s="14" t="s">
        <v>1811</v>
      </c>
      <c r="C286" s="14" t="s">
        <v>1811</v>
      </c>
      <c r="D286" s="14" t="s">
        <v>1807</v>
      </c>
      <c r="E286" s="15"/>
      <c r="F286" s="14"/>
      <c r="G286" s="15"/>
      <c r="H286" s="14" t="s">
        <v>1255</v>
      </c>
      <c r="I286" s="14" t="s">
        <v>1217</v>
      </c>
      <c r="J286" s="14"/>
      <c r="K286" s="14"/>
      <c r="L286" s="14"/>
      <c r="M286" s="14"/>
      <c r="N286" s="14" t="s">
        <v>1219</v>
      </c>
      <c r="O286" s="14" t="s">
        <v>1220</v>
      </c>
    </row>
    <row r="287" spans="1:15" x14ac:dyDescent="0.25">
      <c r="A287" s="14">
        <v>6062</v>
      </c>
      <c r="B287" s="14" t="s">
        <v>1812</v>
      </c>
      <c r="C287" s="14" t="s">
        <v>1812</v>
      </c>
      <c r="D287" s="14" t="s">
        <v>1807</v>
      </c>
      <c r="E287" s="15"/>
      <c r="F287" s="14"/>
      <c r="G287" s="15"/>
      <c r="H287" s="14" t="s">
        <v>1255</v>
      </c>
      <c r="I287" s="14" t="s">
        <v>1217</v>
      </c>
      <c r="J287" s="14"/>
      <c r="K287" s="14"/>
      <c r="L287" s="14"/>
      <c r="M287" s="14"/>
      <c r="N287" s="14" t="s">
        <v>1219</v>
      </c>
      <c r="O287" s="14" t="s">
        <v>1220</v>
      </c>
    </row>
    <row r="288" spans="1:15" x14ac:dyDescent="0.25">
      <c r="A288" s="14" t="s">
        <v>1813</v>
      </c>
      <c r="B288" s="14" t="s">
        <v>1814</v>
      </c>
      <c r="C288" s="14" t="s">
        <v>1814</v>
      </c>
      <c r="D288" s="14" t="s">
        <v>1545</v>
      </c>
      <c r="E288" s="15"/>
      <c r="F288" s="14" t="s">
        <v>1545</v>
      </c>
      <c r="G288" s="15"/>
      <c r="H288" s="14" t="s">
        <v>1545</v>
      </c>
      <c r="I288" s="14" t="s">
        <v>1262</v>
      </c>
      <c r="J288" s="14" t="s">
        <v>1262</v>
      </c>
      <c r="K288" s="14"/>
      <c r="L288" s="14" t="s">
        <v>1815</v>
      </c>
      <c r="M288" s="14" t="s">
        <v>1324</v>
      </c>
      <c r="N288" s="14" t="s">
        <v>1219</v>
      </c>
      <c r="O288" s="14" t="s">
        <v>1220</v>
      </c>
    </row>
    <row r="289" spans="1:15" x14ac:dyDescent="0.25">
      <c r="A289" s="14" t="s">
        <v>1816</v>
      </c>
      <c r="B289" s="14" t="s">
        <v>1817</v>
      </c>
      <c r="C289" s="14" t="s">
        <v>1817</v>
      </c>
      <c r="D289" s="14" t="s">
        <v>1545</v>
      </c>
      <c r="E289" s="15"/>
      <c r="F289" s="14" t="s">
        <v>1545</v>
      </c>
      <c r="G289" s="15"/>
      <c r="H289" s="14" t="s">
        <v>1545</v>
      </c>
      <c r="I289" s="14" t="s">
        <v>1262</v>
      </c>
      <c r="J289" s="14" t="s">
        <v>1262</v>
      </c>
      <c r="K289" s="14"/>
      <c r="L289" s="14" t="s">
        <v>1818</v>
      </c>
      <c r="M289" s="14" t="s">
        <v>1801</v>
      </c>
      <c r="N289" s="14" t="s">
        <v>1219</v>
      </c>
      <c r="O289" s="14" t="s">
        <v>1220</v>
      </c>
    </row>
    <row r="290" spans="1:15" x14ac:dyDescent="0.25">
      <c r="A290" s="14">
        <v>4585</v>
      </c>
      <c r="B290" s="14" t="s">
        <v>259</v>
      </c>
      <c r="C290" s="14" t="s">
        <v>259</v>
      </c>
      <c r="D290" s="14" t="s">
        <v>1543</v>
      </c>
      <c r="E290" s="17">
        <v>1000</v>
      </c>
      <c r="F290" s="14" t="s">
        <v>1545</v>
      </c>
      <c r="G290" s="17">
        <v>1000</v>
      </c>
      <c r="H290" s="14" t="s">
        <v>1545</v>
      </c>
      <c r="I290" s="14" t="s">
        <v>1256</v>
      </c>
      <c r="J290" s="14" t="s">
        <v>1296</v>
      </c>
      <c r="K290" s="14" t="s">
        <v>1257</v>
      </c>
      <c r="L290" s="14" t="s">
        <v>1815</v>
      </c>
      <c r="M290" s="14" t="s">
        <v>1801</v>
      </c>
      <c r="N290" s="14" t="s">
        <v>1237</v>
      </c>
      <c r="O290" s="14" t="s">
        <v>1220</v>
      </c>
    </row>
    <row r="291" spans="1:15" x14ac:dyDescent="0.25">
      <c r="A291" s="14">
        <v>4586</v>
      </c>
      <c r="B291" s="14" t="s">
        <v>260</v>
      </c>
      <c r="C291" s="14" t="s">
        <v>260</v>
      </c>
      <c r="D291" s="14" t="s">
        <v>1543</v>
      </c>
      <c r="E291" s="16">
        <v>500</v>
      </c>
      <c r="F291" s="14" t="s">
        <v>1545</v>
      </c>
      <c r="G291" s="17">
        <v>5000</v>
      </c>
      <c r="H291" s="14" t="s">
        <v>1545</v>
      </c>
      <c r="I291" s="14" t="s">
        <v>1256</v>
      </c>
      <c r="J291" s="14" t="s">
        <v>1296</v>
      </c>
      <c r="K291" s="14" t="s">
        <v>1257</v>
      </c>
      <c r="L291" s="14" t="s">
        <v>1818</v>
      </c>
      <c r="M291" s="14" t="s">
        <v>1801</v>
      </c>
      <c r="N291" s="14" t="s">
        <v>1237</v>
      </c>
      <c r="O291" s="14" t="s">
        <v>1220</v>
      </c>
    </row>
    <row r="292" spans="1:15" x14ac:dyDescent="0.25">
      <c r="A292" s="14" t="s">
        <v>1819</v>
      </c>
      <c r="B292" s="14" t="s">
        <v>1820</v>
      </c>
      <c r="C292" s="14" t="s">
        <v>1820</v>
      </c>
      <c r="D292" s="14" t="s">
        <v>1222</v>
      </c>
      <c r="E292" s="15"/>
      <c r="F292" s="14"/>
      <c r="G292" s="15"/>
      <c r="H292" s="14" t="s">
        <v>1223</v>
      </c>
      <c r="I292" s="14"/>
      <c r="J292" s="14"/>
      <c r="K292" s="14"/>
      <c r="L292" s="14"/>
      <c r="M292" s="14"/>
      <c r="N292" s="14" t="s">
        <v>1219</v>
      </c>
      <c r="O292" s="14" t="s">
        <v>1220</v>
      </c>
    </row>
    <row r="293" spans="1:15" x14ac:dyDescent="0.25">
      <c r="A293" s="14">
        <v>30193</v>
      </c>
      <c r="B293" s="14" t="s">
        <v>1821</v>
      </c>
      <c r="C293" s="14" t="s">
        <v>1821</v>
      </c>
      <c r="D293" s="14" t="s">
        <v>1222</v>
      </c>
      <c r="E293" s="15"/>
      <c r="F293" s="14"/>
      <c r="G293" s="15"/>
      <c r="H293" s="14" t="s">
        <v>1223</v>
      </c>
      <c r="I293" s="14"/>
      <c r="J293" s="14"/>
      <c r="K293" s="14"/>
      <c r="L293" s="14"/>
      <c r="M293" s="14"/>
      <c r="N293" s="14" t="s">
        <v>1219</v>
      </c>
      <c r="O293" s="14" t="s">
        <v>1220</v>
      </c>
    </row>
    <row r="294" spans="1:15" x14ac:dyDescent="0.25">
      <c r="A294" s="14">
        <v>37240</v>
      </c>
      <c r="B294" s="14" t="s">
        <v>1822</v>
      </c>
      <c r="C294" s="14" t="s">
        <v>1822</v>
      </c>
      <c r="D294" s="14" t="s">
        <v>1222</v>
      </c>
      <c r="E294" s="15"/>
      <c r="F294" s="14"/>
      <c r="G294" s="15"/>
      <c r="H294" s="14" t="s">
        <v>1223</v>
      </c>
      <c r="I294" s="14"/>
      <c r="J294" s="14"/>
      <c r="K294" s="14"/>
      <c r="L294" s="14"/>
      <c r="M294" s="14"/>
      <c r="N294" s="14" t="s">
        <v>1219</v>
      </c>
      <c r="O294" s="14" t="s">
        <v>1220</v>
      </c>
    </row>
    <row r="295" spans="1:15" x14ac:dyDescent="0.25">
      <c r="A295" s="14">
        <v>1100003</v>
      </c>
      <c r="B295" s="14" t="s">
        <v>1823</v>
      </c>
      <c r="C295" s="14" t="s">
        <v>1823</v>
      </c>
      <c r="D295" s="14" t="s">
        <v>1824</v>
      </c>
      <c r="E295" s="15"/>
      <c r="F295" s="14" t="s">
        <v>1533</v>
      </c>
      <c r="G295" s="15"/>
      <c r="H295" s="14" t="s">
        <v>1534</v>
      </c>
      <c r="I295" s="14" t="s">
        <v>1360</v>
      </c>
      <c r="J295" s="14" t="s">
        <v>1360</v>
      </c>
      <c r="K295" s="14"/>
      <c r="L295" s="14"/>
      <c r="M295" s="14" t="s">
        <v>1218</v>
      </c>
      <c r="N295" s="14" t="s">
        <v>1219</v>
      </c>
      <c r="O295" s="14" t="s">
        <v>1220</v>
      </c>
    </row>
    <row r="296" spans="1:15" x14ac:dyDescent="0.25">
      <c r="A296" s="14">
        <v>1100002</v>
      </c>
      <c r="B296" s="14" t="s">
        <v>1825</v>
      </c>
      <c r="C296" s="14" t="s">
        <v>1825</v>
      </c>
      <c r="D296" s="14" t="s">
        <v>1824</v>
      </c>
      <c r="E296" s="15"/>
      <c r="F296" s="14" t="s">
        <v>1533</v>
      </c>
      <c r="G296" s="15"/>
      <c r="H296" s="14" t="s">
        <v>1534</v>
      </c>
      <c r="I296" s="14" t="s">
        <v>1360</v>
      </c>
      <c r="J296" s="14" t="s">
        <v>1360</v>
      </c>
      <c r="K296" s="14"/>
      <c r="L296" s="14"/>
      <c r="M296" s="14" t="s">
        <v>1218</v>
      </c>
      <c r="N296" s="14" t="s">
        <v>1219</v>
      </c>
      <c r="O296" s="14" t="s">
        <v>1220</v>
      </c>
    </row>
    <row r="297" spans="1:15" x14ac:dyDescent="0.25">
      <c r="A297" s="14">
        <v>1100004</v>
      </c>
      <c r="B297" s="14" t="s">
        <v>1826</v>
      </c>
      <c r="C297" s="14" t="s">
        <v>1826</v>
      </c>
      <c r="D297" s="14" t="s">
        <v>1824</v>
      </c>
      <c r="E297" s="15"/>
      <c r="F297" s="14" t="s">
        <v>1533</v>
      </c>
      <c r="G297" s="15"/>
      <c r="H297" s="14" t="s">
        <v>1534</v>
      </c>
      <c r="I297" s="14" t="s">
        <v>1360</v>
      </c>
      <c r="J297" s="14" t="s">
        <v>1351</v>
      </c>
      <c r="K297" s="14"/>
      <c r="L297" s="14"/>
      <c r="M297" s="14" t="s">
        <v>1218</v>
      </c>
      <c r="N297" s="14" t="s">
        <v>1219</v>
      </c>
      <c r="O297" s="14" t="s">
        <v>1220</v>
      </c>
    </row>
    <row r="298" spans="1:15" x14ac:dyDescent="0.25">
      <c r="A298" s="14">
        <v>2599</v>
      </c>
      <c r="B298" s="14" t="s">
        <v>261</v>
      </c>
      <c r="C298" s="14" t="s">
        <v>261</v>
      </c>
      <c r="D298" s="14" t="s">
        <v>1553</v>
      </c>
      <c r="E298" s="16">
        <v>100</v>
      </c>
      <c r="F298" s="14" t="s">
        <v>1216</v>
      </c>
      <c r="G298" s="17">
        <v>1500</v>
      </c>
      <c r="H298" s="14" t="s">
        <v>1545</v>
      </c>
      <c r="I298" s="14" t="s">
        <v>1351</v>
      </c>
      <c r="J298" s="14" t="s">
        <v>1351</v>
      </c>
      <c r="K298" s="14" t="s">
        <v>1257</v>
      </c>
      <c r="L298" s="14" t="s">
        <v>1827</v>
      </c>
      <c r="M298" s="14" t="s">
        <v>1548</v>
      </c>
      <c r="N298" s="14" t="s">
        <v>1219</v>
      </c>
      <c r="O298" s="14" t="s">
        <v>1220</v>
      </c>
    </row>
    <row r="299" spans="1:15" x14ac:dyDescent="0.25">
      <c r="A299" s="14" t="s">
        <v>1828</v>
      </c>
      <c r="B299" s="14" t="s">
        <v>1829</v>
      </c>
      <c r="C299" s="14" t="s">
        <v>1829</v>
      </c>
      <c r="D299" s="14" t="s">
        <v>1553</v>
      </c>
      <c r="E299" s="15"/>
      <c r="F299" s="14" t="s">
        <v>1216</v>
      </c>
      <c r="G299" s="15"/>
      <c r="H299" s="14" t="s">
        <v>1545</v>
      </c>
      <c r="I299" s="14" t="s">
        <v>1262</v>
      </c>
      <c r="J299" s="14" t="s">
        <v>1262</v>
      </c>
      <c r="K299" s="14"/>
      <c r="L299" s="14" t="s">
        <v>1827</v>
      </c>
      <c r="M299" s="14" t="s">
        <v>1548</v>
      </c>
      <c r="N299" s="14" t="s">
        <v>1219</v>
      </c>
      <c r="O299" s="14" t="s">
        <v>1220</v>
      </c>
    </row>
    <row r="300" spans="1:15" x14ac:dyDescent="0.25">
      <c r="A300" s="14">
        <v>2600</v>
      </c>
      <c r="B300" s="14" t="s">
        <v>262</v>
      </c>
      <c r="C300" s="14" t="s">
        <v>262</v>
      </c>
      <c r="D300" s="14" t="s">
        <v>1553</v>
      </c>
      <c r="E300" s="16">
        <v>80</v>
      </c>
      <c r="F300" s="14" t="s">
        <v>1216</v>
      </c>
      <c r="G300" s="16">
        <v>800</v>
      </c>
      <c r="H300" s="14" t="s">
        <v>1545</v>
      </c>
      <c r="I300" s="14" t="s">
        <v>1351</v>
      </c>
      <c r="J300" s="14" t="s">
        <v>1351</v>
      </c>
      <c r="K300" s="14" t="s">
        <v>1257</v>
      </c>
      <c r="L300" s="14" t="s">
        <v>1830</v>
      </c>
      <c r="M300" s="14" t="s">
        <v>1548</v>
      </c>
      <c r="N300" s="14" t="s">
        <v>1237</v>
      </c>
      <c r="O300" s="14" t="s">
        <v>1220</v>
      </c>
    </row>
    <row r="301" spans="1:15" x14ac:dyDescent="0.25">
      <c r="A301" s="14" t="s">
        <v>1831</v>
      </c>
      <c r="B301" s="14" t="s">
        <v>1832</v>
      </c>
      <c r="C301" s="14" t="s">
        <v>1832</v>
      </c>
      <c r="D301" s="14" t="s">
        <v>1553</v>
      </c>
      <c r="E301" s="15"/>
      <c r="F301" s="14" t="s">
        <v>1216</v>
      </c>
      <c r="G301" s="15"/>
      <c r="H301" s="14" t="s">
        <v>1545</v>
      </c>
      <c r="I301" s="14" t="s">
        <v>1262</v>
      </c>
      <c r="J301" s="14" t="s">
        <v>1262</v>
      </c>
      <c r="K301" s="14"/>
      <c r="L301" s="14" t="s">
        <v>1830</v>
      </c>
      <c r="M301" s="14" t="s">
        <v>1548</v>
      </c>
      <c r="N301" s="14" t="s">
        <v>1219</v>
      </c>
      <c r="O301" s="14" t="s">
        <v>1220</v>
      </c>
    </row>
    <row r="302" spans="1:15" x14ac:dyDescent="0.25">
      <c r="A302" s="14">
        <v>2601</v>
      </c>
      <c r="B302" s="14" t="s">
        <v>263</v>
      </c>
      <c r="C302" s="14" t="s">
        <v>263</v>
      </c>
      <c r="D302" s="14" t="s">
        <v>1553</v>
      </c>
      <c r="E302" s="16">
        <v>100</v>
      </c>
      <c r="F302" s="14" t="s">
        <v>1216</v>
      </c>
      <c r="G302" s="17">
        <v>1000</v>
      </c>
      <c r="H302" s="14" t="s">
        <v>1545</v>
      </c>
      <c r="I302" s="14" t="s">
        <v>1256</v>
      </c>
      <c r="J302" s="14" t="s">
        <v>1233</v>
      </c>
      <c r="K302" s="14" t="s">
        <v>1257</v>
      </c>
      <c r="L302" s="14" t="s">
        <v>1833</v>
      </c>
      <c r="M302" s="14" t="s">
        <v>1548</v>
      </c>
      <c r="N302" s="14" t="s">
        <v>1237</v>
      </c>
      <c r="O302" s="14" t="s">
        <v>1220</v>
      </c>
    </row>
    <row r="303" spans="1:15" x14ac:dyDescent="0.25">
      <c r="A303" s="14" t="s">
        <v>1834</v>
      </c>
      <c r="B303" s="14" t="s">
        <v>1835</v>
      </c>
      <c r="C303" s="14" t="s">
        <v>1835</v>
      </c>
      <c r="D303" s="14" t="s">
        <v>1553</v>
      </c>
      <c r="E303" s="15"/>
      <c r="F303" s="14" t="s">
        <v>1216</v>
      </c>
      <c r="G303" s="15"/>
      <c r="H303" s="14" t="s">
        <v>1545</v>
      </c>
      <c r="I303" s="14" t="s">
        <v>1262</v>
      </c>
      <c r="J303" s="14" t="s">
        <v>1262</v>
      </c>
      <c r="K303" s="14"/>
      <c r="L303" s="14" t="s">
        <v>1833</v>
      </c>
      <c r="M303" s="14" t="s">
        <v>1548</v>
      </c>
      <c r="N303" s="14" t="s">
        <v>1219</v>
      </c>
      <c r="O303" s="14" t="s">
        <v>1220</v>
      </c>
    </row>
    <row r="304" spans="1:15" x14ac:dyDescent="0.25">
      <c r="A304" s="14">
        <v>2602</v>
      </c>
      <c r="B304" s="14" t="s">
        <v>264</v>
      </c>
      <c r="C304" s="14" t="s">
        <v>264</v>
      </c>
      <c r="D304" s="14" t="s">
        <v>1553</v>
      </c>
      <c r="E304" s="16">
        <v>120</v>
      </c>
      <c r="F304" s="14" t="s">
        <v>1216</v>
      </c>
      <c r="G304" s="17">
        <v>1200</v>
      </c>
      <c r="H304" s="14" t="s">
        <v>1545</v>
      </c>
      <c r="I304" s="14" t="s">
        <v>1351</v>
      </c>
      <c r="J304" s="14" t="s">
        <v>1351</v>
      </c>
      <c r="K304" s="14" t="s">
        <v>1257</v>
      </c>
      <c r="L304" s="14" t="s">
        <v>1836</v>
      </c>
      <c r="M304" s="14" t="s">
        <v>1548</v>
      </c>
      <c r="N304" s="14" t="s">
        <v>1237</v>
      </c>
      <c r="O304" s="14" t="s">
        <v>1220</v>
      </c>
    </row>
    <row r="305" spans="1:15" x14ac:dyDescent="0.25">
      <c r="A305" s="14" t="s">
        <v>1837</v>
      </c>
      <c r="B305" s="14" t="s">
        <v>1838</v>
      </c>
      <c r="C305" s="14" t="s">
        <v>1838</v>
      </c>
      <c r="D305" s="14" t="s">
        <v>1553</v>
      </c>
      <c r="E305" s="15"/>
      <c r="F305" s="14" t="s">
        <v>1216</v>
      </c>
      <c r="G305" s="15"/>
      <c r="H305" s="14" t="s">
        <v>1545</v>
      </c>
      <c r="I305" s="14" t="s">
        <v>1262</v>
      </c>
      <c r="J305" s="14" t="s">
        <v>1262</v>
      </c>
      <c r="K305" s="14"/>
      <c r="L305" s="14" t="s">
        <v>1836</v>
      </c>
      <c r="M305" s="14" t="s">
        <v>1548</v>
      </c>
      <c r="N305" s="14" t="s">
        <v>1219</v>
      </c>
      <c r="O305" s="14" t="s">
        <v>1220</v>
      </c>
    </row>
    <row r="306" spans="1:15" x14ac:dyDescent="0.25">
      <c r="A306" s="14">
        <v>66002</v>
      </c>
      <c r="B306" s="14" t="s">
        <v>1839</v>
      </c>
      <c r="C306" s="14" t="s">
        <v>1839</v>
      </c>
      <c r="D306" s="14" t="s">
        <v>1349</v>
      </c>
      <c r="E306" s="15"/>
      <c r="F306" s="14" t="s">
        <v>1350</v>
      </c>
      <c r="G306" s="15"/>
      <c r="H306" s="14" t="s">
        <v>1255</v>
      </c>
      <c r="I306" s="14" t="s">
        <v>1360</v>
      </c>
      <c r="J306" s="14" t="s">
        <v>1360</v>
      </c>
      <c r="K306" s="14" t="s">
        <v>1257</v>
      </c>
      <c r="L306" s="14" t="s">
        <v>1836</v>
      </c>
      <c r="M306" s="14" t="s">
        <v>1840</v>
      </c>
      <c r="N306" s="14" t="s">
        <v>1219</v>
      </c>
      <c r="O306" s="14" t="s">
        <v>1220</v>
      </c>
    </row>
    <row r="307" spans="1:15" x14ac:dyDescent="0.25">
      <c r="A307" s="14">
        <v>66004</v>
      </c>
      <c r="B307" s="14" t="s">
        <v>1841</v>
      </c>
      <c r="C307" s="14" t="s">
        <v>1841</v>
      </c>
      <c r="D307" s="14" t="s">
        <v>1349</v>
      </c>
      <c r="E307" s="15"/>
      <c r="F307" s="14" t="s">
        <v>1350</v>
      </c>
      <c r="G307" s="15"/>
      <c r="H307" s="14" t="s">
        <v>1255</v>
      </c>
      <c r="I307" s="14" t="s">
        <v>1360</v>
      </c>
      <c r="J307" s="14" t="s">
        <v>1360</v>
      </c>
      <c r="K307" s="14" t="s">
        <v>1257</v>
      </c>
      <c r="L307" s="14" t="s">
        <v>1836</v>
      </c>
      <c r="M307" s="14" t="s">
        <v>1840</v>
      </c>
      <c r="N307" s="14" t="s">
        <v>1219</v>
      </c>
      <c r="O307" s="14" t="s">
        <v>1220</v>
      </c>
    </row>
    <row r="308" spans="1:15" x14ac:dyDescent="0.25">
      <c r="A308" s="14" t="s">
        <v>1842</v>
      </c>
      <c r="B308" s="14" t="s">
        <v>1843</v>
      </c>
      <c r="C308" s="14" t="s">
        <v>1843</v>
      </c>
      <c r="D308" s="14" t="s">
        <v>1427</v>
      </c>
      <c r="E308" s="15"/>
      <c r="F308" s="14"/>
      <c r="G308" s="15"/>
      <c r="H308" s="14" t="s">
        <v>1428</v>
      </c>
      <c r="I308" s="14"/>
      <c r="J308" s="14"/>
      <c r="K308" s="14"/>
      <c r="L308" s="14"/>
      <c r="M308" s="14"/>
      <c r="N308" s="14" t="s">
        <v>1219</v>
      </c>
      <c r="O308" s="14" t="s">
        <v>1429</v>
      </c>
    </row>
    <row r="309" spans="1:15" x14ac:dyDescent="0.25">
      <c r="A309" s="14" t="s">
        <v>1844</v>
      </c>
      <c r="B309" s="14" t="s">
        <v>1845</v>
      </c>
      <c r="C309" s="14" t="s">
        <v>1845</v>
      </c>
      <c r="D309" s="14" t="s">
        <v>1222</v>
      </c>
      <c r="E309" s="15"/>
      <c r="F309" s="14"/>
      <c r="G309" s="15"/>
      <c r="H309" s="14" t="s">
        <v>1223</v>
      </c>
      <c r="I309" s="14"/>
      <c r="J309" s="14"/>
      <c r="K309" s="14"/>
      <c r="L309" s="14"/>
      <c r="M309" s="14"/>
      <c r="N309" s="14" t="s">
        <v>1219</v>
      </c>
      <c r="O309" s="14" t="s">
        <v>1220</v>
      </c>
    </row>
    <row r="310" spans="1:15" x14ac:dyDescent="0.25">
      <c r="A310" s="14" t="s">
        <v>1846</v>
      </c>
      <c r="B310" s="14" t="s">
        <v>1847</v>
      </c>
      <c r="C310" s="14" t="s">
        <v>1847</v>
      </c>
      <c r="D310" s="14" t="s">
        <v>1222</v>
      </c>
      <c r="E310" s="15"/>
      <c r="F310" s="14"/>
      <c r="G310" s="15"/>
      <c r="H310" s="14" t="s">
        <v>1223</v>
      </c>
      <c r="I310" s="14"/>
      <c r="J310" s="14"/>
      <c r="K310" s="14"/>
      <c r="L310" s="14"/>
      <c r="M310" s="14"/>
      <c r="N310" s="14" t="s">
        <v>1219</v>
      </c>
      <c r="O310" s="14" t="s">
        <v>1220</v>
      </c>
    </row>
    <row r="311" spans="1:15" x14ac:dyDescent="0.25">
      <c r="A311" s="14" t="s">
        <v>1848</v>
      </c>
      <c r="B311" s="14" t="s">
        <v>1849</v>
      </c>
      <c r="C311" s="14" t="s">
        <v>1849</v>
      </c>
      <c r="D311" s="14" t="s">
        <v>1222</v>
      </c>
      <c r="E311" s="15"/>
      <c r="F311" s="14"/>
      <c r="G311" s="15"/>
      <c r="H311" s="14" t="s">
        <v>1223</v>
      </c>
      <c r="I311" s="14"/>
      <c r="J311" s="14"/>
      <c r="K311" s="14"/>
      <c r="L311" s="14"/>
      <c r="M311" s="14"/>
      <c r="N311" s="14" t="s">
        <v>1219</v>
      </c>
      <c r="O311" s="14" t="s">
        <v>1220</v>
      </c>
    </row>
    <row r="312" spans="1:15" x14ac:dyDescent="0.25">
      <c r="A312" s="14" t="s">
        <v>1850</v>
      </c>
      <c r="B312" s="14" t="s">
        <v>1851</v>
      </c>
      <c r="C312" s="14" t="s">
        <v>1851</v>
      </c>
      <c r="D312" s="14" t="s">
        <v>1222</v>
      </c>
      <c r="E312" s="15"/>
      <c r="F312" s="14"/>
      <c r="G312" s="15"/>
      <c r="H312" s="14" t="s">
        <v>1223</v>
      </c>
      <c r="I312" s="14"/>
      <c r="J312" s="14"/>
      <c r="K312" s="14"/>
      <c r="L312" s="14"/>
      <c r="M312" s="14"/>
      <c r="N312" s="14" t="s">
        <v>1219</v>
      </c>
      <c r="O312" s="14" t="s">
        <v>1220</v>
      </c>
    </row>
    <row r="313" spans="1:15" x14ac:dyDescent="0.25">
      <c r="A313" s="14" t="s">
        <v>1852</v>
      </c>
      <c r="B313" s="14" t="s">
        <v>1853</v>
      </c>
      <c r="C313" s="14" t="s">
        <v>1853</v>
      </c>
      <c r="D313" s="14" t="s">
        <v>1222</v>
      </c>
      <c r="E313" s="15"/>
      <c r="F313" s="14"/>
      <c r="G313" s="15"/>
      <c r="H313" s="14" t="s">
        <v>1223</v>
      </c>
      <c r="I313" s="14"/>
      <c r="J313" s="14"/>
      <c r="K313" s="14"/>
      <c r="L313" s="14"/>
      <c r="M313" s="14"/>
      <c r="N313" s="14" t="s">
        <v>1219</v>
      </c>
      <c r="O313" s="14" t="s">
        <v>1220</v>
      </c>
    </row>
    <row r="314" spans="1:15" x14ac:dyDescent="0.25">
      <c r="A314" s="14" t="s">
        <v>1854</v>
      </c>
      <c r="B314" s="14" t="s">
        <v>1855</v>
      </c>
      <c r="C314" s="14" t="s">
        <v>1855</v>
      </c>
      <c r="D314" s="14" t="s">
        <v>1222</v>
      </c>
      <c r="E314" s="15"/>
      <c r="F314" s="14"/>
      <c r="G314" s="15"/>
      <c r="H314" s="14" t="s">
        <v>1223</v>
      </c>
      <c r="I314" s="14"/>
      <c r="J314" s="14"/>
      <c r="K314" s="14"/>
      <c r="L314" s="14"/>
      <c r="M314" s="14"/>
      <c r="N314" s="14" t="s">
        <v>1219</v>
      </c>
      <c r="O314" s="14" t="s">
        <v>1220</v>
      </c>
    </row>
    <row r="315" spans="1:15" x14ac:dyDescent="0.25">
      <c r="A315" s="14" t="s">
        <v>1856</v>
      </c>
      <c r="B315" s="14" t="s">
        <v>1857</v>
      </c>
      <c r="C315" s="14" t="s">
        <v>1857</v>
      </c>
      <c r="D315" s="14" t="s">
        <v>1222</v>
      </c>
      <c r="E315" s="15"/>
      <c r="F315" s="14"/>
      <c r="G315" s="15"/>
      <c r="H315" s="14" t="s">
        <v>1223</v>
      </c>
      <c r="I315" s="14"/>
      <c r="J315" s="14"/>
      <c r="K315" s="14"/>
      <c r="L315" s="14"/>
      <c r="M315" s="14"/>
      <c r="N315" s="14" t="s">
        <v>1219</v>
      </c>
      <c r="O315" s="14" t="s">
        <v>1220</v>
      </c>
    </row>
    <row r="316" spans="1:15" x14ac:dyDescent="0.25">
      <c r="A316" s="14" t="s">
        <v>1858</v>
      </c>
      <c r="B316" s="14" t="s">
        <v>1859</v>
      </c>
      <c r="C316" s="14" t="s">
        <v>1859</v>
      </c>
      <c r="D316" s="14" t="s">
        <v>1222</v>
      </c>
      <c r="E316" s="15"/>
      <c r="F316" s="14"/>
      <c r="G316" s="15"/>
      <c r="H316" s="14" t="s">
        <v>1223</v>
      </c>
      <c r="I316" s="14"/>
      <c r="J316" s="14"/>
      <c r="K316" s="14"/>
      <c r="L316" s="14"/>
      <c r="M316" s="14"/>
      <c r="N316" s="14" t="s">
        <v>1219</v>
      </c>
      <c r="O316" s="14" t="s">
        <v>1220</v>
      </c>
    </row>
    <row r="317" spans="1:15" x14ac:dyDescent="0.25">
      <c r="A317" s="14" t="s">
        <v>1860</v>
      </c>
      <c r="B317" s="14" t="s">
        <v>1861</v>
      </c>
      <c r="C317" s="14" t="s">
        <v>1861</v>
      </c>
      <c r="D317" s="14" t="s">
        <v>1222</v>
      </c>
      <c r="E317" s="15"/>
      <c r="F317" s="14"/>
      <c r="G317" s="15"/>
      <c r="H317" s="14" t="s">
        <v>1223</v>
      </c>
      <c r="I317" s="14"/>
      <c r="J317" s="14"/>
      <c r="K317" s="14"/>
      <c r="L317" s="14"/>
      <c r="M317" s="14"/>
      <c r="N317" s="14" t="s">
        <v>1219</v>
      </c>
      <c r="O317" s="14" t="s">
        <v>1220</v>
      </c>
    </row>
    <row r="318" spans="1:15" x14ac:dyDescent="0.25">
      <c r="A318" s="14" t="s">
        <v>1862</v>
      </c>
      <c r="B318" s="14" t="s">
        <v>1863</v>
      </c>
      <c r="C318" s="14" t="s">
        <v>1863</v>
      </c>
      <c r="D318" s="14" t="s">
        <v>1222</v>
      </c>
      <c r="E318" s="15"/>
      <c r="F318" s="14"/>
      <c r="G318" s="15"/>
      <c r="H318" s="14" t="s">
        <v>1223</v>
      </c>
      <c r="I318" s="14"/>
      <c r="J318" s="14"/>
      <c r="K318" s="14"/>
      <c r="L318" s="14"/>
      <c r="M318" s="14"/>
      <c r="N318" s="14" t="s">
        <v>1219</v>
      </c>
      <c r="O318" s="14" t="s">
        <v>1220</v>
      </c>
    </row>
    <row r="319" spans="1:15" x14ac:dyDescent="0.25">
      <c r="A319" s="14" t="s">
        <v>1864</v>
      </c>
      <c r="B319" s="14" t="s">
        <v>1865</v>
      </c>
      <c r="C319" s="14" t="s">
        <v>1865</v>
      </c>
      <c r="D319" s="14" t="s">
        <v>1222</v>
      </c>
      <c r="E319" s="15"/>
      <c r="F319" s="14"/>
      <c r="G319" s="15"/>
      <c r="H319" s="14" t="s">
        <v>1223</v>
      </c>
      <c r="I319" s="14"/>
      <c r="J319" s="14"/>
      <c r="K319" s="14"/>
      <c r="L319" s="14"/>
      <c r="M319" s="14"/>
      <c r="N319" s="14" t="s">
        <v>1219</v>
      </c>
      <c r="O319" s="14" t="s">
        <v>1220</v>
      </c>
    </row>
    <row r="320" spans="1:15" x14ac:dyDescent="0.25">
      <c r="A320" s="14" t="s">
        <v>1866</v>
      </c>
      <c r="B320" s="14" t="s">
        <v>1867</v>
      </c>
      <c r="C320" s="14" t="s">
        <v>1867</v>
      </c>
      <c r="D320" s="14" t="s">
        <v>1222</v>
      </c>
      <c r="E320" s="15"/>
      <c r="F320" s="14"/>
      <c r="G320" s="15"/>
      <c r="H320" s="14" t="s">
        <v>1223</v>
      </c>
      <c r="I320" s="14"/>
      <c r="J320" s="14"/>
      <c r="K320" s="14"/>
      <c r="L320" s="14"/>
      <c r="M320" s="14"/>
      <c r="N320" s="14" t="s">
        <v>1219</v>
      </c>
      <c r="O320" s="14" t="s">
        <v>1220</v>
      </c>
    </row>
    <row r="321" spans="1:15" x14ac:dyDescent="0.25">
      <c r="A321" s="14" t="s">
        <v>1868</v>
      </c>
      <c r="B321" s="14" t="s">
        <v>1869</v>
      </c>
      <c r="C321" s="14" t="s">
        <v>1869</v>
      </c>
      <c r="D321" s="14" t="s">
        <v>1222</v>
      </c>
      <c r="E321" s="15"/>
      <c r="F321" s="14"/>
      <c r="G321" s="15"/>
      <c r="H321" s="14" t="s">
        <v>1223</v>
      </c>
      <c r="I321" s="14"/>
      <c r="J321" s="14"/>
      <c r="K321" s="14"/>
      <c r="L321" s="14"/>
      <c r="M321" s="14"/>
      <c r="N321" s="14" t="s">
        <v>1219</v>
      </c>
      <c r="O321" s="14" t="s">
        <v>1220</v>
      </c>
    </row>
    <row r="322" spans="1:15" x14ac:dyDescent="0.25">
      <c r="A322" s="14" t="s">
        <v>1870</v>
      </c>
      <c r="B322" s="14" t="s">
        <v>1871</v>
      </c>
      <c r="C322" s="14" t="s">
        <v>1871</v>
      </c>
      <c r="D322" s="14" t="s">
        <v>1222</v>
      </c>
      <c r="E322" s="15"/>
      <c r="F322" s="14"/>
      <c r="G322" s="15"/>
      <c r="H322" s="14" t="s">
        <v>1223</v>
      </c>
      <c r="I322" s="14"/>
      <c r="J322" s="14"/>
      <c r="K322" s="14"/>
      <c r="L322" s="14"/>
      <c r="M322" s="14"/>
      <c r="N322" s="14" t="s">
        <v>1219</v>
      </c>
      <c r="O322" s="14" t="s">
        <v>1220</v>
      </c>
    </row>
    <row r="323" spans="1:15" x14ac:dyDescent="0.25">
      <c r="A323" s="14" t="s">
        <v>1872</v>
      </c>
      <c r="B323" s="14" t="s">
        <v>1873</v>
      </c>
      <c r="C323" s="14" t="s">
        <v>1873</v>
      </c>
      <c r="D323" s="14" t="s">
        <v>1222</v>
      </c>
      <c r="E323" s="15"/>
      <c r="F323" s="14"/>
      <c r="G323" s="15"/>
      <c r="H323" s="14" t="s">
        <v>1223</v>
      </c>
      <c r="I323" s="14"/>
      <c r="J323" s="14"/>
      <c r="K323" s="14"/>
      <c r="L323" s="14"/>
      <c r="M323" s="14"/>
      <c r="N323" s="14" t="s">
        <v>1219</v>
      </c>
      <c r="O323" s="14" t="s">
        <v>1220</v>
      </c>
    </row>
    <row r="324" spans="1:15" x14ac:dyDescent="0.25">
      <c r="A324" s="14" t="s">
        <v>1874</v>
      </c>
      <c r="B324" s="14" t="s">
        <v>1875</v>
      </c>
      <c r="C324" s="14" t="s">
        <v>1875</v>
      </c>
      <c r="D324" s="14" t="s">
        <v>1222</v>
      </c>
      <c r="E324" s="15"/>
      <c r="F324" s="14"/>
      <c r="G324" s="15"/>
      <c r="H324" s="14" t="s">
        <v>1223</v>
      </c>
      <c r="I324" s="14"/>
      <c r="J324" s="14"/>
      <c r="K324" s="14"/>
      <c r="L324" s="14"/>
      <c r="M324" s="14"/>
      <c r="N324" s="14" t="s">
        <v>1219</v>
      </c>
      <c r="O324" s="14" t="s">
        <v>1220</v>
      </c>
    </row>
    <row r="325" spans="1:15" x14ac:dyDescent="0.25">
      <c r="A325" s="14" t="s">
        <v>1876</v>
      </c>
      <c r="B325" s="14" t="s">
        <v>1877</v>
      </c>
      <c r="C325" s="14" t="s">
        <v>1877</v>
      </c>
      <c r="D325" s="14" t="s">
        <v>1222</v>
      </c>
      <c r="E325" s="15"/>
      <c r="F325" s="14"/>
      <c r="G325" s="15"/>
      <c r="H325" s="14" t="s">
        <v>1223</v>
      </c>
      <c r="I325" s="14"/>
      <c r="J325" s="14"/>
      <c r="K325" s="14"/>
      <c r="L325" s="14"/>
      <c r="M325" s="14"/>
      <c r="N325" s="14" t="s">
        <v>1219</v>
      </c>
      <c r="O325" s="14" t="s">
        <v>1220</v>
      </c>
    </row>
    <row r="326" spans="1:15" x14ac:dyDescent="0.25">
      <c r="A326" s="14" t="s">
        <v>1878</v>
      </c>
      <c r="B326" s="14" t="s">
        <v>1879</v>
      </c>
      <c r="C326" s="14" t="s">
        <v>1879</v>
      </c>
      <c r="D326" s="14" t="s">
        <v>1427</v>
      </c>
      <c r="E326" s="15"/>
      <c r="F326" s="14"/>
      <c r="G326" s="15"/>
      <c r="H326" s="14" t="s">
        <v>1440</v>
      </c>
      <c r="I326" s="14"/>
      <c r="J326" s="14"/>
      <c r="K326" s="14"/>
      <c r="L326" s="14" t="s">
        <v>1880</v>
      </c>
      <c r="M326" s="14"/>
      <c r="N326" s="14" t="s">
        <v>1219</v>
      </c>
      <c r="O326" s="14" t="s">
        <v>1429</v>
      </c>
    </row>
    <row r="327" spans="1:15" x14ac:dyDescent="0.25">
      <c r="A327" s="14" t="s">
        <v>1881</v>
      </c>
      <c r="B327" s="14" t="s">
        <v>1882</v>
      </c>
      <c r="C327" s="14" t="s">
        <v>1882</v>
      </c>
      <c r="D327" s="14" t="s">
        <v>1427</v>
      </c>
      <c r="E327" s="15"/>
      <c r="F327" s="14"/>
      <c r="G327" s="15"/>
      <c r="H327" s="14" t="s">
        <v>1440</v>
      </c>
      <c r="I327" s="14"/>
      <c r="J327" s="14"/>
      <c r="K327" s="14"/>
      <c r="L327" s="14" t="s">
        <v>1883</v>
      </c>
      <c r="M327" s="14"/>
      <c r="N327" s="14" t="s">
        <v>1219</v>
      </c>
      <c r="O327" s="14" t="s">
        <v>1429</v>
      </c>
    </row>
    <row r="328" spans="1:15" x14ac:dyDescent="0.25">
      <c r="A328" s="14">
        <v>895</v>
      </c>
      <c r="B328" s="14" t="s">
        <v>569</v>
      </c>
      <c r="C328" s="14" t="s">
        <v>1884</v>
      </c>
      <c r="D328" s="14" t="s">
        <v>1885</v>
      </c>
      <c r="E328" s="16">
        <v>100</v>
      </c>
      <c r="F328" s="14" t="s">
        <v>1886</v>
      </c>
      <c r="G328" s="16">
        <v>500</v>
      </c>
      <c r="H328" s="14" t="s">
        <v>1887</v>
      </c>
      <c r="I328" s="14" t="s">
        <v>1256</v>
      </c>
      <c r="J328" s="14" t="s">
        <v>1296</v>
      </c>
      <c r="K328" s="14" t="s">
        <v>1257</v>
      </c>
      <c r="L328" s="14" t="s">
        <v>1888</v>
      </c>
      <c r="M328" s="14" t="s">
        <v>1889</v>
      </c>
      <c r="N328" s="14" t="s">
        <v>1237</v>
      </c>
      <c r="O328" s="14" t="s">
        <v>1220</v>
      </c>
    </row>
    <row r="329" spans="1:15" x14ac:dyDescent="0.25">
      <c r="A329" s="14" t="s">
        <v>1890</v>
      </c>
      <c r="B329" s="14" t="s">
        <v>1891</v>
      </c>
      <c r="C329" s="14" t="s">
        <v>1892</v>
      </c>
      <c r="D329" s="14" t="s">
        <v>1887</v>
      </c>
      <c r="E329" s="15"/>
      <c r="F329" s="14" t="s">
        <v>1886</v>
      </c>
      <c r="G329" s="15"/>
      <c r="H329" s="14" t="s">
        <v>1887</v>
      </c>
      <c r="I329" s="14" t="s">
        <v>1262</v>
      </c>
      <c r="J329" s="14" t="s">
        <v>1262</v>
      </c>
      <c r="K329" s="14"/>
      <c r="L329" s="14" t="s">
        <v>1888</v>
      </c>
      <c r="M329" s="14" t="s">
        <v>1889</v>
      </c>
      <c r="N329" s="14" t="s">
        <v>1219</v>
      </c>
      <c r="O329" s="14" t="s">
        <v>1220</v>
      </c>
    </row>
    <row r="330" spans="1:15" x14ac:dyDescent="0.25">
      <c r="A330" s="14">
        <v>2413</v>
      </c>
      <c r="B330" s="14" t="s">
        <v>1893</v>
      </c>
      <c r="C330" s="14" t="s">
        <v>1894</v>
      </c>
      <c r="D330" s="14" t="s">
        <v>1885</v>
      </c>
      <c r="E330" s="15"/>
      <c r="F330" s="14" t="s">
        <v>1350</v>
      </c>
      <c r="G330" s="15"/>
      <c r="H330" s="14" t="s">
        <v>1887</v>
      </c>
      <c r="I330" s="14" t="s">
        <v>1360</v>
      </c>
      <c r="J330" s="14" t="s">
        <v>1385</v>
      </c>
      <c r="K330" s="14" t="s">
        <v>1257</v>
      </c>
      <c r="L330" s="14" t="s">
        <v>1888</v>
      </c>
      <c r="M330" s="14" t="s">
        <v>1840</v>
      </c>
      <c r="N330" s="14" t="s">
        <v>1219</v>
      </c>
      <c r="O330" s="14" t="s">
        <v>1220</v>
      </c>
    </row>
    <row r="331" spans="1:15" x14ac:dyDescent="0.25">
      <c r="A331" s="14">
        <v>2415</v>
      </c>
      <c r="B331" s="14" t="s">
        <v>1895</v>
      </c>
      <c r="C331" s="14" t="s">
        <v>1896</v>
      </c>
      <c r="D331" s="14" t="s">
        <v>1885</v>
      </c>
      <c r="E331" s="15"/>
      <c r="F331" s="14" t="s">
        <v>1350</v>
      </c>
      <c r="G331" s="15"/>
      <c r="H331" s="14" t="s">
        <v>1887</v>
      </c>
      <c r="I331" s="14" t="s">
        <v>1360</v>
      </c>
      <c r="J331" s="14" t="s">
        <v>1385</v>
      </c>
      <c r="K331" s="14" t="s">
        <v>1257</v>
      </c>
      <c r="L331" s="14" t="s">
        <v>1888</v>
      </c>
      <c r="M331" s="14" t="s">
        <v>1840</v>
      </c>
      <c r="N331" s="14" t="s">
        <v>1219</v>
      </c>
      <c r="O331" s="14" t="s">
        <v>1220</v>
      </c>
    </row>
    <row r="332" spans="1:15" x14ac:dyDescent="0.25">
      <c r="A332" s="14">
        <v>2416</v>
      </c>
      <c r="B332" s="14" t="s">
        <v>1897</v>
      </c>
      <c r="C332" s="14" t="s">
        <v>1898</v>
      </c>
      <c r="D332" s="14" t="s">
        <v>1885</v>
      </c>
      <c r="E332" s="15"/>
      <c r="F332" s="14" t="s">
        <v>1350</v>
      </c>
      <c r="G332" s="15"/>
      <c r="H332" s="14" t="s">
        <v>1887</v>
      </c>
      <c r="I332" s="14" t="s">
        <v>1360</v>
      </c>
      <c r="J332" s="14" t="s">
        <v>1385</v>
      </c>
      <c r="K332" s="14" t="s">
        <v>1257</v>
      </c>
      <c r="L332" s="14" t="s">
        <v>1888</v>
      </c>
      <c r="M332" s="14" t="s">
        <v>1840</v>
      </c>
      <c r="N332" s="14" t="s">
        <v>1219</v>
      </c>
      <c r="O332" s="14" t="s">
        <v>1220</v>
      </c>
    </row>
    <row r="333" spans="1:15" x14ac:dyDescent="0.25">
      <c r="A333" s="14">
        <v>2417</v>
      </c>
      <c r="B333" s="14" t="s">
        <v>1899</v>
      </c>
      <c r="C333" s="14" t="s">
        <v>1900</v>
      </c>
      <c r="D333" s="14" t="s">
        <v>1885</v>
      </c>
      <c r="E333" s="15"/>
      <c r="F333" s="14" t="s">
        <v>1350</v>
      </c>
      <c r="G333" s="15"/>
      <c r="H333" s="14" t="s">
        <v>1887</v>
      </c>
      <c r="I333" s="14" t="s">
        <v>1360</v>
      </c>
      <c r="J333" s="14" t="s">
        <v>1385</v>
      </c>
      <c r="K333" s="14" t="s">
        <v>1257</v>
      </c>
      <c r="L333" s="14" t="s">
        <v>1888</v>
      </c>
      <c r="M333" s="14" t="s">
        <v>1840</v>
      </c>
      <c r="N333" s="14" t="s">
        <v>1219</v>
      </c>
      <c r="O333" s="14" t="s">
        <v>1220</v>
      </c>
    </row>
    <row r="334" spans="1:15" x14ac:dyDescent="0.25">
      <c r="A334" s="14">
        <v>2418</v>
      </c>
      <c r="B334" s="14" t="s">
        <v>1901</v>
      </c>
      <c r="C334" s="14" t="s">
        <v>1902</v>
      </c>
      <c r="D334" s="14" t="s">
        <v>1349</v>
      </c>
      <c r="E334" s="15"/>
      <c r="F334" s="14" t="s">
        <v>1350</v>
      </c>
      <c r="G334" s="15"/>
      <c r="H334" s="14" t="s">
        <v>1887</v>
      </c>
      <c r="I334" s="14" t="s">
        <v>1360</v>
      </c>
      <c r="J334" s="14" t="s">
        <v>1360</v>
      </c>
      <c r="K334" s="14" t="s">
        <v>1257</v>
      </c>
      <c r="L334" s="14" t="s">
        <v>1888</v>
      </c>
      <c r="M334" s="14" t="s">
        <v>1889</v>
      </c>
      <c r="N334" s="14" t="s">
        <v>1219</v>
      </c>
      <c r="O334" s="14" t="s">
        <v>1220</v>
      </c>
    </row>
    <row r="335" spans="1:15" x14ac:dyDescent="0.25">
      <c r="A335" s="14">
        <v>2478</v>
      </c>
      <c r="B335" s="14" t="s">
        <v>1903</v>
      </c>
      <c r="C335" s="14" t="s">
        <v>1904</v>
      </c>
      <c r="D335" s="14" t="s">
        <v>1885</v>
      </c>
      <c r="E335" s="15"/>
      <c r="F335" s="14" t="s">
        <v>1350</v>
      </c>
      <c r="G335" s="15"/>
      <c r="H335" s="14" t="s">
        <v>1887</v>
      </c>
      <c r="I335" s="14" t="s">
        <v>1360</v>
      </c>
      <c r="J335" s="14" t="s">
        <v>1385</v>
      </c>
      <c r="K335" s="14" t="s">
        <v>1257</v>
      </c>
      <c r="L335" s="14" t="s">
        <v>1888</v>
      </c>
      <c r="M335" s="14" t="s">
        <v>1889</v>
      </c>
      <c r="N335" s="14" t="s">
        <v>1219</v>
      </c>
      <c r="O335" s="14" t="s">
        <v>1220</v>
      </c>
    </row>
    <row r="336" spans="1:15" x14ac:dyDescent="0.25">
      <c r="A336" s="14" t="s">
        <v>1905</v>
      </c>
      <c r="B336" s="14" t="s">
        <v>1906</v>
      </c>
      <c r="C336" s="14" t="s">
        <v>1906</v>
      </c>
      <c r="D336" s="14" t="s">
        <v>1427</v>
      </c>
      <c r="E336" s="15"/>
      <c r="F336" s="14"/>
      <c r="G336" s="15"/>
      <c r="H336" s="14" t="s">
        <v>1588</v>
      </c>
      <c r="I336" s="14"/>
      <c r="J336" s="14"/>
      <c r="K336" s="14"/>
      <c r="L336" s="14" t="s">
        <v>1907</v>
      </c>
      <c r="M336" s="14"/>
      <c r="N336" s="14" t="s">
        <v>1219</v>
      </c>
      <c r="O336" s="14" t="s">
        <v>1429</v>
      </c>
    </row>
    <row r="337" spans="1:15" x14ac:dyDescent="0.25">
      <c r="A337" s="14" t="s">
        <v>1908</v>
      </c>
      <c r="B337" s="14" t="s">
        <v>1909</v>
      </c>
      <c r="C337" s="14" t="s">
        <v>1909</v>
      </c>
      <c r="D337" s="14" t="s">
        <v>1427</v>
      </c>
      <c r="E337" s="15"/>
      <c r="F337" s="14"/>
      <c r="G337" s="15"/>
      <c r="H337" s="14" t="s">
        <v>1588</v>
      </c>
      <c r="I337" s="14"/>
      <c r="J337" s="14"/>
      <c r="K337" s="14"/>
      <c r="L337" s="14" t="s">
        <v>1910</v>
      </c>
      <c r="M337" s="14"/>
      <c r="N337" s="14" t="s">
        <v>1219</v>
      </c>
      <c r="O337" s="14" t="s">
        <v>1429</v>
      </c>
    </row>
    <row r="338" spans="1:15" x14ac:dyDescent="0.25">
      <c r="A338" s="14" t="s">
        <v>1911</v>
      </c>
      <c r="B338" s="14" t="s">
        <v>1912</v>
      </c>
      <c r="C338" s="14" t="s">
        <v>1912</v>
      </c>
      <c r="D338" s="14" t="s">
        <v>1427</v>
      </c>
      <c r="E338" s="15"/>
      <c r="F338" s="14"/>
      <c r="G338" s="15"/>
      <c r="H338" s="14" t="s">
        <v>1440</v>
      </c>
      <c r="I338" s="14"/>
      <c r="J338" s="14"/>
      <c r="K338" s="14"/>
      <c r="L338" s="14" t="s">
        <v>1913</v>
      </c>
      <c r="M338" s="14"/>
      <c r="N338" s="14" t="s">
        <v>1219</v>
      </c>
      <c r="O338" s="14" t="s">
        <v>1429</v>
      </c>
    </row>
    <row r="339" spans="1:15" x14ac:dyDescent="0.25">
      <c r="A339" s="14">
        <v>1116</v>
      </c>
      <c r="B339" s="14" t="s">
        <v>1914</v>
      </c>
      <c r="C339" s="14" t="s">
        <v>1914</v>
      </c>
      <c r="D339" s="14" t="s">
        <v>1427</v>
      </c>
      <c r="E339" s="15"/>
      <c r="F339" s="14"/>
      <c r="G339" s="15"/>
      <c r="H339" s="14" t="s">
        <v>1588</v>
      </c>
      <c r="I339" s="14"/>
      <c r="J339" s="14"/>
      <c r="K339" s="14"/>
      <c r="L339" s="14" t="s">
        <v>1915</v>
      </c>
      <c r="M339" s="14"/>
      <c r="N339" s="14" t="s">
        <v>1219</v>
      </c>
      <c r="O339" s="14" t="s">
        <v>1429</v>
      </c>
    </row>
    <row r="340" spans="1:15" x14ac:dyDescent="0.25">
      <c r="A340" s="14" t="s">
        <v>1916</v>
      </c>
      <c r="B340" s="14" t="s">
        <v>1917</v>
      </c>
      <c r="C340" s="14" t="s">
        <v>1917</v>
      </c>
      <c r="D340" s="14" t="s">
        <v>1427</v>
      </c>
      <c r="E340" s="15"/>
      <c r="F340" s="14"/>
      <c r="G340" s="15"/>
      <c r="H340" s="14" t="s">
        <v>1440</v>
      </c>
      <c r="I340" s="14"/>
      <c r="J340" s="14"/>
      <c r="K340" s="14"/>
      <c r="L340" s="14" t="s">
        <v>1918</v>
      </c>
      <c r="M340" s="14"/>
      <c r="N340" s="14" t="s">
        <v>1219</v>
      </c>
      <c r="O340" s="14" t="s">
        <v>1429</v>
      </c>
    </row>
    <row r="341" spans="1:15" x14ac:dyDescent="0.25">
      <c r="A341" s="14">
        <v>88070004</v>
      </c>
      <c r="B341" s="14" t="s">
        <v>1919</v>
      </c>
      <c r="C341" s="14" t="s">
        <v>1919</v>
      </c>
      <c r="D341" s="14" t="s">
        <v>1584</v>
      </c>
      <c r="E341" s="15"/>
      <c r="F341" s="14" t="s">
        <v>1533</v>
      </c>
      <c r="G341" s="15"/>
      <c r="H341" s="14" t="s">
        <v>1534</v>
      </c>
      <c r="I341" s="14" t="s">
        <v>1360</v>
      </c>
      <c r="J341" s="14" t="s">
        <v>1351</v>
      </c>
      <c r="K341" s="14"/>
      <c r="L341" s="14"/>
      <c r="M341" s="14" t="s">
        <v>1218</v>
      </c>
      <c r="N341" s="14" t="s">
        <v>1219</v>
      </c>
      <c r="O341" s="14" t="s">
        <v>1220</v>
      </c>
    </row>
    <row r="342" spans="1:15" x14ac:dyDescent="0.25">
      <c r="A342" s="14">
        <v>88080002</v>
      </c>
      <c r="B342" s="14" t="s">
        <v>1920</v>
      </c>
      <c r="C342" s="14" t="s">
        <v>1920</v>
      </c>
      <c r="D342" s="14" t="s">
        <v>1921</v>
      </c>
      <c r="E342" s="15"/>
      <c r="F342" s="14" t="s">
        <v>1533</v>
      </c>
      <c r="G342" s="15"/>
      <c r="H342" s="14" t="s">
        <v>1534</v>
      </c>
      <c r="I342" s="14" t="s">
        <v>1360</v>
      </c>
      <c r="J342" s="14" t="s">
        <v>1351</v>
      </c>
      <c r="K342" s="14"/>
      <c r="L342" s="14"/>
      <c r="M342" s="14" t="s">
        <v>1218</v>
      </c>
      <c r="N342" s="14" t="s">
        <v>1219</v>
      </c>
      <c r="O342" s="14" t="s">
        <v>1220</v>
      </c>
    </row>
    <row r="343" spans="1:15" x14ac:dyDescent="0.25">
      <c r="A343" s="14">
        <v>88070005</v>
      </c>
      <c r="B343" s="14" t="s">
        <v>1922</v>
      </c>
      <c r="C343" s="14" t="s">
        <v>1922</v>
      </c>
      <c r="D343" s="14" t="s">
        <v>1584</v>
      </c>
      <c r="E343" s="15"/>
      <c r="F343" s="14" t="s">
        <v>1533</v>
      </c>
      <c r="G343" s="15"/>
      <c r="H343" s="14" t="s">
        <v>1534</v>
      </c>
      <c r="I343" s="14" t="s">
        <v>1360</v>
      </c>
      <c r="J343" s="14" t="s">
        <v>1351</v>
      </c>
      <c r="K343" s="14"/>
      <c r="L343" s="14"/>
      <c r="M343" s="14" t="s">
        <v>1218</v>
      </c>
      <c r="N343" s="14" t="s">
        <v>1219</v>
      </c>
      <c r="O343" s="14" t="s">
        <v>1220</v>
      </c>
    </row>
    <row r="344" spans="1:15" x14ac:dyDescent="0.25">
      <c r="A344" s="14">
        <v>4904</v>
      </c>
      <c r="B344" s="14" t="s">
        <v>28</v>
      </c>
      <c r="C344" s="14" t="s">
        <v>28</v>
      </c>
      <c r="D344" s="14" t="s">
        <v>1923</v>
      </c>
      <c r="E344" s="16">
        <v>16</v>
      </c>
      <c r="F344" s="14" t="s">
        <v>1544</v>
      </c>
      <c r="G344" s="16">
        <v>512</v>
      </c>
      <c r="H344" s="14" t="s">
        <v>1460</v>
      </c>
      <c r="I344" s="14" t="s">
        <v>1256</v>
      </c>
      <c r="J344" s="14" t="s">
        <v>1242</v>
      </c>
      <c r="K344" s="14" t="s">
        <v>1546</v>
      </c>
      <c r="L344" s="14" t="s">
        <v>1924</v>
      </c>
      <c r="M344" s="14" t="s">
        <v>1484</v>
      </c>
      <c r="N344" s="14" t="s">
        <v>1237</v>
      </c>
      <c r="O344" s="14" t="s">
        <v>1220</v>
      </c>
    </row>
    <row r="345" spans="1:15" x14ac:dyDescent="0.25">
      <c r="A345" s="14">
        <v>4914</v>
      </c>
      <c r="B345" s="14" t="s">
        <v>29</v>
      </c>
      <c r="C345" s="14" t="s">
        <v>29</v>
      </c>
      <c r="D345" s="14" t="s">
        <v>1923</v>
      </c>
      <c r="E345" s="16">
        <v>16</v>
      </c>
      <c r="F345" s="14" t="s">
        <v>1544</v>
      </c>
      <c r="G345" s="16">
        <v>512</v>
      </c>
      <c r="H345" s="14" t="s">
        <v>1460</v>
      </c>
      <c r="I345" s="14" t="s">
        <v>1256</v>
      </c>
      <c r="J345" s="14" t="s">
        <v>1296</v>
      </c>
      <c r="K345" s="14" t="s">
        <v>1546</v>
      </c>
      <c r="L345" s="14" t="s">
        <v>1925</v>
      </c>
      <c r="M345" s="14" t="s">
        <v>1484</v>
      </c>
      <c r="N345" s="14" t="s">
        <v>1237</v>
      </c>
      <c r="O345" s="14" t="s">
        <v>1220</v>
      </c>
    </row>
    <row r="346" spans="1:15" x14ac:dyDescent="0.25">
      <c r="A346" s="14">
        <v>4903</v>
      </c>
      <c r="B346" s="14" t="s">
        <v>30</v>
      </c>
      <c r="C346" s="14" t="s">
        <v>30</v>
      </c>
      <c r="D346" s="14" t="s">
        <v>1923</v>
      </c>
      <c r="E346" s="16">
        <v>32</v>
      </c>
      <c r="F346" s="14" t="s">
        <v>1544</v>
      </c>
      <c r="G346" s="16">
        <v>512</v>
      </c>
      <c r="H346" s="14" t="s">
        <v>1460</v>
      </c>
      <c r="I346" s="14" t="s">
        <v>1256</v>
      </c>
      <c r="J346" s="14" t="s">
        <v>1296</v>
      </c>
      <c r="K346" s="14" t="s">
        <v>1546</v>
      </c>
      <c r="L346" s="14" t="s">
        <v>1926</v>
      </c>
      <c r="M346" s="14" t="s">
        <v>1484</v>
      </c>
      <c r="N346" s="14" t="s">
        <v>1237</v>
      </c>
      <c r="O346" s="14" t="s">
        <v>1220</v>
      </c>
    </row>
    <row r="347" spans="1:15" x14ac:dyDescent="0.25">
      <c r="A347" s="14">
        <v>4913</v>
      </c>
      <c r="B347" s="14" t="s">
        <v>31</v>
      </c>
      <c r="C347" s="14" t="s">
        <v>31</v>
      </c>
      <c r="D347" s="14" t="s">
        <v>1923</v>
      </c>
      <c r="E347" s="16">
        <v>32</v>
      </c>
      <c r="F347" s="14" t="s">
        <v>1544</v>
      </c>
      <c r="G347" s="16">
        <v>512</v>
      </c>
      <c r="H347" s="14" t="s">
        <v>1460</v>
      </c>
      <c r="I347" s="14" t="s">
        <v>1256</v>
      </c>
      <c r="J347" s="14" t="s">
        <v>1296</v>
      </c>
      <c r="K347" s="14" t="s">
        <v>1546</v>
      </c>
      <c r="L347" s="14" t="s">
        <v>1927</v>
      </c>
      <c r="M347" s="14" t="s">
        <v>1484</v>
      </c>
      <c r="N347" s="14" t="s">
        <v>1237</v>
      </c>
      <c r="O347" s="14" t="s">
        <v>1220</v>
      </c>
    </row>
    <row r="348" spans="1:15" x14ac:dyDescent="0.25">
      <c r="A348" s="14">
        <v>4902</v>
      </c>
      <c r="B348" s="14" t="s">
        <v>32</v>
      </c>
      <c r="C348" s="14" t="s">
        <v>32</v>
      </c>
      <c r="D348" s="14" t="s">
        <v>1923</v>
      </c>
      <c r="E348" s="16">
        <v>64</v>
      </c>
      <c r="F348" s="14" t="s">
        <v>1544</v>
      </c>
      <c r="G348" s="17">
        <v>1024</v>
      </c>
      <c r="H348" s="14" t="s">
        <v>1460</v>
      </c>
      <c r="I348" s="14" t="s">
        <v>1256</v>
      </c>
      <c r="J348" s="14" t="s">
        <v>1242</v>
      </c>
      <c r="K348" s="14" t="s">
        <v>1546</v>
      </c>
      <c r="L348" s="14" t="s">
        <v>1928</v>
      </c>
      <c r="M348" s="14" t="s">
        <v>1484</v>
      </c>
      <c r="N348" s="14" t="s">
        <v>1237</v>
      </c>
      <c r="O348" s="14" t="s">
        <v>1220</v>
      </c>
    </row>
    <row r="349" spans="1:15" x14ac:dyDescent="0.25">
      <c r="A349" s="14">
        <v>4912</v>
      </c>
      <c r="B349" s="14" t="s">
        <v>33</v>
      </c>
      <c r="C349" s="14" t="s">
        <v>33</v>
      </c>
      <c r="D349" s="14" t="s">
        <v>1923</v>
      </c>
      <c r="E349" s="16">
        <v>64</v>
      </c>
      <c r="F349" s="14" t="s">
        <v>1544</v>
      </c>
      <c r="G349" s="17">
        <v>1024</v>
      </c>
      <c r="H349" s="14" t="s">
        <v>1460</v>
      </c>
      <c r="I349" s="14" t="s">
        <v>1256</v>
      </c>
      <c r="J349" s="14" t="s">
        <v>1242</v>
      </c>
      <c r="K349" s="14" t="s">
        <v>1546</v>
      </c>
      <c r="L349" s="14" t="s">
        <v>1929</v>
      </c>
      <c r="M349" s="14" t="s">
        <v>1484</v>
      </c>
      <c r="N349" s="14" t="s">
        <v>1237</v>
      </c>
      <c r="O349" s="14" t="s">
        <v>1220</v>
      </c>
    </row>
    <row r="350" spans="1:15" x14ac:dyDescent="0.25">
      <c r="A350" s="14">
        <v>4910</v>
      </c>
      <c r="B350" s="14" t="s">
        <v>34</v>
      </c>
      <c r="C350" s="14" t="s">
        <v>34</v>
      </c>
      <c r="D350" s="14" t="s">
        <v>1923</v>
      </c>
      <c r="E350" s="16">
        <v>128</v>
      </c>
      <c r="F350" s="14" t="s">
        <v>1544</v>
      </c>
      <c r="G350" s="17">
        <v>1024</v>
      </c>
      <c r="H350" s="14" t="s">
        <v>1460</v>
      </c>
      <c r="I350" s="14" t="s">
        <v>1256</v>
      </c>
      <c r="J350" s="14" t="s">
        <v>1233</v>
      </c>
      <c r="K350" s="14" t="s">
        <v>1546</v>
      </c>
      <c r="L350" s="14" t="s">
        <v>1930</v>
      </c>
      <c r="M350" s="14" t="s">
        <v>1484</v>
      </c>
      <c r="N350" s="14" t="s">
        <v>1237</v>
      </c>
      <c r="O350" s="14" t="s">
        <v>1220</v>
      </c>
    </row>
    <row r="351" spans="1:15" x14ac:dyDescent="0.25">
      <c r="A351" s="14" t="s">
        <v>1931</v>
      </c>
      <c r="B351" s="14" t="s">
        <v>1932</v>
      </c>
      <c r="C351" s="14" t="s">
        <v>1932</v>
      </c>
      <c r="D351" s="14" t="s">
        <v>1460</v>
      </c>
      <c r="E351" s="15"/>
      <c r="F351" s="14" t="s">
        <v>1544</v>
      </c>
      <c r="G351" s="15"/>
      <c r="H351" s="14" t="s">
        <v>1460</v>
      </c>
      <c r="I351" s="14" t="s">
        <v>1262</v>
      </c>
      <c r="J351" s="14" t="s">
        <v>1262</v>
      </c>
      <c r="K351" s="14" t="s">
        <v>1546</v>
      </c>
      <c r="L351" s="14" t="s">
        <v>1930</v>
      </c>
      <c r="M351" s="14" t="s">
        <v>1484</v>
      </c>
      <c r="N351" s="14" t="s">
        <v>1219</v>
      </c>
      <c r="O351" s="14" t="s">
        <v>1220</v>
      </c>
    </row>
    <row r="352" spans="1:15" x14ac:dyDescent="0.25">
      <c r="A352" s="14">
        <v>4900</v>
      </c>
      <c r="B352" s="14" t="s">
        <v>35</v>
      </c>
      <c r="C352" s="14" t="s">
        <v>35</v>
      </c>
      <c r="D352" s="14" t="s">
        <v>1923</v>
      </c>
      <c r="E352" s="16">
        <v>128</v>
      </c>
      <c r="F352" s="14" t="s">
        <v>1544</v>
      </c>
      <c r="G352" s="17">
        <v>1024</v>
      </c>
      <c r="H352" s="14" t="s">
        <v>1460</v>
      </c>
      <c r="I352" s="14" t="s">
        <v>1256</v>
      </c>
      <c r="J352" s="14" t="s">
        <v>1233</v>
      </c>
      <c r="K352" s="14" t="s">
        <v>1546</v>
      </c>
      <c r="L352" s="14" t="s">
        <v>1933</v>
      </c>
      <c r="M352" s="14" t="s">
        <v>1484</v>
      </c>
      <c r="N352" s="14" t="s">
        <v>1237</v>
      </c>
      <c r="O352" s="14" t="s">
        <v>1220</v>
      </c>
    </row>
    <row r="353" spans="1:15" x14ac:dyDescent="0.25">
      <c r="A353" s="14">
        <v>88050004</v>
      </c>
      <c r="B353" s="14" t="s">
        <v>1934</v>
      </c>
      <c r="C353" s="14" t="s">
        <v>1934</v>
      </c>
      <c r="D353" s="14" t="s">
        <v>1584</v>
      </c>
      <c r="E353" s="15"/>
      <c r="F353" s="14" t="s">
        <v>1533</v>
      </c>
      <c r="G353" s="15"/>
      <c r="H353" s="14" t="s">
        <v>1534</v>
      </c>
      <c r="I353" s="14" t="s">
        <v>1360</v>
      </c>
      <c r="J353" s="14" t="s">
        <v>1351</v>
      </c>
      <c r="K353" s="14"/>
      <c r="L353" s="14"/>
      <c r="M353" s="14" t="s">
        <v>1218</v>
      </c>
      <c r="N353" s="14" t="s">
        <v>1219</v>
      </c>
      <c r="O353" s="14" t="s">
        <v>1220</v>
      </c>
    </row>
    <row r="354" spans="1:15" x14ac:dyDescent="0.25">
      <c r="A354" s="14">
        <v>88060002</v>
      </c>
      <c r="B354" s="14" t="s">
        <v>1935</v>
      </c>
      <c r="C354" s="14" t="s">
        <v>1935</v>
      </c>
      <c r="D354" s="14" t="s">
        <v>1921</v>
      </c>
      <c r="E354" s="15"/>
      <c r="F354" s="14" t="s">
        <v>1533</v>
      </c>
      <c r="G354" s="15"/>
      <c r="H354" s="14" t="s">
        <v>1534</v>
      </c>
      <c r="I354" s="14" t="s">
        <v>1360</v>
      </c>
      <c r="J354" s="14" t="s">
        <v>1351</v>
      </c>
      <c r="K354" s="14"/>
      <c r="L354" s="14"/>
      <c r="M354" s="14" t="s">
        <v>1218</v>
      </c>
      <c r="N354" s="14" t="s">
        <v>1219</v>
      </c>
      <c r="O354" s="14" t="s">
        <v>1220</v>
      </c>
    </row>
    <row r="355" spans="1:15" x14ac:dyDescent="0.25">
      <c r="A355" s="14">
        <v>4915</v>
      </c>
      <c r="B355" s="14" t="s">
        <v>36</v>
      </c>
      <c r="C355" s="14" t="s">
        <v>36</v>
      </c>
      <c r="D355" s="14" t="s">
        <v>1923</v>
      </c>
      <c r="E355" s="16">
        <v>16</v>
      </c>
      <c r="F355" s="14" t="s">
        <v>1544</v>
      </c>
      <c r="G355" s="16">
        <v>512</v>
      </c>
      <c r="H355" s="14" t="s">
        <v>1460</v>
      </c>
      <c r="I355" s="14" t="s">
        <v>1256</v>
      </c>
      <c r="J355" s="14" t="s">
        <v>1242</v>
      </c>
      <c r="K355" s="14" t="s">
        <v>1546</v>
      </c>
      <c r="L355" s="14" t="s">
        <v>1936</v>
      </c>
      <c r="M355" s="14" t="s">
        <v>1484</v>
      </c>
      <c r="N355" s="14" t="s">
        <v>1237</v>
      </c>
      <c r="O355" s="14" t="s">
        <v>1220</v>
      </c>
    </row>
    <row r="356" spans="1:15" x14ac:dyDescent="0.25">
      <c r="A356" s="14">
        <v>4905</v>
      </c>
      <c r="B356" s="14" t="s">
        <v>37</v>
      </c>
      <c r="C356" s="14" t="s">
        <v>37</v>
      </c>
      <c r="D356" s="14" t="s">
        <v>1923</v>
      </c>
      <c r="E356" s="16">
        <v>16</v>
      </c>
      <c r="F356" s="14" t="s">
        <v>1544</v>
      </c>
      <c r="G356" s="16">
        <v>512</v>
      </c>
      <c r="H356" s="14" t="s">
        <v>1460</v>
      </c>
      <c r="I356" s="14" t="s">
        <v>1256</v>
      </c>
      <c r="J356" s="14" t="s">
        <v>1242</v>
      </c>
      <c r="K356" s="14" t="s">
        <v>1546</v>
      </c>
      <c r="L356" s="14" t="s">
        <v>1937</v>
      </c>
      <c r="M356" s="14" t="s">
        <v>1484</v>
      </c>
      <c r="N356" s="14" t="s">
        <v>1237</v>
      </c>
      <c r="O356" s="14" t="s">
        <v>1220</v>
      </c>
    </row>
    <row r="357" spans="1:15" x14ac:dyDescent="0.25">
      <c r="A357" s="14">
        <v>4911</v>
      </c>
      <c r="B357" s="14" t="s">
        <v>38</v>
      </c>
      <c r="C357" s="14" t="s">
        <v>38</v>
      </c>
      <c r="D357" s="14" t="s">
        <v>1923</v>
      </c>
      <c r="E357" s="16">
        <v>80</v>
      </c>
      <c r="F357" s="14" t="s">
        <v>1544</v>
      </c>
      <c r="G357" s="17">
        <v>1040</v>
      </c>
      <c r="H357" s="14" t="s">
        <v>1460</v>
      </c>
      <c r="I357" s="14" t="s">
        <v>1256</v>
      </c>
      <c r="J357" s="14" t="s">
        <v>1233</v>
      </c>
      <c r="K357" s="14" t="s">
        <v>1546</v>
      </c>
      <c r="L357" s="14" t="s">
        <v>1938</v>
      </c>
      <c r="M357" s="14" t="s">
        <v>1484</v>
      </c>
      <c r="N357" s="14" t="s">
        <v>1237</v>
      </c>
      <c r="O357" s="14" t="s">
        <v>1220</v>
      </c>
    </row>
    <row r="358" spans="1:15" x14ac:dyDescent="0.25">
      <c r="A358" s="14">
        <v>4901</v>
      </c>
      <c r="B358" s="14" t="s">
        <v>39</v>
      </c>
      <c r="C358" s="14" t="s">
        <v>39</v>
      </c>
      <c r="D358" s="14" t="s">
        <v>1923</v>
      </c>
      <c r="E358" s="16">
        <v>80</v>
      </c>
      <c r="F358" s="14" t="s">
        <v>1544</v>
      </c>
      <c r="G358" s="17">
        <v>1040</v>
      </c>
      <c r="H358" s="14" t="s">
        <v>1460</v>
      </c>
      <c r="I358" s="14" t="s">
        <v>1256</v>
      </c>
      <c r="J358" s="14" t="s">
        <v>1233</v>
      </c>
      <c r="K358" s="14" t="s">
        <v>1546</v>
      </c>
      <c r="L358" s="14" t="s">
        <v>1939</v>
      </c>
      <c r="M358" s="14" t="s">
        <v>1484</v>
      </c>
      <c r="N358" s="14" t="s">
        <v>1237</v>
      </c>
      <c r="O358" s="14" t="s">
        <v>1220</v>
      </c>
    </row>
    <row r="359" spans="1:15" x14ac:dyDescent="0.25">
      <c r="A359" s="14">
        <v>88050005</v>
      </c>
      <c r="B359" s="14" t="s">
        <v>1940</v>
      </c>
      <c r="C359" s="14" t="s">
        <v>1940</v>
      </c>
      <c r="D359" s="14" t="s">
        <v>1584</v>
      </c>
      <c r="E359" s="15"/>
      <c r="F359" s="14" t="s">
        <v>1533</v>
      </c>
      <c r="G359" s="15"/>
      <c r="H359" s="14" t="s">
        <v>1534</v>
      </c>
      <c r="I359" s="14" t="s">
        <v>1360</v>
      </c>
      <c r="J359" s="14" t="s">
        <v>1351</v>
      </c>
      <c r="K359" s="14"/>
      <c r="L359" s="14"/>
      <c r="M359" s="14" t="s">
        <v>1218</v>
      </c>
      <c r="N359" s="14" t="s">
        <v>1219</v>
      </c>
      <c r="O359" s="14" t="s">
        <v>1220</v>
      </c>
    </row>
    <row r="360" spans="1:15" x14ac:dyDescent="0.25">
      <c r="A360" s="14">
        <v>2677</v>
      </c>
      <c r="B360" s="14" t="s">
        <v>1096</v>
      </c>
      <c r="C360" s="14" t="s">
        <v>1096</v>
      </c>
      <c r="D360" s="14" t="s">
        <v>1553</v>
      </c>
      <c r="E360" s="16">
        <v>100</v>
      </c>
      <c r="F360" s="14" t="s">
        <v>1216</v>
      </c>
      <c r="G360" s="17">
        <v>1000</v>
      </c>
      <c r="H360" s="14" t="s">
        <v>1545</v>
      </c>
      <c r="I360" s="14" t="s">
        <v>1256</v>
      </c>
      <c r="J360" s="14" t="s">
        <v>1242</v>
      </c>
      <c r="K360" s="14" t="s">
        <v>1257</v>
      </c>
      <c r="L360" s="14" t="s">
        <v>1941</v>
      </c>
      <c r="M360" s="14" t="s">
        <v>1548</v>
      </c>
      <c r="N360" s="14" t="s">
        <v>1237</v>
      </c>
      <c r="O360" s="14" t="s">
        <v>1220</v>
      </c>
    </row>
    <row r="361" spans="1:15" x14ac:dyDescent="0.25">
      <c r="A361" s="14">
        <v>2678</v>
      </c>
      <c r="B361" s="14" t="s">
        <v>1097</v>
      </c>
      <c r="C361" s="14" t="s">
        <v>1097</v>
      </c>
      <c r="D361" s="14" t="s">
        <v>1553</v>
      </c>
      <c r="E361" s="16">
        <v>80</v>
      </c>
      <c r="F361" s="14" t="s">
        <v>1216</v>
      </c>
      <c r="G361" s="17">
        <v>1000</v>
      </c>
      <c r="H361" s="14" t="s">
        <v>1545</v>
      </c>
      <c r="I361" s="14" t="s">
        <v>1256</v>
      </c>
      <c r="J361" s="14" t="s">
        <v>1242</v>
      </c>
      <c r="K361" s="14" t="s">
        <v>1257</v>
      </c>
      <c r="L361" s="14" t="s">
        <v>1942</v>
      </c>
      <c r="M361" s="14" t="s">
        <v>1548</v>
      </c>
      <c r="N361" s="14" t="s">
        <v>1219</v>
      </c>
      <c r="O361" s="14" t="s">
        <v>1220</v>
      </c>
    </row>
    <row r="362" spans="1:15" x14ac:dyDescent="0.25">
      <c r="A362" s="14">
        <v>2679</v>
      </c>
      <c r="B362" s="14" t="s">
        <v>1098</v>
      </c>
      <c r="C362" s="14" t="s">
        <v>1098</v>
      </c>
      <c r="D362" s="14" t="s">
        <v>1553</v>
      </c>
      <c r="E362" s="16">
        <v>100</v>
      </c>
      <c r="F362" s="14" t="s">
        <v>1216</v>
      </c>
      <c r="G362" s="17">
        <v>1000</v>
      </c>
      <c r="H362" s="14" t="s">
        <v>1545</v>
      </c>
      <c r="I362" s="14" t="s">
        <v>1256</v>
      </c>
      <c r="J362" s="14" t="s">
        <v>1296</v>
      </c>
      <c r="K362" s="14" t="s">
        <v>1257</v>
      </c>
      <c r="L362" s="14" t="s">
        <v>1943</v>
      </c>
      <c r="M362" s="14" t="s">
        <v>1548</v>
      </c>
      <c r="N362" s="14" t="s">
        <v>1219</v>
      </c>
      <c r="O362" s="14" t="s">
        <v>1220</v>
      </c>
    </row>
    <row r="363" spans="1:15" x14ac:dyDescent="0.25">
      <c r="A363" s="14">
        <v>2680</v>
      </c>
      <c r="B363" s="14" t="s">
        <v>1099</v>
      </c>
      <c r="C363" s="14" t="s">
        <v>1099</v>
      </c>
      <c r="D363" s="14" t="s">
        <v>1553</v>
      </c>
      <c r="E363" s="16">
        <v>80</v>
      </c>
      <c r="F363" s="14" t="s">
        <v>1216</v>
      </c>
      <c r="G363" s="17">
        <v>1000</v>
      </c>
      <c r="H363" s="14" t="s">
        <v>1545</v>
      </c>
      <c r="I363" s="14" t="s">
        <v>1256</v>
      </c>
      <c r="J363" s="14" t="s">
        <v>1296</v>
      </c>
      <c r="K363" s="14" t="s">
        <v>1257</v>
      </c>
      <c r="L363" s="14" t="s">
        <v>1944</v>
      </c>
      <c r="M363" s="14" t="s">
        <v>1548</v>
      </c>
      <c r="N363" s="14" t="s">
        <v>1219</v>
      </c>
      <c r="O363" s="14" t="s">
        <v>1220</v>
      </c>
    </row>
    <row r="364" spans="1:15" x14ac:dyDescent="0.25">
      <c r="A364" s="14">
        <v>2750</v>
      </c>
      <c r="B364" s="14" t="s">
        <v>1945</v>
      </c>
      <c r="C364" s="14" t="s">
        <v>1945</v>
      </c>
      <c r="D364" s="14" t="s">
        <v>1535</v>
      </c>
      <c r="E364" s="16">
        <v>100</v>
      </c>
      <c r="F364" s="14" t="s">
        <v>1536</v>
      </c>
      <c r="G364" s="16">
        <v>500</v>
      </c>
      <c r="H364" s="14" t="s">
        <v>1535</v>
      </c>
      <c r="I364" s="14" t="s">
        <v>1256</v>
      </c>
      <c r="J364" s="14" t="s">
        <v>1296</v>
      </c>
      <c r="K364" s="14" t="s">
        <v>1537</v>
      </c>
      <c r="L364" s="14" t="s">
        <v>1946</v>
      </c>
      <c r="M364" s="14" t="s">
        <v>1606</v>
      </c>
      <c r="N364" s="14" t="s">
        <v>1237</v>
      </c>
      <c r="O364" s="14" t="s">
        <v>1220</v>
      </c>
    </row>
    <row r="365" spans="1:15" x14ac:dyDescent="0.25">
      <c r="A365" s="14">
        <v>2751</v>
      </c>
      <c r="B365" s="14" t="s">
        <v>1947</v>
      </c>
      <c r="C365" s="14" t="s">
        <v>1947</v>
      </c>
      <c r="D365" s="14" t="s">
        <v>1535</v>
      </c>
      <c r="E365" s="16">
        <v>100</v>
      </c>
      <c r="F365" s="14" t="s">
        <v>1536</v>
      </c>
      <c r="G365" s="16">
        <v>500</v>
      </c>
      <c r="H365" s="14" t="s">
        <v>1535</v>
      </c>
      <c r="I365" s="14" t="s">
        <v>1256</v>
      </c>
      <c r="J365" s="14" t="s">
        <v>1242</v>
      </c>
      <c r="K365" s="14" t="s">
        <v>1537</v>
      </c>
      <c r="L365" s="14" t="s">
        <v>1948</v>
      </c>
      <c r="M365" s="14" t="s">
        <v>1606</v>
      </c>
      <c r="N365" s="14" t="s">
        <v>1237</v>
      </c>
      <c r="O365" s="14" t="s">
        <v>1220</v>
      </c>
    </row>
    <row r="366" spans="1:15" x14ac:dyDescent="0.25">
      <c r="A366" s="14">
        <v>2752</v>
      </c>
      <c r="B366" s="14" t="s">
        <v>1949</v>
      </c>
      <c r="C366" s="14" t="s">
        <v>1949</v>
      </c>
      <c r="D366" s="14" t="s">
        <v>1535</v>
      </c>
      <c r="E366" s="16">
        <v>100</v>
      </c>
      <c r="F366" s="14" t="s">
        <v>1536</v>
      </c>
      <c r="G366" s="16">
        <v>500</v>
      </c>
      <c r="H366" s="14" t="s">
        <v>1535</v>
      </c>
      <c r="I366" s="14" t="s">
        <v>1256</v>
      </c>
      <c r="J366" s="14" t="s">
        <v>1296</v>
      </c>
      <c r="K366" s="14" t="s">
        <v>1537</v>
      </c>
      <c r="L366" s="14" t="s">
        <v>1950</v>
      </c>
      <c r="M366" s="14" t="s">
        <v>1606</v>
      </c>
      <c r="N366" s="14" t="s">
        <v>1237</v>
      </c>
      <c r="O366" s="14" t="s">
        <v>1220</v>
      </c>
    </row>
    <row r="367" spans="1:15" x14ac:dyDescent="0.25">
      <c r="A367" s="14">
        <v>2760</v>
      </c>
      <c r="B367" s="14" t="s">
        <v>21</v>
      </c>
      <c r="C367" s="14" t="s">
        <v>21</v>
      </c>
      <c r="D367" s="14" t="s">
        <v>1535</v>
      </c>
      <c r="E367" s="16">
        <v>150</v>
      </c>
      <c r="F367" s="14" t="s">
        <v>1536</v>
      </c>
      <c r="G367" s="17">
        <v>1500</v>
      </c>
      <c r="H367" s="14" t="s">
        <v>1535</v>
      </c>
      <c r="I367" s="14" t="s">
        <v>1256</v>
      </c>
      <c r="J367" s="14" t="s">
        <v>1233</v>
      </c>
      <c r="K367" s="14" t="s">
        <v>1537</v>
      </c>
      <c r="L367" s="14" t="s">
        <v>1951</v>
      </c>
      <c r="M367" s="14" t="s">
        <v>1606</v>
      </c>
      <c r="N367" s="14" t="s">
        <v>1237</v>
      </c>
      <c r="O367" s="14" t="s">
        <v>1220</v>
      </c>
    </row>
    <row r="368" spans="1:15" x14ac:dyDescent="0.25">
      <c r="A368" s="14" t="s">
        <v>1952</v>
      </c>
      <c r="B368" s="14" t="s">
        <v>1953</v>
      </c>
      <c r="C368" s="14" t="s">
        <v>1953</v>
      </c>
      <c r="D368" s="14" t="s">
        <v>1535</v>
      </c>
      <c r="E368" s="15"/>
      <c r="F368" s="14" t="s">
        <v>1350</v>
      </c>
      <c r="G368" s="15"/>
      <c r="H368" s="14" t="s">
        <v>1535</v>
      </c>
      <c r="I368" s="14" t="s">
        <v>1262</v>
      </c>
      <c r="J368" s="14" t="s">
        <v>1262</v>
      </c>
      <c r="K368" s="14" t="s">
        <v>1537</v>
      </c>
      <c r="L368" s="14" t="s">
        <v>1951</v>
      </c>
      <c r="M368" s="14" t="s">
        <v>1606</v>
      </c>
      <c r="N368" s="14" t="s">
        <v>1219</v>
      </c>
      <c r="O368" s="14" t="s">
        <v>1220</v>
      </c>
    </row>
    <row r="369" spans="1:15" x14ac:dyDescent="0.25">
      <c r="A369" s="14">
        <v>10650003</v>
      </c>
      <c r="B369" s="14" t="s">
        <v>1954</v>
      </c>
      <c r="C369" s="14" t="s">
        <v>1954</v>
      </c>
      <c r="D369" s="14" t="s">
        <v>1532</v>
      </c>
      <c r="E369" s="15"/>
      <c r="F369" s="14" t="s">
        <v>1533</v>
      </c>
      <c r="G369" s="15"/>
      <c r="H369" s="14" t="s">
        <v>1534</v>
      </c>
      <c r="I369" s="14" t="s">
        <v>1360</v>
      </c>
      <c r="J369" s="14" t="s">
        <v>1351</v>
      </c>
      <c r="K369" s="14"/>
      <c r="L369" s="14"/>
      <c r="M369" s="14" t="s">
        <v>1218</v>
      </c>
      <c r="N369" s="14" t="s">
        <v>1219</v>
      </c>
      <c r="O369" s="14" t="s">
        <v>1220</v>
      </c>
    </row>
    <row r="370" spans="1:15" x14ac:dyDescent="0.25">
      <c r="A370" s="14">
        <v>10650007</v>
      </c>
      <c r="B370" s="14" t="s">
        <v>1955</v>
      </c>
      <c r="C370" s="14" t="s">
        <v>1955</v>
      </c>
      <c r="D370" s="14" t="s">
        <v>1532</v>
      </c>
      <c r="E370" s="15"/>
      <c r="F370" s="14" t="s">
        <v>1533</v>
      </c>
      <c r="G370" s="15"/>
      <c r="H370" s="14" t="s">
        <v>1534</v>
      </c>
      <c r="I370" s="14" t="s">
        <v>1360</v>
      </c>
      <c r="J370" s="14" t="s">
        <v>1351</v>
      </c>
      <c r="K370" s="14"/>
      <c r="L370" s="14"/>
      <c r="M370" s="14" t="s">
        <v>1218</v>
      </c>
      <c r="N370" s="14" t="s">
        <v>1219</v>
      </c>
      <c r="O370" s="14" t="s">
        <v>1220</v>
      </c>
    </row>
    <row r="371" spans="1:15" x14ac:dyDescent="0.25">
      <c r="A371" s="14">
        <v>10650001</v>
      </c>
      <c r="B371" s="14" t="s">
        <v>1956</v>
      </c>
      <c r="C371" s="14" t="s">
        <v>1956</v>
      </c>
      <c r="D371" s="14" t="s">
        <v>1532</v>
      </c>
      <c r="E371" s="15"/>
      <c r="F371" s="14" t="s">
        <v>1533</v>
      </c>
      <c r="G371" s="15"/>
      <c r="H371" s="14" t="s">
        <v>1534</v>
      </c>
      <c r="I371" s="14" t="s">
        <v>1360</v>
      </c>
      <c r="J371" s="14" t="s">
        <v>1351</v>
      </c>
      <c r="K371" s="14"/>
      <c r="L371" s="14"/>
      <c r="M371" s="14" t="s">
        <v>1218</v>
      </c>
      <c r="N371" s="14" t="s">
        <v>1219</v>
      </c>
      <c r="O371" s="14" t="s">
        <v>1220</v>
      </c>
    </row>
    <row r="372" spans="1:15" x14ac:dyDescent="0.25">
      <c r="A372" s="14">
        <v>10640003</v>
      </c>
      <c r="B372" s="14" t="s">
        <v>1957</v>
      </c>
      <c r="C372" s="14" t="s">
        <v>1957</v>
      </c>
      <c r="D372" s="14" t="s">
        <v>1532</v>
      </c>
      <c r="E372" s="15"/>
      <c r="F372" s="14" t="s">
        <v>1533</v>
      </c>
      <c r="G372" s="15"/>
      <c r="H372" s="14" t="s">
        <v>1534</v>
      </c>
      <c r="I372" s="14" t="s">
        <v>1360</v>
      </c>
      <c r="J372" s="14" t="s">
        <v>1351</v>
      </c>
      <c r="K372" s="14"/>
      <c r="L372" s="14"/>
      <c r="M372" s="14" t="s">
        <v>1218</v>
      </c>
      <c r="N372" s="14" t="s">
        <v>1219</v>
      </c>
      <c r="O372" s="14" t="s">
        <v>1220</v>
      </c>
    </row>
    <row r="373" spans="1:15" x14ac:dyDescent="0.25">
      <c r="A373" s="14">
        <v>10640007</v>
      </c>
      <c r="B373" s="14" t="s">
        <v>1958</v>
      </c>
      <c r="C373" s="14" t="s">
        <v>1958</v>
      </c>
      <c r="D373" s="14" t="s">
        <v>1532</v>
      </c>
      <c r="E373" s="15"/>
      <c r="F373" s="14" t="s">
        <v>1533</v>
      </c>
      <c r="G373" s="15"/>
      <c r="H373" s="14" t="s">
        <v>1534</v>
      </c>
      <c r="I373" s="14" t="s">
        <v>1360</v>
      </c>
      <c r="J373" s="14" t="s">
        <v>1351</v>
      </c>
      <c r="K373" s="14"/>
      <c r="L373" s="14"/>
      <c r="M373" s="14" t="s">
        <v>1218</v>
      </c>
      <c r="N373" s="14" t="s">
        <v>1219</v>
      </c>
      <c r="O373" s="14" t="s">
        <v>1220</v>
      </c>
    </row>
    <row r="374" spans="1:15" x14ac:dyDescent="0.25">
      <c r="A374" s="14">
        <v>10640001</v>
      </c>
      <c r="B374" s="14" t="s">
        <v>1959</v>
      </c>
      <c r="C374" s="14" t="s">
        <v>1959</v>
      </c>
      <c r="D374" s="14" t="s">
        <v>1532</v>
      </c>
      <c r="E374" s="15"/>
      <c r="F374" s="14" t="s">
        <v>1533</v>
      </c>
      <c r="G374" s="15"/>
      <c r="H374" s="14" t="s">
        <v>1534</v>
      </c>
      <c r="I374" s="14" t="s">
        <v>1360</v>
      </c>
      <c r="J374" s="14" t="s">
        <v>1351</v>
      </c>
      <c r="K374" s="14"/>
      <c r="L374" s="14"/>
      <c r="M374" s="14" t="s">
        <v>1218</v>
      </c>
      <c r="N374" s="14" t="s">
        <v>1219</v>
      </c>
      <c r="O374" s="14" t="s">
        <v>1220</v>
      </c>
    </row>
    <row r="375" spans="1:15" x14ac:dyDescent="0.25">
      <c r="A375" s="14">
        <v>620003</v>
      </c>
      <c r="B375" s="14" t="s">
        <v>1960</v>
      </c>
      <c r="C375" s="14" t="s">
        <v>1960</v>
      </c>
      <c r="D375" s="14" t="s">
        <v>1532</v>
      </c>
      <c r="E375" s="15"/>
      <c r="F375" s="14" t="s">
        <v>1533</v>
      </c>
      <c r="G375" s="15"/>
      <c r="H375" s="14" t="s">
        <v>1534</v>
      </c>
      <c r="I375" s="14" t="s">
        <v>1360</v>
      </c>
      <c r="J375" s="14" t="s">
        <v>1360</v>
      </c>
      <c r="K375" s="14"/>
      <c r="L375" s="14"/>
      <c r="M375" s="14" t="s">
        <v>1218</v>
      </c>
      <c r="N375" s="14" t="s">
        <v>1219</v>
      </c>
      <c r="O375" s="14" t="s">
        <v>1220</v>
      </c>
    </row>
    <row r="376" spans="1:15" x14ac:dyDescent="0.25">
      <c r="A376" s="14">
        <v>10620007</v>
      </c>
      <c r="B376" s="14" t="s">
        <v>1961</v>
      </c>
      <c r="C376" s="14" t="s">
        <v>1961</v>
      </c>
      <c r="D376" s="14" t="s">
        <v>1532</v>
      </c>
      <c r="E376" s="15"/>
      <c r="F376" s="14" t="s">
        <v>1533</v>
      </c>
      <c r="G376" s="15"/>
      <c r="H376" s="14" t="s">
        <v>1534</v>
      </c>
      <c r="I376" s="14" t="s">
        <v>1360</v>
      </c>
      <c r="J376" s="14" t="s">
        <v>1351</v>
      </c>
      <c r="K376" s="14"/>
      <c r="L376" s="14"/>
      <c r="M376" s="14" t="s">
        <v>1218</v>
      </c>
      <c r="N376" s="14" t="s">
        <v>1219</v>
      </c>
      <c r="O376" s="14" t="s">
        <v>1220</v>
      </c>
    </row>
    <row r="377" spans="1:15" x14ac:dyDescent="0.25">
      <c r="A377" s="14">
        <v>10620001</v>
      </c>
      <c r="B377" s="14" t="s">
        <v>1962</v>
      </c>
      <c r="C377" s="14" t="s">
        <v>1962</v>
      </c>
      <c r="D377" s="14" t="s">
        <v>1532</v>
      </c>
      <c r="E377" s="15"/>
      <c r="F377" s="14" t="s">
        <v>1533</v>
      </c>
      <c r="G377" s="15"/>
      <c r="H377" s="14" t="s">
        <v>1534</v>
      </c>
      <c r="I377" s="14" t="s">
        <v>1360</v>
      </c>
      <c r="J377" s="14" t="s">
        <v>1351</v>
      </c>
      <c r="K377" s="14"/>
      <c r="L377" s="14"/>
      <c r="M377" s="14" t="s">
        <v>1218</v>
      </c>
      <c r="N377" s="14" t="s">
        <v>1219</v>
      </c>
      <c r="O377" s="14" t="s">
        <v>1220</v>
      </c>
    </row>
    <row r="378" spans="1:15" x14ac:dyDescent="0.25">
      <c r="A378" s="14">
        <v>10630003</v>
      </c>
      <c r="B378" s="14" t="s">
        <v>1963</v>
      </c>
      <c r="C378" s="14" t="s">
        <v>1963</v>
      </c>
      <c r="D378" s="14" t="s">
        <v>1532</v>
      </c>
      <c r="E378" s="15"/>
      <c r="F378" s="14" t="s">
        <v>1533</v>
      </c>
      <c r="G378" s="15"/>
      <c r="H378" s="14" t="s">
        <v>1534</v>
      </c>
      <c r="I378" s="14" t="s">
        <v>1360</v>
      </c>
      <c r="J378" s="14" t="s">
        <v>1351</v>
      </c>
      <c r="K378" s="14"/>
      <c r="L378" s="14"/>
      <c r="M378" s="14" t="s">
        <v>1218</v>
      </c>
      <c r="N378" s="14" t="s">
        <v>1219</v>
      </c>
      <c r="O378" s="14" t="s">
        <v>1220</v>
      </c>
    </row>
    <row r="379" spans="1:15" x14ac:dyDescent="0.25">
      <c r="A379" s="14">
        <v>10630007</v>
      </c>
      <c r="B379" s="14" t="s">
        <v>1964</v>
      </c>
      <c r="C379" s="14" t="s">
        <v>1964</v>
      </c>
      <c r="D379" s="14" t="s">
        <v>1532</v>
      </c>
      <c r="E379" s="15"/>
      <c r="F379" s="14" t="s">
        <v>1533</v>
      </c>
      <c r="G379" s="15"/>
      <c r="H379" s="14" t="s">
        <v>1534</v>
      </c>
      <c r="I379" s="14" t="s">
        <v>1360</v>
      </c>
      <c r="J379" s="14" t="s">
        <v>1351</v>
      </c>
      <c r="K379" s="14"/>
      <c r="L379" s="14"/>
      <c r="M379" s="14" t="s">
        <v>1218</v>
      </c>
      <c r="N379" s="14" t="s">
        <v>1219</v>
      </c>
      <c r="O379" s="14" t="s">
        <v>1220</v>
      </c>
    </row>
    <row r="380" spans="1:15" x14ac:dyDescent="0.25">
      <c r="A380" s="14">
        <v>10630001</v>
      </c>
      <c r="B380" s="14" t="s">
        <v>1965</v>
      </c>
      <c r="C380" s="14" t="s">
        <v>1965</v>
      </c>
      <c r="D380" s="14" t="s">
        <v>1532</v>
      </c>
      <c r="E380" s="15"/>
      <c r="F380" s="14" t="s">
        <v>1533</v>
      </c>
      <c r="G380" s="15"/>
      <c r="H380" s="14" t="s">
        <v>1534</v>
      </c>
      <c r="I380" s="14" t="s">
        <v>1360</v>
      </c>
      <c r="J380" s="14" t="s">
        <v>1351</v>
      </c>
      <c r="K380" s="14"/>
      <c r="L380" s="14"/>
      <c r="M380" s="14" t="s">
        <v>1218</v>
      </c>
      <c r="N380" s="14" t="s">
        <v>1219</v>
      </c>
      <c r="O380" s="14" t="s">
        <v>1220</v>
      </c>
    </row>
    <row r="381" spans="1:15" x14ac:dyDescent="0.25">
      <c r="A381" s="14">
        <v>2673</v>
      </c>
      <c r="B381" s="14" t="s">
        <v>1092</v>
      </c>
      <c r="C381" s="14" t="s">
        <v>1092</v>
      </c>
      <c r="D381" s="14" t="s">
        <v>1553</v>
      </c>
      <c r="E381" s="16">
        <v>100</v>
      </c>
      <c r="F381" s="14" t="s">
        <v>1216</v>
      </c>
      <c r="G381" s="17">
        <v>1000</v>
      </c>
      <c r="H381" s="14" t="s">
        <v>1545</v>
      </c>
      <c r="I381" s="14" t="s">
        <v>1256</v>
      </c>
      <c r="J381" s="14" t="s">
        <v>1296</v>
      </c>
      <c r="K381" s="14" t="s">
        <v>1257</v>
      </c>
      <c r="L381" s="14" t="s">
        <v>1966</v>
      </c>
      <c r="M381" s="14" t="s">
        <v>1548</v>
      </c>
      <c r="N381" s="14" t="s">
        <v>1237</v>
      </c>
      <c r="O381" s="14" t="s">
        <v>1220</v>
      </c>
    </row>
    <row r="382" spans="1:15" x14ac:dyDescent="0.25">
      <c r="A382" s="14">
        <v>2674</v>
      </c>
      <c r="B382" s="14" t="s">
        <v>1093</v>
      </c>
      <c r="C382" s="14" t="s">
        <v>1093</v>
      </c>
      <c r="D382" s="14" t="s">
        <v>1553</v>
      </c>
      <c r="E382" s="16">
        <v>80</v>
      </c>
      <c r="F382" s="14" t="s">
        <v>1216</v>
      </c>
      <c r="G382" s="17">
        <v>1040</v>
      </c>
      <c r="H382" s="14" t="s">
        <v>1545</v>
      </c>
      <c r="I382" s="14" t="s">
        <v>1256</v>
      </c>
      <c r="J382" s="14" t="s">
        <v>1296</v>
      </c>
      <c r="K382" s="14" t="s">
        <v>1257</v>
      </c>
      <c r="L382" s="14" t="s">
        <v>1967</v>
      </c>
      <c r="M382" s="14" t="s">
        <v>1548</v>
      </c>
      <c r="N382" s="14" t="s">
        <v>1237</v>
      </c>
      <c r="O382" s="14" t="s">
        <v>1220</v>
      </c>
    </row>
    <row r="383" spans="1:15" x14ac:dyDescent="0.25">
      <c r="A383" s="14">
        <v>2675</v>
      </c>
      <c r="B383" s="14" t="s">
        <v>1094</v>
      </c>
      <c r="C383" s="14" t="s">
        <v>1094</v>
      </c>
      <c r="D383" s="14" t="s">
        <v>1553</v>
      </c>
      <c r="E383" s="16">
        <v>100</v>
      </c>
      <c r="F383" s="14" t="s">
        <v>1216</v>
      </c>
      <c r="G383" s="17">
        <v>1000</v>
      </c>
      <c r="H383" s="14" t="s">
        <v>1545</v>
      </c>
      <c r="I383" s="14" t="s">
        <v>1256</v>
      </c>
      <c r="J383" s="14" t="s">
        <v>1296</v>
      </c>
      <c r="K383" s="14" t="s">
        <v>1257</v>
      </c>
      <c r="L383" s="14" t="s">
        <v>1968</v>
      </c>
      <c r="M383" s="14" t="s">
        <v>1548</v>
      </c>
      <c r="N383" s="14" t="s">
        <v>1219</v>
      </c>
      <c r="O383" s="14" t="s">
        <v>1220</v>
      </c>
    </row>
    <row r="384" spans="1:15" x14ac:dyDescent="0.25">
      <c r="A384" s="14">
        <v>2676</v>
      </c>
      <c r="B384" s="14" t="s">
        <v>1095</v>
      </c>
      <c r="C384" s="14" t="s">
        <v>1095</v>
      </c>
      <c r="D384" s="14" t="s">
        <v>1553</v>
      </c>
      <c r="E384" s="16">
        <v>80</v>
      </c>
      <c r="F384" s="14" t="s">
        <v>1216</v>
      </c>
      <c r="G384" s="17">
        <v>1040</v>
      </c>
      <c r="H384" s="14" t="s">
        <v>1545</v>
      </c>
      <c r="I384" s="14" t="s">
        <v>1256</v>
      </c>
      <c r="J384" s="14" t="s">
        <v>1296</v>
      </c>
      <c r="K384" s="14" t="s">
        <v>1257</v>
      </c>
      <c r="L384" s="14" t="s">
        <v>1969</v>
      </c>
      <c r="M384" s="14" t="s">
        <v>1548</v>
      </c>
      <c r="N384" s="14" t="s">
        <v>1219</v>
      </c>
      <c r="O384" s="14" t="s">
        <v>1220</v>
      </c>
    </row>
    <row r="385" spans="1:15" x14ac:dyDescent="0.25">
      <c r="A385" s="14">
        <v>2630</v>
      </c>
      <c r="B385" s="14" t="s">
        <v>1970</v>
      </c>
      <c r="C385" s="14" t="s">
        <v>1971</v>
      </c>
      <c r="D385" s="14" t="s">
        <v>1553</v>
      </c>
      <c r="E385" s="16">
        <v>30</v>
      </c>
      <c r="F385" s="14" t="s">
        <v>1972</v>
      </c>
      <c r="G385" s="17">
        <v>1500</v>
      </c>
      <c r="H385" s="14" t="s">
        <v>1545</v>
      </c>
      <c r="I385" s="14" t="s">
        <v>1232</v>
      </c>
      <c r="J385" s="14" t="s">
        <v>1296</v>
      </c>
      <c r="K385" s="14" t="s">
        <v>1579</v>
      </c>
      <c r="L385" s="14" t="s">
        <v>1973</v>
      </c>
      <c r="M385" s="14" t="s">
        <v>1974</v>
      </c>
      <c r="N385" s="14" t="s">
        <v>1237</v>
      </c>
      <c r="O385" s="14" t="s">
        <v>1220</v>
      </c>
    </row>
    <row r="386" spans="1:15" x14ac:dyDescent="0.25">
      <c r="A386" s="14">
        <v>2621</v>
      </c>
      <c r="B386" s="14" t="s">
        <v>1100</v>
      </c>
      <c r="C386" s="14" t="s">
        <v>1100</v>
      </c>
      <c r="D386" s="14" t="s">
        <v>1553</v>
      </c>
      <c r="E386" s="16">
        <v>80</v>
      </c>
      <c r="F386" s="14" t="s">
        <v>1544</v>
      </c>
      <c r="G386" s="17">
        <v>1000</v>
      </c>
      <c r="H386" s="14" t="s">
        <v>1545</v>
      </c>
      <c r="I386" s="14" t="s">
        <v>1256</v>
      </c>
      <c r="J386" s="14" t="s">
        <v>1242</v>
      </c>
      <c r="K386" s="14" t="s">
        <v>1257</v>
      </c>
      <c r="L386" s="14" t="s">
        <v>1975</v>
      </c>
      <c r="M386" s="14" t="s">
        <v>1976</v>
      </c>
      <c r="N386" s="14" t="s">
        <v>1219</v>
      </c>
      <c r="O386" s="14" t="s">
        <v>1220</v>
      </c>
    </row>
    <row r="387" spans="1:15" x14ac:dyDescent="0.25">
      <c r="A387" s="14">
        <v>2622</v>
      </c>
      <c r="B387" s="14" t="s">
        <v>1101</v>
      </c>
      <c r="C387" s="14" t="s">
        <v>1101</v>
      </c>
      <c r="D387" s="14" t="s">
        <v>1553</v>
      </c>
      <c r="E387" s="16">
        <v>64</v>
      </c>
      <c r="F387" s="14" t="s">
        <v>1544</v>
      </c>
      <c r="G387" s="17">
        <v>1000</v>
      </c>
      <c r="H387" s="14" t="s">
        <v>1545</v>
      </c>
      <c r="I387" s="14" t="s">
        <v>1256</v>
      </c>
      <c r="J387" s="14" t="s">
        <v>1242</v>
      </c>
      <c r="K387" s="14" t="s">
        <v>1257</v>
      </c>
      <c r="L387" s="14" t="s">
        <v>1977</v>
      </c>
      <c r="M387" s="14" t="s">
        <v>1976</v>
      </c>
      <c r="N387" s="14" t="s">
        <v>1219</v>
      </c>
      <c r="O387" s="14" t="s">
        <v>1220</v>
      </c>
    </row>
    <row r="388" spans="1:15" x14ac:dyDescent="0.25">
      <c r="A388" s="14" t="s">
        <v>1978</v>
      </c>
      <c r="B388" s="14" t="s">
        <v>1979</v>
      </c>
      <c r="C388" s="14" t="s">
        <v>1979</v>
      </c>
      <c r="D388" s="14" t="s">
        <v>1553</v>
      </c>
      <c r="E388" s="16">
        <v>64</v>
      </c>
      <c r="F388" s="14" t="s">
        <v>1544</v>
      </c>
      <c r="G388" s="17">
        <v>1000</v>
      </c>
      <c r="H388" s="14" t="s">
        <v>1545</v>
      </c>
      <c r="I388" s="14" t="s">
        <v>1262</v>
      </c>
      <c r="J388" s="14" t="s">
        <v>1262</v>
      </c>
      <c r="K388" s="14" t="s">
        <v>1257</v>
      </c>
      <c r="L388" s="14" t="s">
        <v>1977</v>
      </c>
      <c r="M388" s="14" t="s">
        <v>1976</v>
      </c>
      <c r="N388" s="14" t="s">
        <v>1219</v>
      </c>
      <c r="O388" s="14" t="s">
        <v>1220</v>
      </c>
    </row>
    <row r="389" spans="1:15" x14ac:dyDescent="0.25">
      <c r="A389" s="14">
        <v>2623</v>
      </c>
      <c r="B389" s="14" t="s">
        <v>1102</v>
      </c>
      <c r="C389" s="14" t="s">
        <v>1102</v>
      </c>
      <c r="D389" s="14" t="s">
        <v>1553</v>
      </c>
      <c r="E389" s="16">
        <v>80</v>
      </c>
      <c r="F389" s="14" t="s">
        <v>1544</v>
      </c>
      <c r="G389" s="17">
        <v>1000</v>
      </c>
      <c r="H389" s="14" t="s">
        <v>1545</v>
      </c>
      <c r="I389" s="14" t="s">
        <v>1256</v>
      </c>
      <c r="J389" s="14" t="s">
        <v>1296</v>
      </c>
      <c r="K389" s="14" t="s">
        <v>1257</v>
      </c>
      <c r="L389" s="14" t="s">
        <v>1980</v>
      </c>
      <c r="M389" s="14" t="s">
        <v>1976</v>
      </c>
      <c r="N389" s="14" t="s">
        <v>1219</v>
      </c>
      <c r="O389" s="14" t="s">
        <v>1220</v>
      </c>
    </row>
    <row r="390" spans="1:15" x14ac:dyDescent="0.25">
      <c r="A390" s="14">
        <v>2624</v>
      </c>
      <c r="B390" s="14" t="s">
        <v>1103</v>
      </c>
      <c r="C390" s="14" t="s">
        <v>1103</v>
      </c>
      <c r="D390" s="14" t="s">
        <v>1553</v>
      </c>
      <c r="E390" s="16">
        <v>64</v>
      </c>
      <c r="F390" s="14" t="s">
        <v>1544</v>
      </c>
      <c r="G390" s="17">
        <v>1000</v>
      </c>
      <c r="H390" s="14" t="s">
        <v>1545</v>
      </c>
      <c r="I390" s="14" t="s">
        <v>1256</v>
      </c>
      <c r="J390" s="14" t="s">
        <v>1296</v>
      </c>
      <c r="K390" s="14" t="s">
        <v>1257</v>
      </c>
      <c r="L390" s="14" t="s">
        <v>1981</v>
      </c>
      <c r="M390" s="14" t="s">
        <v>1976</v>
      </c>
      <c r="N390" s="14" t="s">
        <v>1219</v>
      </c>
      <c r="O390" s="14" t="s">
        <v>1220</v>
      </c>
    </row>
    <row r="391" spans="1:15" x14ac:dyDescent="0.25">
      <c r="A391" s="14">
        <v>88420008</v>
      </c>
      <c r="B391" s="14" t="s">
        <v>1982</v>
      </c>
      <c r="C391" s="14" t="s">
        <v>1982</v>
      </c>
      <c r="D391" s="14" t="s">
        <v>1584</v>
      </c>
      <c r="E391" s="15"/>
      <c r="F391" s="14" t="s">
        <v>1533</v>
      </c>
      <c r="G391" s="15"/>
      <c r="H391" s="14" t="s">
        <v>1534</v>
      </c>
      <c r="I391" s="14" t="s">
        <v>1360</v>
      </c>
      <c r="J391" s="14" t="s">
        <v>1351</v>
      </c>
      <c r="K391" s="14"/>
      <c r="L391" s="14"/>
      <c r="M391" s="14" t="s">
        <v>1218</v>
      </c>
      <c r="N391" s="14" t="s">
        <v>1219</v>
      </c>
      <c r="O391" s="14" t="s">
        <v>1220</v>
      </c>
    </row>
    <row r="392" spans="1:15" x14ac:dyDescent="0.25">
      <c r="A392" s="14">
        <v>88400008</v>
      </c>
      <c r="B392" s="14" t="s">
        <v>1983</v>
      </c>
      <c r="C392" s="14" t="s">
        <v>1983</v>
      </c>
      <c r="D392" s="14" t="s">
        <v>1584</v>
      </c>
      <c r="E392" s="15"/>
      <c r="F392" s="14" t="s">
        <v>1533</v>
      </c>
      <c r="G392" s="15"/>
      <c r="H392" s="14" t="s">
        <v>1534</v>
      </c>
      <c r="I392" s="14" t="s">
        <v>1360</v>
      </c>
      <c r="J392" s="14" t="s">
        <v>1351</v>
      </c>
      <c r="K392" s="14"/>
      <c r="L392" s="14"/>
      <c r="M392" s="14" t="s">
        <v>1218</v>
      </c>
      <c r="N392" s="14" t="s">
        <v>1219</v>
      </c>
      <c r="O392" s="14" t="s">
        <v>1220</v>
      </c>
    </row>
    <row r="393" spans="1:15" x14ac:dyDescent="0.25">
      <c r="A393" s="14" t="s">
        <v>1984</v>
      </c>
      <c r="B393" s="14" t="s">
        <v>1985</v>
      </c>
      <c r="C393" s="14" t="s">
        <v>1985</v>
      </c>
      <c r="D393" s="14" t="s">
        <v>1222</v>
      </c>
      <c r="E393" s="15"/>
      <c r="F393" s="14"/>
      <c r="G393" s="15"/>
      <c r="H393" s="14" t="s">
        <v>1223</v>
      </c>
      <c r="I393" s="14"/>
      <c r="J393" s="14"/>
      <c r="K393" s="14"/>
      <c r="L393" s="14"/>
      <c r="M393" s="14"/>
      <c r="N393" s="14" t="s">
        <v>1219</v>
      </c>
      <c r="O393" s="14" t="s">
        <v>1220</v>
      </c>
    </row>
    <row r="394" spans="1:15" x14ac:dyDescent="0.25">
      <c r="A394" s="14">
        <v>3782</v>
      </c>
      <c r="B394" s="14" t="s">
        <v>1118</v>
      </c>
      <c r="C394" s="14" t="s">
        <v>1118</v>
      </c>
      <c r="D394" s="14" t="s">
        <v>1685</v>
      </c>
      <c r="E394" s="16">
        <v>30</v>
      </c>
      <c r="F394" s="14" t="s">
        <v>1255</v>
      </c>
      <c r="G394" s="16">
        <v>90</v>
      </c>
      <c r="H394" s="14" t="s">
        <v>1255</v>
      </c>
      <c r="I394" s="14" t="s">
        <v>1232</v>
      </c>
      <c r="J394" s="14" t="s">
        <v>1296</v>
      </c>
      <c r="K394" s="14" t="s">
        <v>1986</v>
      </c>
      <c r="L394" s="14" t="s">
        <v>1987</v>
      </c>
      <c r="M394" s="14" t="s">
        <v>1218</v>
      </c>
      <c r="N394" s="14" t="s">
        <v>1237</v>
      </c>
      <c r="O394" s="14" t="s">
        <v>1220</v>
      </c>
    </row>
    <row r="395" spans="1:15" x14ac:dyDescent="0.25">
      <c r="A395" s="14">
        <v>3783</v>
      </c>
      <c r="B395" s="14" t="s">
        <v>1119</v>
      </c>
      <c r="C395" s="14" t="s">
        <v>1119</v>
      </c>
      <c r="D395" s="14" t="s">
        <v>1685</v>
      </c>
      <c r="E395" s="16">
        <v>25</v>
      </c>
      <c r="F395" s="14" t="s">
        <v>1255</v>
      </c>
      <c r="G395" s="16">
        <v>75</v>
      </c>
      <c r="H395" s="14" t="s">
        <v>1255</v>
      </c>
      <c r="I395" s="14" t="s">
        <v>1232</v>
      </c>
      <c r="J395" s="14" t="s">
        <v>1296</v>
      </c>
      <c r="K395" s="14" t="s">
        <v>1986</v>
      </c>
      <c r="L395" s="14" t="s">
        <v>1988</v>
      </c>
      <c r="M395" s="14" t="s">
        <v>1218</v>
      </c>
      <c r="N395" s="14" t="s">
        <v>1237</v>
      </c>
      <c r="O395" s="14" t="s">
        <v>1220</v>
      </c>
    </row>
    <row r="396" spans="1:15" x14ac:dyDescent="0.25">
      <c r="A396" s="14">
        <v>3784</v>
      </c>
      <c r="B396" s="14" t="s">
        <v>1120</v>
      </c>
      <c r="C396" s="14" t="s">
        <v>1120</v>
      </c>
      <c r="D396" s="14" t="s">
        <v>1685</v>
      </c>
      <c r="E396" s="16">
        <v>22</v>
      </c>
      <c r="F396" s="14" t="s">
        <v>1255</v>
      </c>
      <c r="G396" s="16">
        <v>66</v>
      </c>
      <c r="H396" s="14" t="s">
        <v>1255</v>
      </c>
      <c r="I396" s="14" t="s">
        <v>1232</v>
      </c>
      <c r="J396" s="14" t="s">
        <v>1296</v>
      </c>
      <c r="K396" s="14" t="s">
        <v>1986</v>
      </c>
      <c r="L396" s="14" t="s">
        <v>1989</v>
      </c>
      <c r="M396" s="14" t="s">
        <v>1218</v>
      </c>
      <c r="N396" s="14" t="s">
        <v>1237</v>
      </c>
      <c r="O396" s="14" t="s">
        <v>1220</v>
      </c>
    </row>
    <row r="397" spans="1:15" x14ac:dyDescent="0.25">
      <c r="A397" s="14">
        <v>3785</v>
      </c>
      <c r="B397" s="14" t="s">
        <v>1121</v>
      </c>
      <c r="C397" s="14" t="s">
        <v>1121</v>
      </c>
      <c r="D397" s="14" t="s">
        <v>1685</v>
      </c>
      <c r="E397" s="16">
        <v>18</v>
      </c>
      <c r="F397" s="14" t="s">
        <v>1255</v>
      </c>
      <c r="G397" s="16">
        <v>54</v>
      </c>
      <c r="H397" s="14" t="s">
        <v>1255</v>
      </c>
      <c r="I397" s="14" t="s">
        <v>1232</v>
      </c>
      <c r="J397" s="14" t="s">
        <v>1296</v>
      </c>
      <c r="K397" s="14" t="s">
        <v>1986</v>
      </c>
      <c r="L397" s="14" t="s">
        <v>1990</v>
      </c>
      <c r="M397" s="14" t="s">
        <v>1218</v>
      </c>
      <c r="N397" s="14" t="s">
        <v>1237</v>
      </c>
      <c r="O397" s="14" t="s">
        <v>1220</v>
      </c>
    </row>
    <row r="398" spans="1:15" x14ac:dyDescent="0.25">
      <c r="A398" s="14">
        <v>2062</v>
      </c>
      <c r="B398" s="14" t="s">
        <v>1991</v>
      </c>
      <c r="C398" s="14" t="s">
        <v>1992</v>
      </c>
      <c r="D398" s="14" t="s">
        <v>1349</v>
      </c>
      <c r="E398" s="15"/>
      <c r="F398" s="14"/>
      <c r="G398" s="15"/>
      <c r="H398" s="14" t="s">
        <v>1216</v>
      </c>
      <c r="I398" s="14" t="s">
        <v>1360</v>
      </c>
      <c r="J398" s="14" t="s">
        <v>1360</v>
      </c>
      <c r="K398" s="14"/>
      <c r="L398" s="14"/>
      <c r="M398" s="14" t="s">
        <v>1324</v>
      </c>
      <c r="N398" s="14" t="s">
        <v>1219</v>
      </c>
      <c r="O398" s="14" t="s">
        <v>1220</v>
      </c>
    </row>
    <row r="399" spans="1:15" x14ac:dyDescent="0.25">
      <c r="A399" s="14">
        <v>2063</v>
      </c>
      <c r="B399" s="14" t="s">
        <v>1993</v>
      </c>
      <c r="C399" s="14" t="s">
        <v>1994</v>
      </c>
      <c r="D399" s="14" t="s">
        <v>1349</v>
      </c>
      <c r="E399" s="15"/>
      <c r="F399" s="14"/>
      <c r="G399" s="15"/>
      <c r="H399" s="14" t="s">
        <v>1216</v>
      </c>
      <c r="I399" s="14" t="s">
        <v>1360</v>
      </c>
      <c r="J399" s="14" t="s">
        <v>1360</v>
      </c>
      <c r="K399" s="14"/>
      <c r="L399" s="14"/>
      <c r="M399" s="14" t="s">
        <v>1324</v>
      </c>
      <c r="N399" s="14" t="s">
        <v>1219</v>
      </c>
      <c r="O399" s="14" t="s">
        <v>1220</v>
      </c>
    </row>
    <row r="400" spans="1:15" x14ac:dyDescent="0.25">
      <c r="A400" s="14">
        <v>2064</v>
      </c>
      <c r="B400" s="14" t="s">
        <v>1995</v>
      </c>
      <c r="C400" s="14" t="s">
        <v>1996</v>
      </c>
      <c r="D400" s="14" t="s">
        <v>1349</v>
      </c>
      <c r="E400" s="15"/>
      <c r="F400" s="14"/>
      <c r="G400" s="15"/>
      <c r="H400" s="14" t="s">
        <v>1216</v>
      </c>
      <c r="I400" s="14" t="s">
        <v>1360</v>
      </c>
      <c r="J400" s="14" t="s">
        <v>1360</v>
      </c>
      <c r="K400" s="14"/>
      <c r="L400" s="14"/>
      <c r="M400" s="14" t="s">
        <v>1324</v>
      </c>
      <c r="N400" s="14" t="s">
        <v>1219</v>
      </c>
      <c r="O400" s="14" t="s">
        <v>1220</v>
      </c>
    </row>
    <row r="401" spans="1:15" x14ac:dyDescent="0.25">
      <c r="A401" s="14">
        <v>1311</v>
      </c>
      <c r="B401" s="14" t="s">
        <v>1997</v>
      </c>
      <c r="C401" s="14" t="s">
        <v>1997</v>
      </c>
      <c r="D401" s="14" t="s">
        <v>1349</v>
      </c>
      <c r="E401" s="15"/>
      <c r="F401" s="14"/>
      <c r="G401" s="15"/>
      <c r="H401" s="14" t="s">
        <v>1216</v>
      </c>
      <c r="I401" s="14" t="s">
        <v>1360</v>
      </c>
      <c r="J401" s="14" t="s">
        <v>1360</v>
      </c>
      <c r="K401" s="14"/>
      <c r="L401" s="14"/>
      <c r="M401" s="14" t="s">
        <v>1218</v>
      </c>
      <c r="N401" s="14" t="s">
        <v>1219</v>
      </c>
      <c r="O401" s="14" t="s">
        <v>1220</v>
      </c>
    </row>
    <row r="402" spans="1:15" x14ac:dyDescent="0.25">
      <c r="A402" s="14">
        <v>1314</v>
      </c>
      <c r="B402" s="14" t="s">
        <v>1998</v>
      </c>
      <c r="C402" s="14" t="s">
        <v>1998</v>
      </c>
      <c r="D402" s="14" t="s">
        <v>1349</v>
      </c>
      <c r="E402" s="15"/>
      <c r="F402" s="14"/>
      <c r="G402" s="15"/>
      <c r="H402" s="14" t="s">
        <v>1216</v>
      </c>
      <c r="I402" s="14" t="s">
        <v>1360</v>
      </c>
      <c r="J402" s="14" t="s">
        <v>1360</v>
      </c>
      <c r="K402" s="14"/>
      <c r="L402" s="14"/>
      <c r="M402" s="14" t="s">
        <v>1218</v>
      </c>
      <c r="N402" s="14" t="s">
        <v>1219</v>
      </c>
      <c r="O402" s="14" t="s">
        <v>1220</v>
      </c>
    </row>
    <row r="403" spans="1:15" x14ac:dyDescent="0.25">
      <c r="A403" s="14">
        <v>1315</v>
      </c>
      <c r="B403" s="14" t="s">
        <v>1999</v>
      </c>
      <c r="C403" s="14" t="s">
        <v>1999</v>
      </c>
      <c r="D403" s="14" t="s">
        <v>1349</v>
      </c>
      <c r="E403" s="15"/>
      <c r="F403" s="14"/>
      <c r="G403" s="15"/>
      <c r="H403" s="14" t="s">
        <v>1216</v>
      </c>
      <c r="I403" s="14" t="s">
        <v>1360</v>
      </c>
      <c r="J403" s="14" t="s">
        <v>1360</v>
      </c>
      <c r="K403" s="14"/>
      <c r="L403" s="14"/>
      <c r="M403" s="14" t="s">
        <v>1218</v>
      </c>
      <c r="N403" s="14" t="s">
        <v>1219</v>
      </c>
      <c r="O403" s="14" t="s">
        <v>1220</v>
      </c>
    </row>
    <row r="404" spans="1:15" x14ac:dyDescent="0.25">
      <c r="A404" s="14">
        <v>2603</v>
      </c>
      <c r="B404" s="14" t="s">
        <v>2000</v>
      </c>
      <c r="C404" s="14" t="s">
        <v>2001</v>
      </c>
      <c r="D404" s="14" t="s">
        <v>1349</v>
      </c>
      <c r="E404" s="15"/>
      <c r="F404" s="14"/>
      <c r="G404" s="15"/>
      <c r="H404" s="14" t="s">
        <v>1216</v>
      </c>
      <c r="I404" s="14" t="s">
        <v>1360</v>
      </c>
      <c r="J404" s="14" t="s">
        <v>1360</v>
      </c>
      <c r="K404" s="14"/>
      <c r="L404" s="14"/>
      <c r="M404" s="14" t="s">
        <v>1218</v>
      </c>
      <c r="N404" s="14" t="s">
        <v>1219</v>
      </c>
      <c r="O404" s="14" t="s">
        <v>1220</v>
      </c>
    </row>
    <row r="405" spans="1:15" x14ac:dyDescent="0.25">
      <c r="A405" s="14">
        <v>2604</v>
      </c>
      <c r="B405" s="14" t="s">
        <v>2002</v>
      </c>
      <c r="C405" s="14" t="s">
        <v>2003</v>
      </c>
      <c r="D405" s="14" t="s">
        <v>1349</v>
      </c>
      <c r="E405" s="15"/>
      <c r="F405" s="14"/>
      <c r="G405" s="15"/>
      <c r="H405" s="14" t="s">
        <v>1216</v>
      </c>
      <c r="I405" s="14" t="s">
        <v>1360</v>
      </c>
      <c r="J405" s="14" t="s">
        <v>1360</v>
      </c>
      <c r="K405" s="14"/>
      <c r="L405" s="14"/>
      <c r="M405" s="14" t="s">
        <v>1218</v>
      </c>
      <c r="N405" s="14" t="s">
        <v>1219</v>
      </c>
      <c r="O405" s="14" t="s">
        <v>1220</v>
      </c>
    </row>
    <row r="406" spans="1:15" x14ac:dyDescent="0.25">
      <c r="A406" s="14">
        <v>3932</v>
      </c>
      <c r="B406" s="14" t="s">
        <v>2004</v>
      </c>
      <c r="C406" s="14" t="s">
        <v>2005</v>
      </c>
      <c r="D406" s="14" t="s">
        <v>1349</v>
      </c>
      <c r="E406" s="15"/>
      <c r="F406" s="14"/>
      <c r="G406" s="15"/>
      <c r="H406" s="14" t="s">
        <v>1216</v>
      </c>
      <c r="I406" s="14" t="s">
        <v>1360</v>
      </c>
      <c r="J406" s="14" t="s">
        <v>1360</v>
      </c>
      <c r="K406" s="14"/>
      <c r="L406" s="14"/>
      <c r="M406" s="14" t="s">
        <v>1218</v>
      </c>
      <c r="N406" s="14" t="s">
        <v>1219</v>
      </c>
      <c r="O406" s="14" t="s">
        <v>1220</v>
      </c>
    </row>
    <row r="407" spans="1:15" x14ac:dyDescent="0.25">
      <c r="A407" s="14" t="s">
        <v>2006</v>
      </c>
      <c r="B407" s="14" t="s">
        <v>2007</v>
      </c>
      <c r="C407" s="14" t="s">
        <v>2007</v>
      </c>
      <c r="D407" s="14" t="s">
        <v>1685</v>
      </c>
      <c r="E407" s="15"/>
      <c r="F407" s="14" t="s">
        <v>1510</v>
      </c>
      <c r="G407" s="15"/>
      <c r="H407" s="14" t="s">
        <v>1216</v>
      </c>
      <c r="I407" s="14" t="s">
        <v>1262</v>
      </c>
      <c r="J407" s="14" t="s">
        <v>1262</v>
      </c>
      <c r="K407" s="14"/>
      <c r="L407" s="14" t="s">
        <v>2008</v>
      </c>
      <c r="M407" s="14" t="s">
        <v>1324</v>
      </c>
      <c r="N407" s="14" t="s">
        <v>1219</v>
      </c>
      <c r="O407" s="14" t="s">
        <v>1220</v>
      </c>
    </row>
    <row r="408" spans="1:15" x14ac:dyDescent="0.25">
      <c r="A408" s="14">
        <v>2421</v>
      </c>
      <c r="B408" s="14" t="s">
        <v>915</v>
      </c>
      <c r="C408" s="14" t="s">
        <v>2009</v>
      </c>
      <c r="D408" s="14" t="s">
        <v>1681</v>
      </c>
      <c r="E408" s="16">
        <v>60</v>
      </c>
      <c r="F408" s="14" t="s">
        <v>1510</v>
      </c>
      <c r="G408" s="16">
        <v>300</v>
      </c>
      <c r="H408" s="14" t="s">
        <v>1216</v>
      </c>
      <c r="I408" s="14" t="s">
        <v>1256</v>
      </c>
      <c r="J408" s="14" t="s">
        <v>1296</v>
      </c>
      <c r="K408" s="14" t="s">
        <v>1257</v>
      </c>
      <c r="L408" s="14" t="s">
        <v>2010</v>
      </c>
      <c r="M408" s="14" t="s">
        <v>1324</v>
      </c>
      <c r="N408" s="14" t="s">
        <v>1237</v>
      </c>
      <c r="O408" s="14" t="s">
        <v>1220</v>
      </c>
    </row>
    <row r="409" spans="1:15" x14ac:dyDescent="0.25">
      <c r="A409" s="14" t="s">
        <v>2011</v>
      </c>
      <c r="B409" s="14" t="s">
        <v>2012</v>
      </c>
      <c r="C409" s="14" t="s">
        <v>2013</v>
      </c>
      <c r="D409" s="14" t="s">
        <v>1685</v>
      </c>
      <c r="E409" s="15"/>
      <c r="F409" s="14" t="s">
        <v>1510</v>
      </c>
      <c r="G409" s="15"/>
      <c r="H409" s="14" t="s">
        <v>1216</v>
      </c>
      <c r="I409" s="14" t="s">
        <v>1262</v>
      </c>
      <c r="J409" s="14" t="s">
        <v>1262</v>
      </c>
      <c r="K409" s="14"/>
      <c r="L409" s="14" t="s">
        <v>2010</v>
      </c>
      <c r="M409" s="14" t="s">
        <v>1324</v>
      </c>
      <c r="N409" s="14" t="s">
        <v>1219</v>
      </c>
      <c r="O409" s="14" t="s">
        <v>1220</v>
      </c>
    </row>
    <row r="410" spans="1:15" x14ac:dyDescent="0.25">
      <c r="A410" s="14">
        <v>2422</v>
      </c>
      <c r="B410" s="14" t="s">
        <v>916</v>
      </c>
      <c r="C410" s="14" t="s">
        <v>2014</v>
      </c>
      <c r="D410" s="14" t="s">
        <v>1681</v>
      </c>
      <c r="E410" s="16">
        <v>50</v>
      </c>
      <c r="F410" s="14" t="s">
        <v>1510</v>
      </c>
      <c r="G410" s="16">
        <v>250</v>
      </c>
      <c r="H410" s="14" t="s">
        <v>1216</v>
      </c>
      <c r="I410" s="14" t="s">
        <v>1256</v>
      </c>
      <c r="J410" s="14" t="s">
        <v>1296</v>
      </c>
      <c r="K410" s="14" t="s">
        <v>1257</v>
      </c>
      <c r="L410" s="14" t="s">
        <v>2015</v>
      </c>
      <c r="M410" s="14" t="s">
        <v>1324</v>
      </c>
      <c r="N410" s="14" t="s">
        <v>1237</v>
      </c>
      <c r="O410" s="14" t="s">
        <v>1220</v>
      </c>
    </row>
    <row r="411" spans="1:15" x14ac:dyDescent="0.25">
      <c r="A411" s="14" t="s">
        <v>2016</v>
      </c>
      <c r="B411" s="14" t="s">
        <v>2017</v>
      </c>
      <c r="C411" s="14" t="s">
        <v>2018</v>
      </c>
      <c r="D411" s="14" t="s">
        <v>1685</v>
      </c>
      <c r="E411" s="15"/>
      <c r="F411" s="14" t="s">
        <v>1510</v>
      </c>
      <c r="G411" s="15"/>
      <c r="H411" s="14" t="s">
        <v>1216</v>
      </c>
      <c r="I411" s="14" t="s">
        <v>1262</v>
      </c>
      <c r="J411" s="14" t="s">
        <v>1262</v>
      </c>
      <c r="K411" s="14"/>
      <c r="L411" s="14" t="s">
        <v>2015</v>
      </c>
      <c r="M411" s="14" t="s">
        <v>1324</v>
      </c>
      <c r="N411" s="14" t="s">
        <v>1219</v>
      </c>
      <c r="O411" s="14" t="s">
        <v>1220</v>
      </c>
    </row>
    <row r="412" spans="1:15" x14ac:dyDescent="0.25">
      <c r="A412" s="14">
        <v>2423</v>
      </c>
      <c r="B412" s="14" t="s">
        <v>917</v>
      </c>
      <c r="C412" s="14" t="s">
        <v>2019</v>
      </c>
      <c r="D412" s="14" t="s">
        <v>1681</v>
      </c>
      <c r="E412" s="16">
        <v>40</v>
      </c>
      <c r="F412" s="14" t="s">
        <v>1510</v>
      </c>
      <c r="G412" s="16">
        <v>200</v>
      </c>
      <c r="H412" s="14" t="s">
        <v>1216</v>
      </c>
      <c r="I412" s="14" t="s">
        <v>1256</v>
      </c>
      <c r="J412" s="14" t="s">
        <v>1296</v>
      </c>
      <c r="K412" s="14" t="s">
        <v>1257</v>
      </c>
      <c r="L412" s="14" t="s">
        <v>2008</v>
      </c>
      <c r="M412" s="14" t="s">
        <v>1324</v>
      </c>
      <c r="N412" s="14" t="s">
        <v>1237</v>
      </c>
      <c r="O412" s="14" t="s">
        <v>1220</v>
      </c>
    </row>
    <row r="413" spans="1:15" x14ac:dyDescent="0.25">
      <c r="A413" s="14" t="s">
        <v>2020</v>
      </c>
      <c r="B413" s="14" t="s">
        <v>2021</v>
      </c>
      <c r="C413" s="14" t="s">
        <v>2021</v>
      </c>
      <c r="D413" s="14" t="s">
        <v>1685</v>
      </c>
      <c r="E413" s="15"/>
      <c r="F413" s="14" t="s">
        <v>1685</v>
      </c>
      <c r="G413" s="15"/>
      <c r="H413" s="14" t="s">
        <v>1216</v>
      </c>
      <c r="I413" s="14" t="s">
        <v>1262</v>
      </c>
      <c r="J413" s="14" t="s">
        <v>1262</v>
      </c>
      <c r="K413" s="14"/>
      <c r="L413" s="14" t="s">
        <v>2022</v>
      </c>
      <c r="M413" s="14" t="s">
        <v>1484</v>
      </c>
      <c r="N413" s="14" t="s">
        <v>1219</v>
      </c>
      <c r="O413" s="14" t="s">
        <v>1220</v>
      </c>
    </row>
    <row r="414" spans="1:15" x14ac:dyDescent="0.25">
      <c r="A414" s="14" t="s">
        <v>2023</v>
      </c>
      <c r="B414" s="14" t="s">
        <v>2024</v>
      </c>
      <c r="C414" s="14" t="s">
        <v>2024</v>
      </c>
      <c r="D414" s="14" t="s">
        <v>1685</v>
      </c>
      <c r="E414" s="15"/>
      <c r="F414" s="14" t="s">
        <v>1685</v>
      </c>
      <c r="G414" s="15"/>
      <c r="H414" s="14" t="s">
        <v>1216</v>
      </c>
      <c r="I414" s="14" t="s">
        <v>1262</v>
      </c>
      <c r="J414" s="14" t="s">
        <v>1262</v>
      </c>
      <c r="K414" s="14"/>
      <c r="L414" s="14" t="s">
        <v>2025</v>
      </c>
      <c r="M414" s="14" t="s">
        <v>1484</v>
      </c>
      <c r="N414" s="14" t="s">
        <v>1219</v>
      </c>
      <c r="O414" s="14" t="s">
        <v>1220</v>
      </c>
    </row>
    <row r="415" spans="1:15" x14ac:dyDescent="0.25">
      <c r="A415" s="14" t="s">
        <v>2026</v>
      </c>
      <c r="B415" s="14" t="s">
        <v>2027</v>
      </c>
      <c r="C415" s="14" t="s">
        <v>2027</v>
      </c>
      <c r="D415" s="14" t="s">
        <v>1685</v>
      </c>
      <c r="E415" s="15"/>
      <c r="F415" s="14" t="s">
        <v>1685</v>
      </c>
      <c r="G415" s="15"/>
      <c r="H415" s="14" t="s">
        <v>1216</v>
      </c>
      <c r="I415" s="14" t="s">
        <v>1262</v>
      </c>
      <c r="J415" s="14" t="s">
        <v>1262</v>
      </c>
      <c r="K415" s="14"/>
      <c r="L415" s="14" t="s">
        <v>2028</v>
      </c>
      <c r="M415" s="14" t="s">
        <v>1484</v>
      </c>
      <c r="N415" s="14" t="s">
        <v>1219</v>
      </c>
      <c r="O415" s="14" t="s">
        <v>1220</v>
      </c>
    </row>
    <row r="416" spans="1:15" x14ac:dyDescent="0.25">
      <c r="A416" s="14">
        <v>4476</v>
      </c>
      <c r="B416" s="14" t="s">
        <v>918</v>
      </c>
      <c r="C416" s="14" t="s">
        <v>2029</v>
      </c>
      <c r="D416" s="14" t="s">
        <v>1681</v>
      </c>
      <c r="E416" s="16">
        <v>30</v>
      </c>
      <c r="F416" s="14" t="s">
        <v>1216</v>
      </c>
      <c r="G416" s="16">
        <v>150</v>
      </c>
      <c r="H416" s="14" t="s">
        <v>1216</v>
      </c>
      <c r="I416" s="14" t="s">
        <v>1256</v>
      </c>
      <c r="J416" s="14" t="s">
        <v>1242</v>
      </c>
      <c r="K416" s="14" t="s">
        <v>1257</v>
      </c>
      <c r="L416" s="14" t="s">
        <v>2022</v>
      </c>
      <c r="M416" s="14" t="s">
        <v>1484</v>
      </c>
      <c r="N416" s="14" t="s">
        <v>1237</v>
      </c>
      <c r="O416" s="14" t="s">
        <v>1220</v>
      </c>
    </row>
    <row r="417" spans="1:15" x14ac:dyDescent="0.25">
      <c r="A417" s="14">
        <v>4477</v>
      </c>
      <c r="B417" s="14" t="s">
        <v>919</v>
      </c>
      <c r="C417" s="14" t="s">
        <v>2030</v>
      </c>
      <c r="D417" s="14" t="s">
        <v>1681</v>
      </c>
      <c r="E417" s="16">
        <v>20</v>
      </c>
      <c r="F417" s="14" t="s">
        <v>1216</v>
      </c>
      <c r="G417" s="16">
        <v>100</v>
      </c>
      <c r="H417" s="14" t="s">
        <v>1216</v>
      </c>
      <c r="I417" s="14" t="s">
        <v>1256</v>
      </c>
      <c r="J417" s="14" t="s">
        <v>1242</v>
      </c>
      <c r="K417" s="14" t="s">
        <v>1257</v>
      </c>
      <c r="L417" s="14" t="s">
        <v>2025</v>
      </c>
      <c r="M417" s="14" t="s">
        <v>1484</v>
      </c>
      <c r="N417" s="14" t="s">
        <v>1237</v>
      </c>
      <c r="O417" s="14" t="s">
        <v>1220</v>
      </c>
    </row>
    <row r="418" spans="1:15" x14ac:dyDescent="0.25">
      <c r="A418" s="14">
        <v>4478</v>
      </c>
      <c r="B418" s="14" t="s">
        <v>920</v>
      </c>
      <c r="C418" s="14" t="s">
        <v>2031</v>
      </c>
      <c r="D418" s="14" t="s">
        <v>1681</v>
      </c>
      <c r="E418" s="16">
        <v>15</v>
      </c>
      <c r="F418" s="14" t="s">
        <v>1216</v>
      </c>
      <c r="G418" s="16">
        <v>75</v>
      </c>
      <c r="H418" s="14" t="s">
        <v>1216</v>
      </c>
      <c r="I418" s="14" t="s">
        <v>1256</v>
      </c>
      <c r="J418" s="14" t="s">
        <v>1242</v>
      </c>
      <c r="K418" s="14" t="s">
        <v>1257</v>
      </c>
      <c r="L418" s="14" t="s">
        <v>2028</v>
      </c>
      <c r="M418" s="14" t="s">
        <v>1484</v>
      </c>
      <c r="N418" s="14" t="s">
        <v>1237</v>
      </c>
      <c r="O418" s="14" t="s">
        <v>1220</v>
      </c>
    </row>
    <row r="419" spans="1:15" x14ac:dyDescent="0.25">
      <c r="A419" s="14" t="s">
        <v>2032</v>
      </c>
      <c r="B419" s="14" t="s">
        <v>2033</v>
      </c>
      <c r="C419" s="14" t="s">
        <v>2033</v>
      </c>
      <c r="D419" s="14" t="s">
        <v>1685</v>
      </c>
      <c r="E419" s="15"/>
      <c r="F419" s="14" t="s">
        <v>1685</v>
      </c>
      <c r="G419" s="15"/>
      <c r="H419" s="14" t="s">
        <v>1216</v>
      </c>
      <c r="I419" s="14" t="s">
        <v>1262</v>
      </c>
      <c r="J419" s="14" t="s">
        <v>1262</v>
      </c>
      <c r="K419" s="14"/>
      <c r="L419" s="14" t="s">
        <v>2034</v>
      </c>
      <c r="M419" s="14" t="s">
        <v>1218</v>
      </c>
      <c r="N419" s="14" t="s">
        <v>1219</v>
      </c>
      <c r="O419" s="14" t="s">
        <v>1220</v>
      </c>
    </row>
    <row r="420" spans="1:15" x14ac:dyDescent="0.25">
      <c r="A420" s="14">
        <v>2424</v>
      </c>
      <c r="B420" s="14" t="s">
        <v>921</v>
      </c>
      <c r="C420" s="14" t="s">
        <v>2035</v>
      </c>
      <c r="D420" s="14" t="s">
        <v>1681</v>
      </c>
      <c r="E420" s="16">
        <v>30</v>
      </c>
      <c r="F420" s="14" t="s">
        <v>1216</v>
      </c>
      <c r="G420" s="16">
        <v>150</v>
      </c>
      <c r="H420" s="14" t="s">
        <v>1216</v>
      </c>
      <c r="I420" s="14" t="s">
        <v>1256</v>
      </c>
      <c r="J420" s="14" t="s">
        <v>1242</v>
      </c>
      <c r="K420" s="14" t="s">
        <v>1257</v>
      </c>
      <c r="L420" s="14" t="s">
        <v>2036</v>
      </c>
      <c r="M420" s="14" t="s">
        <v>1218</v>
      </c>
      <c r="N420" s="14" t="s">
        <v>1237</v>
      </c>
      <c r="O420" s="14" t="s">
        <v>1220</v>
      </c>
    </row>
    <row r="421" spans="1:15" x14ac:dyDescent="0.25">
      <c r="A421" s="14" t="s">
        <v>2037</v>
      </c>
      <c r="B421" s="14" t="s">
        <v>2038</v>
      </c>
      <c r="C421" s="14" t="s">
        <v>2039</v>
      </c>
      <c r="D421" s="14" t="s">
        <v>1685</v>
      </c>
      <c r="E421" s="15"/>
      <c r="F421" s="14" t="s">
        <v>1685</v>
      </c>
      <c r="G421" s="15"/>
      <c r="H421" s="14" t="s">
        <v>1216</v>
      </c>
      <c r="I421" s="14" t="s">
        <v>1262</v>
      </c>
      <c r="J421" s="14" t="s">
        <v>1262</v>
      </c>
      <c r="K421" s="14"/>
      <c r="L421" s="14" t="s">
        <v>2036</v>
      </c>
      <c r="M421" s="14" t="s">
        <v>1218</v>
      </c>
      <c r="N421" s="14" t="s">
        <v>1219</v>
      </c>
      <c r="O421" s="14" t="s">
        <v>1220</v>
      </c>
    </row>
    <row r="422" spans="1:15" x14ac:dyDescent="0.25">
      <c r="A422" s="14">
        <v>2425</v>
      </c>
      <c r="B422" s="14" t="s">
        <v>922</v>
      </c>
      <c r="C422" s="14" t="s">
        <v>2040</v>
      </c>
      <c r="D422" s="14" t="s">
        <v>1681</v>
      </c>
      <c r="E422" s="16">
        <v>20</v>
      </c>
      <c r="F422" s="14" t="s">
        <v>1216</v>
      </c>
      <c r="G422" s="16">
        <v>200</v>
      </c>
      <c r="H422" s="14" t="s">
        <v>1216</v>
      </c>
      <c r="I422" s="14" t="s">
        <v>1256</v>
      </c>
      <c r="J422" s="14" t="s">
        <v>1242</v>
      </c>
      <c r="K422" s="14" t="s">
        <v>1257</v>
      </c>
      <c r="L422" s="14" t="s">
        <v>2041</v>
      </c>
      <c r="M422" s="14" t="s">
        <v>1218</v>
      </c>
      <c r="N422" s="14" t="s">
        <v>1237</v>
      </c>
      <c r="O422" s="14" t="s">
        <v>1220</v>
      </c>
    </row>
    <row r="423" spans="1:15" x14ac:dyDescent="0.25">
      <c r="A423" s="14" t="s">
        <v>2042</v>
      </c>
      <c r="B423" s="14" t="s">
        <v>2043</v>
      </c>
      <c r="C423" s="14" t="s">
        <v>2044</v>
      </c>
      <c r="D423" s="14" t="s">
        <v>1685</v>
      </c>
      <c r="E423" s="15"/>
      <c r="F423" s="14" t="s">
        <v>1685</v>
      </c>
      <c r="G423" s="15"/>
      <c r="H423" s="14" t="s">
        <v>1216</v>
      </c>
      <c r="I423" s="14" t="s">
        <v>1262</v>
      </c>
      <c r="J423" s="14" t="s">
        <v>1262</v>
      </c>
      <c r="K423" s="14"/>
      <c r="L423" s="14" t="s">
        <v>2041</v>
      </c>
      <c r="M423" s="14" t="s">
        <v>1218</v>
      </c>
      <c r="N423" s="14" t="s">
        <v>1219</v>
      </c>
      <c r="O423" s="14" t="s">
        <v>1220</v>
      </c>
    </row>
    <row r="424" spans="1:15" x14ac:dyDescent="0.25">
      <c r="A424" s="14">
        <v>2426</v>
      </c>
      <c r="B424" s="14" t="s">
        <v>923</v>
      </c>
      <c r="C424" s="14" t="s">
        <v>2045</v>
      </c>
      <c r="D424" s="14" t="s">
        <v>1681</v>
      </c>
      <c r="E424" s="16">
        <v>15</v>
      </c>
      <c r="F424" s="14" t="s">
        <v>1216</v>
      </c>
      <c r="G424" s="16">
        <v>150</v>
      </c>
      <c r="H424" s="14" t="s">
        <v>1216</v>
      </c>
      <c r="I424" s="14" t="s">
        <v>1256</v>
      </c>
      <c r="J424" s="14" t="s">
        <v>1233</v>
      </c>
      <c r="K424" s="14" t="s">
        <v>1257</v>
      </c>
      <c r="L424" s="14" t="s">
        <v>2034</v>
      </c>
      <c r="M424" s="14" t="s">
        <v>1218</v>
      </c>
      <c r="N424" s="14" t="s">
        <v>1237</v>
      </c>
      <c r="O424" s="14" t="s">
        <v>1220</v>
      </c>
    </row>
    <row r="425" spans="1:15" x14ac:dyDescent="0.25">
      <c r="A425" s="14">
        <v>42100002</v>
      </c>
      <c r="B425" s="14" t="s">
        <v>2046</v>
      </c>
      <c r="C425" s="14" t="s">
        <v>2046</v>
      </c>
      <c r="D425" s="14" t="s">
        <v>1921</v>
      </c>
      <c r="E425" s="15"/>
      <c r="F425" s="14" t="s">
        <v>1533</v>
      </c>
      <c r="G425" s="15"/>
      <c r="H425" s="14" t="s">
        <v>1534</v>
      </c>
      <c r="I425" s="14" t="s">
        <v>1360</v>
      </c>
      <c r="J425" s="14" t="s">
        <v>1351</v>
      </c>
      <c r="K425" s="14"/>
      <c r="L425" s="14"/>
      <c r="M425" s="14" t="s">
        <v>1218</v>
      </c>
      <c r="N425" s="14" t="s">
        <v>1219</v>
      </c>
      <c r="O425" s="14" t="s">
        <v>1220</v>
      </c>
    </row>
    <row r="426" spans="1:15" x14ac:dyDescent="0.25">
      <c r="A426" s="14">
        <v>42110002</v>
      </c>
      <c r="B426" s="14" t="s">
        <v>2047</v>
      </c>
      <c r="C426" s="14" t="s">
        <v>2047</v>
      </c>
      <c r="D426" s="14" t="s">
        <v>1921</v>
      </c>
      <c r="E426" s="15"/>
      <c r="F426" s="14" t="s">
        <v>1533</v>
      </c>
      <c r="G426" s="15"/>
      <c r="H426" s="14" t="s">
        <v>1534</v>
      </c>
      <c r="I426" s="14" t="s">
        <v>1360</v>
      </c>
      <c r="J426" s="14" t="s">
        <v>1351</v>
      </c>
      <c r="K426" s="14"/>
      <c r="L426" s="14"/>
      <c r="M426" s="14" t="s">
        <v>1218</v>
      </c>
      <c r="N426" s="14" t="s">
        <v>1219</v>
      </c>
      <c r="O426" s="14" t="s">
        <v>1220</v>
      </c>
    </row>
    <row r="427" spans="1:15" x14ac:dyDescent="0.25">
      <c r="A427" s="14">
        <v>42100001</v>
      </c>
      <c r="B427" s="14" t="s">
        <v>2048</v>
      </c>
      <c r="C427" s="14" t="s">
        <v>2048</v>
      </c>
      <c r="D427" s="14" t="s">
        <v>1921</v>
      </c>
      <c r="E427" s="15"/>
      <c r="F427" s="14" t="s">
        <v>1533</v>
      </c>
      <c r="G427" s="15"/>
      <c r="H427" s="14" t="s">
        <v>1534</v>
      </c>
      <c r="I427" s="14" t="s">
        <v>1360</v>
      </c>
      <c r="J427" s="14" t="s">
        <v>1351</v>
      </c>
      <c r="K427" s="14"/>
      <c r="L427" s="14"/>
      <c r="M427" s="14" t="s">
        <v>1218</v>
      </c>
      <c r="N427" s="14" t="s">
        <v>1219</v>
      </c>
      <c r="O427" s="14" t="s">
        <v>1220</v>
      </c>
    </row>
    <row r="428" spans="1:15" x14ac:dyDescent="0.25">
      <c r="A428" s="14">
        <v>42110001</v>
      </c>
      <c r="B428" s="14" t="s">
        <v>2049</v>
      </c>
      <c r="C428" s="14" t="s">
        <v>2049</v>
      </c>
      <c r="D428" s="14" t="s">
        <v>1921</v>
      </c>
      <c r="E428" s="15"/>
      <c r="F428" s="14" t="s">
        <v>1533</v>
      </c>
      <c r="G428" s="15"/>
      <c r="H428" s="14" t="s">
        <v>1534</v>
      </c>
      <c r="I428" s="14" t="s">
        <v>1360</v>
      </c>
      <c r="J428" s="14" t="s">
        <v>1351</v>
      </c>
      <c r="K428" s="14"/>
      <c r="L428" s="14"/>
      <c r="M428" s="14" t="s">
        <v>1218</v>
      </c>
      <c r="N428" s="14" t="s">
        <v>1219</v>
      </c>
      <c r="O428" s="14" t="s">
        <v>1220</v>
      </c>
    </row>
    <row r="429" spans="1:15" x14ac:dyDescent="0.25">
      <c r="A429" s="14">
        <v>42200002</v>
      </c>
      <c r="B429" s="14" t="s">
        <v>2050</v>
      </c>
      <c r="C429" s="14" t="s">
        <v>2050</v>
      </c>
      <c r="D429" s="14" t="s">
        <v>1921</v>
      </c>
      <c r="E429" s="15"/>
      <c r="F429" s="14" t="s">
        <v>1533</v>
      </c>
      <c r="G429" s="15"/>
      <c r="H429" s="14" t="s">
        <v>1534</v>
      </c>
      <c r="I429" s="14" t="s">
        <v>1360</v>
      </c>
      <c r="J429" s="14" t="s">
        <v>1351</v>
      </c>
      <c r="K429" s="14"/>
      <c r="L429" s="14"/>
      <c r="M429" s="14" t="s">
        <v>1218</v>
      </c>
      <c r="N429" s="14" t="s">
        <v>1219</v>
      </c>
      <c r="O429" s="14" t="s">
        <v>1220</v>
      </c>
    </row>
    <row r="430" spans="1:15" x14ac:dyDescent="0.25">
      <c r="A430" s="14">
        <v>42210002</v>
      </c>
      <c r="B430" s="14" t="s">
        <v>2051</v>
      </c>
      <c r="C430" s="14" t="s">
        <v>2051</v>
      </c>
      <c r="D430" s="14" t="s">
        <v>1921</v>
      </c>
      <c r="E430" s="15"/>
      <c r="F430" s="14" t="s">
        <v>1533</v>
      </c>
      <c r="G430" s="15"/>
      <c r="H430" s="14" t="s">
        <v>1534</v>
      </c>
      <c r="I430" s="14" t="s">
        <v>1360</v>
      </c>
      <c r="J430" s="14" t="s">
        <v>1351</v>
      </c>
      <c r="K430" s="14"/>
      <c r="L430" s="14"/>
      <c r="M430" s="14" t="s">
        <v>1218</v>
      </c>
      <c r="N430" s="14" t="s">
        <v>1219</v>
      </c>
      <c r="O430" s="14" t="s">
        <v>1220</v>
      </c>
    </row>
    <row r="431" spans="1:15" x14ac:dyDescent="0.25">
      <c r="A431" s="14">
        <v>42220002</v>
      </c>
      <c r="B431" s="14" t="s">
        <v>2052</v>
      </c>
      <c r="C431" s="14" t="s">
        <v>2052</v>
      </c>
      <c r="D431" s="14" t="s">
        <v>1921</v>
      </c>
      <c r="E431" s="15"/>
      <c r="F431" s="14" t="s">
        <v>1533</v>
      </c>
      <c r="G431" s="15"/>
      <c r="H431" s="14" t="s">
        <v>1534</v>
      </c>
      <c r="I431" s="14" t="s">
        <v>1360</v>
      </c>
      <c r="J431" s="14" t="s">
        <v>1351</v>
      </c>
      <c r="K431" s="14"/>
      <c r="L431" s="14"/>
      <c r="M431" s="14" t="s">
        <v>1218</v>
      </c>
      <c r="N431" s="14" t="s">
        <v>1219</v>
      </c>
      <c r="O431" s="14" t="s">
        <v>1220</v>
      </c>
    </row>
    <row r="432" spans="1:15" x14ac:dyDescent="0.25">
      <c r="A432" s="14">
        <v>42230002</v>
      </c>
      <c r="B432" s="14" t="s">
        <v>2053</v>
      </c>
      <c r="C432" s="14" t="s">
        <v>2053</v>
      </c>
      <c r="D432" s="14" t="s">
        <v>1921</v>
      </c>
      <c r="E432" s="15"/>
      <c r="F432" s="14" t="s">
        <v>1533</v>
      </c>
      <c r="G432" s="15"/>
      <c r="H432" s="14" t="s">
        <v>1534</v>
      </c>
      <c r="I432" s="14" t="s">
        <v>1360</v>
      </c>
      <c r="J432" s="14" t="s">
        <v>1351</v>
      </c>
      <c r="K432" s="14"/>
      <c r="L432" s="14"/>
      <c r="M432" s="14" t="s">
        <v>1218</v>
      </c>
      <c r="N432" s="14" t="s">
        <v>1219</v>
      </c>
      <c r="O432" s="14" t="s">
        <v>1220</v>
      </c>
    </row>
    <row r="433" spans="1:15" x14ac:dyDescent="0.25">
      <c r="A433" s="14">
        <v>42200001</v>
      </c>
      <c r="B433" s="14" t="s">
        <v>2054</v>
      </c>
      <c r="C433" s="14" t="s">
        <v>2054</v>
      </c>
      <c r="D433" s="14" t="s">
        <v>1921</v>
      </c>
      <c r="E433" s="15"/>
      <c r="F433" s="14" t="s">
        <v>1533</v>
      </c>
      <c r="G433" s="15"/>
      <c r="H433" s="14" t="s">
        <v>1534</v>
      </c>
      <c r="I433" s="14" t="s">
        <v>1360</v>
      </c>
      <c r="J433" s="14" t="s">
        <v>1351</v>
      </c>
      <c r="K433" s="14"/>
      <c r="L433" s="14"/>
      <c r="M433" s="14" t="s">
        <v>1218</v>
      </c>
      <c r="N433" s="14" t="s">
        <v>1219</v>
      </c>
      <c r="O433" s="14" t="s">
        <v>1220</v>
      </c>
    </row>
    <row r="434" spans="1:15" x14ac:dyDescent="0.25">
      <c r="A434" s="14">
        <v>42210001</v>
      </c>
      <c r="B434" s="14" t="s">
        <v>2055</v>
      </c>
      <c r="C434" s="14" t="s">
        <v>2055</v>
      </c>
      <c r="D434" s="14" t="s">
        <v>1921</v>
      </c>
      <c r="E434" s="15"/>
      <c r="F434" s="14" t="s">
        <v>1533</v>
      </c>
      <c r="G434" s="15"/>
      <c r="H434" s="14" t="s">
        <v>1534</v>
      </c>
      <c r="I434" s="14" t="s">
        <v>1360</v>
      </c>
      <c r="J434" s="14" t="s">
        <v>1351</v>
      </c>
      <c r="K434" s="14"/>
      <c r="L434" s="14"/>
      <c r="M434" s="14" t="s">
        <v>1218</v>
      </c>
      <c r="N434" s="14" t="s">
        <v>1219</v>
      </c>
      <c r="O434" s="14" t="s">
        <v>1220</v>
      </c>
    </row>
    <row r="435" spans="1:15" x14ac:dyDescent="0.25">
      <c r="A435" s="14">
        <v>42220001</v>
      </c>
      <c r="B435" s="14" t="s">
        <v>2056</v>
      </c>
      <c r="C435" s="14" t="s">
        <v>2056</v>
      </c>
      <c r="D435" s="14" t="s">
        <v>1921</v>
      </c>
      <c r="E435" s="15"/>
      <c r="F435" s="14" t="s">
        <v>1533</v>
      </c>
      <c r="G435" s="15"/>
      <c r="H435" s="14" t="s">
        <v>1534</v>
      </c>
      <c r="I435" s="14" t="s">
        <v>1360</v>
      </c>
      <c r="J435" s="14" t="s">
        <v>1351</v>
      </c>
      <c r="K435" s="14"/>
      <c r="L435" s="14"/>
      <c r="M435" s="14" t="s">
        <v>1218</v>
      </c>
      <c r="N435" s="14" t="s">
        <v>1219</v>
      </c>
      <c r="O435" s="14" t="s">
        <v>1220</v>
      </c>
    </row>
    <row r="436" spans="1:15" x14ac:dyDescent="0.25">
      <c r="A436" s="14">
        <v>42230001</v>
      </c>
      <c r="B436" s="14" t="s">
        <v>2057</v>
      </c>
      <c r="C436" s="14" t="s">
        <v>2057</v>
      </c>
      <c r="D436" s="14" t="s">
        <v>1921</v>
      </c>
      <c r="E436" s="15"/>
      <c r="F436" s="14" t="s">
        <v>1533</v>
      </c>
      <c r="G436" s="15"/>
      <c r="H436" s="14" t="s">
        <v>1534</v>
      </c>
      <c r="I436" s="14" t="s">
        <v>1360</v>
      </c>
      <c r="J436" s="14" t="s">
        <v>1351</v>
      </c>
      <c r="K436" s="14"/>
      <c r="L436" s="14"/>
      <c r="M436" s="14" t="s">
        <v>1218</v>
      </c>
      <c r="N436" s="14" t="s">
        <v>1219</v>
      </c>
      <c r="O436" s="14" t="s">
        <v>1220</v>
      </c>
    </row>
    <row r="437" spans="1:15" x14ac:dyDescent="0.25">
      <c r="A437" s="14">
        <v>42000002</v>
      </c>
      <c r="B437" s="14" t="s">
        <v>2058</v>
      </c>
      <c r="C437" s="14" t="s">
        <v>2058</v>
      </c>
      <c r="D437" s="14" t="s">
        <v>1921</v>
      </c>
      <c r="E437" s="15"/>
      <c r="F437" s="14" t="s">
        <v>1533</v>
      </c>
      <c r="G437" s="15"/>
      <c r="H437" s="14" t="s">
        <v>1534</v>
      </c>
      <c r="I437" s="14" t="s">
        <v>1360</v>
      </c>
      <c r="J437" s="14" t="s">
        <v>1351</v>
      </c>
      <c r="K437" s="14"/>
      <c r="L437" s="14"/>
      <c r="M437" s="14" t="s">
        <v>1218</v>
      </c>
      <c r="N437" s="14" t="s">
        <v>1219</v>
      </c>
      <c r="O437" s="14" t="s">
        <v>1220</v>
      </c>
    </row>
    <row r="438" spans="1:15" x14ac:dyDescent="0.25">
      <c r="A438" s="14">
        <v>42010002</v>
      </c>
      <c r="B438" s="14" t="s">
        <v>2059</v>
      </c>
      <c r="C438" s="14" t="s">
        <v>2059</v>
      </c>
      <c r="D438" s="14" t="s">
        <v>1921</v>
      </c>
      <c r="E438" s="15"/>
      <c r="F438" s="14" t="s">
        <v>1533</v>
      </c>
      <c r="G438" s="15"/>
      <c r="H438" s="14" t="s">
        <v>1534</v>
      </c>
      <c r="I438" s="14" t="s">
        <v>1360</v>
      </c>
      <c r="J438" s="14" t="s">
        <v>1351</v>
      </c>
      <c r="K438" s="14"/>
      <c r="L438" s="14"/>
      <c r="M438" s="14" t="s">
        <v>1218</v>
      </c>
      <c r="N438" s="14" t="s">
        <v>1219</v>
      </c>
      <c r="O438" s="14" t="s">
        <v>1220</v>
      </c>
    </row>
    <row r="439" spans="1:15" x14ac:dyDescent="0.25">
      <c r="A439" s="14">
        <v>42020002</v>
      </c>
      <c r="B439" s="14" t="s">
        <v>2060</v>
      </c>
      <c r="C439" s="14" t="s">
        <v>2060</v>
      </c>
      <c r="D439" s="14" t="s">
        <v>1921</v>
      </c>
      <c r="E439" s="15"/>
      <c r="F439" s="14" t="s">
        <v>1533</v>
      </c>
      <c r="G439" s="15"/>
      <c r="H439" s="14" t="s">
        <v>1534</v>
      </c>
      <c r="I439" s="14" t="s">
        <v>1360</v>
      </c>
      <c r="J439" s="14" t="s">
        <v>1351</v>
      </c>
      <c r="K439" s="14"/>
      <c r="L439" s="14"/>
      <c r="M439" s="14" t="s">
        <v>1218</v>
      </c>
      <c r="N439" s="14" t="s">
        <v>1219</v>
      </c>
      <c r="O439" s="14" t="s">
        <v>1220</v>
      </c>
    </row>
    <row r="440" spans="1:15" x14ac:dyDescent="0.25">
      <c r="A440" s="14">
        <v>42000001</v>
      </c>
      <c r="B440" s="14" t="s">
        <v>2061</v>
      </c>
      <c r="C440" s="14" t="s">
        <v>2061</v>
      </c>
      <c r="D440" s="14" t="s">
        <v>1921</v>
      </c>
      <c r="E440" s="15"/>
      <c r="F440" s="14" t="s">
        <v>1533</v>
      </c>
      <c r="G440" s="15"/>
      <c r="H440" s="14" t="s">
        <v>1534</v>
      </c>
      <c r="I440" s="14" t="s">
        <v>1360</v>
      </c>
      <c r="J440" s="14" t="s">
        <v>1351</v>
      </c>
      <c r="K440" s="14"/>
      <c r="L440" s="14"/>
      <c r="M440" s="14" t="s">
        <v>1218</v>
      </c>
      <c r="N440" s="14" t="s">
        <v>1219</v>
      </c>
      <c r="O440" s="14" t="s">
        <v>1220</v>
      </c>
    </row>
    <row r="441" spans="1:15" x14ac:dyDescent="0.25">
      <c r="A441" s="14">
        <v>42010001</v>
      </c>
      <c r="B441" s="14" t="s">
        <v>2062</v>
      </c>
      <c r="C441" s="14" t="s">
        <v>2062</v>
      </c>
      <c r="D441" s="14" t="s">
        <v>1921</v>
      </c>
      <c r="E441" s="15"/>
      <c r="F441" s="14" t="s">
        <v>1533</v>
      </c>
      <c r="G441" s="15"/>
      <c r="H441" s="14" t="s">
        <v>1534</v>
      </c>
      <c r="I441" s="14" t="s">
        <v>1360</v>
      </c>
      <c r="J441" s="14" t="s">
        <v>1351</v>
      </c>
      <c r="K441" s="14"/>
      <c r="L441" s="14"/>
      <c r="M441" s="14" t="s">
        <v>1218</v>
      </c>
      <c r="N441" s="14" t="s">
        <v>1219</v>
      </c>
      <c r="O441" s="14" t="s">
        <v>1220</v>
      </c>
    </row>
    <row r="442" spans="1:15" x14ac:dyDescent="0.25">
      <c r="A442" s="14">
        <v>42020001</v>
      </c>
      <c r="B442" s="14" t="s">
        <v>2063</v>
      </c>
      <c r="C442" s="14" t="s">
        <v>2063</v>
      </c>
      <c r="D442" s="14" t="s">
        <v>1921</v>
      </c>
      <c r="E442" s="15"/>
      <c r="F442" s="14" t="s">
        <v>1533</v>
      </c>
      <c r="G442" s="15"/>
      <c r="H442" s="14" t="s">
        <v>1534</v>
      </c>
      <c r="I442" s="14" t="s">
        <v>1360</v>
      </c>
      <c r="J442" s="14" t="s">
        <v>1351</v>
      </c>
      <c r="K442" s="14"/>
      <c r="L442" s="14"/>
      <c r="M442" s="14" t="s">
        <v>1218</v>
      </c>
      <c r="N442" s="14" t="s">
        <v>1219</v>
      </c>
      <c r="O442" s="14" t="s">
        <v>1220</v>
      </c>
    </row>
    <row r="443" spans="1:15" x14ac:dyDescent="0.25">
      <c r="A443" s="14" t="s">
        <v>2064</v>
      </c>
      <c r="B443" s="14" t="s">
        <v>2065</v>
      </c>
      <c r="C443" s="14" t="s">
        <v>2065</v>
      </c>
      <c r="D443" s="14" t="s">
        <v>1685</v>
      </c>
      <c r="E443" s="15"/>
      <c r="F443" s="14" t="s">
        <v>1685</v>
      </c>
      <c r="G443" s="15"/>
      <c r="H443" s="14" t="s">
        <v>1216</v>
      </c>
      <c r="I443" s="14" t="s">
        <v>1262</v>
      </c>
      <c r="J443" s="14" t="s">
        <v>1262</v>
      </c>
      <c r="K443" s="14"/>
      <c r="L443" s="14" t="s">
        <v>2066</v>
      </c>
      <c r="M443" s="14" t="s">
        <v>1218</v>
      </c>
      <c r="N443" s="14" t="s">
        <v>1219</v>
      </c>
      <c r="O443" s="14" t="s">
        <v>1220</v>
      </c>
    </row>
    <row r="444" spans="1:15" x14ac:dyDescent="0.25">
      <c r="A444" s="14" t="s">
        <v>2067</v>
      </c>
      <c r="B444" s="14" t="s">
        <v>2068</v>
      </c>
      <c r="C444" s="14" t="s">
        <v>2068</v>
      </c>
      <c r="D444" s="14" t="s">
        <v>1685</v>
      </c>
      <c r="E444" s="15"/>
      <c r="F444" s="14" t="s">
        <v>1685</v>
      </c>
      <c r="G444" s="15"/>
      <c r="H444" s="14" t="s">
        <v>1216</v>
      </c>
      <c r="I444" s="14" t="s">
        <v>1262</v>
      </c>
      <c r="J444" s="14" t="s">
        <v>1262</v>
      </c>
      <c r="K444" s="14"/>
      <c r="L444" s="14" t="s">
        <v>2069</v>
      </c>
      <c r="M444" s="14" t="s">
        <v>1218</v>
      </c>
      <c r="N444" s="14" t="s">
        <v>1219</v>
      </c>
      <c r="O444" s="14" t="s">
        <v>1220</v>
      </c>
    </row>
    <row r="445" spans="1:15" x14ac:dyDescent="0.25">
      <c r="A445" s="14" t="s">
        <v>2070</v>
      </c>
      <c r="B445" s="14" t="s">
        <v>2071</v>
      </c>
      <c r="C445" s="14" t="s">
        <v>2071</v>
      </c>
      <c r="D445" s="14" t="s">
        <v>1685</v>
      </c>
      <c r="E445" s="15"/>
      <c r="F445" s="14" t="s">
        <v>1685</v>
      </c>
      <c r="G445" s="15"/>
      <c r="H445" s="14" t="s">
        <v>1216</v>
      </c>
      <c r="I445" s="14" t="s">
        <v>1262</v>
      </c>
      <c r="J445" s="14" t="s">
        <v>1262</v>
      </c>
      <c r="K445" s="14"/>
      <c r="L445" s="14" t="s">
        <v>2072</v>
      </c>
      <c r="M445" s="14" t="s">
        <v>1218</v>
      </c>
      <c r="N445" s="14" t="s">
        <v>1219</v>
      </c>
      <c r="O445" s="14" t="s">
        <v>1220</v>
      </c>
    </row>
    <row r="446" spans="1:15" x14ac:dyDescent="0.25">
      <c r="A446" s="14">
        <v>3933</v>
      </c>
      <c r="B446" s="14" t="s">
        <v>924</v>
      </c>
      <c r="C446" s="14" t="s">
        <v>2073</v>
      </c>
      <c r="D446" s="14" t="s">
        <v>1681</v>
      </c>
      <c r="E446" s="16">
        <v>30</v>
      </c>
      <c r="F446" s="14" t="s">
        <v>1216</v>
      </c>
      <c r="G446" s="16">
        <v>300</v>
      </c>
      <c r="H446" s="14" t="s">
        <v>1216</v>
      </c>
      <c r="I446" s="14" t="s">
        <v>1256</v>
      </c>
      <c r="J446" s="14" t="s">
        <v>1242</v>
      </c>
      <c r="K446" s="14" t="s">
        <v>1257</v>
      </c>
      <c r="L446" s="14" t="s">
        <v>2066</v>
      </c>
      <c r="M446" s="14" t="s">
        <v>1218</v>
      </c>
      <c r="N446" s="14" t="s">
        <v>1237</v>
      </c>
      <c r="O446" s="14" t="s">
        <v>1220</v>
      </c>
    </row>
    <row r="447" spans="1:15" x14ac:dyDescent="0.25">
      <c r="A447" s="14">
        <v>3934</v>
      </c>
      <c r="B447" s="14" t="s">
        <v>925</v>
      </c>
      <c r="C447" s="14" t="s">
        <v>2074</v>
      </c>
      <c r="D447" s="14" t="s">
        <v>1681</v>
      </c>
      <c r="E447" s="16">
        <v>20</v>
      </c>
      <c r="F447" s="14" t="s">
        <v>1216</v>
      </c>
      <c r="G447" s="16">
        <v>200</v>
      </c>
      <c r="H447" s="14" t="s">
        <v>1216</v>
      </c>
      <c r="I447" s="14" t="s">
        <v>1256</v>
      </c>
      <c r="J447" s="14" t="s">
        <v>1242</v>
      </c>
      <c r="K447" s="14" t="s">
        <v>1257</v>
      </c>
      <c r="L447" s="14" t="s">
        <v>2069</v>
      </c>
      <c r="M447" s="14" t="s">
        <v>1218</v>
      </c>
      <c r="N447" s="14" t="s">
        <v>1237</v>
      </c>
      <c r="O447" s="14" t="s">
        <v>1220</v>
      </c>
    </row>
    <row r="448" spans="1:15" x14ac:dyDescent="0.25">
      <c r="A448" s="14">
        <v>3935</v>
      </c>
      <c r="B448" s="14" t="s">
        <v>926</v>
      </c>
      <c r="C448" s="14" t="s">
        <v>2075</v>
      </c>
      <c r="D448" s="14" t="s">
        <v>1681</v>
      </c>
      <c r="E448" s="16">
        <v>15</v>
      </c>
      <c r="F448" s="14" t="s">
        <v>1216</v>
      </c>
      <c r="G448" s="16">
        <v>150</v>
      </c>
      <c r="H448" s="14" t="s">
        <v>1216</v>
      </c>
      <c r="I448" s="14" t="s">
        <v>1256</v>
      </c>
      <c r="J448" s="14" t="s">
        <v>1242</v>
      </c>
      <c r="K448" s="14" t="s">
        <v>1257</v>
      </c>
      <c r="L448" s="14" t="s">
        <v>2072</v>
      </c>
      <c r="M448" s="14" t="s">
        <v>1218</v>
      </c>
      <c r="N448" s="14" t="s">
        <v>1237</v>
      </c>
      <c r="O448" s="14" t="s">
        <v>1220</v>
      </c>
    </row>
    <row r="449" spans="1:15" x14ac:dyDescent="0.25">
      <c r="A449" s="14">
        <v>2808</v>
      </c>
      <c r="B449" s="14" t="s">
        <v>1152</v>
      </c>
      <c r="C449" s="14" t="s">
        <v>2076</v>
      </c>
      <c r="D449" s="14" t="s">
        <v>2077</v>
      </c>
      <c r="E449" s="16">
        <v>1</v>
      </c>
      <c r="F449" s="14" t="s">
        <v>1536</v>
      </c>
      <c r="G449" s="16">
        <v>10</v>
      </c>
      <c r="H449" s="14" t="s">
        <v>2078</v>
      </c>
      <c r="I449" s="14" t="s">
        <v>1232</v>
      </c>
      <c r="J449" s="14" t="s">
        <v>1296</v>
      </c>
      <c r="K449" s="14" t="s">
        <v>2079</v>
      </c>
      <c r="L449" s="14" t="s">
        <v>2080</v>
      </c>
      <c r="M449" s="14" t="s">
        <v>2081</v>
      </c>
      <c r="N449" s="14" t="s">
        <v>1237</v>
      </c>
      <c r="O449" s="14" t="s">
        <v>1220</v>
      </c>
    </row>
    <row r="450" spans="1:15" x14ac:dyDescent="0.25">
      <c r="A450" s="14">
        <v>2809</v>
      </c>
      <c r="B450" s="14" t="s">
        <v>1153</v>
      </c>
      <c r="C450" s="14" t="s">
        <v>2082</v>
      </c>
      <c r="D450" s="14" t="s">
        <v>2077</v>
      </c>
      <c r="E450" s="16">
        <v>1</v>
      </c>
      <c r="F450" s="14" t="s">
        <v>1536</v>
      </c>
      <c r="G450" s="16">
        <v>10</v>
      </c>
      <c r="H450" s="14" t="s">
        <v>2078</v>
      </c>
      <c r="I450" s="14" t="s">
        <v>1232</v>
      </c>
      <c r="J450" s="14" t="s">
        <v>1296</v>
      </c>
      <c r="K450" s="14" t="s">
        <v>2079</v>
      </c>
      <c r="L450" s="14" t="s">
        <v>2083</v>
      </c>
      <c r="M450" s="14" t="s">
        <v>2081</v>
      </c>
      <c r="N450" s="14" t="s">
        <v>1237</v>
      </c>
      <c r="O450" s="14" t="s">
        <v>1220</v>
      </c>
    </row>
    <row r="451" spans="1:15" x14ac:dyDescent="0.25">
      <c r="A451" s="14">
        <v>2810</v>
      </c>
      <c r="B451" s="14" t="s">
        <v>1154</v>
      </c>
      <c r="C451" s="14" t="s">
        <v>2084</v>
      </c>
      <c r="D451" s="14" t="s">
        <v>2077</v>
      </c>
      <c r="E451" s="16">
        <v>1</v>
      </c>
      <c r="F451" s="14" t="s">
        <v>1536</v>
      </c>
      <c r="G451" s="16">
        <v>10</v>
      </c>
      <c r="H451" s="14" t="s">
        <v>2078</v>
      </c>
      <c r="I451" s="14" t="s">
        <v>1232</v>
      </c>
      <c r="J451" s="14" t="s">
        <v>1296</v>
      </c>
      <c r="K451" s="14" t="s">
        <v>2079</v>
      </c>
      <c r="L451" s="14" t="s">
        <v>2085</v>
      </c>
      <c r="M451" s="14" t="s">
        <v>2081</v>
      </c>
      <c r="N451" s="14" t="s">
        <v>1237</v>
      </c>
      <c r="O451" s="14" t="s">
        <v>1220</v>
      </c>
    </row>
    <row r="452" spans="1:15" x14ac:dyDescent="0.25">
      <c r="A452" s="14">
        <v>2800</v>
      </c>
      <c r="B452" s="14" t="s">
        <v>1144</v>
      </c>
      <c r="C452" s="14" t="s">
        <v>2086</v>
      </c>
      <c r="D452" s="14" t="s">
        <v>2077</v>
      </c>
      <c r="E452" s="16">
        <v>1</v>
      </c>
      <c r="F452" s="14" t="s">
        <v>1536</v>
      </c>
      <c r="G452" s="16">
        <v>10</v>
      </c>
      <c r="H452" s="14" t="s">
        <v>2078</v>
      </c>
      <c r="I452" s="14" t="s">
        <v>1232</v>
      </c>
      <c r="J452" s="14" t="s">
        <v>1296</v>
      </c>
      <c r="K452" s="14" t="s">
        <v>2079</v>
      </c>
      <c r="L452" s="14" t="s">
        <v>2087</v>
      </c>
      <c r="M452" s="14" t="s">
        <v>2081</v>
      </c>
      <c r="N452" s="14" t="s">
        <v>1237</v>
      </c>
      <c r="O452" s="14" t="s">
        <v>1220</v>
      </c>
    </row>
    <row r="453" spans="1:15" x14ac:dyDescent="0.25">
      <c r="A453" s="14">
        <v>2801</v>
      </c>
      <c r="B453" s="14" t="s">
        <v>1145</v>
      </c>
      <c r="C453" s="14" t="s">
        <v>2088</v>
      </c>
      <c r="D453" s="14" t="s">
        <v>2077</v>
      </c>
      <c r="E453" s="16">
        <v>1</v>
      </c>
      <c r="F453" s="14" t="s">
        <v>1536</v>
      </c>
      <c r="G453" s="16">
        <v>10</v>
      </c>
      <c r="H453" s="14" t="s">
        <v>2078</v>
      </c>
      <c r="I453" s="14" t="s">
        <v>1232</v>
      </c>
      <c r="J453" s="14" t="s">
        <v>1296</v>
      </c>
      <c r="K453" s="14" t="s">
        <v>2079</v>
      </c>
      <c r="L453" s="14" t="s">
        <v>2089</v>
      </c>
      <c r="M453" s="14" t="s">
        <v>2081</v>
      </c>
      <c r="N453" s="14" t="s">
        <v>1237</v>
      </c>
      <c r="O453" s="14" t="s">
        <v>1220</v>
      </c>
    </row>
    <row r="454" spans="1:15" x14ac:dyDescent="0.25">
      <c r="A454" s="14">
        <v>2802</v>
      </c>
      <c r="B454" s="14" t="s">
        <v>1146</v>
      </c>
      <c r="C454" s="14" t="s">
        <v>2090</v>
      </c>
      <c r="D454" s="14" t="s">
        <v>2077</v>
      </c>
      <c r="E454" s="16">
        <v>1</v>
      </c>
      <c r="F454" s="14" t="s">
        <v>1536</v>
      </c>
      <c r="G454" s="16">
        <v>10</v>
      </c>
      <c r="H454" s="14" t="s">
        <v>2078</v>
      </c>
      <c r="I454" s="14" t="s">
        <v>1232</v>
      </c>
      <c r="J454" s="14" t="s">
        <v>1296</v>
      </c>
      <c r="K454" s="14" t="s">
        <v>2079</v>
      </c>
      <c r="L454" s="14" t="s">
        <v>2091</v>
      </c>
      <c r="M454" s="14" t="s">
        <v>2081</v>
      </c>
      <c r="N454" s="14" t="s">
        <v>1237</v>
      </c>
      <c r="O454" s="14" t="s">
        <v>1220</v>
      </c>
    </row>
    <row r="455" spans="1:15" x14ac:dyDescent="0.25">
      <c r="A455" s="14">
        <v>2803</v>
      </c>
      <c r="B455" s="14" t="s">
        <v>1147</v>
      </c>
      <c r="C455" s="14" t="s">
        <v>2092</v>
      </c>
      <c r="D455" s="14" t="s">
        <v>2077</v>
      </c>
      <c r="E455" s="16">
        <v>1</v>
      </c>
      <c r="F455" s="14" t="s">
        <v>1536</v>
      </c>
      <c r="G455" s="16">
        <v>10</v>
      </c>
      <c r="H455" s="14" t="s">
        <v>2078</v>
      </c>
      <c r="I455" s="14" t="s">
        <v>1232</v>
      </c>
      <c r="J455" s="14" t="s">
        <v>1296</v>
      </c>
      <c r="K455" s="14" t="s">
        <v>2079</v>
      </c>
      <c r="L455" s="14" t="s">
        <v>2093</v>
      </c>
      <c r="M455" s="14" t="s">
        <v>2081</v>
      </c>
      <c r="N455" s="14" t="s">
        <v>1237</v>
      </c>
      <c r="O455" s="14" t="s">
        <v>1220</v>
      </c>
    </row>
    <row r="456" spans="1:15" x14ac:dyDescent="0.25">
      <c r="A456" s="14">
        <v>2804</v>
      </c>
      <c r="B456" s="14" t="s">
        <v>1148</v>
      </c>
      <c r="C456" s="14" t="s">
        <v>2094</v>
      </c>
      <c r="D456" s="14" t="s">
        <v>2077</v>
      </c>
      <c r="E456" s="16">
        <v>1</v>
      </c>
      <c r="F456" s="14" t="s">
        <v>1536</v>
      </c>
      <c r="G456" s="16">
        <v>10</v>
      </c>
      <c r="H456" s="14" t="s">
        <v>2078</v>
      </c>
      <c r="I456" s="14" t="s">
        <v>1232</v>
      </c>
      <c r="J456" s="14" t="s">
        <v>1296</v>
      </c>
      <c r="K456" s="14" t="s">
        <v>2079</v>
      </c>
      <c r="L456" s="14" t="s">
        <v>2095</v>
      </c>
      <c r="M456" s="14" t="s">
        <v>2081</v>
      </c>
      <c r="N456" s="14" t="s">
        <v>1237</v>
      </c>
      <c r="O456" s="14" t="s">
        <v>1220</v>
      </c>
    </row>
    <row r="457" spans="1:15" x14ac:dyDescent="0.25">
      <c r="A457" s="14">
        <v>2805</v>
      </c>
      <c r="B457" s="14" t="s">
        <v>1149</v>
      </c>
      <c r="C457" s="14" t="s">
        <v>2096</v>
      </c>
      <c r="D457" s="14" t="s">
        <v>2077</v>
      </c>
      <c r="E457" s="16">
        <v>1</v>
      </c>
      <c r="F457" s="14" t="s">
        <v>1536</v>
      </c>
      <c r="G457" s="16">
        <v>10</v>
      </c>
      <c r="H457" s="14" t="s">
        <v>2078</v>
      </c>
      <c r="I457" s="14" t="s">
        <v>1232</v>
      </c>
      <c r="J457" s="14" t="s">
        <v>1296</v>
      </c>
      <c r="K457" s="14" t="s">
        <v>2079</v>
      </c>
      <c r="L457" s="14" t="s">
        <v>2097</v>
      </c>
      <c r="M457" s="14" t="s">
        <v>2081</v>
      </c>
      <c r="N457" s="14" t="s">
        <v>1237</v>
      </c>
      <c r="O457" s="14" t="s">
        <v>1220</v>
      </c>
    </row>
    <row r="458" spans="1:15" x14ac:dyDescent="0.25">
      <c r="A458" s="14">
        <v>2806</v>
      </c>
      <c r="B458" s="14" t="s">
        <v>1150</v>
      </c>
      <c r="C458" s="14" t="s">
        <v>2098</v>
      </c>
      <c r="D458" s="14" t="s">
        <v>2077</v>
      </c>
      <c r="E458" s="16">
        <v>1</v>
      </c>
      <c r="F458" s="14" t="s">
        <v>1536</v>
      </c>
      <c r="G458" s="16">
        <v>10</v>
      </c>
      <c r="H458" s="14" t="s">
        <v>2078</v>
      </c>
      <c r="I458" s="14" t="s">
        <v>1232</v>
      </c>
      <c r="J458" s="14" t="s">
        <v>1296</v>
      </c>
      <c r="K458" s="14" t="s">
        <v>2079</v>
      </c>
      <c r="L458" s="14" t="s">
        <v>2099</v>
      </c>
      <c r="M458" s="14" t="s">
        <v>2081</v>
      </c>
      <c r="N458" s="14" t="s">
        <v>1237</v>
      </c>
      <c r="O458" s="14" t="s">
        <v>1220</v>
      </c>
    </row>
    <row r="459" spans="1:15" x14ac:dyDescent="0.25">
      <c r="A459" s="14">
        <v>2807</v>
      </c>
      <c r="B459" s="14" t="s">
        <v>1151</v>
      </c>
      <c r="C459" s="14" t="s">
        <v>2100</v>
      </c>
      <c r="D459" s="14" t="s">
        <v>2077</v>
      </c>
      <c r="E459" s="16">
        <v>1</v>
      </c>
      <c r="F459" s="14" t="s">
        <v>1536</v>
      </c>
      <c r="G459" s="16">
        <v>10</v>
      </c>
      <c r="H459" s="14" t="s">
        <v>2078</v>
      </c>
      <c r="I459" s="14" t="s">
        <v>1232</v>
      </c>
      <c r="J459" s="14" t="s">
        <v>1296</v>
      </c>
      <c r="K459" s="14" t="s">
        <v>2079</v>
      </c>
      <c r="L459" s="14" t="s">
        <v>2101</v>
      </c>
      <c r="M459" s="14" t="s">
        <v>2081</v>
      </c>
      <c r="N459" s="14" t="s">
        <v>1237</v>
      </c>
      <c r="O459" s="14" t="s">
        <v>1220</v>
      </c>
    </row>
    <row r="460" spans="1:15" x14ac:dyDescent="0.25">
      <c r="A460" s="14">
        <v>2708</v>
      </c>
      <c r="B460" s="14" t="s">
        <v>2102</v>
      </c>
      <c r="C460" s="14" t="s">
        <v>2103</v>
      </c>
      <c r="D460" s="14" t="s">
        <v>2077</v>
      </c>
      <c r="E460" s="16">
        <v>1</v>
      </c>
      <c r="F460" s="14" t="s">
        <v>1536</v>
      </c>
      <c r="G460" s="16">
        <v>10</v>
      </c>
      <c r="H460" s="14" t="s">
        <v>2078</v>
      </c>
      <c r="I460" s="14" t="s">
        <v>1256</v>
      </c>
      <c r="J460" s="14" t="s">
        <v>1233</v>
      </c>
      <c r="K460" s="14" t="s">
        <v>2104</v>
      </c>
      <c r="L460" s="14" t="s">
        <v>2105</v>
      </c>
      <c r="M460" s="14" t="s">
        <v>2081</v>
      </c>
      <c r="N460" s="14" t="s">
        <v>1237</v>
      </c>
      <c r="O460" s="14" t="s">
        <v>1220</v>
      </c>
    </row>
    <row r="461" spans="1:15" x14ac:dyDescent="0.25">
      <c r="A461" s="14">
        <v>2709</v>
      </c>
      <c r="B461" s="14" t="s">
        <v>2106</v>
      </c>
      <c r="C461" s="14" t="s">
        <v>2107</v>
      </c>
      <c r="D461" s="14" t="s">
        <v>2077</v>
      </c>
      <c r="E461" s="16">
        <v>1</v>
      </c>
      <c r="F461" s="14" t="s">
        <v>1536</v>
      </c>
      <c r="G461" s="16">
        <v>10</v>
      </c>
      <c r="H461" s="14" t="s">
        <v>2078</v>
      </c>
      <c r="I461" s="14" t="s">
        <v>1256</v>
      </c>
      <c r="J461" s="14" t="s">
        <v>1233</v>
      </c>
      <c r="K461" s="14" t="s">
        <v>2104</v>
      </c>
      <c r="L461" s="14" t="s">
        <v>2108</v>
      </c>
      <c r="M461" s="14" t="s">
        <v>2081</v>
      </c>
      <c r="N461" s="14" t="s">
        <v>1237</v>
      </c>
      <c r="O461" s="14" t="s">
        <v>1220</v>
      </c>
    </row>
    <row r="462" spans="1:15" x14ac:dyDescent="0.25">
      <c r="A462" s="14">
        <v>2710</v>
      </c>
      <c r="B462" s="14" t="s">
        <v>2109</v>
      </c>
      <c r="C462" s="14" t="s">
        <v>2110</v>
      </c>
      <c r="D462" s="14" t="s">
        <v>2077</v>
      </c>
      <c r="E462" s="16">
        <v>1</v>
      </c>
      <c r="F462" s="14" t="s">
        <v>1536</v>
      </c>
      <c r="G462" s="16">
        <v>10</v>
      </c>
      <c r="H462" s="14" t="s">
        <v>2078</v>
      </c>
      <c r="I462" s="14" t="s">
        <v>1256</v>
      </c>
      <c r="J462" s="14" t="s">
        <v>1233</v>
      </c>
      <c r="K462" s="14" t="s">
        <v>2111</v>
      </c>
      <c r="L462" s="14" t="s">
        <v>2112</v>
      </c>
      <c r="M462" s="14" t="s">
        <v>2081</v>
      </c>
      <c r="N462" s="14" t="s">
        <v>1237</v>
      </c>
      <c r="O462" s="14" t="s">
        <v>1220</v>
      </c>
    </row>
    <row r="463" spans="1:15" x14ac:dyDescent="0.25">
      <c r="A463" s="14">
        <v>2700</v>
      </c>
      <c r="B463" s="14" t="s">
        <v>2113</v>
      </c>
      <c r="C463" s="14" t="s">
        <v>2114</v>
      </c>
      <c r="D463" s="14" t="s">
        <v>2077</v>
      </c>
      <c r="E463" s="16">
        <v>1</v>
      </c>
      <c r="F463" s="14" t="s">
        <v>1536</v>
      </c>
      <c r="G463" s="16">
        <v>10</v>
      </c>
      <c r="H463" s="14" t="s">
        <v>2078</v>
      </c>
      <c r="I463" s="14" t="s">
        <v>1256</v>
      </c>
      <c r="J463" s="14" t="s">
        <v>1233</v>
      </c>
      <c r="K463" s="14" t="s">
        <v>2104</v>
      </c>
      <c r="L463" s="14" t="s">
        <v>2115</v>
      </c>
      <c r="M463" s="14" t="s">
        <v>2081</v>
      </c>
      <c r="N463" s="14" t="s">
        <v>1237</v>
      </c>
      <c r="O463" s="14" t="s">
        <v>1220</v>
      </c>
    </row>
    <row r="464" spans="1:15" x14ac:dyDescent="0.25">
      <c r="A464" s="14">
        <v>2701</v>
      </c>
      <c r="B464" s="14" t="s">
        <v>2116</v>
      </c>
      <c r="C464" s="14" t="s">
        <v>2117</v>
      </c>
      <c r="D464" s="14" t="s">
        <v>2077</v>
      </c>
      <c r="E464" s="16">
        <v>1</v>
      </c>
      <c r="F464" s="14" t="s">
        <v>1536</v>
      </c>
      <c r="G464" s="16">
        <v>10</v>
      </c>
      <c r="H464" s="14" t="s">
        <v>2078</v>
      </c>
      <c r="I464" s="14" t="s">
        <v>1256</v>
      </c>
      <c r="J464" s="14" t="s">
        <v>1233</v>
      </c>
      <c r="K464" s="14" t="s">
        <v>2104</v>
      </c>
      <c r="L464" s="14" t="s">
        <v>2118</v>
      </c>
      <c r="M464" s="14" t="s">
        <v>2081</v>
      </c>
      <c r="N464" s="14" t="s">
        <v>1237</v>
      </c>
      <c r="O464" s="14" t="s">
        <v>1220</v>
      </c>
    </row>
    <row r="465" spans="1:15" x14ac:dyDescent="0.25">
      <c r="A465" s="14">
        <v>2702</v>
      </c>
      <c r="B465" s="14" t="s">
        <v>2119</v>
      </c>
      <c r="C465" s="14" t="s">
        <v>2120</v>
      </c>
      <c r="D465" s="14" t="s">
        <v>2077</v>
      </c>
      <c r="E465" s="16">
        <v>1</v>
      </c>
      <c r="F465" s="14" t="s">
        <v>1536</v>
      </c>
      <c r="G465" s="16">
        <v>10</v>
      </c>
      <c r="H465" s="14" t="s">
        <v>2078</v>
      </c>
      <c r="I465" s="14" t="s">
        <v>1256</v>
      </c>
      <c r="J465" s="14" t="s">
        <v>1233</v>
      </c>
      <c r="K465" s="14" t="s">
        <v>2104</v>
      </c>
      <c r="L465" s="14" t="s">
        <v>2121</v>
      </c>
      <c r="M465" s="14" t="s">
        <v>2081</v>
      </c>
      <c r="N465" s="14" t="s">
        <v>1237</v>
      </c>
      <c r="O465" s="14" t="s">
        <v>1220</v>
      </c>
    </row>
    <row r="466" spans="1:15" x14ac:dyDescent="0.25">
      <c r="A466" s="14">
        <v>2703</v>
      </c>
      <c r="B466" s="14" t="s">
        <v>2122</v>
      </c>
      <c r="C466" s="14" t="s">
        <v>2123</v>
      </c>
      <c r="D466" s="14" t="s">
        <v>2077</v>
      </c>
      <c r="E466" s="16">
        <v>1</v>
      </c>
      <c r="F466" s="14" t="s">
        <v>1536</v>
      </c>
      <c r="G466" s="16">
        <v>10</v>
      </c>
      <c r="H466" s="14" t="s">
        <v>2078</v>
      </c>
      <c r="I466" s="14" t="s">
        <v>1256</v>
      </c>
      <c r="J466" s="14" t="s">
        <v>1233</v>
      </c>
      <c r="K466" s="14" t="s">
        <v>2104</v>
      </c>
      <c r="L466" s="14" t="s">
        <v>2124</v>
      </c>
      <c r="M466" s="14" t="s">
        <v>2081</v>
      </c>
      <c r="N466" s="14" t="s">
        <v>1237</v>
      </c>
      <c r="O466" s="14" t="s">
        <v>1220</v>
      </c>
    </row>
    <row r="467" spans="1:15" x14ac:dyDescent="0.25">
      <c r="A467" s="14">
        <v>2704</v>
      </c>
      <c r="B467" s="14" t="s">
        <v>2125</v>
      </c>
      <c r="C467" s="14" t="s">
        <v>2126</v>
      </c>
      <c r="D467" s="14" t="s">
        <v>2077</v>
      </c>
      <c r="E467" s="16">
        <v>1</v>
      </c>
      <c r="F467" s="14" t="s">
        <v>1536</v>
      </c>
      <c r="G467" s="16">
        <v>10</v>
      </c>
      <c r="H467" s="14" t="s">
        <v>2078</v>
      </c>
      <c r="I467" s="14" t="s">
        <v>1256</v>
      </c>
      <c r="J467" s="14" t="s">
        <v>1233</v>
      </c>
      <c r="K467" s="14" t="s">
        <v>2104</v>
      </c>
      <c r="L467" s="14" t="s">
        <v>2127</v>
      </c>
      <c r="M467" s="14" t="s">
        <v>2081</v>
      </c>
      <c r="N467" s="14" t="s">
        <v>1237</v>
      </c>
      <c r="O467" s="14" t="s">
        <v>1220</v>
      </c>
    </row>
    <row r="468" spans="1:15" x14ac:dyDescent="0.25">
      <c r="A468" s="14">
        <v>2705</v>
      </c>
      <c r="B468" s="14" t="s">
        <v>2128</v>
      </c>
      <c r="C468" s="14" t="s">
        <v>2129</v>
      </c>
      <c r="D468" s="14" t="s">
        <v>2077</v>
      </c>
      <c r="E468" s="16">
        <v>1</v>
      </c>
      <c r="F468" s="14" t="s">
        <v>1536</v>
      </c>
      <c r="G468" s="16">
        <v>10</v>
      </c>
      <c r="H468" s="14" t="s">
        <v>2078</v>
      </c>
      <c r="I468" s="14" t="s">
        <v>1256</v>
      </c>
      <c r="J468" s="14" t="s">
        <v>1233</v>
      </c>
      <c r="K468" s="14" t="s">
        <v>2104</v>
      </c>
      <c r="L468" s="14" t="s">
        <v>2130</v>
      </c>
      <c r="M468" s="14" t="s">
        <v>2081</v>
      </c>
      <c r="N468" s="14" t="s">
        <v>1237</v>
      </c>
      <c r="O468" s="14" t="s">
        <v>1220</v>
      </c>
    </row>
    <row r="469" spans="1:15" x14ac:dyDescent="0.25">
      <c r="A469" s="14">
        <v>2706</v>
      </c>
      <c r="B469" s="14" t="s">
        <v>2131</v>
      </c>
      <c r="C469" s="14" t="s">
        <v>2132</v>
      </c>
      <c r="D469" s="14" t="s">
        <v>2077</v>
      </c>
      <c r="E469" s="16">
        <v>1</v>
      </c>
      <c r="F469" s="14" t="s">
        <v>1536</v>
      </c>
      <c r="G469" s="16">
        <v>10</v>
      </c>
      <c r="H469" s="14" t="s">
        <v>2078</v>
      </c>
      <c r="I469" s="14" t="s">
        <v>1256</v>
      </c>
      <c r="J469" s="14" t="s">
        <v>1233</v>
      </c>
      <c r="K469" s="14" t="s">
        <v>2104</v>
      </c>
      <c r="L469" s="14" t="s">
        <v>2133</v>
      </c>
      <c r="M469" s="14" t="s">
        <v>2081</v>
      </c>
      <c r="N469" s="14" t="s">
        <v>1237</v>
      </c>
      <c r="O469" s="14" t="s">
        <v>1220</v>
      </c>
    </row>
    <row r="470" spans="1:15" x14ac:dyDescent="0.25">
      <c r="A470" s="14">
        <v>2707</v>
      </c>
      <c r="B470" s="14" t="s">
        <v>2134</v>
      </c>
      <c r="C470" s="14" t="s">
        <v>2135</v>
      </c>
      <c r="D470" s="14" t="s">
        <v>2077</v>
      </c>
      <c r="E470" s="16">
        <v>1</v>
      </c>
      <c r="F470" s="14" t="s">
        <v>1536</v>
      </c>
      <c r="G470" s="16">
        <v>10</v>
      </c>
      <c r="H470" s="14" t="s">
        <v>2078</v>
      </c>
      <c r="I470" s="14" t="s">
        <v>1256</v>
      </c>
      <c r="J470" s="14" t="s">
        <v>1233</v>
      </c>
      <c r="K470" s="14" t="s">
        <v>2104</v>
      </c>
      <c r="L470" s="14" t="s">
        <v>2136</v>
      </c>
      <c r="M470" s="14" t="s">
        <v>2081</v>
      </c>
      <c r="N470" s="14" t="s">
        <v>1237</v>
      </c>
      <c r="O470" s="14" t="s">
        <v>1220</v>
      </c>
    </row>
    <row r="471" spans="1:15" x14ac:dyDescent="0.25">
      <c r="A471" s="14" t="s">
        <v>2137</v>
      </c>
      <c r="B471" s="14" t="s">
        <v>2138</v>
      </c>
      <c r="C471" s="14" t="s">
        <v>2138</v>
      </c>
      <c r="D471" s="14" t="s">
        <v>1222</v>
      </c>
      <c r="E471" s="15"/>
      <c r="F471" s="14"/>
      <c r="G471" s="15"/>
      <c r="H471" s="14" t="s">
        <v>1223</v>
      </c>
      <c r="I471" s="14"/>
      <c r="J471" s="14"/>
      <c r="K471" s="14"/>
      <c r="L471" s="14"/>
      <c r="M471" s="14"/>
      <c r="N471" s="14" t="s">
        <v>1219</v>
      </c>
      <c r="O471" s="14" t="s">
        <v>1220</v>
      </c>
    </row>
    <row r="472" spans="1:15" x14ac:dyDescent="0.25">
      <c r="A472" s="14">
        <v>3634</v>
      </c>
      <c r="B472" s="14" t="s">
        <v>400</v>
      </c>
      <c r="C472" s="14" t="s">
        <v>400</v>
      </c>
      <c r="D472" s="14" t="s">
        <v>2139</v>
      </c>
      <c r="E472" s="16">
        <v>30</v>
      </c>
      <c r="F472" s="14" t="s">
        <v>2140</v>
      </c>
      <c r="G472" s="16">
        <v>50</v>
      </c>
      <c r="H472" s="14" t="s">
        <v>1255</v>
      </c>
      <c r="I472" s="14" t="s">
        <v>1256</v>
      </c>
      <c r="J472" s="14" t="s">
        <v>1296</v>
      </c>
      <c r="K472" s="14" t="s">
        <v>1257</v>
      </c>
      <c r="L472" s="14" t="s">
        <v>2141</v>
      </c>
      <c r="M472" s="14" t="s">
        <v>1259</v>
      </c>
      <c r="N472" s="14" t="s">
        <v>1237</v>
      </c>
      <c r="O472" s="14" t="s">
        <v>1220</v>
      </c>
    </row>
    <row r="473" spans="1:15" x14ac:dyDescent="0.25">
      <c r="A473" s="14">
        <v>3635</v>
      </c>
      <c r="B473" s="14" t="s">
        <v>401</v>
      </c>
      <c r="C473" s="14" t="s">
        <v>401</v>
      </c>
      <c r="D473" s="14" t="s">
        <v>2139</v>
      </c>
      <c r="E473" s="16">
        <v>24</v>
      </c>
      <c r="F473" s="14" t="s">
        <v>2140</v>
      </c>
      <c r="G473" s="16">
        <v>24</v>
      </c>
      <c r="H473" s="14" t="s">
        <v>1255</v>
      </c>
      <c r="I473" s="14" t="s">
        <v>1256</v>
      </c>
      <c r="J473" s="14" t="s">
        <v>1296</v>
      </c>
      <c r="K473" s="14" t="s">
        <v>1257</v>
      </c>
      <c r="L473" s="14" t="s">
        <v>2142</v>
      </c>
      <c r="M473" s="14" t="s">
        <v>1259</v>
      </c>
      <c r="N473" s="14" t="s">
        <v>1237</v>
      </c>
      <c r="O473" s="14" t="s">
        <v>1220</v>
      </c>
    </row>
    <row r="474" spans="1:15" x14ac:dyDescent="0.25">
      <c r="A474" s="14">
        <v>3636</v>
      </c>
      <c r="B474" s="14" t="s">
        <v>402</v>
      </c>
      <c r="C474" s="14" t="s">
        <v>402</v>
      </c>
      <c r="D474" s="14" t="s">
        <v>2139</v>
      </c>
      <c r="E474" s="16">
        <v>14</v>
      </c>
      <c r="F474" s="14" t="s">
        <v>2140</v>
      </c>
      <c r="G474" s="16">
        <v>14</v>
      </c>
      <c r="H474" s="14" t="s">
        <v>1255</v>
      </c>
      <c r="I474" s="14" t="s">
        <v>1256</v>
      </c>
      <c r="J474" s="14" t="s">
        <v>1296</v>
      </c>
      <c r="K474" s="14" t="s">
        <v>1257</v>
      </c>
      <c r="L474" s="14" t="s">
        <v>2143</v>
      </c>
      <c r="M474" s="14" t="s">
        <v>1259</v>
      </c>
      <c r="N474" s="14" t="s">
        <v>1237</v>
      </c>
      <c r="O474" s="14" t="s">
        <v>1220</v>
      </c>
    </row>
    <row r="475" spans="1:15" x14ac:dyDescent="0.25">
      <c r="A475" s="14">
        <v>3637</v>
      </c>
      <c r="B475" s="14" t="s">
        <v>403</v>
      </c>
      <c r="C475" s="14" t="s">
        <v>403</v>
      </c>
      <c r="D475" s="14" t="s">
        <v>2139</v>
      </c>
      <c r="E475" s="16">
        <v>10</v>
      </c>
      <c r="F475" s="14" t="s">
        <v>2140</v>
      </c>
      <c r="G475" s="16">
        <v>16</v>
      </c>
      <c r="H475" s="14" t="s">
        <v>1255</v>
      </c>
      <c r="I475" s="14" t="s">
        <v>1256</v>
      </c>
      <c r="J475" s="14" t="s">
        <v>1296</v>
      </c>
      <c r="K475" s="14" t="s">
        <v>1257</v>
      </c>
      <c r="L475" s="14" t="s">
        <v>2144</v>
      </c>
      <c r="M475" s="14" t="s">
        <v>1259</v>
      </c>
      <c r="N475" s="14" t="s">
        <v>1237</v>
      </c>
      <c r="O475" s="14" t="s">
        <v>1220</v>
      </c>
    </row>
    <row r="476" spans="1:15" x14ac:dyDescent="0.25">
      <c r="A476" s="14" t="s">
        <v>2145</v>
      </c>
      <c r="B476" s="14" t="s">
        <v>2146</v>
      </c>
      <c r="C476" s="14" t="s">
        <v>2146</v>
      </c>
      <c r="D476" s="14" t="s">
        <v>1222</v>
      </c>
      <c r="E476" s="15"/>
      <c r="F476" s="14"/>
      <c r="G476" s="15"/>
      <c r="H476" s="14" t="s">
        <v>1223</v>
      </c>
      <c r="I476" s="14"/>
      <c r="J476" s="14"/>
      <c r="K476" s="14"/>
      <c r="L476" s="14"/>
      <c r="M476" s="14"/>
      <c r="N476" s="14" t="s">
        <v>1219</v>
      </c>
      <c r="O476" s="14" t="s">
        <v>1220</v>
      </c>
    </row>
    <row r="477" spans="1:15" x14ac:dyDescent="0.25">
      <c r="A477" s="14">
        <v>3427</v>
      </c>
      <c r="B477" s="14" t="s">
        <v>265</v>
      </c>
      <c r="C477" s="14" t="s">
        <v>265</v>
      </c>
      <c r="D477" s="14" t="s">
        <v>1543</v>
      </c>
      <c r="E477" s="16">
        <v>40</v>
      </c>
      <c r="F477" s="14" t="s">
        <v>1545</v>
      </c>
      <c r="G477" s="17">
        <v>1000</v>
      </c>
      <c r="H477" s="14" t="s">
        <v>1545</v>
      </c>
      <c r="I477" s="14" t="s">
        <v>1256</v>
      </c>
      <c r="J477" s="14" t="s">
        <v>1233</v>
      </c>
      <c r="K477" s="14" t="s">
        <v>1257</v>
      </c>
      <c r="L477" s="14" t="s">
        <v>2147</v>
      </c>
      <c r="M477" s="14" t="s">
        <v>1801</v>
      </c>
      <c r="N477" s="14" t="s">
        <v>1237</v>
      </c>
      <c r="O477" s="14" t="s">
        <v>1220</v>
      </c>
    </row>
    <row r="478" spans="1:15" x14ac:dyDescent="0.25">
      <c r="A478" s="14">
        <v>4600</v>
      </c>
      <c r="B478" s="14" t="s">
        <v>266</v>
      </c>
      <c r="C478" s="14" t="s">
        <v>266</v>
      </c>
      <c r="D478" s="14" t="s">
        <v>1543</v>
      </c>
      <c r="E478" s="16">
        <v>40</v>
      </c>
      <c r="F478" s="14" t="s">
        <v>1545</v>
      </c>
      <c r="G478" s="16">
        <v>40</v>
      </c>
      <c r="H478" s="14" t="s">
        <v>1545</v>
      </c>
      <c r="I478" s="14" t="s">
        <v>1256</v>
      </c>
      <c r="J478" s="14" t="s">
        <v>1233</v>
      </c>
      <c r="K478" s="14" t="s">
        <v>1546</v>
      </c>
      <c r="L478" s="14" t="s">
        <v>2148</v>
      </c>
      <c r="M478" s="14" t="s">
        <v>1801</v>
      </c>
      <c r="N478" s="14" t="s">
        <v>1237</v>
      </c>
      <c r="O478" s="14" t="s">
        <v>1220</v>
      </c>
    </row>
    <row r="479" spans="1:15" x14ac:dyDescent="0.25">
      <c r="A479" s="14">
        <v>4583</v>
      </c>
      <c r="B479" s="14" t="s">
        <v>267</v>
      </c>
      <c r="C479" s="14" t="s">
        <v>267</v>
      </c>
      <c r="D479" s="14" t="s">
        <v>1543</v>
      </c>
      <c r="E479" s="16">
        <v>40</v>
      </c>
      <c r="F479" s="14" t="s">
        <v>1545</v>
      </c>
      <c r="G479" s="17">
        <v>1000</v>
      </c>
      <c r="H479" s="14" t="s">
        <v>1545</v>
      </c>
      <c r="I479" s="14" t="s">
        <v>1256</v>
      </c>
      <c r="J479" s="14" t="s">
        <v>1233</v>
      </c>
      <c r="K479" s="14" t="s">
        <v>1257</v>
      </c>
      <c r="L479" s="14" t="s">
        <v>2149</v>
      </c>
      <c r="M479" s="14" t="s">
        <v>1801</v>
      </c>
      <c r="N479" s="14" t="s">
        <v>1237</v>
      </c>
      <c r="O479" s="14" t="s">
        <v>1220</v>
      </c>
    </row>
    <row r="480" spans="1:15" x14ac:dyDescent="0.25">
      <c r="A480" s="14">
        <v>3428</v>
      </c>
      <c r="B480" s="14" t="s">
        <v>268</v>
      </c>
      <c r="C480" s="14" t="s">
        <v>268</v>
      </c>
      <c r="D480" s="14" t="s">
        <v>1543</v>
      </c>
      <c r="E480" s="16">
        <v>40</v>
      </c>
      <c r="F480" s="14" t="s">
        <v>1545</v>
      </c>
      <c r="G480" s="17">
        <v>1000</v>
      </c>
      <c r="H480" s="14" t="s">
        <v>1545</v>
      </c>
      <c r="I480" s="14" t="s">
        <v>1256</v>
      </c>
      <c r="J480" s="14" t="s">
        <v>1233</v>
      </c>
      <c r="K480" s="14" t="s">
        <v>1257</v>
      </c>
      <c r="L480" s="14" t="s">
        <v>2150</v>
      </c>
      <c r="M480" s="14" t="s">
        <v>1801</v>
      </c>
      <c r="N480" s="14" t="s">
        <v>1237</v>
      </c>
      <c r="O480" s="14" t="s">
        <v>1220</v>
      </c>
    </row>
    <row r="481" spans="1:15" x14ac:dyDescent="0.25">
      <c r="A481" s="14">
        <v>4601</v>
      </c>
      <c r="B481" s="14" t="s">
        <v>269</v>
      </c>
      <c r="C481" s="14" t="s">
        <v>269</v>
      </c>
      <c r="D481" s="14" t="s">
        <v>1543</v>
      </c>
      <c r="E481" s="16">
        <v>40</v>
      </c>
      <c r="F481" s="14" t="s">
        <v>1545</v>
      </c>
      <c r="G481" s="16">
        <v>40</v>
      </c>
      <c r="H481" s="14" t="s">
        <v>1545</v>
      </c>
      <c r="I481" s="14" t="s">
        <v>1256</v>
      </c>
      <c r="J481" s="14" t="s">
        <v>1233</v>
      </c>
      <c r="K481" s="14" t="s">
        <v>1546</v>
      </c>
      <c r="L481" s="14" t="s">
        <v>2151</v>
      </c>
      <c r="M481" s="14" t="s">
        <v>1801</v>
      </c>
      <c r="N481" s="14" t="s">
        <v>1237</v>
      </c>
      <c r="O481" s="14" t="s">
        <v>1220</v>
      </c>
    </row>
    <row r="482" spans="1:15" x14ac:dyDescent="0.25">
      <c r="A482" s="14">
        <v>4584</v>
      </c>
      <c r="B482" s="14" t="s">
        <v>270</v>
      </c>
      <c r="C482" s="14" t="s">
        <v>270</v>
      </c>
      <c r="D482" s="14" t="s">
        <v>1543</v>
      </c>
      <c r="E482" s="16">
        <v>40</v>
      </c>
      <c r="F482" s="14" t="s">
        <v>1545</v>
      </c>
      <c r="G482" s="17">
        <v>1000</v>
      </c>
      <c r="H482" s="14" t="s">
        <v>1545</v>
      </c>
      <c r="I482" s="14" t="s">
        <v>1256</v>
      </c>
      <c r="J482" s="14" t="s">
        <v>1233</v>
      </c>
      <c r="K482" s="14" t="s">
        <v>1257</v>
      </c>
      <c r="L482" s="14" t="s">
        <v>2152</v>
      </c>
      <c r="M482" s="14" t="s">
        <v>1801</v>
      </c>
      <c r="N482" s="14" t="s">
        <v>1237</v>
      </c>
      <c r="O482" s="14" t="s">
        <v>1220</v>
      </c>
    </row>
    <row r="483" spans="1:15" x14ac:dyDescent="0.25">
      <c r="A483" s="14">
        <v>3724</v>
      </c>
      <c r="B483" s="14" t="s">
        <v>895</v>
      </c>
      <c r="C483" s="14" t="s">
        <v>895</v>
      </c>
      <c r="D483" s="14" t="s">
        <v>2153</v>
      </c>
      <c r="E483" s="16">
        <v>250</v>
      </c>
      <c r="F483" s="14" t="s">
        <v>2154</v>
      </c>
      <c r="G483" s="17">
        <v>1000</v>
      </c>
      <c r="H483" s="14" t="s">
        <v>2154</v>
      </c>
      <c r="I483" s="14" t="s">
        <v>1256</v>
      </c>
      <c r="J483" s="14" t="s">
        <v>1233</v>
      </c>
      <c r="K483" s="14" t="s">
        <v>1257</v>
      </c>
      <c r="L483" s="14" t="s">
        <v>2155</v>
      </c>
      <c r="M483" s="14" t="s">
        <v>2156</v>
      </c>
      <c r="N483" s="14" t="s">
        <v>1237</v>
      </c>
      <c r="O483" s="14" t="s">
        <v>1220</v>
      </c>
    </row>
    <row r="484" spans="1:15" x14ac:dyDescent="0.25">
      <c r="A484" s="14" t="s">
        <v>2157</v>
      </c>
      <c r="B484" s="14" t="s">
        <v>2158</v>
      </c>
      <c r="C484" s="14" t="s">
        <v>2158</v>
      </c>
      <c r="D484" s="14" t="s">
        <v>2159</v>
      </c>
      <c r="E484" s="15"/>
      <c r="F484" s="14" t="s">
        <v>2154</v>
      </c>
      <c r="G484" s="15"/>
      <c r="H484" s="14" t="s">
        <v>2154</v>
      </c>
      <c r="I484" s="14" t="s">
        <v>1262</v>
      </c>
      <c r="J484" s="14" t="s">
        <v>1262</v>
      </c>
      <c r="K484" s="14"/>
      <c r="L484" s="14" t="s">
        <v>2155</v>
      </c>
      <c r="M484" s="14" t="s">
        <v>2156</v>
      </c>
      <c r="N484" s="14" t="s">
        <v>1219</v>
      </c>
      <c r="O484" s="14" t="s">
        <v>1220</v>
      </c>
    </row>
    <row r="485" spans="1:15" x14ac:dyDescent="0.25">
      <c r="A485" s="14">
        <v>3725</v>
      </c>
      <c r="B485" s="14" t="s">
        <v>896</v>
      </c>
      <c r="C485" s="14" t="s">
        <v>896</v>
      </c>
      <c r="D485" s="14" t="s">
        <v>2153</v>
      </c>
      <c r="E485" s="16">
        <v>200</v>
      </c>
      <c r="F485" s="14" t="s">
        <v>2154</v>
      </c>
      <c r="G485" s="17">
        <v>1000</v>
      </c>
      <c r="H485" s="14" t="s">
        <v>2154</v>
      </c>
      <c r="I485" s="14" t="s">
        <v>1256</v>
      </c>
      <c r="J485" s="14" t="s">
        <v>1233</v>
      </c>
      <c r="K485" s="14" t="s">
        <v>1257</v>
      </c>
      <c r="L485" s="14" t="s">
        <v>2160</v>
      </c>
      <c r="M485" s="14" t="s">
        <v>2156</v>
      </c>
      <c r="N485" s="14" t="s">
        <v>1237</v>
      </c>
      <c r="O485" s="14" t="s">
        <v>1220</v>
      </c>
    </row>
    <row r="486" spans="1:15" x14ac:dyDescent="0.25">
      <c r="A486" s="14" t="s">
        <v>2161</v>
      </c>
      <c r="B486" s="14" t="s">
        <v>2162</v>
      </c>
      <c r="C486" s="14" t="s">
        <v>2162</v>
      </c>
      <c r="D486" s="14" t="s">
        <v>2159</v>
      </c>
      <c r="E486" s="15"/>
      <c r="F486" s="14" t="s">
        <v>2154</v>
      </c>
      <c r="G486" s="15"/>
      <c r="H486" s="14" t="s">
        <v>2154</v>
      </c>
      <c r="I486" s="14" t="s">
        <v>1262</v>
      </c>
      <c r="J486" s="14" t="s">
        <v>1262</v>
      </c>
      <c r="K486" s="14"/>
      <c r="L486" s="14" t="s">
        <v>2160</v>
      </c>
      <c r="M486" s="14" t="s">
        <v>2156</v>
      </c>
      <c r="N486" s="14" t="s">
        <v>1219</v>
      </c>
      <c r="O486" s="14" t="s">
        <v>1220</v>
      </c>
    </row>
    <row r="487" spans="1:15" x14ac:dyDescent="0.25">
      <c r="A487" s="14">
        <v>3726</v>
      </c>
      <c r="B487" s="14" t="s">
        <v>897</v>
      </c>
      <c r="C487" s="14" t="s">
        <v>897</v>
      </c>
      <c r="D487" s="14" t="s">
        <v>2153</v>
      </c>
      <c r="E487" s="16">
        <v>200</v>
      </c>
      <c r="F487" s="14" t="s">
        <v>2154</v>
      </c>
      <c r="G487" s="17">
        <v>1000</v>
      </c>
      <c r="H487" s="14" t="s">
        <v>2154</v>
      </c>
      <c r="I487" s="14" t="s">
        <v>1256</v>
      </c>
      <c r="J487" s="14" t="s">
        <v>1233</v>
      </c>
      <c r="K487" s="14" t="s">
        <v>1257</v>
      </c>
      <c r="L487" s="14" t="s">
        <v>2163</v>
      </c>
      <c r="M487" s="14" t="s">
        <v>2156</v>
      </c>
      <c r="N487" s="14" t="s">
        <v>1237</v>
      </c>
      <c r="O487" s="14" t="s">
        <v>1220</v>
      </c>
    </row>
    <row r="488" spans="1:15" x14ac:dyDescent="0.25">
      <c r="A488" s="14" t="s">
        <v>2164</v>
      </c>
      <c r="B488" s="14" t="s">
        <v>2165</v>
      </c>
      <c r="C488" s="14" t="s">
        <v>2165</v>
      </c>
      <c r="D488" s="14" t="s">
        <v>2159</v>
      </c>
      <c r="E488" s="15"/>
      <c r="F488" s="14" t="s">
        <v>2154</v>
      </c>
      <c r="G488" s="15"/>
      <c r="H488" s="14" t="s">
        <v>2154</v>
      </c>
      <c r="I488" s="14" t="s">
        <v>1262</v>
      </c>
      <c r="J488" s="14" t="s">
        <v>1262</v>
      </c>
      <c r="K488" s="14"/>
      <c r="L488" s="14" t="s">
        <v>2163</v>
      </c>
      <c r="M488" s="14" t="s">
        <v>2156</v>
      </c>
      <c r="N488" s="14" t="s">
        <v>1219</v>
      </c>
      <c r="O488" s="14" t="s">
        <v>1220</v>
      </c>
    </row>
    <row r="489" spans="1:15" x14ac:dyDescent="0.25">
      <c r="A489" s="14">
        <v>3728</v>
      </c>
      <c r="B489" s="14" t="s">
        <v>898</v>
      </c>
      <c r="C489" s="14" t="s">
        <v>898</v>
      </c>
      <c r="D489" s="14" t="s">
        <v>2153</v>
      </c>
      <c r="E489" s="16">
        <v>140</v>
      </c>
      <c r="F489" s="14" t="s">
        <v>2154</v>
      </c>
      <c r="G489" s="16">
        <v>700</v>
      </c>
      <c r="H489" s="14" t="s">
        <v>2154</v>
      </c>
      <c r="I489" s="14" t="s">
        <v>1256</v>
      </c>
      <c r="J489" s="14" t="s">
        <v>1233</v>
      </c>
      <c r="K489" s="14" t="s">
        <v>1257</v>
      </c>
      <c r="L489" s="14" t="s">
        <v>2166</v>
      </c>
      <c r="M489" s="14" t="s">
        <v>2156</v>
      </c>
      <c r="N489" s="14" t="s">
        <v>1237</v>
      </c>
      <c r="O489" s="14" t="s">
        <v>1220</v>
      </c>
    </row>
    <row r="490" spans="1:15" x14ac:dyDescent="0.25">
      <c r="A490" s="14" t="s">
        <v>2167</v>
      </c>
      <c r="B490" s="14" t="s">
        <v>2168</v>
      </c>
      <c r="C490" s="14" t="s">
        <v>2168</v>
      </c>
      <c r="D490" s="14" t="s">
        <v>2159</v>
      </c>
      <c r="E490" s="15"/>
      <c r="F490" s="14" t="s">
        <v>2154</v>
      </c>
      <c r="G490" s="15"/>
      <c r="H490" s="14" t="s">
        <v>2154</v>
      </c>
      <c r="I490" s="14" t="s">
        <v>1262</v>
      </c>
      <c r="J490" s="14" t="s">
        <v>1262</v>
      </c>
      <c r="K490" s="14"/>
      <c r="L490" s="14" t="s">
        <v>2166</v>
      </c>
      <c r="M490" s="14" t="s">
        <v>2156</v>
      </c>
      <c r="N490" s="14" t="s">
        <v>1219</v>
      </c>
      <c r="O490" s="14" t="s">
        <v>1220</v>
      </c>
    </row>
    <row r="491" spans="1:15" x14ac:dyDescent="0.25">
      <c r="A491" s="14">
        <v>3727</v>
      </c>
      <c r="B491" s="14" t="s">
        <v>899</v>
      </c>
      <c r="C491" s="14" t="s">
        <v>899</v>
      </c>
      <c r="D491" s="14" t="s">
        <v>2153</v>
      </c>
      <c r="E491" s="16">
        <v>170</v>
      </c>
      <c r="F491" s="14" t="s">
        <v>2154</v>
      </c>
      <c r="G491" s="16">
        <v>850</v>
      </c>
      <c r="H491" s="14" t="s">
        <v>2154</v>
      </c>
      <c r="I491" s="14" t="s">
        <v>1256</v>
      </c>
      <c r="J491" s="14" t="s">
        <v>1233</v>
      </c>
      <c r="K491" s="14" t="s">
        <v>1257</v>
      </c>
      <c r="L491" s="14" t="s">
        <v>2169</v>
      </c>
      <c r="M491" s="14" t="s">
        <v>2156</v>
      </c>
      <c r="N491" s="14" t="s">
        <v>1237</v>
      </c>
      <c r="O491" s="14" t="s">
        <v>1220</v>
      </c>
    </row>
    <row r="492" spans="1:15" x14ac:dyDescent="0.25">
      <c r="A492" s="14" t="s">
        <v>2170</v>
      </c>
      <c r="B492" s="14" t="s">
        <v>2171</v>
      </c>
      <c r="C492" s="14" t="s">
        <v>2171</v>
      </c>
      <c r="D492" s="14" t="s">
        <v>2159</v>
      </c>
      <c r="E492" s="15"/>
      <c r="F492" s="14" t="s">
        <v>2154</v>
      </c>
      <c r="G492" s="15"/>
      <c r="H492" s="14" t="s">
        <v>2154</v>
      </c>
      <c r="I492" s="14" t="s">
        <v>1262</v>
      </c>
      <c r="J492" s="14" t="s">
        <v>1262</v>
      </c>
      <c r="K492" s="14"/>
      <c r="L492" s="14" t="s">
        <v>2169</v>
      </c>
      <c r="M492" s="14" t="s">
        <v>2156</v>
      </c>
      <c r="N492" s="14" t="s">
        <v>1219</v>
      </c>
      <c r="O492" s="14" t="s">
        <v>1220</v>
      </c>
    </row>
    <row r="493" spans="1:15" x14ac:dyDescent="0.25">
      <c r="A493" s="14">
        <v>3729</v>
      </c>
      <c r="B493" s="14" t="s">
        <v>900</v>
      </c>
      <c r="C493" s="14" t="s">
        <v>900</v>
      </c>
      <c r="D493" s="14" t="s">
        <v>2153</v>
      </c>
      <c r="E493" s="16">
        <v>100</v>
      </c>
      <c r="F493" s="14" t="s">
        <v>2154</v>
      </c>
      <c r="G493" s="16">
        <v>500</v>
      </c>
      <c r="H493" s="14" t="s">
        <v>2154</v>
      </c>
      <c r="I493" s="14" t="s">
        <v>1256</v>
      </c>
      <c r="J493" s="14" t="s">
        <v>1242</v>
      </c>
      <c r="K493" s="14" t="s">
        <v>1257</v>
      </c>
      <c r="L493" s="14" t="s">
        <v>2172</v>
      </c>
      <c r="M493" s="14" t="s">
        <v>2156</v>
      </c>
      <c r="N493" s="14" t="s">
        <v>1237</v>
      </c>
      <c r="O493" s="14" t="s">
        <v>1220</v>
      </c>
    </row>
    <row r="494" spans="1:15" x14ac:dyDescent="0.25">
      <c r="A494" s="14" t="s">
        <v>2173</v>
      </c>
      <c r="B494" s="14" t="s">
        <v>2174</v>
      </c>
      <c r="C494" s="14" t="s">
        <v>2174</v>
      </c>
      <c r="D494" s="14" t="s">
        <v>2159</v>
      </c>
      <c r="E494" s="15"/>
      <c r="F494" s="14" t="s">
        <v>2154</v>
      </c>
      <c r="G494" s="15"/>
      <c r="H494" s="14" t="s">
        <v>2154</v>
      </c>
      <c r="I494" s="14" t="s">
        <v>1262</v>
      </c>
      <c r="J494" s="14" t="s">
        <v>1262</v>
      </c>
      <c r="K494" s="14"/>
      <c r="L494" s="14" t="s">
        <v>2172</v>
      </c>
      <c r="M494" s="14" t="s">
        <v>2156</v>
      </c>
      <c r="N494" s="14" t="s">
        <v>1219</v>
      </c>
      <c r="O494" s="14" t="s">
        <v>1220</v>
      </c>
    </row>
    <row r="495" spans="1:15" x14ac:dyDescent="0.25">
      <c r="A495" s="14">
        <v>3732</v>
      </c>
      <c r="B495" s="14" t="s">
        <v>901</v>
      </c>
      <c r="C495" s="14" t="s">
        <v>901</v>
      </c>
      <c r="D495" s="14" t="s">
        <v>2153</v>
      </c>
      <c r="E495" s="16">
        <v>100</v>
      </c>
      <c r="F495" s="14" t="s">
        <v>2154</v>
      </c>
      <c r="G495" s="16">
        <v>200</v>
      </c>
      <c r="H495" s="14" t="s">
        <v>2154</v>
      </c>
      <c r="I495" s="14" t="s">
        <v>1256</v>
      </c>
      <c r="J495" s="14" t="s">
        <v>1296</v>
      </c>
      <c r="K495" s="14" t="s">
        <v>1257</v>
      </c>
      <c r="L495" s="14" t="s">
        <v>2175</v>
      </c>
      <c r="M495" s="14" t="s">
        <v>2156</v>
      </c>
      <c r="N495" s="14" t="s">
        <v>1237</v>
      </c>
      <c r="O495" s="14" t="s">
        <v>1220</v>
      </c>
    </row>
    <row r="496" spans="1:15" x14ac:dyDescent="0.25">
      <c r="A496" s="14" t="s">
        <v>2176</v>
      </c>
      <c r="B496" s="14" t="s">
        <v>2177</v>
      </c>
      <c r="C496" s="14" t="s">
        <v>2177</v>
      </c>
      <c r="D496" s="14" t="s">
        <v>2159</v>
      </c>
      <c r="E496" s="15"/>
      <c r="F496" s="14" t="s">
        <v>2154</v>
      </c>
      <c r="G496" s="15"/>
      <c r="H496" s="14" t="s">
        <v>2154</v>
      </c>
      <c r="I496" s="14" t="s">
        <v>1262</v>
      </c>
      <c r="J496" s="14" t="s">
        <v>1262</v>
      </c>
      <c r="K496" s="14"/>
      <c r="L496" s="14" t="s">
        <v>2175</v>
      </c>
      <c r="M496" s="14" t="s">
        <v>2156</v>
      </c>
      <c r="N496" s="14" t="s">
        <v>1219</v>
      </c>
      <c r="O496" s="14" t="s">
        <v>1220</v>
      </c>
    </row>
    <row r="497" spans="1:15" x14ac:dyDescent="0.25">
      <c r="A497" s="14">
        <v>3730</v>
      </c>
      <c r="B497" s="14" t="s">
        <v>902</v>
      </c>
      <c r="C497" s="14" t="s">
        <v>902</v>
      </c>
      <c r="D497" s="14" t="s">
        <v>2153</v>
      </c>
      <c r="E497" s="16">
        <v>90</v>
      </c>
      <c r="F497" s="14" t="s">
        <v>2154</v>
      </c>
      <c r="G497" s="16">
        <v>450</v>
      </c>
      <c r="H497" s="14" t="s">
        <v>2154</v>
      </c>
      <c r="I497" s="14" t="s">
        <v>1256</v>
      </c>
      <c r="J497" s="14" t="s">
        <v>1296</v>
      </c>
      <c r="K497" s="14" t="s">
        <v>1257</v>
      </c>
      <c r="L497" s="14" t="s">
        <v>2178</v>
      </c>
      <c r="M497" s="14" t="s">
        <v>2156</v>
      </c>
      <c r="N497" s="14" t="s">
        <v>1237</v>
      </c>
      <c r="O497" s="14" t="s">
        <v>1220</v>
      </c>
    </row>
    <row r="498" spans="1:15" x14ac:dyDescent="0.25">
      <c r="A498" s="14" t="s">
        <v>2179</v>
      </c>
      <c r="B498" s="14" t="s">
        <v>2180</v>
      </c>
      <c r="C498" s="14" t="s">
        <v>2180</v>
      </c>
      <c r="D498" s="14" t="s">
        <v>2159</v>
      </c>
      <c r="E498" s="15"/>
      <c r="F498" s="14" t="s">
        <v>2154</v>
      </c>
      <c r="G498" s="15"/>
      <c r="H498" s="14" t="s">
        <v>2154</v>
      </c>
      <c r="I498" s="14" t="s">
        <v>1262</v>
      </c>
      <c r="J498" s="14" t="s">
        <v>1262</v>
      </c>
      <c r="K498" s="14"/>
      <c r="L498" s="14" t="s">
        <v>2178</v>
      </c>
      <c r="M498" s="14" t="s">
        <v>2156</v>
      </c>
      <c r="N498" s="14" t="s">
        <v>1219</v>
      </c>
      <c r="O498" s="14" t="s">
        <v>1220</v>
      </c>
    </row>
    <row r="499" spans="1:15" x14ac:dyDescent="0.25">
      <c r="A499" s="14">
        <v>3731</v>
      </c>
      <c r="B499" s="14" t="s">
        <v>903</v>
      </c>
      <c r="C499" s="14" t="s">
        <v>903</v>
      </c>
      <c r="D499" s="14" t="s">
        <v>2153</v>
      </c>
      <c r="E499" s="16">
        <v>80</v>
      </c>
      <c r="F499" s="14" t="s">
        <v>2154</v>
      </c>
      <c r="G499" s="16">
        <v>400</v>
      </c>
      <c r="H499" s="14" t="s">
        <v>2154</v>
      </c>
      <c r="I499" s="14" t="s">
        <v>1256</v>
      </c>
      <c r="J499" s="14" t="s">
        <v>1233</v>
      </c>
      <c r="K499" s="14" t="s">
        <v>1257</v>
      </c>
      <c r="L499" s="14" t="s">
        <v>2181</v>
      </c>
      <c r="M499" s="14" t="s">
        <v>2156</v>
      </c>
      <c r="N499" s="14" t="s">
        <v>1237</v>
      </c>
      <c r="O499" s="14" t="s">
        <v>1220</v>
      </c>
    </row>
    <row r="500" spans="1:15" x14ac:dyDescent="0.25">
      <c r="A500" s="14" t="s">
        <v>2182</v>
      </c>
      <c r="B500" s="14" t="s">
        <v>2183</v>
      </c>
      <c r="C500" s="14" t="s">
        <v>2183</v>
      </c>
      <c r="D500" s="14" t="s">
        <v>2159</v>
      </c>
      <c r="E500" s="15"/>
      <c r="F500" s="14" t="s">
        <v>2154</v>
      </c>
      <c r="G500" s="15"/>
      <c r="H500" s="14" t="s">
        <v>2154</v>
      </c>
      <c r="I500" s="14" t="s">
        <v>1262</v>
      </c>
      <c r="J500" s="14" t="s">
        <v>1262</v>
      </c>
      <c r="K500" s="14"/>
      <c r="L500" s="14" t="s">
        <v>2181</v>
      </c>
      <c r="M500" s="14" t="s">
        <v>2156</v>
      </c>
      <c r="N500" s="14" t="s">
        <v>1219</v>
      </c>
      <c r="O500" s="14" t="s">
        <v>1220</v>
      </c>
    </row>
    <row r="501" spans="1:15" x14ac:dyDescent="0.25">
      <c r="A501" s="14" t="s">
        <v>2184</v>
      </c>
      <c r="B501" s="14" t="s">
        <v>2185</v>
      </c>
      <c r="C501" s="14" t="s">
        <v>2185</v>
      </c>
      <c r="D501" s="14" t="s">
        <v>1222</v>
      </c>
      <c r="E501" s="15"/>
      <c r="F501" s="14"/>
      <c r="G501" s="15"/>
      <c r="H501" s="14" t="s">
        <v>1223</v>
      </c>
      <c r="I501" s="14"/>
      <c r="J501" s="14"/>
      <c r="K501" s="14"/>
      <c r="L501" s="14"/>
      <c r="M501" s="14"/>
      <c r="N501" s="14" t="s">
        <v>1219</v>
      </c>
      <c r="O501" s="14" t="s">
        <v>1220</v>
      </c>
    </row>
    <row r="502" spans="1:15" x14ac:dyDescent="0.25">
      <c r="A502" s="14" t="s">
        <v>2186</v>
      </c>
      <c r="B502" s="14" t="s">
        <v>2187</v>
      </c>
      <c r="C502" s="14" t="s">
        <v>2187</v>
      </c>
      <c r="D502" s="14" t="s">
        <v>1349</v>
      </c>
      <c r="E502" s="15"/>
      <c r="F502" s="14"/>
      <c r="G502" s="15"/>
      <c r="H502" s="14" t="s">
        <v>1380</v>
      </c>
      <c r="I502" s="14" t="s">
        <v>1360</v>
      </c>
      <c r="J502" s="14" t="s">
        <v>1360</v>
      </c>
      <c r="K502" s="14"/>
      <c r="L502" s="14"/>
      <c r="M502" s="14" t="s">
        <v>1324</v>
      </c>
      <c r="N502" s="14" t="s">
        <v>1219</v>
      </c>
      <c r="O502" s="14" t="s">
        <v>1220</v>
      </c>
    </row>
    <row r="503" spans="1:15" x14ac:dyDescent="0.25">
      <c r="A503" s="14">
        <v>4530</v>
      </c>
      <c r="B503" s="14" t="s">
        <v>596</v>
      </c>
      <c r="C503" s="14" t="s">
        <v>2188</v>
      </c>
      <c r="D503" s="14" t="s">
        <v>2189</v>
      </c>
      <c r="E503" s="16">
        <v>100</v>
      </c>
      <c r="F503" s="14" t="s">
        <v>1321</v>
      </c>
      <c r="G503" s="17">
        <v>1000</v>
      </c>
      <c r="H503" s="14" t="s">
        <v>1322</v>
      </c>
      <c r="I503" s="14" t="s">
        <v>1256</v>
      </c>
      <c r="J503" s="14" t="s">
        <v>1296</v>
      </c>
      <c r="K503" s="14" t="s">
        <v>1257</v>
      </c>
      <c r="L503" s="14" t="s">
        <v>2190</v>
      </c>
      <c r="M503" s="14" t="s">
        <v>2191</v>
      </c>
      <c r="N503" s="14" t="s">
        <v>1237</v>
      </c>
      <c r="O503" s="14" t="s">
        <v>1220</v>
      </c>
    </row>
    <row r="504" spans="1:15" x14ac:dyDescent="0.25">
      <c r="A504" s="14" t="s">
        <v>2192</v>
      </c>
      <c r="B504" s="14" t="s">
        <v>2193</v>
      </c>
      <c r="C504" s="14" t="s">
        <v>2193</v>
      </c>
      <c r="D504" s="14" t="s">
        <v>2189</v>
      </c>
      <c r="E504" s="15"/>
      <c r="F504" s="14" t="s">
        <v>1350</v>
      </c>
      <c r="G504" s="15"/>
      <c r="H504" s="14" t="s">
        <v>1380</v>
      </c>
      <c r="I504" s="14" t="s">
        <v>1360</v>
      </c>
      <c r="J504" s="14" t="s">
        <v>1385</v>
      </c>
      <c r="K504" s="14" t="s">
        <v>1257</v>
      </c>
      <c r="L504" s="14" t="s">
        <v>2181</v>
      </c>
      <c r="M504" s="14" t="s">
        <v>1324</v>
      </c>
      <c r="N504" s="14" t="s">
        <v>1219</v>
      </c>
      <c r="O504" s="14" t="s">
        <v>1220</v>
      </c>
    </row>
    <row r="505" spans="1:15" x14ac:dyDescent="0.25">
      <c r="A505" s="14">
        <v>4529</v>
      </c>
      <c r="B505" s="14" t="s">
        <v>597</v>
      </c>
      <c r="C505" s="14" t="s">
        <v>2194</v>
      </c>
      <c r="D505" s="14" t="s">
        <v>2189</v>
      </c>
      <c r="E505" s="16">
        <v>180</v>
      </c>
      <c r="F505" s="14" t="s">
        <v>1321</v>
      </c>
      <c r="G505" s="17">
        <v>2160</v>
      </c>
      <c r="H505" s="14" t="s">
        <v>1322</v>
      </c>
      <c r="I505" s="14" t="s">
        <v>1256</v>
      </c>
      <c r="J505" s="14" t="s">
        <v>1296</v>
      </c>
      <c r="K505" s="14" t="s">
        <v>1257</v>
      </c>
      <c r="L505" s="14" t="s">
        <v>2195</v>
      </c>
      <c r="M505" s="14" t="s">
        <v>2191</v>
      </c>
      <c r="N505" s="14" t="s">
        <v>1237</v>
      </c>
      <c r="O505" s="14" t="s">
        <v>1220</v>
      </c>
    </row>
    <row r="506" spans="1:15" x14ac:dyDescent="0.25">
      <c r="A506" s="14" t="s">
        <v>2196</v>
      </c>
      <c r="B506" s="14" t="s">
        <v>2197</v>
      </c>
      <c r="C506" s="14" t="s">
        <v>2198</v>
      </c>
      <c r="D506" s="14" t="s">
        <v>2189</v>
      </c>
      <c r="E506" s="15"/>
      <c r="F506" s="14" t="s">
        <v>1321</v>
      </c>
      <c r="G506" s="15"/>
      <c r="H506" s="14" t="s">
        <v>1322</v>
      </c>
      <c r="I506" s="14" t="s">
        <v>1262</v>
      </c>
      <c r="J506" s="14" t="s">
        <v>1262</v>
      </c>
      <c r="K506" s="14"/>
      <c r="L506" s="14" t="s">
        <v>2195</v>
      </c>
      <c r="M506" s="14" t="s">
        <v>2191</v>
      </c>
      <c r="N506" s="14" t="s">
        <v>1219</v>
      </c>
      <c r="O506" s="14" t="s">
        <v>1220</v>
      </c>
    </row>
    <row r="507" spans="1:15" x14ac:dyDescent="0.25">
      <c r="A507" s="14" t="s">
        <v>2199</v>
      </c>
      <c r="B507" s="14" t="s">
        <v>2200</v>
      </c>
      <c r="C507" s="14" t="s">
        <v>2200</v>
      </c>
      <c r="D507" s="14" t="s">
        <v>1349</v>
      </c>
      <c r="E507" s="15"/>
      <c r="F507" s="14"/>
      <c r="G507" s="15"/>
      <c r="H507" s="14" t="s">
        <v>1380</v>
      </c>
      <c r="I507" s="14" t="s">
        <v>1360</v>
      </c>
      <c r="J507" s="14" t="s">
        <v>1360</v>
      </c>
      <c r="K507" s="14"/>
      <c r="L507" s="14"/>
      <c r="M507" s="14" t="s">
        <v>1324</v>
      </c>
      <c r="N507" s="14" t="s">
        <v>1219</v>
      </c>
      <c r="O507" s="14" t="s">
        <v>1220</v>
      </c>
    </row>
    <row r="508" spans="1:15" x14ac:dyDescent="0.25">
      <c r="A508" s="14" t="s">
        <v>2201</v>
      </c>
      <c r="B508" s="14" t="s">
        <v>2202</v>
      </c>
      <c r="C508" s="14" t="s">
        <v>2202</v>
      </c>
      <c r="D508" s="14" t="s">
        <v>1349</v>
      </c>
      <c r="E508" s="15"/>
      <c r="F508" s="14"/>
      <c r="G508" s="15"/>
      <c r="H508" s="14" t="s">
        <v>1380</v>
      </c>
      <c r="I508" s="14" t="s">
        <v>1360</v>
      </c>
      <c r="J508" s="14" t="s">
        <v>1360</v>
      </c>
      <c r="K508" s="14"/>
      <c r="L508" s="14"/>
      <c r="M508" s="14" t="s">
        <v>1324</v>
      </c>
      <c r="N508" s="14" t="s">
        <v>1219</v>
      </c>
      <c r="O508" s="14" t="s">
        <v>1220</v>
      </c>
    </row>
    <row r="509" spans="1:15" x14ac:dyDescent="0.25">
      <c r="A509" s="14">
        <v>2484</v>
      </c>
      <c r="B509" s="14" t="s">
        <v>595</v>
      </c>
      <c r="C509" s="14" t="s">
        <v>2203</v>
      </c>
      <c r="D509" s="14" t="s">
        <v>2189</v>
      </c>
      <c r="E509" s="16">
        <v>300</v>
      </c>
      <c r="F509" s="14" t="s">
        <v>1321</v>
      </c>
      <c r="G509" s="17">
        <v>5400</v>
      </c>
      <c r="H509" s="14" t="s">
        <v>1322</v>
      </c>
      <c r="I509" s="14" t="s">
        <v>1256</v>
      </c>
      <c r="J509" s="14" t="s">
        <v>1242</v>
      </c>
      <c r="K509" s="14" t="s">
        <v>1257</v>
      </c>
      <c r="L509" s="14" t="s">
        <v>2204</v>
      </c>
      <c r="M509" s="14" t="s">
        <v>2191</v>
      </c>
      <c r="N509" s="14" t="s">
        <v>1237</v>
      </c>
      <c r="O509" s="14" t="s">
        <v>1220</v>
      </c>
    </row>
    <row r="510" spans="1:15" x14ac:dyDescent="0.25">
      <c r="A510" s="14" t="s">
        <v>2205</v>
      </c>
      <c r="B510" s="14" t="s">
        <v>2206</v>
      </c>
      <c r="C510" s="14" t="s">
        <v>2207</v>
      </c>
      <c r="D510" s="14" t="s">
        <v>2189</v>
      </c>
      <c r="E510" s="15"/>
      <c r="F510" s="14" t="s">
        <v>1321</v>
      </c>
      <c r="G510" s="15"/>
      <c r="H510" s="14" t="s">
        <v>1322</v>
      </c>
      <c r="I510" s="14" t="s">
        <v>1262</v>
      </c>
      <c r="J510" s="14" t="s">
        <v>1262</v>
      </c>
      <c r="K510" s="14"/>
      <c r="L510" s="14" t="s">
        <v>2204</v>
      </c>
      <c r="M510" s="14" t="s">
        <v>2191</v>
      </c>
      <c r="N510" s="14" t="s">
        <v>1219</v>
      </c>
      <c r="O510" s="14" t="s">
        <v>1220</v>
      </c>
    </row>
    <row r="511" spans="1:15" x14ac:dyDescent="0.25">
      <c r="A511" s="14">
        <v>2481</v>
      </c>
      <c r="B511" s="14" t="s">
        <v>593</v>
      </c>
      <c r="C511" s="14" t="s">
        <v>2208</v>
      </c>
      <c r="D511" s="14" t="s">
        <v>2189</v>
      </c>
      <c r="E511" s="17">
        <v>1500</v>
      </c>
      <c r="F511" s="14" t="s">
        <v>1321</v>
      </c>
      <c r="G511" s="17">
        <v>21000</v>
      </c>
      <c r="H511" s="14" t="s">
        <v>1322</v>
      </c>
      <c r="I511" s="14" t="s">
        <v>1256</v>
      </c>
      <c r="J511" s="14" t="s">
        <v>1242</v>
      </c>
      <c r="K511" s="14" t="s">
        <v>1257</v>
      </c>
      <c r="L511" s="14" t="s">
        <v>2209</v>
      </c>
      <c r="M511" s="14" t="s">
        <v>2191</v>
      </c>
      <c r="N511" s="14" t="s">
        <v>1237</v>
      </c>
      <c r="O511" s="14" t="s">
        <v>1220</v>
      </c>
    </row>
    <row r="512" spans="1:15" x14ac:dyDescent="0.25">
      <c r="A512" s="14" t="s">
        <v>2210</v>
      </c>
      <c r="B512" s="14" t="s">
        <v>2211</v>
      </c>
      <c r="C512" s="14" t="s">
        <v>2212</v>
      </c>
      <c r="D512" s="14" t="s">
        <v>2189</v>
      </c>
      <c r="E512" s="15"/>
      <c r="F512" s="14" t="s">
        <v>1321</v>
      </c>
      <c r="G512" s="15"/>
      <c r="H512" s="14" t="s">
        <v>1322</v>
      </c>
      <c r="I512" s="14" t="s">
        <v>1262</v>
      </c>
      <c r="J512" s="14" t="s">
        <v>1262</v>
      </c>
      <c r="K512" s="14"/>
      <c r="L512" s="14" t="s">
        <v>2209</v>
      </c>
      <c r="M512" s="14" t="s">
        <v>2191</v>
      </c>
      <c r="N512" s="14" t="s">
        <v>1219</v>
      </c>
      <c r="O512" s="14" t="s">
        <v>1220</v>
      </c>
    </row>
    <row r="513" spans="1:15" x14ac:dyDescent="0.25">
      <c r="A513" s="14">
        <v>4531</v>
      </c>
      <c r="B513" s="14" t="s">
        <v>598</v>
      </c>
      <c r="C513" s="14" t="s">
        <v>2213</v>
      </c>
      <c r="D513" s="14" t="s">
        <v>2189</v>
      </c>
      <c r="E513" s="16">
        <v>80</v>
      </c>
      <c r="F513" s="14" t="s">
        <v>1321</v>
      </c>
      <c r="G513" s="16">
        <v>800</v>
      </c>
      <c r="H513" s="14" t="s">
        <v>1322</v>
      </c>
      <c r="I513" s="14" t="s">
        <v>1256</v>
      </c>
      <c r="J513" s="14" t="s">
        <v>1296</v>
      </c>
      <c r="K513" s="14" t="s">
        <v>1257</v>
      </c>
      <c r="L513" s="14" t="s">
        <v>2214</v>
      </c>
      <c r="M513" s="14" t="s">
        <v>2191</v>
      </c>
      <c r="N513" s="14" t="s">
        <v>1237</v>
      </c>
      <c r="O513" s="14" t="s">
        <v>1220</v>
      </c>
    </row>
    <row r="514" spans="1:15" x14ac:dyDescent="0.25">
      <c r="A514" s="14">
        <v>2483</v>
      </c>
      <c r="B514" s="14" t="s">
        <v>594</v>
      </c>
      <c r="C514" s="14" t="s">
        <v>2215</v>
      </c>
      <c r="D514" s="14" t="s">
        <v>2189</v>
      </c>
      <c r="E514" s="16">
        <v>700</v>
      </c>
      <c r="F514" s="14" t="s">
        <v>1321</v>
      </c>
      <c r="G514" s="17">
        <v>7000</v>
      </c>
      <c r="H514" s="14" t="s">
        <v>1322</v>
      </c>
      <c r="I514" s="14" t="s">
        <v>1256</v>
      </c>
      <c r="J514" s="14" t="s">
        <v>1242</v>
      </c>
      <c r="K514" s="14" t="s">
        <v>1257</v>
      </c>
      <c r="L514" s="14" t="s">
        <v>2216</v>
      </c>
      <c r="M514" s="14" t="s">
        <v>2191</v>
      </c>
      <c r="N514" s="14" t="s">
        <v>1237</v>
      </c>
      <c r="O514" s="14" t="s">
        <v>1220</v>
      </c>
    </row>
    <row r="515" spans="1:15" x14ac:dyDescent="0.25">
      <c r="A515" s="14" t="s">
        <v>2217</v>
      </c>
      <c r="B515" s="14" t="s">
        <v>2218</v>
      </c>
      <c r="C515" s="14" t="s">
        <v>2219</v>
      </c>
      <c r="D515" s="14" t="s">
        <v>2189</v>
      </c>
      <c r="E515" s="15"/>
      <c r="F515" s="14" t="s">
        <v>1321</v>
      </c>
      <c r="G515" s="15"/>
      <c r="H515" s="14" t="s">
        <v>1322</v>
      </c>
      <c r="I515" s="14" t="s">
        <v>1262</v>
      </c>
      <c r="J515" s="14" t="s">
        <v>1262</v>
      </c>
      <c r="K515" s="14"/>
      <c r="L515" s="14" t="s">
        <v>2216</v>
      </c>
      <c r="M515" s="14" t="s">
        <v>2191</v>
      </c>
      <c r="N515" s="14" t="s">
        <v>1219</v>
      </c>
      <c r="O515" s="14" t="s">
        <v>1220</v>
      </c>
    </row>
    <row r="516" spans="1:15" x14ac:dyDescent="0.25">
      <c r="A516" s="14">
        <v>4535</v>
      </c>
      <c r="B516" s="14" t="s">
        <v>602</v>
      </c>
      <c r="C516" s="14" t="s">
        <v>2220</v>
      </c>
      <c r="D516" s="14" t="s">
        <v>2189</v>
      </c>
      <c r="E516" s="16">
        <v>130</v>
      </c>
      <c r="F516" s="14" t="s">
        <v>1321</v>
      </c>
      <c r="G516" s="16">
        <v>910</v>
      </c>
      <c r="H516" s="14" t="s">
        <v>1322</v>
      </c>
      <c r="I516" s="14" t="s">
        <v>1256</v>
      </c>
      <c r="J516" s="14" t="s">
        <v>1296</v>
      </c>
      <c r="K516" s="14" t="s">
        <v>1387</v>
      </c>
      <c r="L516" s="14" t="s">
        <v>2221</v>
      </c>
      <c r="M516" s="14" t="s">
        <v>2191</v>
      </c>
      <c r="N516" s="14" t="s">
        <v>1237</v>
      </c>
      <c r="O516" s="14" t="s">
        <v>1220</v>
      </c>
    </row>
    <row r="517" spans="1:15" x14ac:dyDescent="0.25">
      <c r="A517" s="14">
        <v>4532</v>
      </c>
      <c r="B517" s="14" t="s">
        <v>599</v>
      </c>
      <c r="C517" s="14" t="s">
        <v>2222</v>
      </c>
      <c r="D517" s="14" t="s">
        <v>2189</v>
      </c>
      <c r="E517" s="16">
        <v>600</v>
      </c>
      <c r="F517" s="14" t="s">
        <v>1321</v>
      </c>
      <c r="G517" s="17">
        <v>14400</v>
      </c>
      <c r="H517" s="14" t="s">
        <v>1322</v>
      </c>
      <c r="I517" s="14" t="s">
        <v>1256</v>
      </c>
      <c r="J517" s="14" t="s">
        <v>1242</v>
      </c>
      <c r="K517" s="14" t="s">
        <v>1257</v>
      </c>
      <c r="L517" s="14" t="s">
        <v>2223</v>
      </c>
      <c r="M517" s="14" t="s">
        <v>2191</v>
      </c>
      <c r="N517" s="14" t="s">
        <v>1237</v>
      </c>
      <c r="O517" s="14" t="s">
        <v>1220</v>
      </c>
    </row>
    <row r="518" spans="1:15" x14ac:dyDescent="0.25">
      <c r="A518" s="14" t="s">
        <v>2224</v>
      </c>
      <c r="B518" s="14" t="s">
        <v>2225</v>
      </c>
      <c r="C518" s="14" t="s">
        <v>2226</v>
      </c>
      <c r="D518" s="14" t="s">
        <v>2189</v>
      </c>
      <c r="E518" s="15"/>
      <c r="F518" s="14" t="s">
        <v>1321</v>
      </c>
      <c r="G518" s="15"/>
      <c r="H518" s="14" t="s">
        <v>1322</v>
      </c>
      <c r="I518" s="14" t="s">
        <v>1262</v>
      </c>
      <c r="J518" s="14" t="s">
        <v>1262</v>
      </c>
      <c r="K518" s="14"/>
      <c r="L518" s="14" t="s">
        <v>2223</v>
      </c>
      <c r="M518" s="14" t="s">
        <v>2191</v>
      </c>
      <c r="N518" s="14" t="s">
        <v>1219</v>
      </c>
      <c r="O518" s="14" t="s">
        <v>1220</v>
      </c>
    </row>
    <row r="519" spans="1:15" x14ac:dyDescent="0.25">
      <c r="A519" s="14">
        <v>4533</v>
      </c>
      <c r="B519" s="14" t="s">
        <v>600</v>
      </c>
      <c r="C519" s="14" t="s">
        <v>2227</v>
      </c>
      <c r="D519" s="14" t="s">
        <v>2189</v>
      </c>
      <c r="E519" s="16">
        <v>300</v>
      </c>
      <c r="F519" s="14" t="s">
        <v>1321</v>
      </c>
      <c r="G519" s="17">
        <v>3900</v>
      </c>
      <c r="H519" s="14" t="s">
        <v>1322</v>
      </c>
      <c r="I519" s="14" t="s">
        <v>1256</v>
      </c>
      <c r="J519" s="14" t="s">
        <v>1296</v>
      </c>
      <c r="K519" s="14" t="s">
        <v>1257</v>
      </c>
      <c r="L519" s="14" t="s">
        <v>2228</v>
      </c>
      <c r="M519" s="14" t="s">
        <v>2191</v>
      </c>
      <c r="N519" s="14" t="s">
        <v>1237</v>
      </c>
      <c r="O519" s="14" t="s">
        <v>1220</v>
      </c>
    </row>
    <row r="520" spans="1:15" x14ac:dyDescent="0.25">
      <c r="A520" s="14" t="s">
        <v>2229</v>
      </c>
      <c r="B520" s="14" t="s">
        <v>2230</v>
      </c>
      <c r="C520" s="14" t="s">
        <v>2230</v>
      </c>
      <c r="D520" s="14" t="s">
        <v>2189</v>
      </c>
      <c r="E520" s="15"/>
      <c r="F520" s="14" t="s">
        <v>1321</v>
      </c>
      <c r="G520" s="15"/>
      <c r="H520" s="14" t="s">
        <v>1322</v>
      </c>
      <c r="I520" s="14" t="s">
        <v>1262</v>
      </c>
      <c r="J520" s="14" t="s">
        <v>1262</v>
      </c>
      <c r="K520" s="14" t="s">
        <v>1257</v>
      </c>
      <c r="L520" s="14" t="s">
        <v>2228</v>
      </c>
      <c r="M520" s="14" t="s">
        <v>2191</v>
      </c>
      <c r="N520" s="14" t="s">
        <v>1219</v>
      </c>
      <c r="O520" s="14" t="s">
        <v>1220</v>
      </c>
    </row>
    <row r="521" spans="1:15" x14ac:dyDescent="0.25">
      <c r="A521" s="14" t="s">
        <v>2231</v>
      </c>
      <c r="B521" s="14" t="s">
        <v>2232</v>
      </c>
      <c r="C521" s="14" t="s">
        <v>2232</v>
      </c>
      <c r="D521" s="14" t="s">
        <v>2189</v>
      </c>
      <c r="E521" s="15"/>
      <c r="F521" s="14" t="s">
        <v>1321</v>
      </c>
      <c r="G521" s="15"/>
      <c r="H521" s="14" t="s">
        <v>1322</v>
      </c>
      <c r="I521" s="14" t="s">
        <v>1262</v>
      </c>
      <c r="J521" s="14" t="s">
        <v>1262</v>
      </c>
      <c r="K521" s="14" t="s">
        <v>1257</v>
      </c>
      <c r="L521" s="14" t="s">
        <v>2233</v>
      </c>
      <c r="M521" s="14" t="s">
        <v>2191</v>
      </c>
      <c r="N521" s="14" t="s">
        <v>1219</v>
      </c>
      <c r="O521" s="14" t="s">
        <v>1220</v>
      </c>
    </row>
    <row r="522" spans="1:15" x14ac:dyDescent="0.25">
      <c r="A522" s="14">
        <v>4534</v>
      </c>
      <c r="B522" s="14" t="s">
        <v>601</v>
      </c>
      <c r="C522" s="14" t="s">
        <v>2234</v>
      </c>
      <c r="D522" s="14" t="s">
        <v>2189</v>
      </c>
      <c r="E522" s="16">
        <v>200</v>
      </c>
      <c r="F522" s="14" t="s">
        <v>1321</v>
      </c>
      <c r="G522" s="16">
        <v>800</v>
      </c>
      <c r="H522" s="14" t="s">
        <v>1322</v>
      </c>
      <c r="I522" s="14" t="s">
        <v>1256</v>
      </c>
      <c r="J522" s="14" t="s">
        <v>1296</v>
      </c>
      <c r="K522" s="14" t="s">
        <v>1257</v>
      </c>
      <c r="L522" s="14" t="s">
        <v>2233</v>
      </c>
      <c r="M522" s="14" t="s">
        <v>2191</v>
      </c>
      <c r="N522" s="14" t="s">
        <v>1237</v>
      </c>
      <c r="O522" s="14" t="s">
        <v>1220</v>
      </c>
    </row>
    <row r="523" spans="1:15" x14ac:dyDescent="0.25">
      <c r="A523" s="14">
        <v>1000538077</v>
      </c>
      <c r="B523" s="14" t="s">
        <v>2235</v>
      </c>
      <c r="C523" s="14" t="s">
        <v>2235</v>
      </c>
      <c r="D523" s="14" t="s">
        <v>1222</v>
      </c>
      <c r="E523" s="15"/>
      <c r="F523" s="14"/>
      <c r="G523" s="15"/>
      <c r="H523" s="14" t="s">
        <v>1223</v>
      </c>
      <c r="I523" s="14"/>
      <c r="J523" s="14"/>
      <c r="K523" s="14"/>
      <c r="L523" s="14"/>
      <c r="M523" s="14"/>
      <c r="N523" s="14" t="s">
        <v>1219</v>
      </c>
      <c r="O523" s="14" t="s">
        <v>1220</v>
      </c>
    </row>
    <row r="524" spans="1:15" x14ac:dyDescent="0.25">
      <c r="A524" s="14" t="s">
        <v>2236</v>
      </c>
      <c r="B524" s="14" t="s">
        <v>2237</v>
      </c>
      <c r="C524" s="14" t="s">
        <v>2237</v>
      </c>
      <c r="D524" s="14" t="s">
        <v>1222</v>
      </c>
      <c r="E524" s="15"/>
      <c r="F524" s="14"/>
      <c r="G524" s="15"/>
      <c r="H524" s="14" t="s">
        <v>1223</v>
      </c>
      <c r="I524" s="14"/>
      <c r="J524" s="14"/>
      <c r="K524" s="14"/>
      <c r="L524" s="14"/>
      <c r="M524" s="14"/>
      <c r="N524" s="14" t="s">
        <v>1219</v>
      </c>
      <c r="O524" s="14" t="s">
        <v>1220</v>
      </c>
    </row>
    <row r="525" spans="1:15" x14ac:dyDescent="0.25">
      <c r="A525" s="14">
        <v>1115</v>
      </c>
      <c r="B525" s="14" t="s">
        <v>2238</v>
      </c>
      <c r="C525" s="14" t="s">
        <v>2238</v>
      </c>
      <c r="D525" s="14" t="s">
        <v>2239</v>
      </c>
      <c r="E525" s="15"/>
      <c r="F525" s="14"/>
      <c r="G525" s="15"/>
      <c r="H525" s="14" t="s">
        <v>1588</v>
      </c>
      <c r="I525" s="14"/>
      <c r="J525" s="14"/>
      <c r="K525" s="14"/>
      <c r="L525" s="14"/>
      <c r="M525" s="14"/>
      <c r="N525" s="14" t="s">
        <v>1219</v>
      </c>
      <c r="O525" s="14" t="s">
        <v>1220</v>
      </c>
    </row>
    <row r="526" spans="1:15" x14ac:dyDescent="0.25">
      <c r="A526" s="14" t="s">
        <v>2240</v>
      </c>
      <c r="B526" s="14" t="s">
        <v>2241</v>
      </c>
      <c r="C526" s="14" t="s">
        <v>2241</v>
      </c>
      <c r="D526" s="14" t="s">
        <v>1222</v>
      </c>
      <c r="E526" s="15"/>
      <c r="F526" s="14"/>
      <c r="G526" s="15"/>
      <c r="H526" s="14" t="s">
        <v>1223</v>
      </c>
      <c r="I526" s="14"/>
      <c r="J526" s="14"/>
      <c r="K526" s="14"/>
      <c r="L526" s="14"/>
      <c r="M526" s="14"/>
      <c r="N526" s="14" t="s">
        <v>1219</v>
      </c>
      <c r="O526" s="14" t="s">
        <v>1220</v>
      </c>
    </row>
    <row r="527" spans="1:15" x14ac:dyDescent="0.25">
      <c r="A527" s="14" t="s">
        <v>2242</v>
      </c>
      <c r="B527" s="14" t="s">
        <v>2243</v>
      </c>
      <c r="C527" s="14" t="s">
        <v>2243</v>
      </c>
      <c r="D527" s="14" t="s">
        <v>1222</v>
      </c>
      <c r="E527" s="15"/>
      <c r="F527" s="14"/>
      <c r="G527" s="15"/>
      <c r="H527" s="14" t="s">
        <v>1223</v>
      </c>
      <c r="I527" s="14"/>
      <c r="J527" s="14"/>
      <c r="K527" s="14"/>
      <c r="L527" s="14"/>
      <c r="M527" s="14"/>
      <c r="N527" s="14" t="s">
        <v>1219</v>
      </c>
      <c r="O527" s="14" t="s">
        <v>1220</v>
      </c>
    </row>
    <row r="528" spans="1:15" x14ac:dyDescent="0.25">
      <c r="A528" s="14">
        <v>53800</v>
      </c>
      <c r="B528" s="14" t="s">
        <v>2244</v>
      </c>
      <c r="C528" s="14" t="s">
        <v>2244</v>
      </c>
      <c r="D528" s="14" t="s">
        <v>1222</v>
      </c>
      <c r="E528" s="15"/>
      <c r="F528" s="14"/>
      <c r="G528" s="15"/>
      <c r="H528" s="14" t="s">
        <v>1223</v>
      </c>
      <c r="I528" s="14"/>
      <c r="J528" s="14"/>
      <c r="K528" s="14"/>
      <c r="L528" s="14"/>
      <c r="M528" s="14"/>
      <c r="N528" s="14" t="s">
        <v>1219</v>
      </c>
      <c r="O528" s="14" t="s">
        <v>1220</v>
      </c>
    </row>
    <row r="529" spans="1:15" x14ac:dyDescent="0.25">
      <c r="A529" s="14">
        <v>54201</v>
      </c>
      <c r="B529" s="14" t="s">
        <v>2245</v>
      </c>
      <c r="C529" s="14" t="s">
        <v>2245</v>
      </c>
      <c r="D529" s="14" t="s">
        <v>1222</v>
      </c>
      <c r="E529" s="15"/>
      <c r="F529" s="14"/>
      <c r="G529" s="15"/>
      <c r="H529" s="14" t="s">
        <v>1223</v>
      </c>
      <c r="I529" s="14"/>
      <c r="J529" s="14"/>
      <c r="K529" s="14"/>
      <c r="L529" s="14"/>
      <c r="M529" s="14"/>
      <c r="N529" s="14" t="s">
        <v>1219</v>
      </c>
      <c r="O529" s="14" t="s">
        <v>1220</v>
      </c>
    </row>
    <row r="530" spans="1:15" x14ac:dyDescent="0.25">
      <c r="A530" s="14">
        <v>55240</v>
      </c>
      <c r="B530" s="14" t="s">
        <v>2246</v>
      </c>
      <c r="C530" s="14" t="s">
        <v>2246</v>
      </c>
      <c r="D530" s="14" t="s">
        <v>1222</v>
      </c>
      <c r="E530" s="15"/>
      <c r="F530" s="14"/>
      <c r="G530" s="15"/>
      <c r="H530" s="14" t="s">
        <v>1223</v>
      </c>
      <c r="I530" s="14"/>
      <c r="J530" s="14"/>
      <c r="K530" s="14"/>
      <c r="L530" s="14"/>
      <c r="M530" s="14"/>
      <c r="N530" s="14" t="s">
        <v>1219</v>
      </c>
      <c r="O530" s="14" t="s">
        <v>1220</v>
      </c>
    </row>
    <row r="531" spans="1:15" x14ac:dyDescent="0.25">
      <c r="A531" s="14">
        <v>53500</v>
      </c>
      <c r="B531" s="14" t="s">
        <v>2247</v>
      </c>
      <c r="C531" s="14" t="s">
        <v>2248</v>
      </c>
      <c r="D531" s="14" t="s">
        <v>1222</v>
      </c>
      <c r="E531" s="15"/>
      <c r="F531" s="14"/>
      <c r="G531" s="15"/>
      <c r="H531" s="14" t="s">
        <v>1223</v>
      </c>
      <c r="I531" s="14"/>
      <c r="J531" s="14"/>
      <c r="K531" s="14"/>
      <c r="L531" s="14"/>
      <c r="M531" s="14"/>
      <c r="N531" s="14" t="s">
        <v>1219</v>
      </c>
      <c r="O531" s="14" t="s">
        <v>1220</v>
      </c>
    </row>
    <row r="532" spans="1:15" x14ac:dyDescent="0.25">
      <c r="A532" s="14">
        <v>53600</v>
      </c>
      <c r="B532" s="14" t="s">
        <v>2249</v>
      </c>
      <c r="C532" s="14" t="s">
        <v>2249</v>
      </c>
      <c r="D532" s="14" t="s">
        <v>1222</v>
      </c>
      <c r="E532" s="15"/>
      <c r="F532" s="14"/>
      <c r="G532" s="15"/>
      <c r="H532" s="14" t="s">
        <v>1223</v>
      </c>
      <c r="I532" s="14"/>
      <c r="J532" s="14"/>
      <c r="K532" s="14"/>
      <c r="L532" s="14"/>
      <c r="M532" s="14"/>
      <c r="N532" s="14" t="s">
        <v>1219</v>
      </c>
      <c r="O532" s="14" t="s">
        <v>1220</v>
      </c>
    </row>
    <row r="533" spans="1:15" x14ac:dyDescent="0.25">
      <c r="A533" s="14">
        <v>53810</v>
      </c>
      <c r="B533" s="14" t="s">
        <v>2250</v>
      </c>
      <c r="C533" s="14" t="s">
        <v>2250</v>
      </c>
      <c r="D533" s="14" t="s">
        <v>1222</v>
      </c>
      <c r="E533" s="15"/>
      <c r="F533" s="14"/>
      <c r="G533" s="15"/>
      <c r="H533" s="14" t="s">
        <v>1223</v>
      </c>
      <c r="I533" s="14"/>
      <c r="J533" s="14"/>
      <c r="K533" s="14"/>
      <c r="L533" s="14"/>
      <c r="M533" s="14"/>
      <c r="N533" s="14" t="s">
        <v>1219</v>
      </c>
      <c r="O533" s="14" t="s">
        <v>1220</v>
      </c>
    </row>
    <row r="534" spans="1:15" x14ac:dyDescent="0.25">
      <c r="A534" s="14">
        <v>54010</v>
      </c>
      <c r="B534" s="14" t="s">
        <v>2251</v>
      </c>
      <c r="C534" s="14" t="s">
        <v>2251</v>
      </c>
      <c r="D534" s="14" t="s">
        <v>1222</v>
      </c>
      <c r="E534" s="15"/>
      <c r="F534" s="14"/>
      <c r="G534" s="15"/>
      <c r="H534" s="14" t="s">
        <v>1223</v>
      </c>
      <c r="I534" s="14"/>
      <c r="J534" s="14"/>
      <c r="K534" s="14"/>
      <c r="L534" s="14"/>
      <c r="M534" s="14"/>
      <c r="N534" s="14" t="s">
        <v>1219</v>
      </c>
      <c r="O534" s="14" t="s">
        <v>1220</v>
      </c>
    </row>
    <row r="535" spans="1:15" x14ac:dyDescent="0.25">
      <c r="A535" s="14">
        <v>54110</v>
      </c>
      <c r="B535" s="14" t="s">
        <v>2252</v>
      </c>
      <c r="C535" s="14" t="s">
        <v>2252</v>
      </c>
      <c r="D535" s="14" t="s">
        <v>1222</v>
      </c>
      <c r="E535" s="15"/>
      <c r="F535" s="14"/>
      <c r="G535" s="15"/>
      <c r="H535" s="14" t="s">
        <v>1223</v>
      </c>
      <c r="I535" s="14"/>
      <c r="J535" s="14"/>
      <c r="K535" s="14"/>
      <c r="L535" s="14"/>
      <c r="M535" s="14"/>
      <c r="N535" s="14" t="s">
        <v>1219</v>
      </c>
      <c r="O535" s="14" t="s">
        <v>1220</v>
      </c>
    </row>
    <row r="536" spans="1:15" x14ac:dyDescent="0.25">
      <c r="A536" s="14">
        <v>54040</v>
      </c>
      <c r="B536" s="14" t="s">
        <v>2253</v>
      </c>
      <c r="C536" s="14" t="s">
        <v>2253</v>
      </c>
      <c r="D536" s="14" t="s">
        <v>1222</v>
      </c>
      <c r="E536" s="15"/>
      <c r="F536" s="14"/>
      <c r="G536" s="15"/>
      <c r="H536" s="14" t="s">
        <v>1223</v>
      </c>
      <c r="I536" s="14"/>
      <c r="J536" s="14"/>
      <c r="K536" s="14"/>
      <c r="L536" s="14"/>
      <c r="M536" s="14"/>
      <c r="N536" s="14" t="s">
        <v>1219</v>
      </c>
      <c r="O536" s="14" t="s">
        <v>1220</v>
      </c>
    </row>
    <row r="537" spans="1:15" x14ac:dyDescent="0.25">
      <c r="A537" s="14">
        <v>54020</v>
      </c>
      <c r="B537" s="14" t="s">
        <v>2254</v>
      </c>
      <c r="C537" s="14" t="s">
        <v>2254</v>
      </c>
      <c r="D537" s="14" t="s">
        <v>1222</v>
      </c>
      <c r="E537" s="15"/>
      <c r="F537" s="14"/>
      <c r="G537" s="15"/>
      <c r="H537" s="14" t="s">
        <v>1223</v>
      </c>
      <c r="I537" s="14"/>
      <c r="J537" s="14"/>
      <c r="K537" s="14"/>
      <c r="L537" s="14"/>
      <c r="M537" s="14"/>
      <c r="N537" s="14" t="s">
        <v>1219</v>
      </c>
      <c r="O537" s="14" t="s">
        <v>1220</v>
      </c>
    </row>
    <row r="538" spans="1:15" x14ac:dyDescent="0.25">
      <c r="A538" s="14">
        <v>59381</v>
      </c>
      <c r="B538" s="14" t="s">
        <v>2255</v>
      </c>
      <c r="C538" s="14" t="s">
        <v>2255</v>
      </c>
      <c r="D538" s="14" t="s">
        <v>1222</v>
      </c>
      <c r="E538" s="15"/>
      <c r="F538" s="14"/>
      <c r="G538" s="15"/>
      <c r="H538" s="14" t="s">
        <v>1223</v>
      </c>
      <c r="I538" s="14"/>
      <c r="J538" s="14"/>
      <c r="K538" s="14"/>
      <c r="L538" s="14"/>
      <c r="M538" s="14"/>
      <c r="N538" s="14" t="s">
        <v>1219</v>
      </c>
      <c r="O538" s="14" t="s">
        <v>1220</v>
      </c>
    </row>
    <row r="539" spans="1:15" x14ac:dyDescent="0.25">
      <c r="A539" s="14" t="s">
        <v>2256</v>
      </c>
      <c r="B539" s="14" t="s">
        <v>2257</v>
      </c>
      <c r="C539" s="14" t="s">
        <v>2258</v>
      </c>
      <c r="D539" s="14" t="s">
        <v>1215</v>
      </c>
      <c r="E539" s="15"/>
      <c r="F539" s="14" t="s">
        <v>1216</v>
      </c>
      <c r="G539" s="15"/>
      <c r="H539" s="14" t="s">
        <v>1216</v>
      </c>
      <c r="I539" s="14" t="s">
        <v>1217</v>
      </c>
      <c r="J539" s="14" t="s">
        <v>1233</v>
      </c>
      <c r="K539" s="14"/>
      <c r="L539" s="14" t="s">
        <v>2259</v>
      </c>
      <c r="M539" s="14" t="s">
        <v>2260</v>
      </c>
      <c r="N539" s="14" t="s">
        <v>1219</v>
      </c>
      <c r="O539" s="14" t="s">
        <v>1220</v>
      </c>
    </row>
    <row r="540" spans="1:15" x14ac:dyDescent="0.25">
      <c r="A540" s="14">
        <v>3954</v>
      </c>
      <c r="B540" s="14" t="s">
        <v>2261</v>
      </c>
      <c r="C540" s="14" t="s">
        <v>2262</v>
      </c>
      <c r="D540" s="14" t="s">
        <v>1349</v>
      </c>
      <c r="E540" s="15"/>
      <c r="F540" s="14"/>
      <c r="G540" s="15"/>
      <c r="H540" s="14" t="s">
        <v>1216</v>
      </c>
      <c r="I540" s="14" t="s">
        <v>1360</v>
      </c>
      <c r="J540" s="14" t="s">
        <v>1360</v>
      </c>
      <c r="K540" s="14"/>
      <c r="L540" s="14"/>
      <c r="M540" s="14" t="s">
        <v>2260</v>
      </c>
      <c r="N540" s="14" t="s">
        <v>1219</v>
      </c>
      <c r="O540" s="14" t="s">
        <v>1220</v>
      </c>
    </row>
    <row r="541" spans="1:15" x14ac:dyDescent="0.25">
      <c r="A541" s="14">
        <v>3953</v>
      </c>
      <c r="B541" s="14" t="s">
        <v>930</v>
      </c>
      <c r="C541" s="14" t="s">
        <v>2263</v>
      </c>
      <c r="D541" s="14" t="s">
        <v>2264</v>
      </c>
      <c r="E541" s="16">
        <v>30</v>
      </c>
      <c r="F541" s="14" t="s">
        <v>1216</v>
      </c>
      <c r="G541" s="16">
        <v>510</v>
      </c>
      <c r="H541" s="14" t="s">
        <v>1216</v>
      </c>
      <c r="I541" s="14" t="s">
        <v>1256</v>
      </c>
      <c r="J541" s="14" t="s">
        <v>1233</v>
      </c>
      <c r="K541" s="14" t="s">
        <v>1257</v>
      </c>
      <c r="L541" s="14" t="s">
        <v>2265</v>
      </c>
      <c r="M541" s="14" t="s">
        <v>2260</v>
      </c>
      <c r="N541" s="14" t="s">
        <v>1237</v>
      </c>
      <c r="O541" s="14" t="s">
        <v>1220</v>
      </c>
    </row>
    <row r="542" spans="1:15" x14ac:dyDescent="0.25">
      <c r="A542" s="14" t="s">
        <v>2266</v>
      </c>
      <c r="B542" s="14" t="s">
        <v>2267</v>
      </c>
      <c r="C542" s="14" t="s">
        <v>2268</v>
      </c>
      <c r="D542" s="14" t="s">
        <v>2269</v>
      </c>
      <c r="E542" s="15"/>
      <c r="F542" s="14" t="s">
        <v>1216</v>
      </c>
      <c r="G542" s="15"/>
      <c r="H542" s="14" t="s">
        <v>1216</v>
      </c>
      <c r="I542" s="14" t="s">
        <v>1262</v>
      </c>
      <c r="J542" s="14" t="s">
        <v>1262</v>
      </c>
      <c r="K542" s="14"/>
      <c r="L542" s="14" t="s">
        <v>2265</v>
      </c>
      <c r="M542" s="14" t="s">
        <v>2260</v>
      </c>
      <c r="N542" s="14" t="s">
        <v>1219</v>
      </c>
      <c r="O542" s="14" t="s">
        <v>1220</v>
      </c>
    </row>
    <row r="543" spans="1:15" x14ac:dyDescent="0.25">
      <c r="A543" s="14">
        <v>2335</v>
      </c>
      <c r="B543" s="14" t="s">
        <v>929</v>
      </c>
      <c r="C543" s="14" t="s">
        <v>2270</v>
      </c>
      <c r="D543" s="14" t="s">
        <v>2264</v>
      </c>
      <c r="E543" s="16">
        <v>80</v>
      </c>
      <c r="F543" s="14" t="s">
        <v>1216</v>
      </c>
      <c r="G543" s="17">
        <v>1040</v>
      </c>
      <c r="H543" s="14" t="s">
        <v>1216</v>
      </c>
      <c r="I543" s="14" t="s">
        <v>1256</v>
      </c>
      <c r="J543" s="14" t="s">
        <v>1233</v>
      </c>
      <c r="K543" s="14" t="s">
        <v>1257</v>
      </c>
      <c r="L543" s="14" t="s">
        <v>2271</v>
      </c>
      <c r="M543" s="14" t="s">
        <v>2260</v>
      </c>
      <c r="N543" s="14" t="s">
        <v>1237</v>
      </c>
      <c r="O543" s="14" t="s">
        <v>1220</v>
      </c>
    </row>
    <row r="544" spans="1:15" x14ac:dyDescent="0.25">
      <c r="A544" s="14" t="s">
        <v>2272</v>
      </c>
      <c r="B544" s="14" t="s">
        <v>2273</v>
      </c>
      <c r="C544" s="14" t="s">
        <v>2274</v>
      </c>
      <c r="D544" s="14" t="s">
        <v>2269</v>
      </c>
      <c r="E544" s="15"/>
      <c r="F544" s="14" t="s">
        <v>1216</v>
      </c>
      <c r="G544" s="15"/>
      <c r="H544" s="14" t="s">
        <v>1216</v>
      </c>
      <c r="I544" s="14" t="s">
        <v>1262</v>
      </c>
      <c r="J544" s="14" t="s">
        <v>1262</v>
      </c>
      <c r="K544" s="14"/>
      <c r="L544" s="14" t="s">
        <v>2271</v>
      </c>
      <c r="M544" s="14" t="s">
        <v>2260</v>
      </c>
      <c r="N544" s="14" t="s">
        <v>1219</v>
      </c>
      <c r="O544" s="14" t="s">
        <v>1220</v>
      </c>
    </row>
    <row r="545" spans="1:15" x14ac:dyDescent="0.25">
      <c r="A545" s="14">
        <v>1013301</v>
      </c>
      <c r="B545" s="14" t="s">
        <v>2275</v>
      </c>
      <c r="C545" s="14" t="s">
        <v>2276</v>
      </c>
      <c r="D545" s="14" t="s">
        <v>1215</v>
      </c>
      <c r="E545" s="15"/>
      <c r="F545" s="14" t="s">
        <v>1216</v>
      </c>
      <c r="G545" s="15"/>
      <c r="H545" s="14" t="s">
        <v>1216</v>
      </c>
      <c r="I545" s="14" t="s">
        <v>1217</v>
      </c>
      <c r="J545" s="14" t="s">
        <v>1233</v>
      </c>
      <c r="K545" s="14"/>
      <c r="L545" s="14"/>
      <c r="M545" s="14" t="s">
        <v>2260</v>
      </c>
      <c r="N545" s="14" t="s">
        <v>1219</v>
      </c>
      <c r="O545" s="14" t="s">
        <v>1220</v>
      </c>
    </row>
    <row r="546" spans="1:15" x14ac:dyDescent="0.25">
      <c r="A546" s="14">
        <v>1324</v>
      </c>
      <c r="B546" s="14" t="s">
        <v>927</v>
      </c>
      <c r="C546" s="14" t="s">
        <v>2276</v>
      </c>
      <c r="D546" s="14" t="s">
        <v>2264</v>
      </c>
      <c r="E546" s="16">
        <v>120</v>
      </c>
      <c r="F546" s="14" t="s">
        <v>1216</v>
      </c>
      <c r="G546" s="17">
        <v>3000</v>
      </c>
      <c r="H546" s="14" t="s">
        <v>1216</v>
      </c>
      <c r="I546" s="14" t="s">
        <v>1256</v>
      </c>
      <c r="J546" s="14" t="s">
        <v>1233</v>
      </c>
      <c r="K546" s="14" t="s">
        <v>1257</v>
      </c>
      <c r="L546" s="14" t="s">
        <v>2277</v>
      </c>
      <c r="M546" s="14" t="s">
        <v>2260</v>
      </c>
      <c r="N546" s="14" t="s">
        <v>1237</v>
      </c>
      <c r="O546" s="14" t="s">
        <v>1220</v>
      </c>
    </row>
    <row r="547" spans="1:15" x14ac:dyDescent="0.25">
      <c r="A547" s="14" t="s">
        <v>2278</v>
      </c>
      <c r="B547" s="14" t="s">
        <v>2279</v>
      </c>
      <c r="C547" s="14" t="s">
        <v>2280</v>
      </c>
      <c r="D547" s="14" t="s">
        <v>2269</v>
      </c>
      <c r="E547" s="15"/>
      <c r="F547" s="14" t="s">
        <v>1216</v>
      </c>
      <c r="G547" s="15"/>
      <c r="H547" s="14" t="s">
        <v>1216</v>
      </c>
      <c r="I547" s="14" t="s">
        <v>1262</v>
      </c>
      <c r="J547" s="14" t="s">
        <v>1262</v>
      </c>
      <c r="K547" s="14"/>
      <c r="L547" s="14" t="s">
        <v>2277</v>
      </c>
      <c r="M547" s="14" t="s">
        <v>2260</v>
      </c>
      <c r="N547" s="14" t="s">
        <v>1219</v>
      </c>
      <c r="O547" s="14" t="s">
        <v>1220</v>
      </c>
    </row>
    <row r="548" spans="1:15" x14ac:dyDescent="0.25">
      <c r="A548" s="14">
        <v>3955</v>
      </c>
      <c r="B548" s="14" t="s">
        <v>2281</v>
      </c>
      <c r="C548" s="14" t="s">
        <v>2282</v>
      </c>
      <c r="D548" s="14" t="s">
        <v>1349</v>
      </c>
      <c r="E548" s="15"/>
      <c r="F548" s="14"/>
      <c r="G548" s="15"/>
      <c r="H548" s="14" t="s">
        <v>1216</v>
      </c>
      <c r="I548" s="14" t="s">
        <v>1360</v>
      </c>
      <c r="J548" s="14" t="s">
        <v>1360</v>
      </c>
      <c r="K548" s="14"/>
      <c r="L548" s="14"/>
      <c r="M548" s="14" t="s">
        <v>2260</v>
      </c>
      <c r="N548" s="14" t="s">
        <v>1219</v>
      </c>
      <c r="O548" s="14" t="s">
        <v>1220</v>
      </c>
    </row>
    <row r="549" spans="1:15" x14ac:dyDescent="0.25">
      <c r="A549" s="14">
        <v>1325</v>
      </c>
      <c r="B549" s="14" t="s">
        <v>928</v>
      </c>
      <c r="C549" s="14" t="s">
        <v>2283</v>
      </c>
      <c r="D549" s="14" t="s">
        <v>2264</v>
      </c>
      <c r="E549" s="16">
        <v>100</v>
      </c>
      <c r="F549" s="14" t="s">
        <v>1216</v>
      </c>
      <c r="G549" s="17">
        <v>2000</v>
      </c>
      <c r="H549" s="14" t="s">
        <v>1216</v>
      </c>
      <c r="I549" s="14" t="s">
        <v>1256</v>
      </c>
      <c r="J549" s="14" t="s">
        <v>1233</v>
      </c>
      <c r="K549" s="14" t="s">
        <v>1257</v>
      </c>
      <c r="L549" s="14" t="s">
        <v>2284</v>
      </c>
      <c r="M549" s="14" t="s">
        <v>2260</v>
      </c>
      <c r="N549" s="14" t="s">
        <v>1237</v>
      </c>
      <c r="O549" s="14" t="s">
        <v>1220</v>
      </c>
    </row>
    <row r="550" spans="1:15" x14ac:dyDescent="0.25">
      <c r="A550" s="14" t="s">
        <v>2285</v>
      </c>
      <c r="B550" s="14" t="s">
        <v>2286</v>
      </c>
      <c r="C550" s="14" t="s">
        <v>2287</v>
      </c>
      <c r="D550" s="14" t="s">
        <v>2269</v>
      </c>
      <c r="E550" s="15"/>
      <c r="F550" s="14" t="s">
        <v>1216</v>
      </c>
      <c r="G550" s="15"/>
      <c r="H550" s="14" t="s">
        <v>1216</v>
      </c>
      <c r="I550" s="14" t="s">
        <v>1262</v>
      </c>
      <c r="J550" s="14" t="s">
        <v>1262</v>
      </c>
      <c r="K550" s="14"/>
      <c r="L550" s="14" t="s">
        <v>2284</v>
      </c>
      <c r="M550" s="14" t="s">
        <v>2260</v>
      </c>
      <c r="N550" s="14" t="s">
        <v>1219</v>
      </c>
      <c r="O550" s="14" t="s">
        <v>1220</v>
      </c>
    </row>
    <row r="551" spans="1:15" x14ac:dyDescent="0.25">
      <c r="A551" s="14">
        <v>2419</v>
      </c>
      <c r="B551" s="14" t="s">
        <v>933</v>
      </c>
      <c r="C551" s="14" t="s">
        <v>2288</v>
      </c>
      <c r="D551" s="14" t="s">
        <v>2264</v>
      </c>
      <c r="E551" s="16">
        <v>80</v>
      </c>
      <c r="F551" s="14" t="s">
        <v>1216</v>
      </c>
      <c r="G551" s="17">
        <v>1040</v>
      </c>
      <c r="H551" s="14" t="s">
        <v>1216</v>
      </c>
      <c r="I551" s="14" t="s">
        <v>1256</v>
      </c>
      <c r="J551" s="14" t="s">
        <v>1242</v>
      </c>
      <c r="K551" s="14" t="s">
        <v>1257</v>
      </c>
      <c r="L551" s="14" t="s">
        <v>2289</v>
      </c>
      <c r="M551" s="14" t="s">
        <v>2260</v>
      </c>
      <c r="N551" s="14" t="s">
        <v>1237</v>
      </c>
      <c r="O551" s="14" t="s">
        <v>1220</v>
      </c>
    </row>
    <row r="552" spans="1:15" x14ac:dyDescent="0.25">
      <c r="A552" s="14">
        <v>1319</v>
      </c>
      <c r="B552" s="14" t="s">
        <v>931</v>
      </c>
      <c r="C552" s="14" t="s">
        <v>2290</v>
      </c>
      <c r="D552" s="14" t="s">
        <v>2264</v>
      </c>
      <c r="E552" s="16">
        <v>120</v>
      </c>
      <c r="F552" s="14" t="s">
        <v>1216</v>
      </c>
      <c r="G552" s="17">
        <v>3000</v>
      </c>
      <c r="H552" s="14" t="s">
        <v>1216</v>
      </c>
      <c r="I552" s="14" t="s">
        <v>1256</v>
      </c>
      <c r="J552" s="14" t="s">
        <v>1242</v>
      </c>
      <c r="K552" s="14" t="s">
        <v>1257</v>
      </c>
      <c r="L552" s="14" t="s">
        <v>2291</v>
      </c>
      <c r="M552" s="14" t="s">
        <v>2260</v>
      </c>
      <c r="N552" s="14" t="s">
        <v>1237</v>
      </c>
      <c r="O552" s="14" t="s">
        <v>1220</v>
      </c>
    </row>
    <row r="553" spans="1:15" x14ac:dyDescent="0.25">
      <c r="A553" s="14" t="s">
        <v>2292</v>
      </c>
      <c r="B553" s="14" t="s">
        <v>2293</v>
      </c>
      <c r="C553" s="14" t="s">
        <v>2294</v>
      </c>
      <c r="D553" s="14" t="s">
        <v>2269</v>
      </c>
      <c r="E553" s="15"/>
      <c r="F553" s="14" t="s">
        <v>1216</v>
      </c>
      <c r="G553" s="15"/>
      <c r="H553" s="14" t="s">
        <v>1216</v>
      </c>
      <c r="I553" s="14" t="s">
        <v>1262</v>
      </c>
      <c r="J553" s="14" t="s">
        <v>1262</v>
      </c>
      <c r="K553" s="14"/>
      <c r="L553" s="14" t="s">
        <v>2291</v>
      </c>
      <c r="M553" s="14" t="s">
        <v>2260</v>
      </c>
      <c r="N553" s="14" t="s">
        <v>1219</v>
      </c>
      <c r="O553" s="14" t="s">
        <v>1220</v>
      </c>
    </row>
    <row r="554" spans="1:15" x14ac:dyDescent="0.25">
      <c r="A554" s="14">
        <v>1333</v>
      </c>
      <c r="B554" s="14" t="s">
        <v>932</v>
      </c>
      <c r="C554" s="14" t="s">
        <v>2295</v>
      </c>
      <c r="D554" s="14" t="s">
        <v>2264</v>
      </c>
      <c r="E554" s="16">
        <v>100</v>
      </c>
      <c r="F554" s="14" t="s">
        <v>1216</v>
      </c>
      <c r="G554" s="17">
        <v>2000</v>
      </c>
      <c r="H554" s="14" t="s">
        <v>1216</v>
      </c>
      <c r="I554" s="14" t="s">
        <v>1256</v>
      </c>
      <c r="J554" s="14" t="s">
        <v>1296</v>
      </c>
      <c r="K554" s="14" t="s">
        <v>1257</v>
      </c>
      <c r="L554" s="14" t="s">
        <v>2296</v>
      </c>
      <c r="M554" s="14" t="s">
        <v>2260</v>
      </c>
      <c r="N554" s="14" t="s">
        <v>1237</v>
      </c>
      <c r="O554" s="14" t="s">
        <v>1220</v>
      </c>
    </row>
    <row r="555" spans="1:15" x14ac:dyDescent="0.25">
      <c r="A555" s="14">
        <v>3956</v>
      </c>
      <c r="B555" s="14" t="s">
        <v>934</v>
      </c>
      <c r="C555" s="14" t="s">
        <v>2297</v>
      </c>
      <c r="D555" s="14" t="s">
        <v>2264</v>
      </c>
      <c r="E555" s="16">
        <v>120</v>
      </c>
      <c r="F555" s="14" t="s">
        <v>1216</v>
      </c>
      <c r="G555" s="17">
        <v>1200</v>
      </c>
      <c r="H555" s="14" t="s">
        <v>1216</v>
      </c>
      <c r="I555" s="14" t="s">
        <v>1256</v>
      </c>
      <c r="J555" s="14" t="s">
        <v>1296</v>
      </c>
      <c r="K555" s="14" t="s">
        <v>1257</v>
      </c>
      <c r="L555" s="14" t="s">
        <v>2298</v>
      </c>
      <c r="M555" s="14" t="s">
        <v>2260</v>
      </c>
      <c r="N555" s="14" t="s">
        <v>1237</v>
      </c>
      <c r="O555" s="14" t="s">
        <v>1220</v>
      </c>
    </row>
    <row r="556" spans="1:15" x14ac:dyDescent="0.25">
      <c r="A556" s="14" t="s">
        <v>2299</v>
      </c>
      <c r="B556" s="14" t="s">
        <v>2300</v>
      </c>
      <c r="C556" s="14" t="s">
        <v>2300</v>
      </c>
      <c r="D556" s="14" t="s">
        <v>1222</v>
      </c>
      <c r="E556" s="15"/>
      <c r="F556" s="14"/>
      <c r="G556" s="15"/>
      <c r="H556" s="14" t="s">
        <v>1223</v>
      </c>
      <c r="I556" s="14"/>
      <c r="J556" s="14"/>
      <c r="K556" s="14"/>
      <c r="L556" s="14"/>
      <c r="M556" s="14"/>
      <c r="N556" s="14" t="s">
        <v>1219</v>
      </c>
      <c r="O556" s="14" t="s">
        <v>1220</v>
      </c>
    </row>
    <row r="557" spans="1:15" x14ac:dyDescent="0.25">
      <c r="A557" s="14" t="s">
        <v>2301</v>
      </c>
      <c r="B557" s="14" t="s">
        <v>2302</v>
      </c>
      <c r="C557" s="14" t="s">
        <v>2302</v>
      </c>
      <c r="D557" s="14" t="s">
        <v>1222</v>
      </c>
      <c r="E557" s="15"/>
      <c r="F557" s="14"/>
      <c r="G557" s="15"/>
      <c r="H557" s="14" t="s">
        <v>1223</v>
      </c>
      <c r="I557" s="14"/>
      <c r="J557" s="14"/>
      <c r="K557" s="14"/>
      <c r="L557" s="14"/>
      <c r="M557" s="14"/>
      <c r="N557" s="14" t="s">
        <v>1219</v>
      </c>
      <c r="O557" s="14" t="s">
        <v>1220</v>
      </c>
    </row>
    <row r="558" spans="1:15" x14ac:dyDescent="0.25">
      <c r="A558" s="14" t="s">
        <v>2303</v>
      </c>
      <c r="B558" s="14" t="s">
        <v>2304</v>
      </c>
      <c r="C558" s="14" t="s">
        <v>2304</v>
      </c>
      <c r="D558" s="14" t="s">
        <v>1222</v>
      </c>
      <c r="E558" s="15"/>
      <c r="F558" s="14"/>
      <c r="G558" s="15"/>
      <c r="H558" s="14" t="s">
        <v>1223</v>
      </c>
      <c r="I558" s="14"/>
      <c r="J558" s="14"/>
      <c r="K558" s="14"/>
      <c r="L558" s="14"/>
      <c r="M558" s="14"/>
      <c r="N558" s="14" t="s">
        <v>1219</v>
      </c>
      <c r="O558" s="14" t="s">
        <v>1220</v>
      </c>
    </row>
    <row r="559" spans="1:15" x14ac:dyDescent="0.25">
      <c r="A559" s="14" t="s">
        <v>2305</v>
      </c>
      <c r="B559" s="14" t="s">
        <v>2306</v>
      </c>
      <c r="C559" s="14" t="s">
        <v>2306</v>
      </c>
      <c r="D559" s="14" t="s">
        <v>1222</v>
      </c>
      <c r="E559" s="15"/>
      <c r="F559" s="14"/>
      <c r="G559" s="15"/>
      <c r="H559" s="14" t="s">
        <v>1223</v>
      </c>
      <c r="I559" s="14"/>
      <c r="J559" s="14"/>
      <c r="K559" s="14"/>
      <c r="L559" s="14"/>
      <c r="M559" s="14"/>
      <c r="N559" s="14" t="s">
        <v>1219</v>
      </c>
      <c r="O559" s="14" t="s">
        <v>1220</v>
      </c>
    </row>
    <row r="560" spans="1:15" x14ac:dyDescent="0.25">
      <c r="A560" s="14" t="s">
        <v>2307</v>
      </c>
      <c r="B560" s="14" t="s">
        <v>2308</v>
      </c>
      <c r="C560" s="14" t="s">
        <v>2308</v>
      </c>
      <c r="D560" s="14" t="s">
        <v>1222</v>
      </c>
      <c r="E560" s="15"/>
      <c r="F560" s="14"/>
      <c r="G560" s="15"/>
      <c r="H560" s="14" t="s">
        <v>1223</v>
      </c>
      <c r="I560" s="14"/>
      <c r="J560" s="14"/>
      <c r="K560" s="14"/>
      <c r="L560" s="14"/>
      <c r="M560" s="14"/>
      <c r="N560" s="14" t="s">
        <v>1219</v>
      </c>
      <c r="O560" s="14" t="s">
        <v>1220</v>
      </c>
    </row>
    <row r="561" spans="1:15" x14ac:dyDescent="0.25">
      <c r="A561" s="14" t="s">
        <v>2309</v>
      </c>
      <c r="B561" s="14" t="s">
        <v>2310</v>
      </c>
      <c r="C561" s="14" t="s">
        <v>2310</v>
      </c>
      <c r="D561" s="14" t="s">
        <v>1222</v>
      </c>
      <c r="E561" s="15"/>
      <c r="F561" s="14"/>
      <c r="G561" s="15"/>
      <c r="H561" s="14" t="s">
        <v>1223</v>
      </c>
      <c r="I561" s="14"/>
      <c r="J561" s="14"/>
      <c r="K561" s="14"/>
      <c r="L561" s="14"/>
      <c r="M561" s="14"/>
      <c r="N561" s="14" t="s">
        <v>1219</v>
      </c>
      <c r="O561" s="14" t="s">
        <v>1220</v>
      </c>
    </row>
    <row r="562" spans="1:15" x14ac:dyDescent="0.25">
      <c r="A562" s="14" t="s">
        <v>2311</v>
      </c>
      <c r="B562" s="14" t="s">
        <v>2312</v>
      </c>
      <c r="C562" s="14" t="s">
        <v>2312</v>
      </c>
      <c r="D562" s="14" t="s">
        <v>1222</v>
      </c>
      <c r="E562" s="15"/>
      <c r="F562" s="14"/>
      <c r="G562" s="15"/>
      <c r="H562" s="14" t="s">
        <v>1223</v>
      </c>
      <c r="I562" s="14"/>
      <c r="J562" s="14"/>
      <c r="K562" s="14"/>
      <c r="L562" s="14"/>
      <c r="M562" s="14"/>
      <c r="N562" s="14" t="s">
        <v>1219</v>
      </c>
      <c r="O562" s="14" t="s">
        <v>1220</v>
      </c>
    </row>
    <row r="563" spans="1:15" x14ac:dyDescent="0.25">
      <c r="A563" s="14" t="s">
        <v>2313</v>
      </c>
      <c r="B563" s="14" t="s">
        <v>2314</v>
      </c>
      <c r="C563" s="14" t="s">
        <v>2314</v>
      </c>
      <c r="D563" s="14" t="s">
        <v>1222</v>
      </c>
      <c r="E563" s="15"/>
      <c r="F563" s="14"/>
      <c r="G563" s="15"/>
      <c r="H563" s="14" t="s">
        <v>1223</v>
      </c>
      <c r="I563" s="14"/>
      <c r="J563" s="14"/>
      <c r="K563" s="14"/>
      <c r="L563" s="14"/>
      <c r="M563" s="14"/>
      <c r="N563" s="14" t="s">
        <v>1219</v>
      </c>
      <c r="O563" s="14" t="s">
        <v>1220</v>
      </c>
    </row>
    <row r="564" spans="1:15" x14ac:dyDescent="0.25">
      <c r="A564" s="14" t="s">
        <v>2315</v>
      </c>
      <c r="B564" s="14" t="s">
        <v>2316</v>
      </c>
      <c r="C564" s="14" t="s">
        <v>2316</v>
      </c>
      <c r="D564" s="14" t="s">
        <v>1222</v>
      </c>
      <c r="E564" s="15"/>
      <c r="F564" s="14"/>
      <c r="G564" s="15"/>
      <c r="H564" s="14" t="s">
        <v>1223</v>
      </c>
      <c r="I564" s="14"/>
      <c r="J564" s="14"/>
      <c r="K564" s="14"/>
      <c r="L564" s="14"/>
      <c r="M564" s="14"/>
      <c r="N564" s="14" t="s">
        <v>1219</v>
      </c>
      <c r="O564" s="14" t="s">
        <v>1220</v>
      </c>
    </row>
    <row r="565" spans="1:15" x14ac:dyDescent="0.25">
      <c r="A565" s="14" t="s">
        <v>2317</v>
      </c>
      <c r="B565" s="14" t="s">
        <v>2318</v>
      </c>
      <c r="C565" s="14" t="s">
        <v>2318</v>
      </c>
      <c r="D565" s="14" t="s">
        <v>1222</v>
      </c>
      <c r="E565" s="15"/>
      <c r="F565" s="14"/>
      <c r="G565" s="15"/>
      <c r="H565" s="14" t="s">
        <v>1223</v>
      </c>
      <c r="I565" s="14"/>
      <c r="J565" s="14"/>
      <c r="K565" s="14"/>
      <c r="L565" s="14"/>
      <c r="M565" s="14"/>
      <c r="N565" s="14" t="s">
        <v>1219</v>
      </c>
      <c r="O565" s="14" t="s">
        <v>1220</v>
      </c>
    </row>
    <row r="566" spans="1:15" x14ac:dyDescent="0.25">
      <c r="A566" s="14" t="s">
        <v>2319</v>
      </c>
      <c r="B566" s="14" t="s">
        <v>2320</v>
      </c>
      <c r="C566" s="14" t="s">
        <v>2320</v>
      </c>
      <c r="D566" s="14" t="s">
        <v>1222</v>
      </c>
      <c r="E566" s="15"/>
      <c r="F566" s="14"/>
      <c r="G566" s="15"/>
      <c r="H566" s="14" t="s">
        <v>1223</v>
      </c>
      <c r="I566" s="14"/>
      <c r="J566" s="14"/>
      <c r="K566" s="14"/>
      <c r="L566" s="14"/>
      <c r="M566" s="14"/>
      <c r="N566" s="14" t="s">
        <v>1219</v>
      </c>
      <c r="O566" s="14" t="s">
        <v>1220</v>
      </c>
    </row>
    <row r="567" spans="1:15" x14ac:dyDescent="0.25">
      <c r="A567" s="14" t="s">
        <v>2321</v>
      </c>
      <c r="B567" s="14" t="s">
        <v>2322</v>
      </c>
      <c r="C567" s="14" t="s">
        <v>2322</v>
      </c>
      <c r="D567" s="14" t="s">
        <v>1222</v>
      </c>
      <c r="E567" s="15"/>
      <c r="F567" s="14"/>
      <c r="G567" s="15"/>
      <c r="H567" s="14" t="s">
        <v>1223</v>
      </c>
      <c r="I567" s="14"/>
      <c r="J567" s="14"/>
      <c r="K567" s="14"/>
      <c r="L567" s="14"/>
      <c r="M567" s="14"/>
      <c r="N567" s="14" t="s">
        <v>1219</v>
      </c>
      <c r="O567" s="14" t="s">
        <v>1220</v>
      </c>
    </row>
    <row r="568" spans="1:15" x14ac:dyDescent="0.25">
      <c r="A568" s="14" t="s">
        <v>2323</v>
      </c>
      <c r="B568" s="14" t="s">
        <v>2324</v>
      </c>
      <c r="C568" s="14" t="s">
        <v>2324</v>
      </c>
      <c r="D568" s="14" t="s">
        <v>1222</v>
      </c>
      <c r="E568" s="15"/>
      <c r="F568" s="14"/>
      <c r="G568" s="15"/>
      <c r="H568" s="14" t="s">
        <v>1223</v>
      </c>
      <c r="I568" s="14"/>
      <c r="J568" s="14"/>
      <c r="K568" s="14"/>
      <c r="L568" s="14"/>
      <c r="M568" s="14"/>
      <c r="N568" s="14" t="s">
        <v>1219</v>
      </c>
      <c r="O568" s="14" t="s">
        <v>1220</v>
      </c>
    </row>
    <row r="569" spans="1:15" x14ac:dyDescent="0.25">
      <c r="A569" s="14" t="s">
        <v>2325</v>
      </c>
      <c r="B569" s="14" t="s">
        <v>2326</v>
      </c>
      <c r="C569" s="14" t="s">
        <v>2326</v>
      </c>
      <c r="D569" s="14" t="s">
        <v>1222</v>
      </c>
      <c r="E569" s="15"/>
      <c r="F569" s="14"/>
      <c r="G569" s="15"/>
      <c r="H569" s="14" t="s">
        <v>1223</v>
      </c>
      <c r="I569" s="14"/>
      <c r="J569" s="14"/>
      <c r="K569" s="14"/>
      <c r="L569" s="14"/>
      <c r="M569" s="14"/>
      <c r="N569" s="14" t="s">
        <v>1219</v>
      </c>
      <c r="O569" s="14" t="s">
        <v>1220</v>
      </c>
    </row>
    <row r="570" spans="1:15" x14ac:dyDescent="0.25">
      <c r="A570" s="14" t="s">
        <v>2327</v>
      </c>
      <c r="B570" s="14" t="s">
        <v>2328</v>
      </c>
      <c r="C570" s="14" t="s">
        <v>2328</v>
      </c>
      <c r="D570" s="14" t="s">
        <v>2329</v>
      </c>
      <c r="E570" s="15"/>
      <c r="F570" s="14"/>
      <c r="G570" s="15"/>
      <c r="H570" s="14" t="s">
        <v>1216</v>
      </c>
      <c r="I570" s="14"/>
      <c r="J570" s="14" t="s">
        <v>1360</v>
      </c>
      <c r="K570" s="14"/>
      <c r="L570" s="14"/>
      <c r="M570" s="14"/>
      <c r="N570" s="14" t="s">
        <v>1219</v>
      </c>
      <c r="O570" s="14" t="s">
        <v>1220</v>
      </c>
    </row>
    <row r="571" spans="1:15" x14ac:dyDescent="0.25">
      <c r="A571" s="14" t="s">
        <v>2330</v>
      </c>
      <c r="B571" s="14" t="s">
        <v>2331</v>
      </c>
      <c r="C571" s="14" t="s">
        <v>2331</v>
      </c>
      <c r="D571" s="14" t="s">
        <v>2329</v>
      </c>
      <c r="E571" s="15"/>
      <c r="F571" s="14"/>
      <c r="G571" s="15"/>
      <c r="H571" s="14" t="s">
        <v>1216</v>
      </c>
      <c r="I571" s="14"/>
      <c r="J571" s="14" t="s">
        <v>1360</v>
      </c>
      <c r="K571" s="14"/>
      <c r="L571" s="14"/>
      <c r="M571" s="14"/>
      <c r="N571" s="14" t="s">
        <v>1219</v>
      </c>
      <c r="O571" s="14" t="s">
        <v>1220</v>
      </c>
    </row>
    <row r="572" spans="1:15" x14ac:dyDescent="0.25">
      <c r="A572" s="14" t="s">
        <v>2332</v>
      </c>
      <c r="B572" s="14" t="s">
        <v>2333</v>
      </c>
      <c r="C572" s="14" t="s">
        <v>2333</v>
      </c>
      <c r="D572" s="14" t="s">
        <v>2334</v>
      </c>
      <c r="E572" s="15"/>
      <c r="F572" s="14" t="s">
        <v>1216</v>
      </c>
      <c r="G572" s="15"/>
      <c r="H572" s="14" t="s">
        <v>2334</v>
      </c>
      <c r="I572" s="14" t="s">
        <v>1262</v>
      </c>
      <c r="J572" s="14" t="s">
        <v>1262</v>
      </c>
      <c r="K572" s="14" t="s">
        <v>1257</v>
      </c>
      <c r="L572" s="14" t="s">
        <v>2335</v>
      </c>
      <c r="M572" s="14"/>
      <c r="N572" s="14" t="s">
        <v>1219</v>
      </c>
      <c r="O572" s="14" t="s">
        <v>1220</v>
      </c>
    </row>
    <row r="573" spans="1:15" x14ac:dyDescent="0.25">
      <c r="A573" s="14">
        <v>1011603</v>
      </c>
      <c r="B573" s="14" t="s">
        <v>2336</v>
      </c>
      <c r="C573" s="14" t="s">
        <v>2336</v>
      </c>
      <c r="D573" s="14" t="s">
        <v>1215</v>
      </c>
      <c r="E573" s="15"/>
      <c r="F573" s="14"/>
      <c r="G573" s="15"/>
      <c r="H573" s="14" t="s">
        <v>1216</v>
      </c>
      <c r="I573" s="14" t="s">
        <v>1217</v>
      </c>
      <c r="J573" s="14"/>
      <c r="K573" s="14"/>
      <c r="L573" s="14"/>
      <c r="M573" s="14" t="s">
        <v>1218</v>
      </c>
      <c r="N573" s="14" t="s">
        <v>1219</v>
      </c>
      <c r="O573" s="14" t="s">
        <v>1220</v>
      </c>
    </row>
    <row r="574" spans="1:15" x14ac:dyDescent="0.25">
      <c r="A574" s="14">
        <v>3850001</v>
      </c>
      <c r="B574" s="14" t="s">
        <v>2337</v>
      </c>
      <c r="C574" s="14" t="s">
        <v>2337</v>
      </c>
      <c r="D574" s="14" t="s">
        <v>1533</v>
      </c>
      <c r="E574" s="15"/>
      <c r="F574" s="14" t="s">
        <v>1533</v>
      </c>
      <c r="G574" s="15"/>
      <c r="H574" s="14" t="s">
        <v>1534</v>
      </c>
      <c r="I574" s="14" t="s">
        <v>1360</v>
      </c>
      <c r="J574" s="14" t="s">
        <v>1360</v>
      </c>
      <c r="K574" s="14"/>
      <c r="L574" s="14"/>
      <c r="M574" s="14" t="s">
        <v>1218</v>
      </c>
      <c r="N574" s="14" t="s">
        <v>1219</v>
      </c>
      <c r="O574" s="14" t="s">
        <v>1220</v>
      </c>
    </row>
    <row r="575" spans="1:15" x14ac:dyDescent="0.25">
      <c r="A575" s="14">
        <v>3800001</v>
      </c>
      <c r="B575" s="14" t="s">
        <v>2338</v>
      </c>
      <c r="C575" s="14" t="s">
        <v>2338</v>
      </c>
      <c r="D575" s="14" t="s">
        <v>1533</v>
      </c>
      <c r="E575" s="15"/>
      <c r="F575" s="14" t="s">
        <v>1533</v>
      </c>
      <c r="G575" s="15"/>
      <c r="H575" s="14" t="s">
        <v>1534</v>
      </c>
      <c r="I575" s="14" t="s">
        <v>1360</v>
      </c>
      <c r="J575" s="14" t="s">
        <v>1360</v>
      </c>
      <c r="K575" s="14"/>
      <c r="L575" s="14"/>
      <c r="M575" s="14" t="s">
        <v>1218</v>
      </c>
      <c r="N575" s="14" t="s">
        <v>1219</v>
      </c>
      <c r="O575" s="14" t="s">
        <v>1220</v>
      </c>
    </row>
    <row r="576" spans="1:15" x14ac:dyDescent="0.25">
      <c r="A576" s="14">
        <v>3850002</v>
      </c>
      <c r="B576" s="14" t="s">
        <v>2339</v>
      </c>
      <c r="C576" s="14" t="s">
        <v>2339</v>
      </c>
      <c r="D576" s="14" t="s">
        <v>1533</v>
      </c>
      <c r="E576" s="15"/>
      <c r="F576" s="14" t="s">
        <v>1533</v>
      </c>
      <c r="G576" s="15"/>
      <c r="H576" s="14" t="s">
        <v>1534</v>
      </c>
      <c r="I576" s="14" t="s">
        <v>1360</v>
      </c>
      <c r="J576" s="14" t="s">
        <v>1360</v>
      </c>
      <c r="K576" s="14"/>
      <c r="L576" s="14"/>
      <c r="M576" s="14" t="s">
        <v>1218</v>
      </c>
      <c r="N576" s="14" t="s">
        <v>1219</v>
      </c>
      <c r="O576" s="14" t="s">
        <v>1220</v>
      </c>
    </row>
    <row r="577" spans="1:15" x14ac:dyDescent="0.25">
      <c r="A577" s="14">
        <v>3800002</v>
      </c>
      <c r="B577" s="14" t="s">
        <v>2340</v>
      </c>
      <c r="C577" s="14" t="s">
        <v>2340</v>
      </c>
      <c r="D577" s="14" t="s">
        <v>1533</v>
      </c>
      <c r="E577" s="15"/>
      <c r="F577" s="14" t="s">
        <v>1533</v>
      </c>
      <c r="G577" s="15"/>
      <c r="H577" s="14" t="s">
        <v>1534</v>
      </c>
      <c r="I577" s="14" t="s">
        <v>1360</v>
      </c>
      <c r="J577" s="14" t="s">
        <v>1360</v>
      </c>
      <c r="K577" s="14"/>
      <c r="L577" s="14"/>
      <c r="M577" s="14" t="s">
        <v>1218</v>
      </c>
      <c r="N577" s="14" t="s">
        <v>1219</v>
      </c>
      <c r="O577" s="14" t="s">
        <v>1220</v>
      </c>
    </row>
    <row r="578" spans="1:15" x14ac:dyDescent="0.25">
      <c r="A578" s="14">
        <v>3830001</v>
      </c>
      <c r="B578" s="14" t="s">
        <v>2341</v>
      </c>
      <c r="C578" s="14" t="s">
        <v>2341</v>
      </c>
      <c r="D578" s="14" t="s">
        <v>1533</v>
      </c>
      <c r="E578" s="15"/>
      <c r="F578" s="14" t="s">
        <v>1533</v>
      </c>
      <c r="G578" s="15"/>
      <c r="H578" s="14" t="s">
        <v>1534</v>
      </c>
      <c r="I578" s="14" t="s">
        <v>1360</v>
      </c>
      <c r="J578" s="14" t="s">
        <v>1360</v>
      </c>
      <c r="K578" s="14"/>
      <c r="L578" s="14"/>
      <c r="M578" s="14" t="s">
        <v>1218</v>
      </c>
      <c r="N578" s="14" t="s">
        <v>1219</v>
      </c>
      <c r="O578" s="14" t="s">
        <v>1220</v>
      </c>
    </row>
    <row r="579" spans="1:15" x14ac:dyDescent="0.25">
      <c r="A579" s="14">
        <v>3830003</v>
      </c>
      <c r="B579" s="14" t="s">
        <v>2342</v>
      </c>
      <c r="C579" s="14" t="s">
        <v>2342</v>
      </c>
      <c r="D579" s="14" t="s">
        <v>1533</v>
      </c>
      <c r="E579" s="15"/>
      <c r="F579" s="14" t="s">
        <v>1533</v>
      </c>
      <c r="G579" s="15"/>
      <c r="H579" s="14" t="s">
        <v>1534</v>
      </c>
      <c r="I579" s="14" t="s">
        <v>1360</v>
      </c>
      <c r="J579" s="14" t="s">
        <v>1360</v>
      </c>
      <c r="K579" s="14"/>
      <c r="L579" s="14"/>
      <c r="M579" s="14" t="s">
        <v>1218</v>
      </c>
      <c r="N579" s="14" t="s">
        <v>1219</v>
      </c>
      <c r="O579" s="14" t="s">
        <v>1220</v>
      </c>
    </row>
    <row r="580" spans="1:15" x14ac:dyDescent="0.25">
      <c r="A580" s="14">
        <v>1316</v>
      </c>
      <c r="B580" s="14" t="s">
        <v>962</v>
      </c>
      <c r="C580" s="14" t="s">
        <v>2343</v>
      </c>
      <c r="D580" s="14" t="s">
        <v>2344</v>
      </c>
      <c r="E580" s="16">
        <v>200</v>
      </c>
      <c r="F580" s="14" t="s">
        <v>1216</v>
      </c>
      <c r="G580" s="17">
        <v>3000</v>
      </c>
      <c r="H580" s="14" t="s">
        <v>1216</v>
      </c>
      <c r="I580" s="14" t="s">
        <v>1256</v>
      </c>
      <c r="J580" s="14" t="s">
        <v>1242</v>
      </c>
      <c r="K580" s="14" t="s">
        <v>1257</v>
      </c>
      <c r="L580" s="14" t="s">
        <v>2345</v>
      </c>
      <c r="M580" s="14" t="s">
        <v>1218</v>
      </c>
      <c r="N580" s="14" t="s">
        <v>1237</v>
      </c>
      <c r="O580" s="14" t="s">
        <v>1220</v>
      </c>
    </row>
    <row r="581" spans="1:15" x14ac:dyDescent="0.25">
      <c r="A581" s="14" t="s">
        <v>2346</v>
      </c>
      <c r="B581" s="14" t="s">
        <v>2347</v>
      </c>
      <c r="C581" s="14" t="s">
        <v>2348</v>
      </c>
      <c r="D581" s="14" t="s">
        <v>2349</v>
      </c>
      <c r="E581" s="15"/>
      <c r="F581" s="14" t="s">
        <v>1216</v>
      </c>
      <c r="G581" s="15"/>
      <c r="H581" s="14" t="s">
        <v>1216</v>
      </c>
      <c r="I581" s="14" t="s">
        <v>1262</v>
      </c>
      <c r="J581" s="14" t="s">
        <v>1262</v>
      </c>
      <c r="K581" s="14" t="s">
        <v>1257</v>
      </c>
      <c r="L581" s="14" t="s">
        <v>2345</v>
      </c>
      <c r="M581" s="14" t="s">
        <v>1218</v>
      </c>
      <c r="N581" s="14" t="s">
        <v>1219</v>
      </c>
      <c r="O581" s="14" t="s">
        <v>1220</v>
      </c>
    </row>
    <row r="582" spans="1:15" x14ac:dyDescent="0.25">
      <c r="A582" s="14">
        <v>1320</v>
      </c>
      <c r="B582" s="14" t="s">
        <v>963</v>
      </c>
      <c r="C582" s="14" t="s">
        <v>2350</v>
      </c>
      <c r="D582" s="14" t="s">
        <v>2344</v>
      </c>
      <c r="E582" s="16">
        <v>200</v>
      </c>
      <c r="F582" s="14" t="s">
        <v>1216</v>
      </c>
      <c r="G582" s="17">
        <v>3000</v>
      </c>
      <c r="H582" s="14" t="s">
        <v>1216</v>
      </c>
      <c r="I582" s="14" t="s">
        <v>1256</v>
      </c>
      <c r="J582" s="14" t="s">
        <v>1296</v>
      </c>
      <c r="K582" s="14" t="s">
        <v>1257</v>
      </c>
      <c r="L582" s="14" t="s">
        <v>2351</v>
      </c>
      <c r="M582" s="14" t="s">
        <v>1218</v>
      </c>
      <c r="N582" s="14" t="s">
        <v>1237</v>
      </c>
      <c r="O582" s="14" t="s">
        <v>1220</v>
      </c>
    </row>
    <row r="583" spans="1:15" x14ac:dyDescent="0.25">
      <c r="A583" s="14" t="s">
        <v>2352</v>
      </c>
      <c r="B583" s="14" t="s">
        <v>2353</v>
      </c>
      <c r="C583" s="14" t="s">
        <v>2354</v>
      </c>
      <c r="D583" s="14" t="s">
        <v>2349</v>
      </c>
      <c r="E583" s="15"/>
      <c r="F583" s="14" t="s">
        <v>1216</v>
      </c>
      <c r="G583" s="15"/>
      <c r="H583" s="14" t="s">
        <v>1216</v>
      </c>
      <c r="I583" s="14" t="s">
        <v>1262</v>
      </c>
      <c r="J583" s="14" t="s">
        <v>1262</v>
      </c>
      <c r="K583" s="14"/>
      <c r="L583" s="14" t="s">
        <v>2351</v>
      </c>
      <c r="M583" s="14" t="s">
        <v>1218</v>
      </c>
      <c r="N583" s="14" t="s">
        <v>1219</v>
      </c>
      <c r="O583" s="14" t="s">
        <v>1220</v>
      </c>
    </row>
    <row r="584" spans="1:15" x14ac:dyDescent="0.25">
      <c r="A584" s="14">
        <v>1321</v>
      </c>
      <c r="B584" s="14" t="s">
        <v>965</v>
      </c>
      <c r="C584" s="14" t="s">
        <v>2355</v>
      </c>
      <c r="D584" s="14" t="s">
        <v>2344</v>
      </c>
      <c r="E584" s="16">
        <v>200</v>
      </c>
      <c r="F584" s="14" t="s">
        <v>1216</v>
      </c>
      <c r="G584" s="17">
        <v>3000</v>
      </c>
      <c r="H584" s="14" t="s">
        <v>1216</v>
      </c>
      <c r="I584" s="14" t="s">
        <v>1256</v>
      </c>
      <c r="J584" s="14" t="s">
        <v>1242</v>
      </c>
      <c r="K584" s="14" t="s">
        <v>1257</v>
      </c>
      <c r="L584" s="14" t="s">
        <v>2356</v>
      </c>
      <c r="M584" s="14" t="s">
        <v>1218</v>
      </c>
      <c r="N584" s="14" t="s">
        <v>1237</v>
      </c>
      <c r="O584" s="14" t="s">
        <v>1220</v>
      </c>
    </row>
    <row r="585" spans="1:15" x14ac:dyDescent="0.25">
      <c r="A585" s="14" t="s">
        <v>2357</v>
      </c>
      <c r="B585" s="14" t="s">
        <v>2358</v>
      </c>
      <c r="C585" s="14" t="s">
        <v>2359</v>
      </c>
      <c r="D585" s="14" t="s">
        <v>2349</v>
      </c>
      <c r="E585" s="15"/>
      <c r="F585" s="14" t="s">
        <v>1216</v>
      </c>
      <c r="G585" s="15"/>
      <c r="H585" s="14" t="s">
        <v>1216</v>
      </c>
      <c r="I585" s="14" t="s">
        <v>1262</v>
      </c>
      <c r="J585" s="14" t="s">
        <v>1262</v>
      </c>
      <c r="K585" s="14"/>
      <c r="L585" s="14" t="s">
        <v>2356</v>
      </c>
      <c r="M585" s="14" t="s">
        <v>1218</v>
      </c>
      <c r="N585" s="14" t="s">
        <v>1219</v>
      </c>
      <c r="O585" s="14" t="s">
        <v>1220</v>
      </c>
    </row>
    <row r="586" spans="1:15" x14ac:dyDescent="0.25">
      <c r="A586" s="14">
        <v>1318</v>
      </c>
      <c r="B586" s="14" t="s">
        <v>964</v>
      </c>
      <c r="C586" s="14" t="s">
        <v>2360</v>
      </c>
      <c r="D586" s="14" t="s">
        <v>2344</v>
      </c>
      <c r="E586" s="16">
        <v>200</v>
      </c>
      <c r="F586" s="14" t="s">
        <v>1216</v>
      </c>
      <c r="G586" s="17">
        <v>3000</v>
      </c>
      <c r="H586" s="14" t="s">
        <v>1216</v>
      </c>
      <c r="I586" s="14" t="s">
        <v>1256</v>
      </c>
      <c r="J586" s="14" t="s">
        <v>1233</v>
      </c>
      <c r="K586" s="14" t="s">
        <v>1257</v>
      </c>
      <c r="L586" s="14" t="s">
        <v>2361</v>
      </c>
      <c r="M586" s="14" t="s">
        <v>1218</v>
      </c>
      <c r="N586" s="14" t="s">
        <v>1237</v>
      </c>
      <c r="O586" s="14" t="s">
        <v>1220</v>
      </c>
    </row>
    <row r="587" spans="1:15" x14ac:dyDescent="0.25">
      <c r="A587" s="14" t="s">
        <v>2362</v>
      </c>
      <c r="B587" s="14" t="s">
        <v>2363</v>
      </c>
      <c r="C587" s="14" t="s">
        <v>2364</v>
      </c>
      <c r="D587" s="14" t="s">
        <v>2349</v>
      </c>
      <c r="E587" s="15"/>
      <c r="F587" s="14" t="s">
        <v>1216</v>
      </c>
      <c r="G587" s="15"/>
      <c r="H587" s="14" t="s">
        <v>1216</v>
      </c>
      <c r="I587" s="14" t="s">
        <v>1262</v>
      </c>
      <c r="J587" s="14" t="s">
        <v>1262</v>
      </c>
      <c r="K587" s="14"/>
      <c r="L587" s="14" t="s">
        <v>2361</v>
      </c>
      <c r="M587" s="14" t="s">
        <v>1218</v>
      </c>
      <c r="N587" s="14" t="s">
        <v>1219</v>
      </c>
      <c r="O587" s="14" t="s">
        <v>1220</v>
      </c>
    </row>
    <row r="588" spans="1:15" x14ac:dyDescent="0.25">
      <c r="A588" s="14">
        <v>1487</v>
      </c>
      <c r="B588" s="14" t="s">
        <v>966</v>
      </c>
      <c r="C588" s="14" t="s">
        <v>2365</v>
      </c>
      <c r="D588" s="14" t="s">
        <v>2344</v>
      </c>
      <c r="E588" s="16">
        <v>200</v>
      </c>
      <c r="F588" s="14" t="s">
        <v>1216</v>
      </c>
      <c r="G588" s="17">
        <v>3000</v>
      </c>
      <c r="H588" s="14" t="s">
        <v>1216</v>
      </c>
      <c r="I588" s="14" t="s">
        <v>1256</v>
      </c>
      <c r="J588" s="14" t="s">
        <v>1242</v>
      </c>
      <c r="K588" s="14" t="s">
        <v>1257</v>
      </c>
      <c r="L588" s="14" t="s">
        <v>2366</v>
      </c>
      <c r="M588" s="14" t="s">
        <v>1218</v>
      </c>
      <c r="N588" s="14" t="s">
        <v>1237</v>
      </c>
      <c r="O588" s="14" t="s">
        <v>1220</v>
      </c>
    </row>
    <row r="589" spans="1:15" x14ac:dyDescent="0.25">
      <c r="A589" s="14" t="s">
        <v>2367</v>
      </c>
      <c r="B589" s="14" t="s">
        <v>2368</v>
      </c>
      <c r="C589" s="14" t="s">
        <v>2369</v>
      </c>
      <c r="D589" s="14" t="s">
        <v>2349</v>
      </c>
      <c r="E589" s="15"/>
      <c r="F589" s="14" t="s">
        <v>1216</v>
      </c>
      <c r="G589" s="15"/>
      <c r="H589" s="14" t="s">
        <v>1216</v>
      </c>
      <c r="I589" s="14" t="s">
        <v>1262</v>
      </c>
      <c r="J589" s="14" t="s">
        <v>1262</v>
      </c>
      <c r="K589" s="14"/>
      <c r="L589" s="14" t="s">
        <v>2366</v>
      </c>
      <c r="M589" s="14" t="s">
        <v>1218</v>
      </c>
      <c r="N589" s="14" t="s">
        <v>1219</v>
      </c>
      <c r="O589" s="14" t="s">
        <v>1220</v>
      </c>
    </row>
    <row r="590" spans="1:15" x14ac:dyDescent="0.25">
      <c r="A590" s="14">
        <v>1322</v>
      </c>
      <c r="B590" s="14" t="s">
        <v>967</v>
      </c>
      <c r="C590" s="14" t="s">
        <v>2370</v>
      </c>
      <c r="D590" s="14" t="s">
        <v>2344</v>
      </c>
      <c r="E590" s="16">
        <v>200</v>
      </c>
      <c r="F590" s="14" t="s">
        <v>1216</v>
      </c>
      <c r="G590" s="17">
        <v>2000</v>
      </c>
      <c r="H590" s="14" t="s">
        <v>1216</v>
      </c>
      <c r="I590" s="14" t="s">
        <v>1256</v>
      </c>
      <c r="J590" s="14" t="s">
        <v>1233</v>
      </c>
      <c r="K590" s="14" t="s">
        <v>1257</v>
      </c>
      <c r="L590" s="14" t="s">
        <v>2371</v>
      </c>
      <c r="M590" s="14" t="s">
        <v>1218</v>
      </c>
      <c r="N590" s="14" t="s">
        <v>1237</v>
      </c>
      <c r="O590" s="14" t="s">
        <v>1220</v>
      </c>
    </row>
    <row r="591" spans="1:15" x14ac:dyDescent="0.25">
      <c r="A591" s="14" t="s">
        <v>2372</v>
      </c>
      <c r="B591" s="14" t="s">
        <v>2373</v>
      </c>
      <c r="C591" s="14" t="s">
        <v>2374</v>
      </c>
      <c r="D591" s="14" t="s">
        <v>2349</v>
      </c>
      <c r="E591" s="15"/>
      <c r="F591" s="14" t="s">
        <v>1216</v>
      </c>
      <c r="G591" s="15"/>
      <c r="H591" s="14" t="s">
        <v>1216</v>
      </c>
      <c r="I591" s="14" t="s">
        <v>1262</v>
      </c>
      <c r="J591" s="14" t="s">
        <v>1262</v>
      </c>
      <c r="K591" s="14"/>
      <c r="L591" s="14" t="s">
        <v>2371</v>
      </c>
      <c r="M591" s="14" t="s">
        <v>1218</v>
      </c>
      <c r="N591" s="14" t="s">
        <v>1219</v>
      </c>
      <c r="O591" s="14" t="s">
        <v>1220</v>
      </c>
    </row>
    <row r="592" spans="1:15" x14ac:dyDescent="0.25">
      <c r="A592" s="14">
        <v>1010901</v>
      </c>
      <c r="B592" s="14" t="s">
        <v>2375</v>
      </c>
      <c r="C592" s="14" t="s">
        <v>2375</v>
      </c>
      <c r="D592" s="14" t="s">
        <v>1215</v>
      </c>
      <c r="E592" s="15"/>
      <c r="F592" s="14"/>
      <c r="G592" s="15"/>
      <c r="H592" s="14" t="s">
        <v>1216</v>
      </c>
      <c r="I592" s="14" t="s">
        <v>1217</v>
      </c>
      <c r="J592" s="14"/>
      <c r="K592" s="14"/>
      <c r="L592" s="14"/>
      <c r="M592" s="14" t="s">
        <v>1218</v>
      </c>
      <c r="N592" s="14" t="s">
        <v>1219</v>
      </c>
      <c r="O592" s="14" t="s">
        <v>1220</v>
      </c>
    </row>
    <row r="593" spans="1:15" x14ac:dyDescent="0.25">
      <c r="A593" s="14">
        <v>1011401</v>
      </c>
      <c r="B593" s="14" t="s">
        <v>2376</v>
      </c>
      <c r="C593" s="14" t="s">
        <v>2376</v>
      </c>
      <c r="D593" s="14" t="s">
        <v>1215</v>
      </c>
      <c r="E593" s="15"/>
      <c r="F593" s="14"/>
      <c r="G593" s="15"/>
      <c r="H593" s="14" t="s">
        <v>1216</v>
      </c>
      <c r="I593" s="14" t="s">
        <v>1217</v>
      </c>
      <c r="J593" s="14"/>
      <c r="K593" s="14"/>
      <c r="L593" s="14"/>
      <c r="M593" s="14" t="s">
        <v>1218</v>
      </c>
      <c r="N593" s="14" t="s">
        <v>1219</v>
      </c>
      <c r="O593" s="14" t="s">
        <v>1220</v>
      </c>
    </row>
    <row r="594" spans="1:15" x14ac:dyDescent="0.25">
      <c r="A594" s="14">
        <v>4780</v>
      </c>
      <c r="B594" s="14" t="s">
        <v>1018</v>
      </c>
      <c r="C594" s="14" t="s">
        <v>2377</v>
      </c>
      <c r="D594" s="14" t="s">
        <v>1216</v>
      </c>
      <c r="E594" s="16">
        <v>50</v>
      </c>
      <c r="F594" s="14" t="s">
        <v>1216</v>
      </c>
      <c r="G594" s="17">
        <v>1000</v>
      </c>
      <c r="H594" s="14" t="s">
        <v>2334</v>
      </c>
      <c r="I594" s="14" t="s">
        <v>1256</v>
      </c>
      <c r="J594" s="14" t="s">
        <v>1233</v>
      </c>
      <c r="K594" s="14" t="s">
        <v>1257</v>
      </c>
      <c r="L594" s="14" t="s">
        <v>2378</v>
      </c>
      <c r="M594" s="14" t="s">
        <v>1218</v>
      </c>
      <c r="N594" s="14" t="s">
        <v>1237</v>
      </c>
      <c r="O594" s="14" t="s">
        <v>1220</v>
      </c>
    </row>
    <row r="595" spans="1:15" x14ac:dyDescent="0.25">
      <c r="A595" s="14" t="s">
        <v>2379</v>
      </c>
      <c r="B595" s="14" t="s">
        <v>2380</v>
      </c>
      <c r="C595" s="14" t="s">
        <v>2381</v>
      </c>
      <c r="D595" s="14" t="s">
        <v>2334</v>
      </c>
      <c r="E595" s="16">
        <v>50</v>
      </c>
      <c r="F595" s="14" t="s">
        <v>1216</v>
      </c>
      <c r="G595" s="17">
        <v>1000</v>
      </c>
      <c r="H595" s="14" t="s">
        <v>2334</v>
      </c>
      <c r="I595" s="14" t="s">
        <v>1262</v>
      </c>
      <c r="J595" s="14" t="s">
        <v>1262</v>
      </c>
      <c r="K595" s="14" t="s">
        <v>1257</v>
      </c>
      <c r="L595" s="14" t="s">
        <v>2378</v>
      </c>
      <c r="M595" s="14" t="s">
        <v>1218</v>
      </c>
      <c r="N595" s="14" t="s">
        <v>1219</v>
      </c>
      <c r="O595" s="14" t="s">
        <v>1220</v>
      </c>
    </row>
    <row r="596" spans="1:15" x14ac:dyDescent="0.25">
      <c r="A596" s="14">
        <v>1147</v>
      </c>
      <c r="B596" s="14" t="s">
        <v>941</v>
      </c>
      <c r="C596" s="14" t="s">
        <v>2382</v>
      </c>
      <c r="D596" s="14" t="s">
        <v>1216</v>
      </c>
      <c r="E596" s="16">
        <v>24</v>
      </c>
      <c r="F596" s="14" t="s">
        <v>1216</v>
      </c>
      <c r="G596" s="16">
        <v>510</v>
      </c>
      <c r="H596" s="14" t="s">
        <v>1216</v>
      </c>
      <c r="I596" s="14" t="s">
        <v>1256</v>
      </c>
      <c r="J596" s="14" t="s">
        <v>1233</v>
      </c>
      <c r="K596" s="14" t="s">
        <v>1257</v>
      </c>
      <c r="L596" s="14" t="s">
        <v>2383</v>
      </c>
      <c r="M596" s="14" t="s">
        <v>1218</v>
      </c>
      <c r="N596" s="14" t="s">
        <v>1237</v>
      </c>
      <c r="O596" s="14" t="s">
        <v>1220</v>
      </c>
    </row>
    <row r="597" spans="1:15" x14ac:dyDescent="0.25">
      <c r="A597" s="14" t="s">
        <v>2384</v>
      </c>
      <c r="B597" s="14" t="s">
        <v>2385</v>
      </c>
      <c r="C597" s="14" t="s">
        <v>2386</v>
      </c>
      <c r="D597" s="14" t="s">
        <v>2387</v>
      </c>
      <c r="E597" s="15"/>
      <c r="F597" s="14" t="s">
        <v>1216</v>
      </c>
      <c r="G597" s="15"/>
      <c r="H597" s="14" t="s">
        <v>1216</v>
      </c>
      <c r="I597" s="14" t="s">
        <v>1262</v>
      </c>
      <c r="J597" s="14" t="s">
        <v>1262</v>
      </c>
      <c r="K597" s="14"/>
      <c r="L597" s="14" t="s">
        <v>2383</v>
      </c>
      <c r="M597" s="14" t="s">
        <v>1218</v>
      </c>
      <c r="N597" s="14" t="s">
        <v>1219</v>
      </c>
      <c r="O597" s="14" t="s">
        <v>1220</v>
      </c>
    </row>
    <row r="598" spans="1:15" x14ac:dyDescent="0.25">
      <c r="A598" s="14">
        <v>4782</v>
      </c>
      <c r="B598" s="14" t="s">
        <v>1019</v>
      </c>
      <c r="C598" s="14" t="s">
        <v>2388</v>
      </c>
      <c r="D598" s="14" t="s">
        <v>1216</v>
      </c>
      <c r="E598" s="16">
        <v>15</v>
      </c>
      <c r="F598" s="14" t="s">
        <v>1216</v>
      </c>
      <c r="G598" s="16">
        <v>510</v>
      </c>
      <c r="H598" s="14" t="s">
        <v>2334</v>
      </c>
      <c r="I598" s="14" t="s">
        <v>1256</v>
      </c>
      <c r="J598" s="14" t="s">
        <v>1233</v>
      </c>
      <c r="K598" s="14" t="s">
        <v>1257</v>
      </c>
      <c r="L598" s="14" t="s">
        <v>2389</v>
      </c>
      <c r="M598" s="14" t="s">
        <v>1218</v>
      </c>
      <c r="N598" s="14" t="s">
        <v>1237</v>
      </c>
      <c r="O598" s="14" t="s">
        <v>1220</v>
      </c>
    </row>
    <row r="599" spans="1:15" x14ac:dyDescent="0.25">
      <c r="A599" s="14">
        <v>6000117</v>
      </c>
      <c r="B599" s="14" t="s">
        <v>2390</v>
      </c>
      <c r="C599" s="14" t="s">
        <v>2390</v>
      </c>
      <c r="D599" s="14" t="s">
        <v>1533</v>
      </c>
      <c r="E599" s="15"/>
      <c r="F599" s="14" t="s">
        <v>1533</v>
      </c>
      <c r="G599" s="15"/>
      <c r="H599" s="14" t="s">
        <v>1534</v>
      </c>
      <c r="I599" s="14" t="s">
        <v>1360</v>
      </c>
      <c r="J599" s="14" t="s">
        <v>1360</v>
      </c>
      <c r="K599" s="14"/>
      <c r="L599" s="14"/>
      <c r="M599" s="14" t="s">
        <v>1218</v>
      </c>
      <c r="N599" s="14" t="s">
        <v>1219</v>
      </c>
      <c r="O599" s="14" t="s">
        <v>1220</v>
      </c>
    </row>
    <row r="600" spans="1:15" x14ac:dyDescent="0.25">
      <c r="A600" s="14">
        <v>9100016</v>
      </c>
      <c r="B600" s="14" t="s">
        <v>2391</v>
      </c>
      <c r="C600" s="14" t="s">
        <v>2391</v>
      </c>
      <c r="D600" s="14" t="s">
        <v>1533</v>
      </c>
      <c r="E600" s="15"/>
      <c r="F600" s="14"/>
      <c r="G600" s="15"/>
      <c r="H600" s="14" t="s">
        <v>1534</v>
      </c>
      <c r="I600" s="14" t="s">
        <v>1360</v>
      </c>
      <c r="J600" s="14" t="s">
        <v>1360</v>
      </c>
      <c r="K600" s="14"/>
      <c r="L600" s="14"/>
      <c r="M600" s="14" t="s">
        <v>1218</v>
      </c>
      <c r="N600" s="14" t="s">
        <v>1219</v>
      </c>
      <c r="O600" s="14" t="s">
        <v>1220</v>
      </c>
    </row>
    <row r="601" spans="1:15" x14ac:dyDescent="0.25">
      <c r="A601" s="14">
        <v>3000187</v>
      </c>
      <c r="B601" s="14" t="s">
        <v>2392</v>
      </c>
      <c r="C601" s="14" t="s">
        <v>2392</v>
      </c>
      <c r="D601" s="14" t="s">
        <v>1349</v>
      </c>
      <c r="E601" s="15"/>
      <c r="F601" s="14" t="s">
        <v>1533</v>
      </c>
      <c r="G601" s="15"/>
      <c r="H601" s="14" t="s">
        <v>1534</v>
      </c>
      <c r="I601" s="14" t="s">
        <v>1360</v>
      </c>
      <c r="J601" s="14" t="s">
        <v>1360</v>
      </c>
      <c r="K601" s="14"/>
      <c r="L601" s="14" t="s">
        <v>2393</v>
      </c>
      <c r="M601" s="14" t="s">
        <v>1218</v>
      </c>
      <c r="N601" s="14" t="s">
        <v>1219</v>
      </c>
      <c r="O601" s="14" t="s">
        <v>1220</v>
      </c>
    </row>
    <row r="602" spans="1:15" x14ac:dyDescent="0.25">
      <c r="A602" s="14">
        <v>6010134</v>
      </c>
      <c r="B602" s="14" t="s">
        <v>2394</v>
      </c>
      <c r="C602" s="14" t="s">
        <v>2394</v>
      </c>
      <c r="D602" s="14" t="s">
        <v>1533</v>
      </c>
      <c r="E602" s="15"/>
      <c r="F602" s="14" t="s">
        <v>1533</v>
      </c>
      <c r="G602" s="15"/>
      <c r="H602" s="14" t="s">
        <v>1534</v>
      </c>
      <c r="I602" s="14" t="s">
        <v>1360</v>
      </c>
      <c r="J602" s="14" t="s">
        <v>1360</v>
      </c>
      <c r="K602" s="14"/>
      <c r="L602" s="14"/>
      <c r="M602" s="14" t="s">
        <v>1218</v>
      </c>
      <c r="N602" s="14" t="s">
        <v>1219</v>
      </c>
      <c r="O602" s="14" t="s">
        <v>1220</v>
      </c>
    </row>
    <row r="603" spans="1:15" x14ac:dyDescent="0.25">
      <c r="A603" s="14">
        <v>9110023</v>
      </c>
      <c r="B603" s="14" t="s">
        <v>2395</v>
      </c>
      <c r="C603" s="14" t="s">
        <v>2395</v>
      </c>
      <c r="D603" s="14" t="s">
        <v>1533</v>
      </c>
      <c r="E603" s="15"/>
      <c r="F603" s="14"/>
      <c r="G603" s="15"/>
      <c r="H603" s="14" t="s">
        <v>1534</v>
      </c>
      <c r="I603" s="14" t="s">
        <v>1360</v>
      </c>
      <c r="J603" s="14" t="s">
        <v>1360</v>
      </c>
      <c r="K603" s="14"/>
      <c r="L603" s="14"/>
      <c r="M603" s="14" t="s">
        <v>1218</v>
      </c>
      <c r="N603" s="14" t="s">
        <v>1219</v>
      </c>
      <c r="O603" s="14" t="s">
        <v>1220</v>
      </c>
    </row>
    <row r="604" spans="1:15" x14ac:dyDescent="0.25">
      <c r="A604" s="14">
        <v>3010164</v>
      </c>
      <c r="B604" s="14" t="s">
        <v>2396</v>
      </c>
      <c r="C604" s="14" t="s">
        <v>2396</v>
      </c>
      <c r="D604" s="14" t="s">
        <v>1533</v>
      </c>
      <c r="E604" s="15"/>
      <c r="F604" s="14" t="s">
        <v>1533</v>
      </c>
      <c r="G604" s="15"/>
      <c r="H604" s="14" t="s">
        <v>1534</v>
      </c>
      <c r="I604" s="14" t="s">
        <v>1360</v>
      </c>
      <c r="J604" s="14" t="s">
        <v>1360</v>
      </c>
      <c r="K604" s="14"/>
      <c r="L604" s="14"/>
      <c r="M604" s="14" t="s">
        <v>1218</v>
      </c>
      <c r="N604" s="14" t="s">
        <v>1219</v>
      </c>
      <c r="O604" s="14" t="s">
        <v>1220</v>
      </c>
    </row>
    <row r="605" spans="1:15" x14ac:dyDescent="0.25">
      <c r="A605" s="14">
        <v>1146</v>
      </c>
      <c r="B605" s="14" t="s">
        <v>942</v>
      </c>
      <c r="C605" s="14" t="s">
        <v>2397</v>
      </c>
      <c r="D605" s="14" t="s">
        <v>1216</v>
      </c>
      <c r="E605" s="16">
        <v>30</v>
      </c>
      <c r="F605" s="14" t="s">
        <v>1216</v>
      </c>
      <c r="G605" s="16">
        <v>510</v>
      </c>
      <c r="H605" s="14" t="s">
        <v>1216</v>
      </c>
      <c r="I605" s="14" t="s">
        <v>1256</v>
      </c>
      <c r="J605" s="14" t="s">
        <v>1233</v>
      </c>
      <c r="K605" s="14" t="s">
        <v>1257</v>
      </c>
      <c r="L605" s="14" t="s">
        <v>2398</v>
      </c>
      <c r="M605" s="14" t="s">
        <v>1218</v>
      </c>
      <c r="N605" s="14" t="s">
        <v>1237</v>
      </c>
      <c r="O605" s="14" t="s">
        <v>1220</v>
      </c>
    </row>
    <row r="606" spans="1:15" x14ac:dyDescent="0.25">
      <c r="A606" s="14">
        <v>4781</v>
      </c>
      <c r="B606" s="14" t="s">
        <v>1020</v>
      </c>
      <c r="C606" s="14" t="s">
        <v>2399</v>
      </c>
      <c r="D606" s="14" t="s">
        <v>1216</v>
      </c>
      <c r="E606" s="16">
        <v>25</v>
      </c>
      <c r="F606" s="14" t="s">
        <v>1216</v>
      </c>
      <c r="G606" s="16">
        <v>500</v>
      </c>
      <c r="H606" s="14" t="s">
        <v>2334</v>
      </c>
      <c r="I606" s="14" t="s">
        <v>1256</v>
      </c>
      <c r="J606" s="14" t="s">
        <v>1233</v>
      </c>
      <c r="K606" s="14" t="s">
        <v>1257</v>
      </c>
      <c r="L606" s="14" t="s">
        <v>2400</v>
      </c>
      <c r="M606" s="14" t="s">
        <v>1218</v>
      </c>
      <c r="N606" s="14" t="s">
        <v>1237</v>
      </c>
      <c r="O606" s="14" t="s">
        <v>1220</v>
      </c>
    </row>
    <row r="607" spans="1:15" x14ac:dyDescent="0.25">
      <c r="A607" s="14" t="s">
        <v>2401</v>
      </c>
      <c r="B607" s="14" t="s">
        <v>2402</v>
      </c>
      <c r="C607" s="14" t="s">
        <v>2403</v>
      </c>
      <c r="D607" s="14" t="s">
        <v>2387</v>
      </c>
      <c r="E607" s="15"/>
      <c r="F607" s="14" t="s">
        <v>1216</v>
      </c>
      <c r="G607" s="15"/>
      <c r="H607" s="14" t="s">
        <v>1216</v>
      </c>
      <c r="I607" s="14" t="s">
        <v>1262</v>
      </c>
      <c r="J607" s="14" t="s">
        <v>1262</v>
      </c>
      <c r="K607" s="14"/>
      <c r="L607" s="14" t="s">
        <v>2398</v>
      </c>
      <c r="M607" s="14" t="s">
        <v>1218</v>
      </c>
      <c r="N607" s="14" t="s">
        <v>1219</v>
      </c>
      <c r="O607" s="14" t="s">
        <v>1220</v>
      </c>
    </row>
    <row r="608" spans="1:15" x14ac:dyDescent="0.25">
      <c r="A608" s="14">
        <v>6020059</v>
      </c>
      <c r="B608" s="14" t="s">
        <v>2404</v>
      </c>
      <c r="C608" s="14" t="s">
        <v>2404</v>
      </c>
      <c r="D608" s="14" t="s">
        <v>1533</v>
      </c>
      <c r="E608" s="15"/>
      <c r="F608" s="14" t="s">
        <v>1533</v>
      </c>
      <c r="G608" s="15"/>
      <c r="H608" s="14" t="s">
        <v>1534</v>
      </c>
      <c r="I608" s="14" t="s">
        <v>1360</v>
      </c>
      <c r="J608" s="14" t="s">
        <v>1360</v>
      </c>
      <c r="K608" s="14"/>
      <c r="L608" s="14"/>
      <c r="M608" s="14" t="s">
        <v>1218</v>
      </c>
      <c r="N608" s="14" t="s">
        <v>1219</v>
      </c>
      <c r="O608" s="14" t="s">
        <v>1220</v>
      </c>
    </row>
    <row r="609" spans="1:15" x14ac:dyDescent="0.25">
      <c r="A609" s="14">
        <v>9120007</v>
      </c>
      <c r="B609" s="14" t="s">
        <v>2405</v>
      </c>
      <c r="C609" s="14" t="s">
        <v>2405</v>
      </c>
      <c r="D609" s="14" t="s">
        <v>1533</v>
      </c>
      <c r="E609" s="15"/>
      <c r="F609" s="14"/>
      <c r="G609" s="15"/>
      <c r="H609" s="14" t="s">
        <v>1534</v>
      </c>
      <c r="I609" s="14" t="s">
        <v>1360</v>
      </c>
      <c r="J609" s="14" t="s">
        <v>1360</v>
      </c>
      <c r="K609" s="14"/>
      <c r="L609" s="14"/>
      <c r="M609" s="14" t="s">
        <v>1218</v>
      </c>
      <c r="N609" s="14" t="s">
        <v>1219</v>
      </c>
      <c r="O609" s="14" t="s">
        <v>1220</v>
      </c>
    </row>
    <row r="610" spans="1:15" x14ac:dyDescent="0.25">
      <c r="A610" s="14">
        <v>3020077</v>
      </c>
      <c r="B610" s="14" t="s">
        <v>2406</v>
      </c>
      <c r="C610" s="14" t="s">
        <v>2406</v>
      </c>
      <c r="D610" s="14" t="s">
        <v>1533</v>
      </c>
      <c r="E610" s="15"/>
      <c r="F610" s="14" t="s">
        <v>1533</v>
      </c>
      <c r="G610" s="15"/>
      <c r="H610" s="14" t="s">
        <v>1534</v>
      </c>
      <c r="I610" s="14" t="s">
        <v>1360</v>
      </c>
      <c r="J610" s="14" t="s">
        <v>1360</v>
      </c>
      <c r="K610" s="14"/>
      <c r="L610" s="14"/>
      <c r="M610" s="14" t="s">
        <v>1218</v>
      </c>
      <c r="N610" s="14" t="s">
        <v>1219</v>
      </c>
      <c r="O610" s="14" t="s">
        <v>1220</v>
      </c>
    </row>
    <row r="611" spans="1:15" x14ac:dyDescent="0.25">
      <c r="A611" s="14">
        <v>6000111</v>
      </c>
      <c r="B611" s="14" t="s">
        <v>2407</v>
      </c>
      <c r="C611" s="14" t="s">
        <v>2407</v>
      </c>
      <c r="D611" s="14" t="s">
        <v>1533</v>
      </c>
      <c r="E611" s="15"/>
      <c r="F611" s="14" t="s">
        <v>1533</v>
      </c>
      <c r="G611" s="15"/>
      <c r="H611" s="14" t="s">
        <v>1534</v>
      </c>
      <c r="I611" s="14" t="s">
        <v>1360</v>
      </c>
      <c r="J611" s="14" t="s">
        <v>1360</v>
      </c>
      <c r="K611" s="14"/>
      <c r="L611" s="14"/>
      <c r="M611" s="14" t="s">
        <v>1218</v>
      </c>
      <c r="N611" s="14" t="s">
        <v>1219</v>
      </c>
      <c r="O611" s="14" t="s">
        <v>1220</v>
      </c>
    </row>
    <row r="612" spans="1:15" x14ac:dyDescent="0.25">
      <c r="A612" s="14">
        <v>9100015</v>
      </c>
      <c r="B612" s="14" t="s">
        <v>2408</v>
      </c>
      <c r="C612" s="14" t="s">
        <v>2408</v>
      </c>
      <c r="D612" s="14" t="s">
        <v>1533</v>
      </c>
      <c r="E612" s="15"/>
      <c r="F612" s="14"/>
      <c r="G612" s="15"/>
      <c r="H612" s="14" t="s">
        <v>1534</v>
      </c>
      <c r="I612" s="14" t="s">
        <v>1360</v>
      </c>
      <c r="J612" s="14" t="s">
        <v>1360</v>
      </c>
      <c r="K612" s="14"/>
      <c r="L612" s="14"/>
      <c r="M612" s="14" t="s">
        <v>1218</v>
      </c>
      <c r="N612" s="14" t="s">
        <v>1219</v>
      </c>
      <c r="O612" s="14" t="s">
        <v>1220</v>
      </c>
    </row>
    <row r="613" spans="1:15" x14ac:dyDescent="0.25">
      <c r="A613" s="14">
        <v>3000181</v>
      </c>
      <c r="B613" s="14" t="s">
        <v>2409</v>
      </c>
      <c r="C613" s="14" t="s">
        <v>2409</v>
      </c>
      <c r="D613" s="14" t="s">
        <v>1349</v>
      </c>
      <c r="E613" s="15"/>
      <c r="F613" s="14" t="s">
        <v>1533</v>
      </c>
      <c r="G613" s="15"/>
      <c r="H613" s="14" t="s">
        <v>1534</v>
      </c>
      <c r="I613" s="14" t="s">
        <v>1360</v>
      </c>
      <c r="J613" s="14" t="s">
        <v>1360</v>
      </c>
      <c r="K613" s="14"/>
      <c r="L613" s="14"/>
      <c r="M613" s="14" t="s">
        <v>1218</v>
      </c>
      <c r="N613" s="14" t="s">
        <v>1219</v>
      </c>
      <c r="O613" s="14" t="s">
        <v>1220</v>
      </c>
    </row>
    <row r="614" spans="1:15" x14ac:dyDescent="0.25">
      <c r="A614" s="14">
        <v>6010129</v>
      </c>
      <c r="B614" s="14" t="s">
        <v>2410</v>
      </c>
      <c r="C614" s="14" t="s">
        <v>2410</v>
      </c>
      <c r="D614" s="14" t="s">
        <v>1533</v>
      </c>
      <c r="E614" s="15"/>
      <c r="F614" s="14" t="s">
        <v>1533</v>
      </c>
      <c r="G614" s="15"/>
      <c r="H614" s="14" t="s">
        <v>1534</v>
      </c>
      <c r="I614" s="14" t="s">
        <v>1360</v>
      </c>
      <c r="J614" s="14" t="s">
        <v>1360</v>
      </c>
      <c r="K614" s="14"/>
      <c r="L614" s="14"/>
      <c r="M614" s="14" t="s">
        <v>1218</v>
      </c>
      <c r="N614" s="14" t="s">
        <v>1219</v>
      </c>
      <c r="O614" s="14" t="s">
        <v>1220</v>
      </c>
    </row>
    <row r="615" spans="1:15" x14ac:dyDescent="0.25">
      <c r="A615" s="14">
        <v>9110022</v>
      </c>
      <c r="B615" s="14" t="s">
        <v>2411</v>
      </c>
      <c r="C615" s="14" t="s">
        <v>2411</v>
      </c>
      <c r="D615" s="14" t="s">
        <v>1533</v>
      </c>
      <c r="E615" s="15"/>
      <c r="F615" s="14"/>
      <c r="G615" s="15"/>
      <c r="H615" s="14" t="s">
        <v>1534</v>
      </c>
      <c r="I615" s="14" t="s">
        <v>1360</v>
      </c>
      <c r="J615" s="14" t="s">
        <v>1360</v>
      </c>
      <c r="K615" s="14"/>
      <c r="L615" s="14"/>
      <c r="M615" s="14" t="s">
        <v>1218</v>
      </c>
      <c r="N615" s="14" t="s">
        <v>1219</v>
      </c>
      <c r="O615" s="14" t="s">
        <v>1220</v>
      </c>
    </row>
    <row r="616" spans="1:15" x14ac:dyDescent="0.25">
      <c r="A616" s="14">
        <v>3010160</v>
      </c>
      <c r="B616" s="14" t="s">
        <v>2412</v>
      </c>
      <c r="C616" s="14" t="s">
        <v>2412</v>
      </c>
      <c r="D616" s="14" t="s">
        <v>1533</v>
      </c>
      <c r="E616" s="15"/>
      <c r="F616" s="14" t="s">
        <v>1533</v>
      </c>
      <c r="G616" s="15"/>
      <c r="H616" s="14" t="s">
        <v>1534</v>
      </c>
      <c r="I616" s="14" t="s">
        <v>1360</v>
      </c>
      <c r="J616" s="14" t="s">
        <v>1360</v>
      </c>
      <c r="K616" s="14"/>
      <c r="L616" s="14"/>
      <c r="M616" s="14" t="s">
        <v>1218</v>
      </c>
      <c r="N616" s="14" t="s">
        <v>1219</v>
      </c>
      <c r="O616" s="14" t="s">
        <v>1220</v>
      </c>
    </row>
    <row r="617" spans="1:15" x14ac:dyDescent="0.25">
      <c r="A617" s="14">
        <v>1157</v>
      </c>
      <c r="B617" s="14" t="s">
        <v>939</v>
      </c>
      <c r="C617" s="14" t="s">
        <v>2413</v>
      </c>
      <c r="D617" s="14" t="s">
        <v>1216</v>
      </c>
      <c r="E617" s="16">
        <v>60</v>
      </c>
      <c r="F617" s="14" t="s">
        <v>1216</v>
      </c>
      <c r="G617" s="17">
        <v>1020</v>
      </c>
      <c r="H617" s="14" t="s">
        <v>1216</v>
      </c>
      <c r="I617" s="14" t="s">
        <v>1256</v>
      </c>
      <c r="J617" s="14" t="s">
        <v>1233</v>
      </c>
      <c r="K617" s="14" t="s">
        <v>1257</v>
      </c>
      <c r="L617" s="14" t="s">
        <v>2414</v>
      </c>
      <c r="M617" s="14" t="s">
        <v>1218</v>
      </c>
      <c r="N617" s="14" t="s">
        <v>1237</v>
      </c>
      <c r="O617" s="14" t="s">
        <v>1220</v>
      </c>
    </row>
    <row r="618" spans="1:15" x14ac:dyDescent="0.25">
      <c r="A618" s="14">
        <v>4788</v>
      </c>
      <c r="B618" s="14" t="s">
        <v>1017</v>
      </c>
      <c r="C618" s="14" t="s">
        <v>2415</v>
      </c>
      <c r="D618" s="14" t="s">
        <v>1216</v>
      </c>
      <c r="E618" s="16">
        <v>50</v>
      </c>
      <c r="F618" s="14" t="s">
        <v>1216</v>
      </c>
      <c r="G618" s="17">
        <v>1000</v>
      </c>
      <c r="H618" s="14" t="s">
        <v>2334</v>
      </c>
      <c r="I618" s="14" t="s">
        <v>1256</v>
      </c>
      <c r="J618" s="14" t="s">
        <v>1233</v>
      </c>
      <c r="K618" s="14" t="s">
        <v>1257</v>
      </c>
      <c r="L618" s="14" t="s">
        <v>2416</v>
      </c>
      <c r="M618" s="14" t="s">
        <v>1218</v>
      </c>
      <c r="N618" s="14" t="s">
        <v>1237</v>
      </c>
      <c r="O618" s="14" t="s">
        <v>1220</v>
      </c>
    </row>
    <row r="619" spans="1:15" x14ac:dyDescent="0.25">
      <c r="A619" s="14" t="s">
        <v>2417</v>
      </c>
      <c r="B619" s="14" t="s">
        <v>2418</v>
      </c>
      <c r="C619" s="14" t="s">
        <v>2419</v>
      </c>
      <c r="D619" s="14" t="s">
        <v>2334</v>
      </c>
      <c r="E619" s="16">
        <v>50</v>
      </c>
      <c r="F619" s="14" t="s">
        <v>1216</v>
      </c>
      <c r="G619" s="17">
        <v>1000</v>
      </c>
      <c r="H619" s="14" t="s">
        <v>2334</v>
      </c>
      <c r="I619" s="14" t="s">
        <v>1262</v>
      </c>
      <c r="J619" s="14" t="s">
        <v>1262</v>
      </c>
      <c r="K619" s="14" t="s">
        <v>1257</v>
      </c>
      <c r="L619" s="14" t="s">
        <v>2416</v>
      </c>
      <c r="M619" s="14" t="s">
        <v>1218</v>
      </c>
      <c r="N619" s="14" t="s">
        <v>1219</v>
      </c>
      <c r="O619" s="14" t="s">
        <v>1220</v>
      </c>
    </row>
    <row r="620" spans="1:15" x14ac:dyDescent="0.25">
      <c r="A620" s="14" t="s">
        <v>2420</v>
      </c>
      <c r="B620" s="14" t="s">
        <v>2421</v>
      </c>
      <c r="C620" s="14" t="s">
        <v>2422</v>
      </c>
      <c r="D620" s="14" t="s">
        <v>2387</v>
      </c>
      <c r="E620" s="15"/>
      <c r="F620" s="14" t="s">
        <v>1216</v>
      </c>
      <c r="G620" s="15"/>
      <c r="H620" s="14" t="s">
        <v>1216</v>
      </c>
      <c r="I620" s="14" t="s">
        <v>1262</v>
      </c>
      <c r="J620" s="14" t="s">
        <v>1262</v>
      </c>
      <c r="K620" s="14"/>
      <c r="L620" s="14" t="s">
        <v>2414</v>
      </c>
      <c r="M620" s="14" t="s">
        <v>1218</v>
      </c>
      <c r="N620" s="14" t="s">
        <v>1219</v>
      </c>
      <c r="O620" s="14" t="s">
        <v>1220</v>
      </c>
    </row>
    <row r="621" spans="1:15" x14ac:dyDescent="0.25">
      <c r="A621" s="14">
        <v>1145</v>
      </c>
      <c r="B621" s="14" t="s">
        <v>940</v>
      </c>
      <c r="C621" s="14" t="s">
        <v>2423</v>
      </c>
      <c r="D621" s="14" t="s">
        <v>1216</v>
      </c>
      <c r="E621" s="16">
        <v>60</v>
      </c>
      <c r="F621" s="14" t="s">
        <v>1216</v>
      </c>
      <c r="G621" s="17">
        <v>1020</v>
      </c>
      <c r="H621" s="14" t="s">
        <v>1216</v>
      </c>
      <c r="I621" s="14" t="s">
        <v>1256</v>
      </c>
      <c r="J621" s="14" t="s">
        <v>1233</v>
      </c>
      <c r="K621" s="14" t="s">
        <v>1257</v>
      </c>
      <c r="L621" s="14" t="s">
        <v>2424</v>
      </c>
      <c r="M621" s="14" t="s">
        <v>1218</v>
      </c>
      <c r="N621" s="14" t="s">
        <v>1237</v>
      </c>
      <c r="O621" s="14" t="s">
        <v>1220</v>
      </c>
    </row>
    <row r="622" spans="1:15" x14ac:dyDescent="0.25">
      <c r="A622" s="14" t="s">
        <v>2425</v>
      </c>
      <c r="B622" s="14" t="s">
        <v>2426</v>
      </c>
      <c r="C622" s="14" t="s">
        <v>2427</v>
      </c>
      <c r="D622" s="14" t="s">
        <v>2387</v>
      </c>
      <c r="E622" s="15"/>
      <c r="F622" s="14" t="s">
        <v>1216</v>
      </c>
      <c r="G622" s="15"/>
      <c r="H622" s="14" t="s">
        <v>1216</v>
      </c>
      <c r="I622" s="14" t="s">
        <v>1262</v>
      </c>
      <c r="J622" s="14" t="s">
        <v>1262</v>
      </c>
      <c r="K622" s="14"/>
      <c r="L622" s="14" t="s">
        <v>2424</v>
      </c>
      <c r="M622" s="14" t="s">
        <v>1218</v>
      </c>
      <c r="N622" s="14" t="s">
        <v>1219</v>
      </c>
      <c r="O622" s="14" t="s">
        <v>1220</v>
      </c>
    </row>
    <row r="623" spans="1:15" x14ac:dyDescent="0.25">
      <c r="A623" s="14">
        <v>1010403</v>
      </c>
      <c r="B623" s="14" t="s">
        <v>2428</v>
      </c>
      <c r="C623" s="14" t="s">
        <v>2428</v>
      </c>
      <c r="D623" s="14" t="s">
        <v>1215</v>
      </c>
      <c r="E623" s="15"/>
      <c r="F623" s="14"/>
      <c r="G623" s="15"/>
      <c r="H623" s="14" t="s">
        <v>1216</v>
      </c>
      <c r="I623" s="14" t="s">
        <v>1217</v>
      </c>
      <c r="J623" s="14"/>
      <c r="K623" s="14"/>
      <c r="L623" s="14"/>
      <c r="M623" s="14" t="s">
        <v>1218</v>
      </c>
      <c r="N623" s="14" t="s">
        <v>1219</v>
      </c>
      <c r="O623" s="14" t="s">
        <v>1220</v>
      </c>
    </row>
    <row r="624" spans="1:15" x14ac:dyDescent="0.25">
      <c r="A624" s="14">
        <v>1143</v>
      </c>
      <c r="B624" s="14" t="s">
        <v>936</v>
      </c>
      <c r="C624" s="14" t="s">
        <v>2429</v>
      </c>
      <c r="D624" s="14" t="s">
        <v>1216</v>
      </c>
      <c r="E624" s="16">
        <v>120</v>
      </c>
      <c r="F624" s="14" t="s">
        <v>1216</v>
      </c>
      <c r="G624" s="17">
        <v>3000</v>
      </c>
      <c r="H624" s="14" t="s">
        <v>1216</v>
      </c>
      <c r="I624" s="14" t="s">
        <v>1256</v>
      </c>
      <c r="J624" s="14" t="s">
        <v>1233</v>
      </c>
      <c r="K624" s="14" t="s">
        <v>1257</v>
      </c>
      <c r="L624" s="14" t="s">
        <v>2430</v>
      </c>
      <c r="M624" s="14" t="s">
        <v>1218</v>
      </c>
      <c r="N624" s="14" t="s">
        <v>1237</v>
      </c>
      <c r="O624" s="14" t="s">
        <v>1220</v>
      </c>
    </row>
    <row r="625" spans="1:15" x14ac:dyDescent="0.25">
      <c r="A625" s="14">
        <v>4770</v>
      </c>
      <c r="B625" s="14" t="s">
        <v>1014</v>
      </c>
      <c r="C625" s="14" t="s">
        <v>2431</v>
      </c>
      <c r="D625" s="14" t="s">
        <v>1216</v>
      </c>
      <c r="E625" s="16">
        <v>120</v>
      </c>
      <c r="F625" s="14" t="s">
        <v>1216</v>
      </c>
      <c r="G625" s="17">
        <v>3000</v>
      </c>
      <c r="H625" s="14" t="s">
        <v>2334</v>
      </c>
      <c r="I625" s="14" t="s">
        <v>1256</v>
      </c>
      <c r="J625" s="14" t="s">
        <v>1233</v>
      </c>
      <c r="K625" s="14" t="s">
        <v>1257</v>
      </c>
      <c r="L625" s="14" t="s">
        <v>2432</v>
      </c>
      <c r="M625" s="14" t="s">
        <v>1218</v>
      </c>
      <c r="N625" s="14" t="s">
        <v>1237</v>
      </c>
      <c r="O625" s="14" t="s">
        <v>1220</v>
      </c>
    </row>
    <row r="626" spans="1:15" x14ac:dyDescent="0.25">
      <c r="A626" s="14" t="s">
        <v>2433</v>
      </c>
      <c r="B626" s="14" t="s">
        <v>2434</v>
      </c>
      <c r="C626" s="14" t="s">
        <v>2435</v>
      </c>
      <c r="D626" s="14" t="s">
        <v>2334</v>
      </c>
      <c r="E626" s="16">
        <v>120</v>
      </c>
      <c r="F626" s="14" t="s">
        <v>1216</v>
      </c>
      <c r="G626" s="17">
        <v>3000</v>
      </c>
      <c r="H626" s="14" t="s">
        <v>2334</v>
      </c>
      <c r="I626" s="14" t="s">
        <v>1262</v>
      </c>
      <c r="J626" s="14" t="s">
        <v>1262</v>
      </c>
      <c r="K626" s="14" t="s">
        <v>1257</v>
      </c>
      <c r="L626" s="14" t="s">
        <v>2432</v>
      </c>
      <c r="M626" s="14" t="s">
        <v>1218</v>
      </c>
      <c r="N626" s="14" t="s">
        <v>1219</v>
      </c>
      <c r="O626" s="14" t="s">
        <v>1220</v>
      </c>
    </row>
    <row r="627" spans="1:15" x14ac:dyDescent="0.25">
      <c r="A627" s="14" t="s">
        <v>2436</v>
      </c>
      <c r="B627" s="14" t="s">
        <v>2437</v>
      </c>
      <c r="C627" s="14" t="s">
        <v>2438</v>
      </c>
      <c r="D627" s="14" t="s">
        <v>2387</v>
      </c>
      <c r="E627" s="15"/>
      <c r="F627" s="14" t="s">
        <v>1216</v>
      </c>
      <c r="G627" s="15"/>
      <c r="H627" s="14" t="s">
        <v>1216</v>
      </c>
      <c r="I627" s="14" t="s">
        <v>1262</v>
      </c>
      <c r="J627" s="14" t="s">
        <v>1262</v>
      </c>
      <c r="K627" s="14"/>
      <c r="L627" s="14" t="s">
        <v>2430</v>
      </c>
      <c r="M627" s="14" t="s">
        <v>1218</v>
      </c>
      <c r="N627" s="14" t="s">
        <v>1219</v>
      </c>
      <c r="O627" s="14" t="s">
        <v>1220</v>
      </c>
    </row>
    <row r="628" spans="1:15" x14ac:dyDescent="0.25">
      <c r="A628" s="14">
        <v>1155</v>
      </c>
      <c r="B628" s="14" t="s">
        <v>935</v>
      </c>
      <c r="C628" s="14" t="s">
        <v>2439</v>
      </c>
      <c r="D628" s="14" t="s">
        <v>1216</v>
      </c>
      <c r="E628" s="16">
        <v>120</v>
      </c>
      <c r="F628" s="14" t="s">
        <v>1216</v>
      </c>
      <c r="G628" s="17">
        <v>3000</v>
      </c>
      <c r="H628" s="14" t="s">
        <v>1216</v>
      </c>
      <c r="I628" s="14" t="s">
        <v>1256</v>
      </c>
      <c r="J628" s="14" t="s">
        <v>1233</v>
      </c>
      <c r="K628" s="14" t="s">
        <v>1257</v>
      </c>
      <c r="L628" s="14" t="s">
        <v>2440</v>
      </c>
      <c r="M628" s="14" t="s">
        <v>1218</v>
      </c>
      <c r="N628" s="14" t="s">
        <v>1237</v>
      </c>
      <c r="O628" s="14" t="s">
        <v>1220</v>
      </c>
    </row>
    <row r="629" spans="1:15" x14ac:dyDescent="0.25">
      <c r="A629" s="14">
        <v>4774</v>
      </c>
      <c r="B629" s="14" t="s">
        <v>1013</v>
      </c>
      <c r="C629" s="14" t="s">
        <v>2441</v>
      </c>
      <c r="D629" s="14" t="s">
        <v>1216</v>
      </c>
      <c r="E629" s="16">
        <v>160</v>
      </c>
      <c r="F629" s="14" t="s">
        <v>1216</v>
      </c>
      <c r="G629" s="17">
        <v>3040</v>
      </c>
      <c r="H629" s="14" t="s">
        <v>2334</v>
      </c>
      <c r="I629" s="14" t="s">
        <v>1256</v>
      </c>
      <c r="J629" s="14" t="s">
        <v>1233</v>
      </c>
      <c r="K629" s="14" t="s">
        <v>1257</v>
      </c>
      <c r="L629" s="14" t="s">
        <v>2442</v>
      </c>
      <c r="M629" s="14" t="s">
        <v>1218</v>
      </c>
      <c r="N629" s="14" t="s">
        <v>1237</v>
      </c>
      <c r="O629" s="14" t="s">
        <v>1220</v>
      </c>
    </row>
    <row r="630" spans="1:15" x14ac:dyDescent="0.25">
      <c r="A630" s="14" t="s">
        <v>2443</v>
      </c>
      <c r="B630" s="14" t="s">
        <v>2444</v>
      </c>
      <c r="C630" s="14" t="s">
        <v>2445</v>
      </c>
      <c r="D630" s="14" t="s">
        <v>2446</v>
      </c>
      <c r="E630" s="15"/>
      <c r="F630" s="14" t="s">
        <v>1216</v>
      </c>
      <c r="G630" s="15"/>
      <c r="H630" s="14" t="s">
        <v>2334</v>
      </c>
      <c r="I630" s="14" t="s">
        <v>1262</v>
      </c>
      <c r="J630" s="14" t="s">
        <v>1262</v>
      </c>
      <c r="K630" s="14" t="s">
        <v>1257</v>
      </c>
      <c r="L630" s="14" t="s">
        <v>2442</v>
      </c>
      <c r="M630" s="14" t="s">
        <v>1218</v>
      </c>
      <c r="N630" s="14" t="s">
        <v>1219</v>
      </c>
      <c r="O630" s="14" t="s">
        <v>1220</v>
      </c>
    </row>
    <row r="631" spans="1:15" x14ac:dyDescent="0.25">
      <c r="A631" s="14" t="s">
        <v>2447</v>
      </c>
      <c r="B631" s="14" t="s">
        <v>2448</v>
      </c>
      <c r="C631" s="14" t="s">
        <v>2449</v>
      </c>
      <c r="D631" s="14" t="s">
        <v>2387</v>
      </c>
      <c r="E631" s="15"/>
      <c r="F631" s="14" t="s">
        <v>1216</v>
      </c>
      <c r="G631" s="15"/>
      <c r="H631" s="14" t="s">
        <v>1216</v>
      </c>
      <c r="I631" s="14" t="s">
        <v>1262</v>
      </c>
      <c r="J631" s="14" t="s">
        <v>1262</v>
      </c>
      <c r="K631" s="14"/>
      <c r="L631" s="14" t="s">
        <v>2440</v>
      </c>
      <c r="M631" s="14" t="s">
        <v>1218</v>
      </c>
      <c r="N631" s="14" t="s">
        <v>1219</v>
      </c>
      <c r="O631" s="14" t="s">
        <v>1220</v>
      </c>
    </row>
    <row r="632" spans="1:15" x14ac:dyDescent="0.25">
      <c r="A632" s="14" t="s">
        <v>2450</v>
      </c>
      <c r="B632" s="14" t="s">
        <v>2451</v>
      </c>
      <c r="C632" s="14" t="s">
        <v>2451</v>
      </c>
      <c r="D632" s="14" t="s">
        <v>1215</v>
      </c>
      <c r="E632" s="16">
        <v>120</v>
      </c>
      <c r="F632" s="14"/>
      <c r="G632" s="15"/>
      <c r="H632" s="14" t="s">
        <v>1216</v>
      </c>
      <c r="I632" s="14" t="s">
        <v>1217</v>
      </c>
      <c r="J632" s="14"/>
      <c r="K632" s="14"/>
      <c r="L632" s="14" t="s">
        <v>2452</v>
      </c>
      <c r="M632" s="14" t="s">
        <v>1218</v>
      </c>
      <c r="N632" s="14" t="s">
        <v>1219</v>
      </c>
      <c r="O632" s="14" t="s">
        <v>1220</v>
      </c>
    </row>
    <row r="633" spans="1:15" x14ac:dyDescent="0.25">
      <c r="A633" s="14">
        <v>1010401</v>
      </c>
      <c r="B633" s="14" t="s">
        <v>2453</v>
      </c>
      <c r="C633" s="14" t="s">
        <v>2453</v>
      </c>
      <c r="D633" s="14" t="s">
        <v>1215</v>
      </c>
      <c r="E633" s="15"/>
      <c r="F633" s="14"/>
      <c r="G633" s="15"/>
      <c r="H633" s="14" t="s">
        <v>1216</v>
      </c>
      <c r="I633" s="14" t="s">
        <v>1217</v>
      </c>
      <c r="J633" s="14"/>
      <c r="K633" s="14"/>
      <c r="L633" s="14"/>
      <c r="M633" s="14" t="s">
        <v>1218</v>
      </c>
      <c r="N633" s="14" t="s">
        <v>1219</v>
      </c>
      <c r="O633" s="14" t="s">
        <v>1220</v>
      </c>
    </row>
    <row r="634" spans="1:15" x14ac:dyDescent="0.25">
      <c r="A634" s="14">
        <v>1013001</v>
      </c>
      <c r="B634" s="14" t="s">
        <v>2454</v>
      </c>
      <c r="C634" s="14" t="s">
        <v>2454</v>
      </c>
      <c r="D634" s="14" t="s">
        <v>1215</v>
      </c>
      <c r="E634" s="15"/>
      <c r="F634" s="14"/>
      <c r="G634" s="15"/>
      <c r="H634" s="14" t="s">
        <v>1216</v>
      </c>
      <c r="I634" s="14" t="s">
        <v>1217</v>
      </c>
      <c r="J634" s="14"/>
      <c r="K634" s="14"/>
      <c r="L634" s="14"/>
      <c r="M634" s="14" t="s">
        <v>1218</v>
      </c>
      <c r="N634" s="14" t="s">
        <v>1219</v>
      </c>
      <c r="O634" s="14" t="s">
        <v>1220</v>
      </c>
    </row>
    <row r="635" spans="1:15" x14ac:dyDescent="0.25">
      <c r="A635" s="14">
        <v>6020007</v>
      </c>
      <c r="B635" s="14" t="s">
        <v>2455</v>
      </c>
      <c r="C635" s="14" t="s">
        <v>2455</v>
      </c>
      <c r="D635" s="14" t="s">
        <v>2456</v>
      </c>
      <c r="E635" s="15"/>
      <c r="F635" s="14" t="s">
        <v>1533</v>
      </c>
      <c r="G635" s="15"/>
      <c r="H635" s="14" t="s">
        <v>1534</v>
      </c>
      <c r="I635" s="14" t="s">
        <v>1360</v>
      </c>
      <c r="J635" s="14" t="s">
        <v>1360</v>
      </c>
      <c r="K635" s="14"/>
      <c r="L635" s="14" t="s">
        <v>2457</v>
      </c>
      <c r="M635" s="14" t="s">
        <v>1218</v>
      </c>
      <c r="N635" s="14" t="s">
        <v>1219</v>
      </c>
      <c r="O635" s="14" t="s">
        <v>1220</v>
      </c>
    </row>
    <row r="636" spans="1:15" x14ac:dyDescent="0.25">
      <c r="A636" s="14">
        <v>99999</v>
      </c>
      <c r="B636" s="14" t="s">
        <v>2458</v>
      </c>
      <c r="C636" s="14" t="s">
        <v>2458</v>
      </c>
      <c r="D636" s="14" t="s">
        <v>2459</v>
      </c>
      <c r="E636" s="15"/>
      <c r="F636" s="14" t="s">
        <v>1350</v>
      </c>
      <c r="G636" s="15"/>
      <c r="H636" s="14" t="s">
        <v>1534</v>
      </c>
      <c r="I636" s="14" t="s">
        <v>1351</v>
      </c>
      <c r="J636" s="14" t="s">
        <v>1351</v>
      </c>
      <c r="K636" s="14" t="s">
        <v>1257</v>
      </c>
      <c r="L636" s="14" t="s">
        <v>2460</v>
      </c>
      <c r="M636" s="14" t="s">
        <v>1218</v>
      </c>
      <c r="N636" s="14" t="s">
        <v>1219</v>
      </c>
      <c r="O636" s="14" t="s">
        <v>1220</v>
      </c>
    </row>
    <row r="637" spans="1:15" x14ac:dyDescent="0.25">
      <c r="A637" s="14" t="s">
        <v>2461</v>
      </c>
      <c r="B637" s="14" t="s">
        <v>2462</v>
      </c>
      <c r="C637" s="14" t="s">
        <v>2462</v>
      </c>
      <c r="D637" s="14" t="s">
        <v>2463</v>
      </c>
      <c r="E637" s="15"/>
      <c r="F637" s="14" t="s">
        <v>1350</v>
      </c>
      <c r="G637" s="15"/>
      <c r="H637" s="14" t="s">
        <v>1534</v>
      </c>
      <c r="I637" s="14" t="s">
        <v>1262</v>
      </c>
      <c r="J637" s="14" t="s">
        <v>1262</v>
      </c>
      <c r="K637" s="14"/>
      <c r="L637" s="14" t="s">
        <v>2460</v>
      </c>
      <c r="M637" s="14" t="s">
        <v>1218</v>
      </c>
      <c r="N637" s="14" t="s">
        <v>1219</v>
      </c>
      <c r="O637" s="14" t="s">
        <v>1220</v>
      </c>
    </row>
    <row r="638" spans="1:15" x14ac:dyDescent="0.25">
      <c r="A638" s="14">
        <v>3020062</v>
      </c>
      <c r="B638" s="14" t="s">
        <v>2464</v>
      </c>
      <c r="C638" s="14" t="s">
        <v>2464</v>
      </c>
      <c r="D638" s="14" t="s">
        <v>1349</v>
      </c>
      <c r="E638" s="15"/>
      <c r="F638" s="14" t="s">
        <v>1533</v>
      </c>
      <c r="G638" s="15"/>
      <c r="H638" s="14" t="s">
        <v>1534</v>
      </c>
      <c r="I638" s="14" t="s">
        <v>1360</v>
      </c>
      <c r="J638" s="14" t="s">
        <v>1360</v>
      </c>
      <c r="K638" s="14"/>
      <c r="L638" s="14" t="s">
        <v>2465</v>
      </c>
      <c r="M638" s="14" t="s">
        <v>1218</v>
      </c>
      <c r="N638" s="14" t="s">
        <v>1219</v>
      </c>
      <c r="O638" s="14" t="s">
        <v>1220</v>
      </c>
    </row>
    <row r="639" spans="1:15" x14ac:dyDescent="0.25">
      <c r="A639" s="14">
        <v>6000001</v>
      </c>
      <c r="B639" s="14" t="s">
        <v>2466</v>
      </c>
      <c r="C639" s="14" t="s">
        <v>2466</v>
      </c>
      <c r="D639" s="14" t="s">
        <v>2456</v>
      </c>
      <c r="E639" s="15"/>
      <c r="F639" s="14" t="s">
        <v>1533</v>
      </c>
      <c r="G639" s="15"/>
      <c r="H639" s="14" t="s">
        <v>1534</v>
      </c>
      <c r="I639" s="14" t="s">
        <v>1360</v>
      </c>
      <c r="J639" s="14" t="s">
        <v>1360</v>
      </c>
      <c r="K639" s="14"/>
      <c r="L639" s="14" t="s">
        <v>2467</v>
      </c>
      <c r="M639" s="14" t="s">
        <v>1218</v>
      </c>
      <c r="N639" s="14" t="s">
        <v>1219</v>
      </c>
      <c r="O639" s="14" t="s">
        <v>1220</v>
      </c>
    </row>
    <row r="640" spans="1:15" x14ac:dyDescent="0.25">
      <c r="A640" s="14">
        <v>99999</v>
      </c>
      <c r="B640" s="14" t="s">
        <v>2468</v>
      </c>
      <c r="C640" s="14" t="s">
        <v>2468</v>
      </c>
      <c r="D640" s="14" t="s">
        <v>2459</v>
      </c>
      <c r="E640" s="15"/>
      <c r="F640" s="14" t="s">
        <v>1350</v>
      </c>
      <c r="G640" s="15"/>
      <c r="H640" s="14" t="s">
        <v>1534</v>
      </c>
      <c r="I640" s="14" t="s">
        <v>1351</v>
      </c>
      <c r="J640" s="14" t="s">
        <v>1351</v>
      </c>
      <c r="K640" s="14" t="s">
        <v>1257</v>
      </c>
      <c r="L640" s="14" t="s">
        <v>2469</v>
      </c>
      <c r="M640" s="14" t="s">
        <v>1218</v>
      </c>
      <c r="N640" s="14" t="s">
        <v>1219</v>
      </c>
      <c r="O640" s="14" t="s">
        <v>1220</v>
      </c>
    </row>
    <row r="641" spans="1:15" x14ac:dyDescent="0.25">
      <c r="A641" s="14" t="s">
        <v>2470</v>
      </c>
      <c r="B641" s="14" t="s">
        <v>2471</v>
      </c>
      <c r="C641" s="14" t="s">
        <v>2471</v>
      </c>
      <c r="D641" s="14" t="s">
        <v>2463</v>
      </c>
      <c r="E641" s="15"/>
      <c r="F641" s="14" t="s">
        <v>1350</v>
      </c>
      <c r="G641" s="15"/>
      <c r="H641" s="14" t="s">
        <v>1534</v>
      </c>
      <c r="I641" s="14" t="s">
        <v>1262</v>
      </c>
      <c r="J641" s="14" t="s">
        <v>1262</v>
      </c>
      <c r="K641" s="14"/>
      <c r="L641" s="14" t="s">
        <v>2469</v>
      </c>
      <c r="M641" s="14" t="s">
        <v>1218</v>
      </c>
      <c r="N641" s="14" t="s">
        <v>1219</v>
      </c>
      <c r="O641" s="14" t="s">
        <v>1220</v>
      </c>
    </row>
    <row r="642" spans="1:15" x14ac:dyDescent="0.25">
      <c r="A642" s="14">
        <v>99999</v>
      </c>
      <c r="B642" s="14" t="s">
        <v>2472</v>
      </c>
      <c r="C642" s="14" t="s">
        <v>2472</v>
      </c>
      <c r="D642" s="14" t="s">
        <v>2473</v>
      </c>
      <c r="E642" s="15"/>
      <c r="F642" s="14" t="s">
        <v>1350</v>
      </c>
      <c r="G642" s="15"/>
      <c r="H642" s="14" t="s">
        <v>1534</v>
      </c>
      <c r="I642" s="14" t="s">
        <v>1351</v>
      </c>
      <c r="J642" s="14" t="s">
        <v>1351</v>
      </c>
      <c r="K642" s="14" t="s">
        <v>1257</v>
      </c>
      <c r="L642" s="14" t="s">
        <v>2474</v>
      </c>
      <c r="M642" s="14" t="s">
        <v>1218</v>
      </c>
      <c r="N642" s="14" t="s">
        <v>1219</v>
      </c>
      <c r="O642" s="14" t="s">
        <v>1220</v>
      </c>
    </row>
    <row r="643" spans="1:15" x14ac:dyDescent="0.25">
      <c r="A643" s="14">
        <v>6010007</v>
      </c>
      <c r="B643" s="14" t="s">
        <v>2475</v>
      </c>
      <c r="C643" s="14" t="s">
        <v>2475</v>
      </c>
      <c r="D643" s="14" t="s">
        <v>1533</v>
      </c>
      <c r="E643" s="15"/>
      <c r="F643" s="14" t="s">
        <v>1533</v>
      </c>
      <c r="G643" s="15"/>
      <c r="H643" s="14" t="s">
        <v>1534</v>
      </c>
      <c r="I643" s="14" t="s">
        <v>1360</v>
      </c>
      <c r="J643" s="14" t="s">
        <v>1360</v>
      </c>
      <c r="K643" s="14"/>
      <c r="L643" s="14"/>
      <c r="M643" s="14" t="s">
        <v>1218</v>
      </c>
      <c r="N643" s="14" t="s">
        <v>1219</v>
      </c>
      <c r="O643" s="14" t="s">
        <v>1220</v>
      </c>
    </row>
    <row r="644" spans="1:15" x14ac:dyDescent="0.25">
      <c r="A644" s="14">
        <v>9110025</v>
      </c>
      <c r="B644" s="14" t="s">
        <v>2476</v>
      </c>
      <c r="C644" s="14" t="s">
        <v>2476</v>
      </c>
      <c r="D644" s="14" t="s">
        <v>1533</v>
      </c>
      <c r="E644" s="15"/>
      <c r="F644" s="14"/>
      <c r="G644" s="15"/>
      <c r="H644" s="14" t="s">
        <v>1534</v>
      </c>
      <c r="I644" s="14" t="s">
        <v>1360</v>
      </c>
      <c r="J644" s="14" t="s">
        <v>1360</v>
      </c>
      <c r="K644" s="14"/>
      <c r="L644" s="14"/>
      <c r="M644" s="14" t="s">
        <v>1218</v>
      </c>
      <c r="N644" s="14" t="s">
        <v>1219</v>
      </c>
      <c r="O644" s="14" t="s">
        <v>1220</v>
      </c>
    </row>
    <row r="645" spans="1:15" x14ac:dyDescent="0.25">
      <c r="A645" s="14">
        <v>3010148</v>
      </c>
      <c r="B645" s="14" t="s">
        <v>2477</v>
      </c>
      <c r="C645" s="14" t="s">
        <v>2477</v>
      </c>
      <c r="D645" s="14" t="s">
        <v>1533</v>
      </c>
      <c r="E645" s="15"/>
      <c r="F645" s="14" t="s">
        <v>1533</v>
      </c>
      <c r="G645" s="15"/>
      <c r="H645" s="14" t="s">
        <v>1534</v>
      </c>
      <c r="I645" s="14" t="s">
        <v>1360</v>
      </c>
      <c r="J645" s="14" t="s">
        <v>1360</v>
      </c>
      <c r="K645" s="14"/>
      <c r="L645" s="14"/>
      <c r="M645" s="14" t="s">
        <v>1218</v>
      </c>
      <c r="N645" s="14" t="s">
        <v>1219</v>
      </c>
      <c r="O645" s="14" t="s">
        <v>1220</v>
      </c>
    </row>
    <row r="646" spans="1:15" x14ac:dyDescent="0.25">
      <c r="A646" s="14">
        <v>3020053</v>
      </c>
      <c r="B646" s="14" t="s">
        <v>2478</v>
      </c>
      <c r="C646" s="14" t="s">
        <v>2478</v>
      </c>
      <c r="D646" s="14" t="s">
        <v>1533</v>
      </c>
      <c r="E646" s="15"/>
      <c r="F646" s="14" t="s">
        <v>1533</v>
      </c>
      <c r="G646" s="15"/>
      <c r="H646" s="14" t="s">
        <v>1534</v>
      </c>
      <c r="I646" s="14" t="s">
        <v>1360</v>
      </c>
      <c r="J646" s="14" t="s">
        <v>1360</v>
      </c>
      <c r="K646" s="14"/>
      <c r="L646" s="14"/>
      <c r="M646" s="14" t="s">
        <v>1218</v>
      </c>
      <c r="N646" s="14" t="s">
        <v>1219</v>
      </c>
      <c r="O646" s="14" t="s">
        <v>1220</v>
      </c>
    </row>
    <row r="647" spans="1:15" x14ac:dyDescent="0.25">
      <c r="A647" s="14">
        <v>3000152</v>
      </c>
      <c r="B647" s="14" t="s">
        <v>2479</v>
      </c>
      <c r="C647" s="14" t="s">
        <v>2479</v>
      </c>
      <c r="D647" s="14" t="s">
        <v>1533</v>
      </c>
      <c r="E647" s="15"/>
      <c r="F647" s="14" t="s">
        <v>1533</v>
      </c>
      <c r="G647" s="15"/>
      <c r="H647" s="14" t="s">
        <v>1534</v>
      </c>
      <c r="I647" s="14" t="s">
        <v>1360</v>
      </c>
      <c r="J647" s="14" t="s">
        <v>1360</v>
      </c>
      <c r="K647" s="14"/>
      <c r="L647" s="14"/>
      <c r="M647" s="14" t="s">
        <v>1218</v>
      </c>
      <c r="N647" s="14" t="s">
        <v>1219</v>
      </c>
      <c r="O647" s="14" t="s">
        <v>1220</v>
      </c>
    </row>
    <row r="648" spans="1:15" x14ac:dyDescent="0.25">
      <c r="A648" s="14">
        <v>3010140</v>
      </c>
      <c r="B648" s="14" t="s">
        <v>2480</v>
      </c>
      <c r="C648" s="14" t="s">
        <v>2480</v>
      </c>
      <c r="D648" s="14" t="s">
        <v>1533</v>
      </c>
      <c r="E648" s="15"/>
      <c r="F648" s="14" t="s">
        <v>1533</v>
      </c>
      <c r="G648" s="15"/>
      <c r="H648" s="14" t="s">
        <v>1534</v>
      </c>
      <c r="I648" s="14" t="s">
        <v>1360</v>
      </c>
      <c r="J648" s="14" t="s">
        <v>1360</v>
      </c>
      <c r="K648" s="14"/>
      <c r="L648" s="14"/>
      <c r="M648" s="14" t="s">
        <v>1218</v>
      </c>
      <c r="N648" s="14" t="s">
        <v>1219</v>
      </c>
      <c r="O648" s="14" t="s">
        <v>1220</v>
      </c>
    </row>
    <row r="649" spans="1:15" x14ac:dyDescent="0.25">
      <c r="A649" s="14">
        <v>6020054</v>
      </c>
      <c r="B649" s="14" t="s">
        <v>2481</v>
      </c>
      <c r="C649" s="14" t="s">
        <v>2481</v>
      </c>
      <c r="D649" s="14" t="s">
        <v>1533</v>
      </c>
      <c r="E649" s="15"/>
      <c r="F649" s="14" t="s">
        <v>1533</v>
      </c>
      <c r="G649" s="15"/>
      <c r="H649" s="14" t="s">
        <v>1534</v>
      </c>
      <c r="I649" s="14" t="s">
        <v>1360</v>
      </c>
      <c r="J649" s="14" t="s">
        <v>1360</v>
      </c>
      <c r="K649" s="14"/>
      <c r="L649" s="14"/>
      <c r="M649" s="14" t="s">
        <v>1218</v>
      </c>
      <c r="N649" s="14" t="s">
        <v>1219</v>
      </c>
      <c r="O649" s="14" t="s">
        <v>1220</v>
      </c>
    </row>
    <row r="650" spans="1:15" x14ac:dyDescent="0.25">
      <c r="A650" s="14">
        <v>9120006</v>
      </c>
      <c r="B650" s="14" t="s">
        <v>2482</v>
      </c>
      <c r="C650" s="14" t="s">
        <v>2482</v>
      </c>
      <c r="D650" s="14" t="s">
        <v>1349</v>
      </c>
      <c r="E650" s="15"/>
      <c r="F650" s="14"/>
      <c r="G650" s="15"/>
      <c r="H650" s="14" t="s">
        <v>1534</v>
      </c>
      <c r="I650" s="14" t="s">
        <v>1360</v>
      </c>
      <c r="J650" s="14" t="s">
        <v>1360</v>
      </c>
      <c r="K650" s="14"/>
      <c r="L650" s="14" t="s">
        <v>2483</v>
      </c>
      <c r="M650" s="14" t="s">
        <v>1218</v>
      </c>
      <c r="N650" s="14" t="s">
        <v>1219</v>
      </c>
      <c r="O650" s="14" t="s">
        <v>1220</v>
      </c>
    </row>
    <row r="651" spans="1:15" x14ac:dyDescent="0.25">
      <c r="A651" s="14">
        <v>99999</v>
      </c>
      <c r="B651" s="14" t="s">
        <v>2484</v>
      </c>
      <c r="C651" s="14" t="s">
        <v>2484</v>
      </c>
      <c r="D651" s="14" t="s">
        <v>2473</v>
      </c>
      <c r="E651" s="15"/>
      <c r="F651" s="14" t="s">
        <v>1350</v>
      </c>
      <c r="G651" s="15"/>
      <c r="H651" s="14" t="s">
        <v>1534</v>
      </c>
      <c r="I651" s="14" t="s">
        <v>1360</v>
      </c>
      <c r="J651" s="14" t="s">
        <v>1360</v>
      </c>
      <c r="K651" s="14" t="s">
        <v>1257</v>
      </c>
      <c r="L651" s="14" t="s">
        <v>2371</v>
      </c>
      <c r="M651" s="14" t="s">
        <v>1218</v>
      </c>
      <c r="N651" s="14" t="s">
        <v>1219</v>
      </c>
      <c r="O651" s="14" t="s">
        <v>1220</v>
      </c>
    </row>
    <row r="652" spans="1:15" x14ac:dyDescent="0.25">
      <c r="A652" s="14">
        <v>6000105</v>
      </c>
      <c r="B652" s="14" t="s">
        <v>2485</v>
      </c>
      <c r="C652" s="14" t="s">
        <v>2485</v>
      </c>
      <c r="D652" s="14" t="s">
        <v>1533</v>
      </c>
      <c r="E652" s="15"/>
      <c r="F652" s="14" t="s">
        <v>1533</v>
      </c>
      <c r="G652" s="15"/>
      <c r="H652" s="14" t="s">
        <v>1534</v>
      </c>
      <c r="I652" s="14" t="s">
        <v>1360</v>
      </c>
      <c r="J652" s="14" t="s">
        <v>1360</v>
      </c>
      <c r="K652" s="14"/>
      <c r="L652" s="14"/>
      <c r="M652" s="14" t="s">
        <v>1218</v>
      </c>
      <c r="N652" s="14" t="s">
        <v>1219</v>
      </c>
      <c r="O652" s="14" t="s">
        <v>1220</v>
      </c>
    </row>
    <row r="653" spans="1:15" x14ac:dyDescent="0.25">
      <c r="A653" s="14">
        <v>99999</v>
      </c>
      <c r="B653" s="14" t="s">
        <v>2486</v>
      </c>
      <c r="C653" s="14" t="s">
        <v>2486</v>
      </c>
      <c r="D653" s="14" t="s">
        <v>2459</v>
      </c>
      <c r="E653" s="15"/>
      <c r="F653" s="14" t="s">
        <v>1350</v>
      </c>
      <c r="G653" s="15"/>
      <c r="H653" s="14" t="s">
        <v>1534</v>
      </c>
      <c r="I653" s="14" t="s">
        <v>1360</v>
      </c>
      <c r="J653" s="14" t="s">
        <v>1360</v>
      </c>
      <c r="K653" s="14" t="s">
        <v>1257</v>
      </c>
      <c r="L653" s="14" t="s">
        <v>2371</v>
      </c>
      <c r="M653" s="14" t="s">
        <v>1218</v>
      </c>
      <c r="N653" s="14" t="s">
        <v>1219</v>
      </c>
      <c r="O653" s="14" t="s">
        <v>1220</v>
      </c>
    </row>
    <row r="654" spans="1:15" x14ac:dyDescent="0.25">
      <c r="A654" s="14">
        <v>3000175</v>
      </c>
      <c r="B654" s="14" t="s">
        <v>2487</v>
      </c>
      <c r="C654" s="14" t="s">
        <v>2487</v>
      </c>
      <c r="D654" s="14" t="s">
        <v>1349</v>
      </c>
      <c r="E654" s="15"/>
      <c r="F654" s="14" t="s">
        <v>1533</v>
      </c>
      <c r="G654" s="15"/>
      <c r="H654" s="14" t="s">
        <v>1534</v>
      </c>
      <c r="I654" s="14" t="s">
        <v>1360</v>
      </c>
      <c r="J654" s="14" t="s">
        <v>1360</v>
      </c>
      <c r="K654" s="14"/>
      <c r="L654" s="14"/>
      <c r="M654" s="14" t="s">
        <v>1218</v>
      </c>
      <c r="N654" s="14" t="s">
        <v>1219</v>
      </c>
      <c r="O654" s="14" t="s">
        <v>1220</v>
      </c>
    </row>
    <row r="655" spans="1:15" x14ac:dyDescent="0.25">
      <c r="A655" s="14">
        <v>6010124</v>
      </c>
      <c r="B655" s="14" t="s">
        <v>2488</v>
      </c>
      <c r="C655" s="14" t="s">
        <v>2488</v>
      </c>
      <c r="D655" s="14" t="s">
        <v>1533</v>
      </c>
      <c r="E655" s="15"/>
      <c r="F655" s="14" t="s">
        <v>1533</v>
      </c>
      <c r="G655" s="15"/>
      <c r="H655" s="14" t="s">
        <v>1534</v>
      </c>
      <c r="I655" s="14" t="s">
        <v>1360</v>
      </c>
      <c r="J655" s="14" t="s">
        <v>1360</v>
      </c>
      <c r="K655" s="14"/>
      <c r="L655" s="14"/>
      <c r="M655" s="14" t="s">
        <v>1218</v>
      </c>
      <c r="N655" s="14" t="s">
        <v>1219</v>
      </c>
      <c r="O655" s="14" t="s">
        <v>1220</v>
      </c>
    </row>
    <row r="656" spans="1:15" x14ac:dyDescent="0.25">
      <c r="A656" s="14">
        <v>9110018</v>
      </c>
      <c r="B656" s="14" t="s">
        <v>2489</v>
      </c>
      <c r="C656" s="14" t="s">
        <v>2489</v>
      </c>
      <c r="D656" s="14" t="s">
        <v>1533</v>
      </c>
      <c r="E656" s="15"/>
      <c r="F656" s="14"/>
      <c r="G656" s="15"/>
      <c r="H656" s="14" t="s">
        <v>1534</v>
      </c>
      <c r="I656" s="14" t="s">
        <v>1360</v>
      </c>
      <c r="J656" s="14" t="s">
        <v>1360</v>
      </c>
      <c r="K656" s="14"/>
      <c r="L656" s="14"/>
      <c r="M656" s="14" t="s">
        <v>1218</v>
      </c>
      <c r="N656" s="14" t="s">
        <v>1219</v>
      </c>
      <c r="O656" s="14" t="s">
        <v>1220</v>
      </c>
    </row>
    <row r="657" spans="1:15" x14ac:dyDescent="0.25">
      <c r="A657" s="14">
        <v>3010156</v>
      </c>
      <c r="B657" s="14" t="s">
        <v>2490</v>
      </c>
      <c r="C657" s="14" t="s">
        <v>2490</v>
      </c>
      <c r="D657" s="14" t="s">
        <v>1533</v>
      </c>
      <c r="E657" s="15"/>
      <c r="F657" s="14" t="s">
        <v>1533</v>
      </c>
      <c r="G657" s="15"/>
      <c r="H657" s="14" t="s">
        <v>1534</v>
      </c>
      <c r="I657" s="14" t="s">
        <v>1360</v>
      </c>
      <c r="J657" s="14" t="s">
        <v>1360</v>
      </c>
      <c r="K657" s="14"/>
      <c r="L657" s="14"/>
      <c r="M657" s="14" t="s">
        <v>1218</v>
      </c>
      <c r="N657" s="14" t="s">
        <v>1219</v>
      </c>
      <c r="O657" s="14" t="s">
        <v>1220</v>
      </c>
    </row>
    <row r="658" spans="1:15" x14ac:dyDescent="0.25">
      <c r="A658" s="14">
        <v>3944</v>
      </c>
      <c r="B658" s="14" t="s">
        <v>944</v>
      </c>
      <c r="C658" s="14" t="s">
        <v>2491</v>
      </c>
      <c r="D658" s="14" t="s">
        <v>1216</v>
      </c>
      <c r="E658" s="16">
        <v>8</v>
      </c>
      <c r="F658" s="14" t="s">
        <v>1216</v>
      </c>
      <c r="G658" s="16">
        <v>40</v>
      </c>
      <c r="H658" s="14" t="s">
        <v>1216</v>
      </c>
      <c r="I658" s="14" t="s">
        <v>1256</v>
      </c>
      <c r="J658" s="14" t="s">
        <v>1242</v>
      </c>
      <c r="K658" s="14" t="s">
        <v>2492</v>
      </c>
      <c r="L658" s="14" t="s">
        <v>2493</v>
      </c>
      <c r="M658" s="14" t="s">
        <v>1218</v>
      </c>
      <c r="N658" s="14" t="s">
        <v>1237</v>
      </c>
      <c r="O658" s="14" t="s">
        <v>1220</v>
      </c>
    </row>
    <row r="659" spans="1:15" x14ac:dyDescent="0.25">
      <c r="A659" s="14">
        <v>9100018</v>
      </c>
      <c r="B659" s="14" t="s">
        <v>2494</v>
      </c>
      <c r="C659" s="14" t="s">
        <v>2494</v>
      </c>
      <c r="D659" s="14" t="s">
        <v>1533</v>
      </c>
      <c r="E659" s="15"/>
      <c r="F659" s="14"/>
      <c r="G659" s="15"/>
      <c r="H659" s="14" t="s">
        <v>1534</v>
      </c>
      <c r="I659" s="14" t="s">
        <v>1360</v>
      </c>
      <c r="J659" s="14" t="s">
        <v>1360</v>
      </c>
      <c r="K659" s="14"/>
      <c r="L659" s="14"/>
      <c r="M659" s="14" t="s">
        <v>1218</v>
      </c>
      <c r="N659" s="14" t="s">
        <v>1219</v>
      </c>
      <c r="O659" s="14" t="s">
        <v>1220</v>
      </c>
    </row>
    <row r="660" spans="1:15" x14ac:dyDescent="0.25">
      <c r="A660" s="14">
        <v>9110118</v>
      </c>
      <c r="B660" s="14" t="s">
        <v>2495</v>
      </c>
      <c r="C660" s="14" t="s">
        <v>2495</v>
      </c>
      <c r="D660" s="14" t="s">
        <v>1533</v>
      </c>
      <c r="E660" s="15"/>
      <c r="F660" s="14"/>
      <c r="G660" s="15"/>
      <c r="H660" s="14" t="s">
        <v>1534</v>
      </c>
      <c r="I660" s="14" t="s">
        <v>1360</v>
      </c>
      <c r="J660" s="14" t="s">
        <v>1360</v>
      </c>
      <c r="K660" s="14"/>
      <c r="L660" s="14"/>
      <c r="M660" s="14" t="s">
        <v>1218</v>
      </c>
      <c r="N660" s="14" t="s">
        <v>1219</v>
      </c>
      <c r="O660" s="14" t="s">
        <v>1220</v>
      </c>
    </row>
    <row r="661" spans="1:15" x14ac:dyDescent="0.25">
      <c r="A661" s="14">
        <v>1148</v>
      </c>
      <c r="B661" s="14" t="s">
        <v>943</v>
      </c>
      <c r="C661" s="14" t="s">
        <v>2496</v>
      </c>
      <c r="D661" s="14" t="s">
        <v>1216</v>
      </c>
      <c r="E661" s="16">
        <v>12</v>
      </c>
      <c r="F661" s="14" t="s">
        <v>1216</v>
      </c>
      <c r="G661" s="16">
        <v>504</v>
      </c>
      <c r="H661" s="14" t="s">
        <v>1216</v>
      </c>
      <c r="I661" s="14" t="s">
        <v>1256</v>
      </c>
      <c r="J661" s="14" t="s">
        <v>1233</v>
      </c>
      <c r="K661" s="14" t="s">
        <v>1257</v>
      </c>
      <c r="L661" s="14" t="s">
        <v>2497</v>
      </c>
      <c r="M661" s="14" t="s">
        <v>1218</v>
      </c>
      <c r="N661" s="14" t="s">
        <v>1237</v>
      </c>
      <c r="O661" s="14" t="s">
        <v>1220</v>
      </c>
    </row>
    <row r="662" spans="1:15" x14ac:dyDescent="0.25">
      <c r="A662" s="14">
        <v>4783</v>
      </c>
      <c r="B662" s="14" t="s">
        <v>1021</v>
      </c>
      <c r="C662" s="14" t="s">
        <v>2498</v>
      </c>
      <c r="D662" s="14" t="s">
        <v>1216</v>
      </c>
      <c r="E662" s="16">
        <v>10</v>
      </c>
      <c r="F662" s="14" t="s">
        <v>1216</v>
      </c>
      <c r="G662" s="16">
        <v>500</v>
      </c>
      <c r="H662" s="14" t="s">
        <v>2334</v>
      </c>
      <c r="I662" s="14" t="s">
        <v>1256</v>
      </c>
      <c r="J662" s="14" t="s">
        <v>1233</v>
      </c>
      <c r="K662" s="14" t="s">
        <v>1257</v>
      </c>
      <c r="L662" s="14" t="s">
        <v>2499</v>
      </c>
      <c r="M662" s="14" t="s">
        <v>1218</v>
      </c>
      <c r="N662" s="14" t="s">
        <v>1237</v>
      </c>
      <c r="O662" s="14" t="s">
        <v>1220</v>
      </c>
    </row>
    <row r="663" spans="1:15" x14ac:dyDescent="0.25">
      <c r="A663" s="14" t="s">
        <v>2500</v>
      </c>
      <c r="B663" s="14" t="s">
        <v>2501</v>
      </c>
      <c r="C663" s="14" t="s">
        <v>2502</v>
      </c>
      <c r="D663" s="14" t="s">
        <v>2387</v>
      </c>
      <c r="E663" s="15"/>
      <c r="F663" s="14" t="s">
        <v>1216</v>
      </c>
      <c r="G663" s="15"/>
      <c r="H663" s="14" t="s">
        <v>1216</v>
      </c>
      <c r="I663" s="14" t="s">
        <v>1262</v>
      </c>
      <c r="J663" s="14" t="s">
        <v>1262</v>
      </c>
      <c r="K663" s="14"/>
      <c r="L663" s="14" t="s">
        <v>2497</v>
      </c>
      <c r="M663" s="14" t="s">
        <v>1218</v>
      </c>
      <c r="N663" s="14" t="s">
        <v>1219</v>
      </c>
      <c r="O663" s="14" t="s">
        <v>1220</v>
      </c>
    </row>
    <row r="664" spans="1:15" x14ac:dyDescent="0.25">
      <c r="A664" s="14">
        <v>6000123</v>
      </c>
      <c r="B664" s="14" t="s">
        <v>2503</v>
      </c>
      <c r="C664" s="14" t="s">
        <v>2503</v>
      </c>
      <c r="D664" s="14" t="s">
        <v>1533</v>
      </c>
      <c r="E664" s="15"/>
      <c r="F664" s="14" t="s">
        <v>1533</v>
      </c>
      <c r="G664" s="15"/>
      <c r="H664" s="14" t="s">
        <v>1534</v>
      </c>
      <c r="I664" s="14" t="s">
        <v>1360</v>
      </c>
      <c r="J664" s="14" t="s">
        <v>1360</v>
      </c>
      <c r="K664" s="14"/>
      <c r="L664" s="14"/>
      <c r="M664" s="14" t="s">
        <v>1218</v>
      </c>
      <c r="N664" s="14" t="s">
        <v>1219</v>
      </c>
      <c r="O664" s="14" t="s">
        <v>1220</v>
      </c>
    </row>
    <row r="665" spans="1:15" x14ac:dyDescent="0.25">
      <c r="A665" s="14">
        <v>9100017</v>
      </c>
      <c r="B665" s="14" t="s">
        <v>2504</v>
      </c>
      <c r="C665" s="14" t="s">
        <v>2504</v>
      </c>
      <c r="D665" s="14" t="s">
        <v>1349</v>
      </c>
      <c r="E665" s="15"/>
      <c r="F665" s="14"/>
      <c r="G665" s="15"/>
      <c r="H665" s="14" t="s">
        <v>1534</v>
      </c>
      <c r="I665" s="14" t="s">
        <v>1360</v>
      </c>
      <c r="J665" s="14" t="s">
        <v>1360</v>
      </c>
      <c r="K665" s="14"/>
      <c r="L665" s="14" t="s">
        <v>2505</v>
      </c>
      <c r="M665" s="14" t="s">
        <v>1218</v>
      </c>
      <c r="N665" s="14" t="s">
        <v>1219</v>
      </c>
      <c r="O665" s="14" t="s">
        <v>1220</v>
      </c>
    </row>
    <row r="666" spans="1:15" x14ac:dyDescent="0.25">
      <c r="A666" s="14">
        <v>3000193</v>
      </c>
      <c r="B666" s="14" t="s">
        <v>2506</v>
      </c>
      <c r="C666" s="14" t="s">
        <v>2506</v>
      </c>
      <c r="D666" s="14" t="s">
        <v>1349</v>
      </c>
      <c r="E666" s="15"/>
      <c r="F666" s="14" t="s">
        <v>1533</v>
      </c>
      <c r="G666" s="15"/>
      <c r="H666" s="14" t="s">
        <v>1534</v>
      </c>
      <c r="I666" s="14" t="s">
        <v>1360</v>
      </c>
      <c r="J666" s="14" t="s">
        <v>1360</v>
      </c>
      <c r="K666" s="14"/>
      <c r="L666" s="14"/>
      <c r="M666" s="14" t="s">
        <v>1218</v>
      </c>
      <c r="N666" s="14" t="s">
        <v>1219</v>
      </c>
      <c r="O666" s="14" t="s">
        <v>1220</v>
      </c>
    </row>
    <row r="667" spans="1:15" x14ac:dyDescent="0.25">
      <c r="A667" s="14">
        <v>6010139</v>
      </c>
      <c r="B667" s="14" t="s">
        <v>2507</v>
      </c>
      <c r="C667" s="14" t="s">
        <v>2507</v>
      </c>
      <c r="D667" s="14" t="s">
        <v>1533</v>
      </c>
      <c r="E667" s="15"/>
      <c r="F667" s="14" t="s">
        <v>1533</v>
      </c>
      <c r="G667" s="15"/>
      <c r="H667" s="14" t="s">
        <v>1534</v>
      </c>
      <c r="I667" s="14" t="s">
        <v>1360</v>
      </c>
      <c r="J667" s="14" t="s">
        <v>1360</v>
      </c>
      <c r="K667" s="14"/>
      <c r="L667" s="14"/>
      <c r="M667" s="14" t="s">
        <v>1218</v>
      </c>
      <c r="N667" s="14" t="s">
        <v>1219</v>
      </c>
      <c r="O667" s="14" t="s">
        <v>1220</v>
      </c>
    </row>
    <row r="668" spans="1:15" x14ac:dyDescent="0.25">
      <c r="A668" s="14">
        <v>9110024</v>
      </c>
      <c r="B668" s="14" t="s">
        <v>2508</v>
      </c>
      <c r="C668" s="14" t="s">
        <v>2508</v>
      </c>
      <c r="D668" s="14" t="s">
        <v>1533</v>
      </c>
      <c r="E668" s="15"/>
      <c r="F668" s="14"/>
      <c r="G668" s="15"/>
      <c r="H668" s="14" t="s">
        <v>1534</v>
      </c>
      <c r="I668" s="14" t="s">
        <v>1360</v>
      </c>
      <c r="J668" s="14" t="s">
        <v>1360</v>
      </c>
      <c r="K668" s="14"/>
      <c r="L668" s="14"/>
      <c r="M668" s="14" t="s">
        <v>1218</v>
      </c>
      <c r="N668" s="14" t="s">
        <v>1219</v>
      </c>
      <c r="O668" s="14" t="s">
        <v>1220</v>
      </c>
    </row>
    <row r="669" spans="1:15" x14ac:dyDescent="0.25">
      <c r="A669" s="14">
        <v>3010168</v>
      </c>
      <c r="B669" s="14" t="s">
        <v>2509</v>
      </c>
      <c r="C669" s="14" t="s">
        <v>2509</v>
      </c>
      <c r="D669" s="14" t="s">
        <v>1533</v>
      </c>
      <c r="E669" s="15"/>
      <c r="F669" s="14" t="s">
        <v>1533</v>
      </c>
      <c r="G669" s="15"/>
      <c r="H669" s="14" t="s">
        <v>1534</v>
      </c>
      <c r="I669" s="14" t="s">
        <v>1360</v>
      </c>
      <c r="J669" s="14" t="s">
        <v>1360</v>
      </c>
      <c r="K669" s="14"/>
      <c r="L669" s="14"/>
      <c r="M669" s="14" t="s">
        <v>1218</v>
      </c>
      <c r="N669" s="14" t="s">
        <v>1219</v>
      </c>
      <c r="O669" s="14" t="s">
        <v>1220</v>
      </c>
    </row>
    <row r="670" spans="1:15" x14ac:dyDescent="0.25">
      <c r="A670" s="14">
        <v>3945</v>
      </c>
      <c r="B670" s="14" t="s">
        <v>945</v>
      </c>
      <c r="C670" s="14" t="s">
        <v>2510</v>
      </c>
      <c r="D670" s="14" t="s">
        <v>1216</v>
      </c>
      <c r="E670" s="16">
        <v>6</v>
      </c>
      <c r="F670" s="14" t="s">
        <v>1216</v>
      </c>
      <c r="G670" s="16">
        <v>30</v>
      </c>
      <c r="H670" s="14" t="s">
        <v>1216</v>
      </c>
      <c r="I670" s="14" t="s">
        <v>1256</v>
      </c>
      <c r="J670" s="14" t="s">
        <v>1233</v>
      </c>
      <c r="K670" s="14" t="s">
        <v>2492</v>
      </c>
      <c r="L670" s="14" t="s">
        <v>2511</v>
      </c>
      <c r="M670" s="14" t="s">
        <v>1218</v>
      </c>
      <c r="N670" s="14" t="s">
        <v>1237</v>
      </c>
      <c r="O670" s="14" t="s">
        <v>1220</v>
      </c>
    </row>
    <row r="671" spans="1:15" x14ac:dyDescent="0.25">
      <c r="A671" s="14">
        <v>1144</v>
      </c>
      <c r="B671" s="14" t="s">
        <v>938</v>
      </c>
      <c r="C671" s="14" t="s">
        <v>2512</v>
      </c>
      <c r="D671" s="14" t="s">
        <v>1216</v>
      </c>
      <c r="E671" s="16">
        <v>100</v>
      </c>
      <c r="F671" s="14" t="s">
        <v>1216</v>
      </c>
      <c r="G671" s="17">
        <v>2000</v>
      </c>
      <c r="H671" s="14" t="s">
        <v>1216</v>
      </c>
      <c r="I671" s="14" t="s">
        <v>1256</v>
      </c>
      <c r="J671" s="14" t="s">
        <v>1233</v>
      </c>
      <c r="K671" s="14" t="s">
        <v>1257</v>
      </c>
      <c r="L671" s="14" t="s">
        <v>2513</v>
      </c>
      <c r="M671" s="14" t="s">
        <v>1218</v>
      </c>
      <c r="N671" s="14" t="s">
        <v>1237</v>
      </c>
      <c r="O671" s="14" t="s">
        <v>1220</v>
      </c>
    </row>
    <row r="672" spans="1:15" x14ac:dyDescent="0.25">
      <c r="A672" s="14">
        <v>4771</v>
      </c>
      <c r="B672" s="14" t="s">
        <v>1016</v>
      </c>
      <c r="C672" s="14" t="s">
        <v>2514</v>
      </c>
      <c r="D672" s="14" t="s">
        <v>1216</v>
      </c>
      <c r="E672" s="16">
        <v>90</v>
      </c>
      <c r="F672" s="14" t="s">
        <v>1216</v>
      </c>
      <c r="G672" s="17">
        <v>2070</v>
      </c>
      <c r="H672" s="14" t="s">
        <v>2334</v>
      </c>
      <c r="I672" s="14" t="s">
        <v>1256</v>
      </c>
      <c r="J672" s="14" t="s">
        <v>1233</v>
      </c>
      <c r="K672" s="14" t="s">
        <v>1257</v>
      </c>
      <c r="L672" s="14" t="s">
        <v>2515</v>
      </c>
      <c r="M672" s="14" t="s">
        <v>1218</v>
      </c>
      <c r="N672" s="14" t="s">
        <v>1237</v>
      </c>
      <c r="O672" s="14" t="s">
        <v>1220</v>
      </c>
    </row>
    <row r="673" spans="1:15" x14ac:dyDescent="0.25">
      <c r="A673" s="14" t="s">
        <v>2516</v>
      </c>
      <c r="B673" s="14" t="s">
        <v>2517</v>
      </c>
      <c r="C673" s="14" t="s">
        <v>2518</v>
      </c>
      <c r="D673" s="14" t="s">
        <v>2334</v>
      </c>
      <c r="E673" s="16">
        <v>90</v>
      </c>
      <c r="F673" s="14" t="s">
        <v>1216</v>
      </c>
      <c r="G673" s="17">
        <v>2070</v>
      </c>
      <c r="H673" s="14" t="s">
        <v>2334</v>
      </c>
      <c r="I673" s="14" t="s">
        <v>1262</v>
      </c>
      <c r="J673" s="14" t="s">
        <v>1262</v>
      </c>
      <c r="K673" s="14" t="s">
        <v>1257</v>
      </c>
      <c r="L673" s="14" t="s">
        <v>2515</v>
      </c>
      <c r="M673" s="14" t="s">
        <v>1218</v>
      </c>
      <c r="N673" s="14" t="s">
        <v>1219</v>
      </c>
      <c r="O673" s="14" t="s">
        <v>1220</v>
      </c>
    </row>
    <row r="674" spans="1:15" x14ac:dyDescent="0.25">
      <c r="A674" s="14" t="s">
        <v>2519</v>
      </c>
      <c r="B674" s="14" t="s">
        <v>2520</v>
      </c>
      <c r="C674" s="14" t="s">
        <v>2521</v>
      </c>
      <c r="D674" s="14" t="s">
        <v>2387</v>
      </c>
      <c r="E674" s="15"/>
      <c r="F674" s="14" t="s">
        <v>1216</v>
      </c>
      <c r="G674" s="15"/>
      <c r="H674" s="14" t="s">
        <v>1216</v>
      </c>
      <c r="I674" s="14" t="s">
        <v>1262</v>
      </c>
      <c r="J674" s="14" t="s">
        <v>1262</v>
      </c>
      <c r="K674" s="14"/>
      <c r="L674" s="14" t="s">
        <v>2513</v>
      </c>
      <c r="M674" s="14" t="s">
        <v>1218</v>
      </c>
      <c r="N674" s="14" t="s">
        <v>1219</v>
      </c>
      <c r="O674" s="14" t="s">
        <v>1220</v>
      </c>
    </row>
    <row r="675" spans="1:15" x14ac:dyDescent="0.25">
      <c r="A675" s="14">
        <v>1156</v>
      </c>
      <c r="B675" s="14" t="s">
        <v>937</v>
      </c>
      <c r="C675" s="14" t="s">
        <v>2522</v>
      </c>
      <c r="D675" s="14" t="s">
        <v>1216</v>
      </c>
      <c r="E675" s="16">
        <v>100</v>
      </c>
      <c r="F675" s="14" t="s">
        <v>1216</v>
      </c>
      <c r="G675" s="17">
        <v>2000</v>
      </c>
      <c r="H675" s="14" t="s">
        <v>1216</v>
      </c>
      <c r="I675" s="14" t="s">
        <v>1256</v>
      </c>
      <c r="J675" s="14" t="s">
        <v>1233</v>
      </c>
      <c r="K675" s="14" t="s">
        <v>1257</v>
      </c>
      <c r="L675" s="14" t="s">
        <v>2523</v>
      </c>
      <c r="M675" s="14" t="s">
        <v>1218</v>
      </c>
      <c r="N675" s="14" t="s">
        <v>1237</v>
      </c>
      <c r="O675" s="14" t="s">
        <v>1220</v>
      </c>
    </row>
    <row r="676" spans="1:15" x14ac:dyDescent="0.25">
      <c r="A676" s="14">
        <v>4775</v>
      </c>
      <c r="B676" s="14" t="s">
        <v>1015</v>
      </c>
      <c r="C676" s="14" t="s">
        <v>2524</v>
      </c>
      <c r="D676" s="14" t="s">
        <v>1216</v>
      </c>
      <c r="E676" s="16">
        <v>100</v>
      </c>
      <c r="F676" s="14" t="s">
        <v>1216</v>
      </c>
      <c r="G676" s="17">
        <v>2000</v>
      </c>
      <c r="H676" s="14" t="s">
        <v>2334</v>
      </c>
      <c r="I676" s="14" t="s">
        <v>1256</v>
      </c>
      <c r="J676" s="14" t="s">
        <v>1233</v>
      </c>
      <c r="K676" s="14" t="s">
        <v>1257</v>
      </c>
      <c r="L676" s="14" t="s">
        <v>2525</v>
      </c>
      <c r="M676" s="14" t="s">
        <v>1218</v>
      </c>
      <c r="N676" s="14" t="s">
        <v>1237</v>
      </c>
      <c r="O676" s="14" t="s">
        <v>1220</v>
      </c>
    </row>
    <row r="677" spans="1:15" x14ac:dyDescent="0.25">
      <c r="A677" s="14" t="s">
        <v>2526</v>
      </c>
      <c r="B677" s="14" t="s">
        <v>2527</v>
      </c>
      <c r="C677" s="14" t="s">
        <v>2528</v>
      </c>
      <c r="D677" s="14" t="s">
        <v>2446</v>
      </c>
      <c r="E677" s="15"/>
      <c r="F677" s="14" t="s">
        <v>1216</v>
      </c>
      <c r="G677" s="15"/>
      <c r="H677" s="14" t="s">
        <v>2334</v>
      </c>
      <c r="I677" s="14" t="s">
        <v>1262</v>
      </c>
      <c r="J677" s="14" t="s">
        <v>1262</v>
      </c>
      <c r="K677" s="14" t="s">
        <v>1257</v>
      </c>
      <c r="L677" s="14" t="s">
        <v>2525</v>
      </c>
      <c r="M677" s="14" t="s">
        <v>1218</v>
      </c>
      <c r="N677" s="14" t="s">
        <v>1219</v>
      </c>
      <c r="O677" s="14" t="s">
        <v>1220</v>
      </c>
    </row>
    <row r="678" spans="1:15" x14ac:dyDescent="0.25">
      <c r="A678" s="14" t="s">
        <v>2529</v>
      </c>
      <c r="B678" s="14" t="s">
        <v>2530</v>
      </c>
      <c r="C678" s="14" t="s">
        <v>2531</v>
      </c>
      <c r="D678" s="14" t="s">
        <v>2387</v>
      </c>
      <c r="E678" s="15"/>
      <c r="F678" s="14" t="s">
        <v>1216</v>
      </c>
      <c r="G678" s="15"/>
      <c r="H678" s="14" t="s">
        <v>1216</v>
      </c>
      <c r="I678" s="14" t="s">
        <v>1262</v>
      </c>
      <c r="J678" s="14" t="s">
        <v>1262</v>
      </c>
      <c r="K678" s="14"/>
      <c r="L678" s="14" t="s">
        <v>2523</v>
      </c>
      <c r="M678" s="14" t="s">
        <v>1218</v>
      </c>
      <c r="N678" s="14" t="s">
        <v>1219</v>
      </c>
      <c r="O678" s="14" t="s">
        <v>1220</v>
      </c>
    </row>
    <row r="679" spans="1:15" x14ac:dyDescent="0.25">
      <c r="A679" s="14">
        <v>1010402</v>
      </c>
      <c r="B679" s="14" t="s">
        <v>2532</v>
      </c>
      <c r="C679" s="14" t="s">
        <v>2532</v>
      </c>
      <c r="D679" s="14" t="s">
        <v>1215</v>
      </c>
      <c r="E679" s="15"/>
      <c r="F679" s="14"/>
      <c r="G679" s="15"/>
      <c r="H679" s="14" t="s">
        <v>1216</v>
      </c>
      <c r="I679" s="14" t="s">
        <v>1217</v>
      </c>
      <c r="J679" s="14"/>
      <c r="K679" s="14"/>
      <c r="L679" s="14"/>
      <c r="M679" s="14" t="s">
        <v>1218</v>
      </c>
      <c r="N679" s="14" t="s">
        <v>1219</v>
      </c>
      <c r="O679" s="14" t="s">
        <v>1220</v>
      </c>
    </row>
    <row r="680" spans="1:15" x14ac:dyDescent="0.25">
      <c r="A680" s="14" t="s">
        <v>2533</v>
      </c>
      <c r="B680" s="14" t="s">
        <v>2534</v>
      </c>
      <c r="C680" s="14" t="s">
        <v>2534</v>
      </c>
      <c r="D680" s="14" t="s">
        <v>1215</v>
      </c>
      <c r="E680" s="15"/>
      <c r="F680" s="14"/>
      <c r="G680" s="15"/>
      <c r="H680" s="14" t="s">
        <v>1216</v>
      </c>
      <c r="I680" s="14" t="s">
        <v>1217</v>
      </c>
      <c r="J680" s="14"/>
      <c r="K680" s="14"/>
      <c r="L680" s="14"/>
      <c r="M680" s="14"/>
      <c r="N680" s="14" t="s">
        <v>1219</v>
      </c>
      <c r="O680" s="14" t="s">
        <v>1220</v>
      </c>
    </row>
    <row r="681" spans="1:15" x14ac:dyDescent="0.25">
      <c r="A681" s="14">
        <v>6020014</v>
      </c>
      <c r="B681" s="14" t="s">
        <v>2535</v>
      </c>
      <c r="C681" s="14" t="s">
        <v>2535</v>
      </c>
      <c r="D681" s="14" t="s">
        <v>1533</v>
      </c>
      <c r="E681" s="15"/>
      <c r="F681" s="14" t="s">
        <v>1533</v>
      </c>
      <c r="G681" s="15"/>
      <c r="H681" s="14" t="s">
        <v>1534</v>
      </c>
      <c r="I681" s="14" t="s">
        <v>1360</v>
      </c>
      <c r="J681" s="14" t="s">
        <v>1360</v>
      </c>
      <c r="K681" s="14"/>
      <c r="L681" s="14"/>
      <c r="M681" s="14" t="s">
        <v>1218</v>
      </c>
      <c r="N681" s="14" t="s">
        <v>1219</v>
      </c>
      <c r="O681" s="14" t="s">
        <v>1220</v>
      </c>
    </row>
    <row r="682" spans="1:15" x14ac:dyDescent="0.25">
      <c r="A682" s="14">
        <v>99999</v>
      </c>
      <c r="B682" s="14" t="s">
        <v>2536</v>
      </c>
      <c r="C682" s="14" t="s">
        <v>2536</v>
      </c>
      <c r="D682" s="14" t="s">
        <v>2459</v>
      </c>
      <c r="E682" s="15"/>
      <c r="F682" s="14" t="s">
        <v>1350</v>
      </c>
      <c r="G682" s="15"/>
      <c r="H682" s="14" t="s">
        <v>1534</v>
      </c>
      <c r="I682" s="14" t="s">
        <v>1351</v>
      </c>
      <c r="J682" s="14" t="s">
        <v>1351</v>
      </c>
      <c r="K682" s="14" t="s">
        <v>1257</v>
      </c>
      <c r="L682" s="14" t="s">
        <v>2537</v>
      </c>
      <c r="M682" s="14" t="s">
        <v>1218</v>
      </c>
      <c r="N682" s="14" t="s">
        <v>1219</v>
      </c>
      <c r="O682" s="14" t="s">
        <v>1220</v>
      </c>
    </row>
    <row r="683" spans="1:15" x14ac:dyDescent="0.25">
      <c r="A683" s="14">
        <v>3020067</v>
      </c>
      <c r="B683" s="14" t="s">
        <v>2538</v>
      </c>
      <c r="C683" s="14" t="s">
        <v>2538</v>
      </c>
      <c r="D683" s="14" t="s">
        <v>1349</v>
      </c>
      <c r="E683" s="15"/>
      <c r="F683" s="14" t="s">
        <v>1533</v>
      </c>
      <c r="G683" s="15"/>
      <c r="H683" s="14" t="s">
        <v>1534</v>
      </c>
      <c r="I683" s="14" t="s">
        <v>1360</v>
      </c>
      <c r="J683" s="14" t="s">
        <v>1360</v>
      </c>
      <c r="K683" s="14"/>
      <c r="L683" s="14" t="s">
        <v>2539</v>
      </c>
      <c r="M683" s="14" t="s">
        <v>1218</v>
      </c>
      <c r="N683" s="14" t="s">
        <v>1219</v>
      </c>
      <c r="O683" s="14" t="s">
        <v>1220</v>
      </c>
    </row>
    <row r="684" spans="1:15" x14ac:dyDescent="0.25">
      <c r="A684" s="14">
        <v>6000009</v>
      </c>
      <c r="B684" s="14" t="s">
        <v>2540</v>
      </c>
      <c r="C684" s="14" t="s">
        <v>2540</v>
      </c>
      <c r="D684" s="14" t="s">
        <v>1533</v>
      </c>
      <c r="E684" s="15"/>
      <c r="F684" s="14" t="s">
        <v>1533</v>
      </c>
      <c r="G684" s="15"/>
      <c r="H684" s="14" t="s">
        <v>1534</v>
      </c>
      <c r="I684" s="14" t="s">
        <v>1360</v>
      </c>
      <c r="J684" s="14" t="s">
        <v>1360</v>
      </c>
      <c r="K684" s="14"/>
      <c r="L684" s="14"/>
      <c r="M684" s="14" t="s">
        <v>1218</v>
      </c>
      <c r="N684" s="14" t="s">
        <v>1219</v>
      </c>
      <c r="O684" s="14" t="s">
        <v>1220</v>
      </c>
    </row>
    <row r="685" spans="1:15" x14ac:dyDescent="0.25">
      <c r="A685" s="14">
        <v>99999</v>
      </c>
      <c r="B685" s="14" t="s">
        <v>2541</v>
      </c>
      <c r="C685" s="14" t="s">
        <v>2541</v>
      </c>
      <c r="D685" s="14" t="s">
        <v>2459</v>
      </c>
      <c r="E685" s="15"/>
      <c r="F685" s="14" t="s">
        <v>1350</v>
      </c>
      <c r="G685" s="15"/>
      <c r="H685" s="14" t="s">
        <v>1534</v>
      </c>
      <c r="I685" s="14" t="s">
        <v>1351</v>
      </c>
      <c r="J685" s="14" t="s">
        <v>1351</v>
      </c>
      <c r="K685" s="14" t="s">
        <v>1257</v>
      </c>
      <c r="L685" s="14" t="s">
        <v>2542</v>
      </c>
      <c r="M685" s="14" t="s">
        <v>1218</v>
      </c>
      <c r="N685" s="14" t="s">
        <v>1219</v>
      </c>
      <c r="O685" s="14" t="s">
        <v>1220</v>
      </c>
    </row>
    <row r="686" spans="1:15" x14ac:dyDescent="0.25">
      <c r="A686" s="14" t="s">
        <v>2543</v>
      </c>
      <c r="B686" s="14" t="s">
        <v>2544</v>
      </c>
      <c r="C686" s="14" t="s">
        <v>2544</v>
      </c>
      <c r="D686" s="14" t="s">
        <v>2459</v>
      </c>
      <c r="E686" s="15"/>
      <c r="F686" s="14" t="s">
        <v>1350</v>
      </c>
      <c r="G686" s="15"/>
      <c r="H686" s="14" t="s">
        <v>1534</v>
      </c>
      <c r="I686" s="14" t="s">
        <v>1360</v>
      </c>
      <c r="J686" s="14" t="s">
        <v>1262</v>
      </c>
      <c r="K686" s="14" t="s">
        <v>1257</v>
      </c>
      <c r="L686" s="14" t="s">
        <v>2542</v>
      </c>
      <c r="M686" s="14" t="s">
        <v>1218</v>
      </c>
      <c r="N686" s="14" t="s">
        <v>1219</v>
      </c>
      <c r="O686" s="14" t="s">
        <v>1220</v>
      </c>
    </row>
    <row r="687" spans="1:15" x14ac:dyDescent="0.25">
      <c r="A687" s="14">
        <v>99999</v>
      </c>
      <c r="B687" s="14" t="s">
        <v>2545</v>
      </c>
      <c r="C687" s="14" t="s">
        <v>2545</v>
      </c>
      <c r="D687" s="14" t="s">
        <v>2473</v>
      </c>
      <c r="E687" s="15"/>
      <c r="F687" s="14" t="s">
        <v>1350</v>
      </c>
      <c r="G687" s="15"/>
      <c r="H687" s="14" t="s">
        <v>1534</v>
      </c>
      <c r="I687" s="14" t="s">
        <v>1360</v>
      </c>
      <c r="J687" s="14" t="s">
        <v>1360</v>
      </c>
      <c r="K687" s="14" t="s">
        <v>1257</v>
      </c>
      <c r="L687" s="14" t="s">
        <v>2546</v>
      </c>
      <c r="M687" s="14" t="s">
        <v>1218</v>
      </c>
      <c r="N687" s="14" t="s">
        <v>1219</v>
      </c>
      <c r="O687" s="14" t="s">
        <v>1220</v>
      </c>
    </row>
    <row r="688" spans="1:15" x14ac:dyDescent="0.25">
      <c r="A688" s="14">
        <v>6010015</v>
      </c>
      <c r="B688" s="14" t="s">
        <v>2547</v>
      </c>
      <c r="C688" s="14" t="s">
        <v>2547</v>
      </c>
      <c r="D688" s="14" t="s">
        <v>1533</v>
      </c>
      <c r="E688" s="15"/>
      <c r="F688" s="14" t="s">
        <v>1533</v>
      </c>
      <c r="G688" s="15"/>
      <c r="H688" s="14" t="s">
        <v>1534</v>
      </c>
      <c r="I688" s="14" t="s">
        <v>1360</v>
      </c>
      <c r="J688" s="14" t="s">
        <v>1360</v>
      </c>
      <c r="K688" s="14"/>
      <c r="L688" s="14"/>
      <c r="M688" s="14" t="s">
        <v>1218</v>
      </c>
      <c r="N688" s="14" t="s">
        <v>1219</v>
      </c>
      <c r="O688" s="14" t="s">
        <v>1220</v>
      </c>
    </row>
    <row r="689" spans="1:15" x14ac:dyDescent="0.25">
      <c r="A689" s="14">
        <v>9110017</v>
      </c>
      <c r="B689" s="14" t="s">
        <v>2548</v>
      </c>
      <c r="C689" s="14" t="s">
        <v>2548</v>
      </c>
      <c r="D689" s="14" t="s">
        <v>1533</v>
      </c>
      <c r="E689" s="15"/>
      <c r="F689" s="14"/>
      <c r="G689" s="15"/>
      <c r="H689" s="14" t="s">
        <v>1534</v>
      </c>
      <c r="I689" s="14" t="s">
        <v>1360</v>
      </c>
      <c r="J689" s="14" t="s">
        <v>1360</v>
      </c>
      <c r="K689" s="14"/>
      <c r="L689" s="14"/>
      <c r="M689" s="14" t="s">
        <v>1218</v>
      </c>
      <c r="N689" s="14" t="s">
        <v>1219</v>
      </c>
      <c r="O689" s="14" t="s">
        <v>1220</v>
      </c>
    </row>
    <row r="690" spans="1:15" x14ac:dyDescent="0.25">
      <c r="A690" s="14">
        <v>3010152</v>
      </c>
      <c r="B690" s="14" t="s">
        <v>2549</v>
      </c>
      <c r="C690" s="14" t="s">
        <v>2549</v>
      </c>
      <c r="D690" s="14" t="s">
        <v>1533</v>
      </c>
      <c r="E690" s="15"/>
      <c r="F690" s="14" t="s">
        <v>1533</v>
      </c>
      <c r="G690" s="15"/>
      <c r="H690" s="14" t="s">
        <v>1534</v>
      </c>
      <c r="I690" s="14" t="s">
        <v>1360</v>
      </c>
      <c r="J690" s="14" t="s">
        <v>1360</v>
      </c>
      <c r="K690" s="14"/>
      <c r="L690" s="14"/>
      <c r="M690" s="14" t="s">
        <v>1218</v>
      </c>
      <c r="N690" s="14" t="s">
        <v>1219</v>
      </c>
      <c r="O690" s="14" t="s">
        <v>1220</v>
      </c>
    </row>
    <row r="691" spans="1:15" x14ac:dyDescent="0.25">
      <c r="A691" s="14">
        <v>3020057</v>
      </c>
      <c r="B691" s="14" t="s">
        <v>2550</v>
      </c>
      <c r="C691" s="14" t="s">
        <v>2550</v>
      </c>
      <c r="D691" s="14" t="s">
        <v>1533</v>
      </c>
      <c r="E691" s="15"/>
      <c r="F691" s="14" t="s">
        <v>1533</v>
      </c>
      <c r="G691" s="15"/>
      <c r="H691" s="14" t="s">
        <v>1534</v>
      </c>
      <c r="I691" s="14" t="s">
        <v>1360</v>
      </c>
      <c r="J691" s="14" t="s">
        <v>1360</v>
      </c>
      <c r="K691" s="14"/>
      <c r="L691" s="14"/>
      <c r="M691" s="14" t="s">
        <v>1218</v>
      </c>
      <c r="N691" s="14" t="s">
        <v>1219</v>
      </c>
      <c r="O691" s="14" t="s">
        <v>1220</v>
      </c>
    </row>
    <row r="692" spans="1:15" x14ac:dyDescent="0.25">
      <c r="A692" s="14">
        <v>3000157</v>
      </c>
      <c r="B692" s="14" t="s">
        <v>2551</v>
      </c>
      <c r="C692" s="14" t="s">
        <v>2551</v>
      </c>
      <c r="D692" s="14" t="s">
        <v>1533</v>
      </c>
      <c r="E692" s="15"/>
      <c r="F692" s="14" t="s">
        <v>1533</v>
      </c>
      <c r="G692" s="15"/>
      <c r="H692" s="14" t="s">
        <v>1534</v>
      </c>
      <c r="I692" s="14" t="s">
        <v>1360</v>
      </c>
      <c r="J692" s="14" t="s">
        <v>1360</v>
      </c>
      <c r="K692" s="14"/>
      <c r="L692" s="14"/>
      <c r="M692" s="14" t="s">
        <v>1218</v>
      </c>
      <c r="N692" s="14" t="s">
        <v>1219</v>
      </c>
      <c r="O692" s="14" t="s">
        <v>1220</v>
      </c>
    </row>
    <row r="693" spans="1:15" x14ac:dyDescent="0.25">
      <c r="A693" s="14">
        <v>3010144</v>
      </c>
      <c r="B693" s="14" t="s">
        <v>2552</v>
      </c>
      <c r="C693" s="14" t="s">
        <v>2552</v>
      </c>
      <c r="D693" s="14" t="s">
        <v>1533</v>
      </c>
      <c r="E693" s="15"/>
      <c r="F693" s="14" t="s">
        <v>1533</v>
      </c>
      <c r="G693" s="15"/>
      <c r="H693" s="14" t="s">
        <v>1534</v>
      </c>
      <c r="I693" s="14" t="s">
        <v>1360</v>
      </c>
      <c r="J693" s="14" t="s">
        <v>1360</v>
      </c>
      <c r="K693" s="14"/>
      <c r="L693" s="14"/>
      <c r="M693" s="14" t="s">
        <v>1218</v>
      </c>
      <c r="N693" s="14" t="s">
        <v>1219</v>
      </c>
      <c r="O693" s="14" t="s">
        <v>1220</v>
      </c>
    </row>
    <row r="694" spans="1:15" x14ac:dyDescent="0.25">
      <c r="A694" s="14">
        <v>9110119</v>
      </c>
      <c r="B694" s="14" t="s">
        <v>2553</v>
      </c>
      <c r="C694" s="14" t="s">
        <v>2553</v>
      </c>
      <c r="D694" s="14" t="s">
        <v>1533</v>
      </c>
      <c r="E694" s="15"/>
      <c r="F694" s="14"/>
      <c r="G694" s="15"/>
      <c r="H694" s="14" t="s">
        <v>1534</v>
      </c>
      <c r="I694" s="14" t="s">
        <v>1360</v>
      </c>
      <c r="J694" s="14" t="s">
        <v>1360</v>
      </c>
      <c r="K694" s="14"/>
      <c r="L694" s="14"/>
      <c r="M694" s="14" t="s">
        <v>1218</v>
      </c>
      <c r="N694" s="14" t="s">
        <v>1219</v>
      </c>
      <c r="O694" s="14" t="s">
        <v>1220</v>
      </c>
    </row>
    <row r="695" spans="1:15" x14ac:dyDescent="0.25">
      <c r="A695" s="14">
        <v>3946</v>
      </c>
      <c r="B695" s="14" t="s">
        <v>946</v>
      </c>
      <c r="C695" s="14" t="s">
        <v>2554</v>
      </c>
      <c r="D695" s="14" t="s">
        <v>1216</v>
      </c>
      <c r="E695" s="16">
        <v>4</v>
      </c>
      <c r="F695" s="14" t="s">
        <v>1216</v>
      </c>
      <c r="G695" s="16">
        <v>20</v>
      </c>
      <c r="H695" s="14" t="s">
        <v>1216</v>
      </c>
      <c r="I695" s="14" t="s">
        <v>1256</v>
      </c>
      <c r="J695" s="14" t="s">
        <v>1242</v>
      </c>
      <c r="K695" s="14" t="s">
        <v>2492</v>
      </c>
      <c r="L695" s="14" t="s">
        <v>2555</v>
      </c>
      <c r="M695" s="14" t="s">
        <v>1218</v>
      </c>
      <c r="N695" s="14" t="s">
        <v>1237</v>
      </c>
      <c r="O695" s="14" t="s">
        <v>1220</v>
      </c>
    </row>
    <row r="696" spans="1:15" x14ac:dyDescent="0.25">
      <c r="A696" s="14">
        <v>9110120</v>
      </c>
      <c r="B696" s="14" t="s">
        <v>2556</v>
      </c>
      <c r="C696" s="14" t="s">
        <v>2556</v>
      </c>
      <c r="D696" s="14" t="s">
        <v>1533</v>
      </c>
      <c r="E696" s="15"/>
      <c r="F696" s="14"/>
      <c r="G696" s="15"/>
      <c r="H696" s="14" t="s">
        <v>1534</v>
      </c>
      <c r="I696" s="14" t="s">
        <v>1360</v>
      </c>
      <c r="J696" s="14" t="s">
        <v>1360</v>
      </c>
      <c r="K696" s="14"/>
      <c r="L696" s="14"/>
      <c r="M696" s="14" t="s">
        <v>1218</v>
      </c>
      <c r="N696" s="14" t="s">
        <v>1219</v>
      </c>
      <c r="O696" s="14" t="s">
        <v>1220</v>
      </c>
    </row>
    <row r="697" spans="1:15" x14ac:dyDescent="0.25">
      <c r="A697" s="14">
        <v>4784</v>
      </c>
      <c r="B697" s="14" t="s">
        <v>1027</v>
      </c>
      <c r="C697" s="14" t="s">
        <v>2557</v>
      </c>
      <c r="D697" s="14" t="s">
        <v>1216</v>
      </c>
      <c r="E697" s="16">
        <v>50</v>
      </c>
      <c r="F697" s="14" t="s">
        <v>1216</v>
      </c>
      <c r="G697" s="17">
        <v>1000</v>
      </c>
      <c r="H697" s="14" t="s">
        <v>2334</v>
      </c>
      <c r="I697" s="14" t="s">
        <v>1256</v>
      </c>
      <c r="J697" s="14" t="s">
        <v>1233</v>
      </c>
      <c r="K697" s="14" t="s">
        <v>1257</v>
      </c>
      <c r="L697" s="14" t="s">
        <v>2558</v>
      </c>
      <c r="M697" s="14" t="s">
        <v>1218</v>
      </c>
      <c r="N697" s="14" t="s">
        <v>1237</v>
      </c>
      <c r="O697" s="14" t="s">
        <v>1220</v>
      </c>
    </row>
    <row r="698" spans="1:15" x14ac:dyDescent="0.25">
      <c r="A698" s="14" t="s">
        <v>2559</v>
      </c>
      <c r="B698" s="14" t="s">
        <v>2560</v>
      </c>
      <c r="C698" s="14" t="s">
        <v>2561</v>
      </c>
      <c r="D698" s="14" t="s">
        <v>2334</v>
      </c>
      <c r="E698" s="16">
        <v>50</v>
      </c>
      <c r="F698" s="14" t="s">
        <v>1216</v>
      </c>
      <c r="G698" s="17">
        <v>1000</v>
      </c>
      <c r="H698" s="14" t="s">
        <v>2334</v>
      </c>
      <c r="I698" s="14" t="s">
        <v>1262</v>
      </c>
      <c r="J698" s="14" t="s">
        <v>1262</v>
      </c>
      <c r="K698" s="14" t="s">
        <v>1257</v>
      </c>
      <c r="L698" s="14" t="s">
        <v>2558</v>
      </c>
      <c r="M698" s="14" t="s">
        <v>1218</v>
      </c>
      <c r="N698" s="14" t="s">
        <v>1219</v>
      </c>
      <c r="O698" s="14" t="s">
        <v>1220</v>
      </c>
    </row>
    <row r="699" spans="1:15" x14ac:dyDescent="0.25">
      <c r="A699" s="14">
        <v>4786</v>
      </c>
      <c r="B699" s="14" t="s">
        <v>1028</v>
      </c>
      <c r="C699" s="14" t="s">
        <v>2562</v>
      </c>
      <c r="D699" s="14" t="s">
        <v>1216</v>
      </c>
      <c r="E699" s="16">
        <v>15</v>
      </c>
      <c r="F699" s="14" t="s">
        <v>1216</v>
      </c>
      <c r="G699" s="16">
        <v>510</v>
      </c>
      <c r="H699" s="14" t="s">
        <v>2334</v>
      </c>
      <c r="I699" s="14" t="s">
        <v>1256</v>
      </c>
      <c r="J699" s="14" t="s">
        <v>1242</v>
      </c>
      <c r="K699" s="14" t="s">
        <v>1257</v>
      </c>
      <c r="L699" s="14" t="s">
        <v>2563</v>
      </c>
      <c r="M699" s="14" t="s">
        <v>1218</v>
      </c>
      <c r="N699" s="14" t="s">
        <v>1237</v>
      </c>
      <c r="O699" s="14" t="s">
        <v>1220</v>
      </c>
    </row>
    <row r="700" spans="1:15" x14ac:dyDescent="0.25">
      <c r="A700" s="14">
        <v>1153</v>
      </c>
      <c r="B700" s="14" t="s">
        <v>953</v>
      </c>
      <c r="C700" s="14" t="s">
        <v>2564</v>
      </c>
      <c r="D700" s="14" t="s">
        <v>1216</v>
      </c>
      <c r="E700" s="16">
        <v>24</v>
      </c>
      <c r="F700" s="14" t="s">
        <v>1216</v>
      </c>
      <c r="G700" s="16">
        <v>510</v>
      </c>
      <c r="H700" s="14" t="s">
        <v>1216</v>
      </c>
      <c r="I700" s="14" t="s">
        <v>1256</v>
      </c>
      <c r="J700" s="14" t="s">
        <v>1242</v>
      </c>
      <c r="K700" s="14" t="s">
        <v>1257</v>
      </c>
      <c r="L700" s="14" t="s">
        <v>2565</v>
      </c>
      <c r="M700" s="14" t="s">
        <v>1218</v>
      </c>
      <c r="N700" s="14" t="s">
        <v>1237</v>
      </c>
      <c r="O700" s="14" t="s">
        <v>1220</v>
      </c>
    </row>
    <row r="701" spans="1:15" x14ac:dyDescent="0.25">
      <c r="A701" s="14" t="s">
        <v>2566</v>
      </c>
      <c r="B701" s="14" t="s">
        <v>2567</v>
      </c>
      <c r="C701" s="14" t="s">
        <v>2568</v>
      </c>
      <c r="D701" s="14" t="s">
        <v>2569</v>
      </c>
      <c r="E701" s="15"/>
      <c r="F701" s="14" t="s">
        <v>1216</v>
      </c>
      <c r="G701" s="15"/>
      <c r="H701" s="14" t="s">
        <v>1216</v>
      </c>
      <c r="I701" s="14" t="s">
        <v>1262</v>
      </c>
      <c r="J701" s="14" t="s">
        <v>1262</v>
      </c>
      <c r="K701" s="14"/>
      <c r="L701" s="14" t="s">
        <v>2565</v>
      </c>
      <c r="M701" s="14" t="s">
        <v>1218</v>
      </c>
      <c r="N701" s="14" t="s">
        <v>1219</v>
      </c>
      <c r="O701" s="14" t="s">
        <v>1220</v>
      </c>
    </row>
    <row r="702" spans="1:15" x14ac:dyDescent="0.25">
      <c r="A702" s="14">
        <v>6050089</v>
      </c>
      <c r="B702" s="14" t="s">
        <v>2570</v>
      </c>
      <c r="C702" s="14" t="s">
        <v>2570</v>
      </c>
      <c r="D702" s="14" t="s">
        <v>1533</v>
      </c>
      <c r="E702" s="15"/>
      <c r="F702" s="14" t="s">
        <v>1533</v>
      </c>
      <c r="G702" s="15"/>
      <c r="H702" s="14" t="s">
        <v>1534</v>
      </c>
      <c r="I702" s="14" t="s">
        <v>1360</v>
      </c>
      <c r="J702" s="14" t="s">
        <v>1360</v>
      </c>
      <c r="K702" s="14"/>
      <c r="L702" s="14"/>
      <c r="M702" s="14" t="s">
        <v>1218</v>
      </c>
      <c r="N702" s="14" t="s">
        <v>1219</v>
      </c>
      <c r="O702" s="14" t="s">
        <v>1220</v>
      </c>
    </row>
    <row r="703" spans="1:15" x14ac:dyDescent="0.25">
      <c r="A703" s="14">
        <v>9150007</v>
      </c>
      <c r="B703" s="14" t="s">
        <v>2571</v>
      </c>
      <c r="C703" s="14" t="s">
        <v>2571</v>
      </c>
      <c r="D703" s="14" t="s">
        <v>1533</v>
      </c>
      <c r="E703" s="15"/>
      <c r="F703" s="14"/>
      <c r="G703" s="15"/>
      <c r="H703" s="14" t="s">
        <v>1534</v>
      </c>
      <c r="I703" s="14" t="s">
        <v>1360</v>
      </c>
      <c r="J703" s="14" t="s">
        <v>1360</v>
      </c>
      <c r="K703" s="14"/>
      <c r="L703" s="14"/>
      <c r="M703" s="14" t="s">
        <v>1218</v>
      </c>
      <c r="N703" s="14" t="s">
        <v>1219</v>
      </c>
      <c r="O703" s="14" t="s">
        <v>1220</v>
      </c>
    </row>
    <row r="704" spans="1:15" x14ac:dyDescent="0.25">
      <c r="A704" s="14">
        <v>3050086</v>
      </c>
      <c r="B704" s="14" t="s">
        <v>2572</v>
      </c>
      <c r="C704" s="14" t="s">
        <v>2572</v>
      </c>
      <c r="D704" s="14" t="s">
        <v>1349</v>
      </c>
      <c r="E704" s="15"/>
      <c r="F704" s="14" t="s">
        <v>1533</v>
      </c>
      <c r="G704" s="15"/>
      <c r="H704" s="14" t="s">
        <v>1534</v>
      </c>
      <c r="I704" s="14" t="s">
        <v>1360</v>
      </c>
      <c r="J704" s="14" t="s">
        <v>1360</v>
      </c>
      <c r="K704" s="14"/>
      <c r="L704" s="14"/>
      <c r="M704" s="14" t="s">
        <v>1218</v>
      </c>
      <c r="N704" s="14" t="s">
        <v>1219</v>
      </c>
      <c r="O704" s="14" t="s">
        <v>1220</v>
      </c>
    </row>
    <row r="705" spans="1:15" x14ac:dyDescent="0.25">
      <c r="A705" s="14">
        <v>6060113</v>
      </c>
      <c r="B705" s="14" t="s">
        <v>2573</v>
      </c>
      <c r="C705" s="14" t="s">
        <v>2573</v>
      </c>
      <c r="D705" s="14" t="s">
        <v>1533</v>
      </c>
      <c r="E705" s="15"/>
      <c r="F705" s="14" t="s">
        <v>1533</v>
      </c>
      <c r="G705" s="15"/>
      <c r="H705" s="14" t="s">
        <v>1534</v>
      </c>
      <c r="I705" s="14" t="s">
        <v>1360</v>
      </c>
      <c r="J705" s="14" t="s">
        <v>1360</v>
      </c>
      <c r="K705" s="14"/>
      <c r="L705" s="14"/>
      <c r="M705" s="14" t="s">
        <v>1218</v>
      </c>
      <c r="N705" s="14" t="s">
        <v>1219</v>
      </c>
      <c r="O705" s="14" t="s">
        <v>1220</v>
      </c>
    </row>
    <row r="706" spans="1:15" x14ac:dyDescent="0.25">
      <c r="A706" s="14">
        <v>9160005</v>
      </c>
      <c r="B706" s="14" t="s">
        <v>2574</v>
      </c>
      <c r="C706" s="14" t="s">
        <v>2574</v>
      </c>
      <c r="D706" s="14" t="s">
        <v>1533</v>
      </c>
      <c r="E706" s="15"/>
      <c r="F706" s="14"/>
      <c r="G706" s="15"/>
      <c r="H706" s="14" t="s">
        <v>1534</v>
      </c>
      <c r="I706" s="14" t="s">
        <v>1360</v>
      </c>
      <c r="J706" s="14" t="s">
        <v>1360</v>
      </c>
      <c r="K706" s="14"/>
      <c r="L706" s="14"/>
      <c r="M706" s="14" t="s">
        <v>1218</v>
      </c>
      <c r="N706" s="14" t="s">
        <v>1219</v>
      </c>
      <c r="O706" s="14" t="s">
        <v>1220</v>
      </c>
    </row>
    <row r="707" spans="1:15" x14ac:dyDescent="0.25">
      <c r="A707" s="14">
        <v>3060111</v>
      </c>
      <c r="B707" s="14" t="s">
        <v>2575</v>
      </c>
      <c r="C707" s="14" t="s">
        <v>2575</v>
      </c>
      <c r="D707" s="14" t="s">
        <v>1533</v>
      </c>
      <c r="E707" s="15"/>
      <c r="F707" s="14" t="s">
        <v>1533</v>
      </c>
      <c r="G707" s="15"/>
      <c r="H707" s="14" t="s">
        <v>1534</v>
      </c>
      <c r="I707" s="14" t="s">
        <v>1360</v>
      </c>
      <c r="J707" s="14" t="s">
        <v>1360</v>
      </c>
      <c r="K707" s="14"/>
      <c r="L707" s="14"/>
      <c r="M707" s="14" t="s">
        <v>1218</v>
      </c>
      <c r="N707" s="14" t="s">
        <v>1219</v>
      </c>
      <c r="O707" s="14" t="s">
        <v>1220</v>
      </c>
    </row>
    <row r="708" spans="1:15" x14ac:dyDescent="0.25">
      <c r="A708" s="14">
        <v>4785</v>
      </c>
      <c r="B708" s="14" t="s">
        <v>1029</v>
      </c>
      <c r="C708" s="14" t="s">
        <v>2576</v>
      </c>
      <c r="D708" s="14" t="s">
        <v>1216</v>
      </c>
      <c r="E708" s="16">
        <v>25</v>
      </c>
      <c r="F708" s="14" t="s">
        <v>1216</v>
      </c>
      <c r="G708" s="16">
        <v>500</v>
      </c>
      <c r="H708" s="14" t="s">
        <v>2334</v>
      </c>
      <c r="I708" s="14" t="s">
        <v>1256</v>
      </c>
      <c r="J708" s="14" t="s">
        <v>1233</v>
      </c>
      <c r="K708" s="14" t="s">
        <v>1257</v>
      </c>
      <c r="L708" s="14" t="s">
        <v>2577</v>
      </c>
      <c r="M708" s="14" t="s">
        <v>1218</v>
      </c>
      <c r="N708" s="14" t="s">
        <v>1237</v>
      </c>
      <c r="O708" s="14" t="s">
        <v>1220</v>
      </c>
    </row>
    <row r="709" spans="1:15" x14ac:dyDescent="0.25">
      <c r="A709" s="14">
        <v>1152</v>
      </c>
      <c r="B709" s="14" t="s">
        <v>954</v>
      </c>
      <c r="C709" s="14" t="s">
        <v>2578</v>
      </c>
      <c r="D709" s="14" t="s">
        <v>1216</v>
      </c>
      <c r="E709" s="16">
        <v>30</v>
      </c>
      <c r="F709" s="14" t="s">
        <v>1216</v>
      </c>
      <c r="G709" s="16">
        <v>510</v>
      </c>
      <c r="H709" s="14" t="s">
        <v>1216</v>
      </c>
      <c r="I709" s="14" t="s">
        <v>1256</v>
      </c>
      <c r="J709" s="14" t="s">
        <v>1233</v>
      </c>
      <c r="K709" s="14" t="s">
        <v>1257</v>
      </c>
      <c r="L709" s="14" t="s">
        <v>2579</v>
      </c>
      <c r="M709" s="14" t="s">
        <v>1218</v>
      </c>
      <c r="N709" s="14" t="s">
        <v>1237</v>
      </c>
      <c r="O709" s="14" t="s">
        <v>1220</v>
      </c>
    </row>
    <row r="710" spans="1:15" x14ac:dyDescent="0.25">
      <c r="A710" s="14" t="s">
        <v>2580</v>
      </c>
      <c r="B710" s="14" t="s">
        <v>2581</v>
      </c>
      <c r="C710" s="14" t="s">
        <v>2582</v>
      </c>
      <c r="D710" s="14" t="s">
        <v>2569</v>
      </c>
      <c r="E710" s="15"/>
      <c r="F710" s="14" t="s">
        <v>1216</v>
      </c>
      <c r="G710" s="15"/>
      <c r="H710" s="14" t="s">
        <v>1216</v>
      </c>
      <c r="I710" s="14" t="s">
        <v>1262</v>
      </c>
      <c r="J710" s="14" t="s">
        <v>1262</v>
      </c>
      <c r="K710" s="14"/>
      <c r="L710" s="14" t="s">
        <v>2579</v>
      </c>
      <c r="M710" s="14" t="s">
        <v>1218</v>
      </c>
      <c r="N710" s="14" t="s">
        <v>1219</v>
      </c>
      <c r="O710" s="14" t="s">
        <v>1220</v>
      </c>
    </row>
    <row r="711" spans="1:15" x14ac:dyDescent="0.25">
      <c r="A711" s="14">
        <v>1010704</v>
      </c>
      <c r="B711" s="14" t="s">
        <v>2583</v>
      </c>
      <c r="C711" s="14" t="s">
        <v>2583</v>
      </c>
      <c r="D711" s="14" t="s">
        <v>1215</v>
      </c>
      <c r="E711" s="15"/>
      <c r="F711" s="14"/>
      <c r="G711" s="15"/>
      <c r="H711" s="14" t="s">
        <v>1216</v>
      </c>
      <c r="I711" s="14" t="s">
        <v>1217</v>
      </c>
      <c r="J711" s="14"/>
      <c r="K711" s="14"/>
      <c r="L711" s="14"/>
      <c r="M711" s="14" t="s">
        <v>1218</v>
      </c>
      <c r="N711" s="14" t="s">
        <v>1219</v>
      </c>
      <c r="O711" s="14" t="s">
        <v>1220</v>
      </c>
    </row>
    <row r="712" spans="1:15" x14ac:dyDescent="0.25">
      <c r="A712" s="14">
        <v>6070059</v>
      </c>
      <c r="B712" s="14" t="s">
        <v>2584</v>
      </c>
      <c r="C712" s="14" t="s">
        <v>2584</v>
      </c>
      <c r="D712" s="14" t="s">
        <v>1533</v>
      </c>
      <c r="E712" s="15"/>
      <c r="F712" s="14" t="s">
        <v>1533</v>
      </c>
      <c r="G712" s="15"/>
      <c r="H712" s="14" t="s">
        <v>1534</v>
      </c>
      <c r="I712" s="14" t="s">
        <v>1360</v>
      </c>
      <c r="J712" s="14" t="s">
        <v>1360</v>
      </c>
      <c r="K712" s="14"/>
      <c r="L712" s="14"/>
      <c r="M712" s="14" t="s">
        <v>1218</v>
      </c>
      <c r="N712" s="14" t="s">
        <v>1219</v>
      </c>
      <c r="O712" s="14" t="s">
        <v>1220</v>
      </c>
    </row>
    <row r="713" spans="1:15" x14ac:dyDescent="0.25">
      <c r="A713" s="14">
        <v>9170007</v>
      </c>
      <c r="B713" s="14" t="s">
        <v>2585</v>
      </c>
      <c r="C713" s="14" t="s">
        <v>2585</v>
      </c>
      <c r="D713" s="14" t="s">
        <v>1533</v>
      </c>
      <c r="E713" s="15"/>
      <c r="F713" s="14"/>
      <c r="G713" s="15"/>
      <c r="H713" s="14" t="s">
        <v>1534</v>
      </c>
      <c r="I713" s="14" t="s">
        <v>1360</v>
      </c>
      <c r="J713" s="14" t="s">
        <v>1360</v>
      </c>
      <c r="K713" s="14"/>
      <c r="L713" s="14"/>
      <c r="M713" s="14" t="s">
        <v>1218</v>
      </c>
      <c r="N713" s="14" t="s">
        <v>1219</v>
      </c>
      <c r="O713" s="14" t="s">
        <v>1220</v>
      </c>
    </row>
    <row r="714" spans="1:15" x14ac:dyDescent="0.25">
      <c r="A714" s="14">
        <v>3070075</v>
      </c>
      <c r="B714" s="14" t="s">
        <v>2586</v>
      </c>
      <c r="C714" s="14" t="s">
        <v>2586</v>
      </c>
      <c r="D714" s="14" t="s">
        <v>1533</v>
      </c>
      <c r="E714" s="15"/>
      <c r="F714" s="14" t="s">
        <v>1533</v>
      </c>
      <c r="G714" s="15"/>
      <c r="H714" s="14" t="s">
        <v>1534</v>
      </c>
      <c r="I714" s="14" t="s">
        <v>1360</v>
      </c>
      <c r="J714" s="14" t="s">
        <v>1360</v>
      </c>
      <c r="K714" s="14"/>
      <c r="L714" s="14"/>
      <c r="M714" s="14" t="s">
        <v>1218</v>
      </c>
      <c r="N714" s="14" t="s">
        <v>1219</v>
      </c>
      <c r="O714" s="14" t="s">
        <v>1220</v>
      </c>
    </row>
    <row r="715" spans="1:15" x14ac:dyDescent="0.25">
      <c r="A715" s="14">
        <v>6050083</v>
      </c>
      <c r="B715" s="14" t="s">
        <v>2587</v>
      </c>
      <c r="C715" s="14" t="s">
        <v>2587</v>
      </c>
      <c r="D715" s="14" t="s">
        <v>1533</v>
      </c>
      <c r="E715" s="15"/>
      <c r="F715" s="14" t="s">
        <v>1533</v>
      </c>
      <c r="G715" s="15"/>
      <c r="H715" s="14" t="s">
        <v>1534</v>
      </c>
      <c r="I715" s="14" t="s">
        <v>1360</v>
      </c>
      <c r="J715" s="14" t="s">
        <v>1360</v>
      </c>
      <c r="K715" s="14"/>
      <c r="L715" s="14"/>
      <c r="M715" s="14" t="s">
        <v>1218</v>
      </c>
      <c r="N715" s="14" t="s">
        <v>1219</v>
      </c>
      <c r="O715" s="14" t="s">
        <v>1220</v>
      </c>
    </row>
    <row r="716" spans="1:15" x14ac:dyDescent="0.25">
      <c r="A716" s="14">
        <v>9150006</v>
      </c>
      <c r="B716" s="14" t="s">
        <v>2588</v>
      </c>
      <c r="C716" s="14" t="s">
        <v>2588</v>
      </c>
      <c r="D716" s="14" t="s">
        <v>1349</v>
      </c>
      <c r="E716" s="15"/>
      <c r="F716" s="14"/>
      <c r="G716" s="15"/>
      <c r="H716" s="14" t="s">
        <v>1534</v>
      </c>
      <c r="I716" s="14" t="s">
        <v>1360</v>
      </c>
      <c r="J716" s="14" t="s">
        <v>1360</v>
      </c>
      <c r="K716" s="14"/>
      <c r="L716" s="14" t="s">
        <v>2589</v>
      </c>
      <c r="M716" s="14" t="s">
        <v>1218</v>
      </c>
      <c r="N716" s="14" t="s">
        <v>1219</v>
      </c>
      <c r="O716" s="14" t="s">
        <v>1220</v>
      </c>
    </row>
    <row r="717" spans="1:15" x14ac:dyDescent="0.25">
      <c r="A717" s="14">
        <v>3050080</v>
      </c>
      <c r="B717" s="14" t="s">
        <v>2590</v>
      </c>
      <c r="C717" s="14" t="s">
        <v>2590</v>
      </c>
      <c r="D717" s="14" t="s">
        <v>1349</v>
      </c>
      <c r="E717" s="15"/>
      <c r="F717" s="14" t="s">
        <v>1533</v>
      </c>
      <c r="G717" s="15"/>
      <c r="H717" s="14" t="s">
        <v>1534</v>
      </c>
      <c r="I717" s="14" t="s">
        <v>1360</v>
      </c>
      <c r="J717" s="14" t="s">
        <v>1360</v>
      </c>
      <c r="K717" s="14"/>
      <c r="L717" s="14"/>
      <c r="M717" s="14" t="s">
        <v>1218</v>
      </c>
      <c r="N717" s="14" t="s">
        <v>1219</v>
      </c>
      <c r="O717" s="14" t="s">
        <v>1220</v>
      </c>
    </row>
    <row r="718" spans="1:15" x14ac:dyDescent="0.25">
      <c r="A718" s="14">
        <v>6060109</v>
      </c>
      <c r="B718" s="14" t="s">
        <v>2591</v>
      </c>
      <c r="C718" s="14" t="s">
        <v>2591</v>
      </c>
      <c r="D718" s="14" t="s">
        <v>1533</v>
      </c>
      <c r="E718" s="15"/>
      <c r="F718" s="14" t="s">
        <v>1533</v>
      </c>
      <c r="G718" s="15"/>
      <c r="H718" s="14" t="s">
        <v>1534</v>
      </c>
      <c r="I718" s="14" t="s">
        <v>1360</v>
      </c>
      <c r="J718" s="14" t="s">
        <v>1360</v>
      </c>
      <c r="K718" s="14"/>
      <c r="L718" s="14"/>
      <c r="M718" s="14" t="s">
        <v>1218</v>
      </c>
      <c r="N718" s="14" t="s">
        <v>1219</v>
      </c>
      <c r="O718" s="14" t="s">
        <v>1220</v>
      </c>
    </row>
    <row r="719" spans="1:15" x14ac:dyDescent="0.25">
      <c r="A719" s="14">
        <v>9160004</v>
      </c>
      <c r="B719" s="14" t="s">
        <v>2592</v>
      </c>
      <c r="C719" s="14" t="s">
        <v>2592</v>
      </c>
      <c r="D719" s="14" t="s">
        <v>1533</v>
      </c>
      <c r="E719" s="15"/>
      <c r="F719" s="14"/>
      <c r="G719" s="15"/>
      <c r="H719" s="14" t="s">
        <v>1534</v>
      </c>
      <c r="I719" s="14" t="s">
        <v>1360</v>
      </c>
      <c r="J719" s="14" t="s">
        <v>1360</v>
      </c>
      <c r="K719" s="14"/>
      <c r="L719" s="14"/>
      <c r="M719" s="14" t="s">
        <v>1218</v>
      </c>
      <c r="N719" s="14" t="s">
        <v>1219</v>
      </c>
      <c r="O719" s="14" t="s">
        <v>1220</v>
      </c>
    </row>
    <row r="720" spans="1:15" x14ac:dyDescent="0.25">
      <c r="A720" s="14">
        <v>3060107</v>
      </c>
      <c r="B720" s="14" t="s">
        <v>2593</v>
      </c>
      <c r="C720" s="14" t="s">
        <v>2593</v>
      </c>
      <c r="D720" s="14" t="s">
        <v>1533</v>
      </c>
      <c r="E720" s="15"/>
      <c r="F720" s="14" t="s">
        <v>1533</v>
      </c>
      <c r="G720" s="15"/>
      <c r="H720" s="14" t="s">
        <v>1534</v>
      </c>
      <c r="I720" s="14" t="s">
        <v>1360</v>
      </c>
      <c r="J720" s="14" t="s">
        <v>1360</v>
      </c>
      <c r="K720" s="14"/>
      <c r="L720" s="14"/>
      <c r="M720" s="14" t="s">
        <v>1218</v>
      </c>
      <c r="N720" s="14" t="s">
        <v>1219</v>
      </c>
      <c r="O720" s="14" t="s">
        <v>1220</v>
      </c>
    </row>
    <row r="721" spans="1:15" x14ac:dyDescent="0.25">
      <c r="A721" s="14">
        <v>1160</v>
      </c>
      <c r="B721" s="14" t="s">
        <v>951</v>
      </c>
      <c r="C721" s="14" t="s">
        <v>2594</v>
      </c>
      <c r="D721" s="14" t="s">
        <v>1216</v>
      </c>
      <c r="E721" s="16">
        <v>60</v>
      </c>
      <c r="F721" s="14" t="s">
        <v>1216</v>
      </c>
      <c r="G721" s="17">
        <v>1020</v>
      </c>
      <c r="H721" s="14" t="s">
        <v>1216</v>
      </c>
      <c r="I721" s="14" t="s">
        <v>1256</v>
      </c>
      <c r="J721" s="14" t="s">
        <v>1233</v>
      </c>
      <c r="K721" s="14" t="s">
        <v>1257</v>
      </c>
      <c r="L721" s="14" t="s">
        <v>2595</v>
      </c>
      <c r="M721" s="14" t="s">
        <v>1218</v>
      </c>
      <c r="N721" s="14" t="s">
        <v>1237</v>
      </c>
      <c r="O721" s="14" t="s">
        <v>1220</v>
      </c>
    </row>
    <row r="722" spans="1:15" x14ac:dyDescent="0.25">
      <c r="A722" s="14">
        <v>4789</v>
      </c>
      <c r="B722" s="14" t="s">
        <v>1026</v>
      </c>
      <c r="C722" s="14" t="s">
        <v>2596</v>
      </c>
      <c r="D722" s="14" t="s">
        <v>1216</v>
      </c>
      <c r="E722" s="16">
        <v>50</v>
      </c>
      <c r="F722" s="14" t="s">
        <v>1216</v>
      </c>
      <c r="G722" s="17">
        <v>1000</v>
      </c>
      <c r="H722" s="14" t="s">
        <v>2334</v>
      </c>
      <c r="I722" s="14" t="s">
        <v>1256</v>
      </c>
      <c r="J722" s="14" t="s">
        <v>1233</v>
      </c>
      <c r="K722" s="14" t="s">
        <v>1257</v>
      </c>
      <c r="L722" s="14" t="s">
        <v>2597</v>
      </c>
      <c r="M722" s="14" t="s">
        <v>1218</v>
      </c>
      <c r="N722" s="14" t="s">
        <v>1237</v>
      </c>
      <c r="O722" s="14" t="s">
        <v>1220</v>
      </c>
    </row>
    <row r="723" spans="1:15" x14ac:dyDescent="0.25">
      <c r="A723" s="14" t="s">
        <v>2598</v>
      </c>
      <c r="B723" s="14" t="s">
        <v>2599</v>
      </c>
      <c r="C723" s="14" t="s">
        <v>2600</v>
      </c>
      <c r="D723" s="14" t="s">
        <v>2334</v>
      </c>
      <c r="E723" s="16">
        <v>50</v>
      </c>
      <c r="F723" s="14" t="s">
        <v>1216</v>
      </c>
      <c r="G723" s="17">
        <v>1000</v>
      </c>
      <c r="H723" s="14" t="s">
        <v>2334</v>
      </c>
      <c r="I723" s="14" t="s">
        <v>1262</v>
      </c>
      <c r="J723" s="14" t="s">
        <v>1262</v>
      </c>
      <c r="K723" s="14" t="s">
        <v>1257</v>
      </c>
      <c r="L723" s="14" t="s">
        <v>2597</v>
      </c>
      <c r="M723" s="14" t="s">
        <v>1218</v>
      </c>
      <c r="N723" s="14" t="s">
        <v>1219</v>
      </c>
      <c r="O723" s="14" t="s">
        <v>1220</v>
      </c>
    </row>
    <row r="724" spans="1:15" x14ac:dyDescent="0.25">
      <c r="A724" s="14" t="s">
        <v>2601</v>
      </c>
      <c r="B724" s="14" t="s">
        <v>2602</v>
      </c>
      <c r="C724" s="14" t="s">
        <v>2603</v>
      </c>
      <c r="D724" s="14" t="s">
        <v>2569</v>
      </c>
      <c r="E724" s="15"/>
      <c r="F724" s="14" t="s">
        <v>1216</v>
      </c>
      <c r="G724" s="15"/>
      <c r="H724" s="14" t="s">
        <v>1216</v>
      </c>
      <c r="I724" s="14" t="s">
        <v>1262</v>
      </c>
      <c r="J724" s="14" t="s">
        <v>1262</v>
      </c>
      <c r="K724" s="14"/>
      <c r="L724" s="14" t="s">
        <v>2595</v>
      </c>
      <c r="M724" s="14" t="s">
        <v>1218</v>
      </c>
      <c r="N724" s="14" t="s">
        <v>1219</v>
      </c>
      <c r="O724" s="14" t="s">
        <v>1220</v>
      </c>
    </row>
    <row r="725" spans="1:15" x14ac:dyDescent="0.25">
      <c r="A725" s="14">
        <v>1151</v>
      </c>
      <c r="B725" s="14" t="s">
        <v>952</v>
      </c>
      <c r="C725" s="14" t="s">
        <v>2604</v>
      </c>
      <c r="D725" s="14" t="s">
        <v>1216</v>
      </c>
      <c r="E725" s="16">
        <v>60</v>
      </c>
      <c r="F725" s="14" t="s">
        <v>1216</v>
      </c>
      <c r="G725" s="17">
        <v>1020</v>
      </c>
      <c r="H725" s="14" t="s">
        <v>1216</v>
      </c>
      <c r="I725" s="14" t="s">
        <v>1256</v>
      </c>
      <c r="J725" s="14" t="s">
        <v>1233</v>
      </c>
      <c r="K725" s="14" t="s">
        <v>1257</v>
      </c>
      <c r="L725" s="14" t="s">
        <v>2605</v>
      </c>
      <c r="M725" s="14" t="s">
        <v>1218</v>
      </c>
      <c r="N725" s="14" t="s">
        <v>1237</v>
      </c>
      <c r="O725" s="14" t="s">
        <v>1220</v>
      </c>
    </row>
    <row r="726" spans="1:15" x14ac:dyDescent="0.25">
      <c r="A726" s="14" t="s">
        <v>2606</v>
      </c>
      <c r="B726" s="14" t="s">
        <v>2607</v>
      </c>
      <c r="C726" s="14" t="s">
        <v>2608</v>
      </c>
      <c r="D726" s="14" t="s">
        <v>2569</v>
      </c>
      <c r="E726" s="15"/>
      <c r="F726" s="14" t="s">
        <v>1216</v>
      </c>
      <c r="G726" s="15"/>
      <c r="H726" s="14" t="s">
        <v>1216</v>
      </c>
      <c r="I726" s="14" t="s">
        <v>1262</v>
      </c>
      <c r="J726" s="14" t="s">
        <v>1262</v>
      </c>
      <c r="K726" s="14"/>
      <c r="L726" s="14" t="s">
        <v>2605</v>
      </c>
      <c r="M726" s="14" t="s">
        <v>1218</v>
      </c>
      <c r="N726" s="14" t="s">
        <v>1219</v>
      </c>
      <c r="O726" s="14" t="s">
        <v>1220</v>
      </c>
    </row>
    <row r="727" spans="1:15" x14ac:dyDescent="0.25">
      <c r="A727" s="14">
        <v>1010703</v>
      </c>
      <c r="B727" s="14" t="s">
        <v>2609</v>
      </c>
      <c r="C727" s="14" t="s">
        <v>2609</v>
      </c>
      <c r="D727" s="14" t="s">
        <v>1215</v>
      </c>
      <c r="E727" s="15"/>
      <c r="F727" s="14"/>
      <c r="G727" s="15"/>
      <c r="H727" s="14" t="s">
        <v>1216</v>
      </c>
      <c r="I727" s="14" t="s">
        <v>1217</v>
      </c>
      <c r="J727" s="14"/>
      <c r="K727" s="14"/>
      <c r="L727" s="14"/>
      <c r="M727" s="14" t="s">
        <v>1218</v>
      </c>
      <c r="N727" s="14" t="s">
        <v>1219</v>
      </c>
      <c r="O727" s="14" t="s">
        <v>1220</v>
      </c>
    </row>
    <row r="728" spans="1:15" x14ac:dyDescent="0.25">
      <c r="A728" s="14">
        <v>4772</v>
      </c>
      <c r="B728" s="14" t="s">
        <v>1023</v>
      </c>
      <c r="C728" s="14" t="s">
        <v>2610</v>
      </c>
      <c r="D728" s="14" t="s">
        <v>1216</v>
      </c>
      <c r="E728" s="16">
        <v>120</v>
      </c>
      <c r="F728" s="14" t="s">
        <v>1216</v>
      </c>
      <c r="G728" s="17">
        <v>3000</v>
      </c>
      <c r="H728" s="14" t="s">
        <v>2334</v>
      </c>
      <c r="I728" s="14" t="s">
        <v>1256</v>
      </c>
      <c r="J728" s="14" t="s">
        <v>1233</v>
      </c>
      <c r="K728" s="14" t="s">
        <v>1257</v>
      </c>
      <c r="L728" s="14" t="s">
        <v>2611</v>
      </c>
      <c r="M728" s="14" t="s">
        <v>1218</v>
      </c>
      <c r="N728" s="14" t="s">
        <v>1237</v>
      </c>
      <c r="O728" s="14" t="s">
        <v>1220</v>
      </c>
    </row>
    <row r="729" spans="1:15" x14ac:dyDescent="0.25">
      <c r="A729" s="14" t="s">
        <v>2612</v>
      </c>
      <c r="B729" s="14" t="s">
        <v>2613</v>
      </c>
      <c r="C729" s="14" t="s">
        <v>2614</v>
      </c>
      <c r="D729" s="14" t="s">
        <v>2334</v>
      </c>
      <c r="E729" s="15"/>
      <c r="F729" s="14" t="s">
        <v>1216</v>
      </c>
      <c r="G729" s="15"/>
      <c r="H729" s="14" t="s">
        <v>2334</v>
      </c>
      <c r="I729" s="14" t="s">
        <v>1262</v>
      </c>
      <c r="J729" s="14" t="s">
        <v>1262</v>
      </c>
      <c r="K729" s="14" t="s">
        <v>1257</v>
      </c>
      <c r="L729" s="14" t="s">
        <v>2611</v>
      </c>
      <c r="M729" s="14" t="s">
        <v>1218</v>
      </c>
      <c r="N729" s="14" t="s">
        <v>1219</v>
      </c>
      <c r="O729" s="14" t="s">
        <v>1220</v>
      </c>
    </row>
    <row r="730" spans="1:15" x14ac:dyDescent="0.25">
      <c r="A730" s="14" t="s">
        <v>2615</v>
      </c>
      <c r="B730" s="14" t="s">
        <v>2616</v>
      </c>
      <c r="C730" s="14" t="s">
        <v>2617</v>
      </c>
      <c r="D730" s="14" t="s">
        <v>2569</v>
      </c>
      <c r="E730" s="15"/>
      <c r="F730" s="14" t="s">
        <v>1216</v>
      </c>
      <c r="G730" s="15"/>
      <c r="H730" s="14" t="s">
        <v>1216</v>
      </c>
      <c r="I730" s="14" t="s">
        <v>1262</v>
      </c>
      <c r="J730" s="14" t="s">
        <v>1262</v>
      </c>
      <c r="K730" s="14"/>
      <c r="L730" s="14" t="s">
        <v>2618</v>
      </c>
      <c r="M730" s="14" t="s">
        <v>1218</v>
      </c>
      <c r="N730" s="14" t="s">
        <v>1219</v>
      </c>
      <c r="O730" s="14" t="s">
        <v>1220</v>
      </c>
    </row>
    <row r="731" spans="1:15" x14ac:dyDescent="0.25">
      <c r="A731" s="14">
        <v>1158</v>
      </c>
      <c r="B731" s="14" t="s">
        <v>947</v>
      </c>
      <c r="C731" s="14" t="s">
        <v>2619</v>
      </c>
      <c r="D731" s="14" t="s">
        <v>1216</v>
      </c>
      <c r="E731" s="16">
        <v>120</v>
      </c>
      <c r="F731" s="14" t="s">
        <v>1216</v>
      </c>
      <c r="G731" s="17">
        <v>3000</v>
      </c>
      <c r="H731" s="14" t="s">
        <v>1216</v>
      </c>
      <c r="I731" s="14" t="s">
        <v>1256</v>
      </c>
      <c r="J731" s="14" t="s">
        <v>1233</v>
      </c>
      <c r="K731" s="14" t="s">
        <v>1257</v>
      </c>
      <c r="L731" s="14" t="s">
        <v>2618</v>
      </c>
      <c r="M731" s="14" t="s">
        <v>1218</v>
      </c>
      <c r="N731" s="14" t="s">
        <v>1237</v>
      </c>
      <c r="O731" s="14" t="s">
        <v>1220</v>
      </c>
    </row>
    <row r="732" spans="1:15" x14ac:dyDescent="0.25">
      <c r="A732" s="14">
        <v>4776</v>
      </c>
      <c r="B732" s="14" t="s">
        <v>1022</v>
      </c>
      <c r="C732" s="14" t="s">
        <v>2620</v>
      </c>
      <c r="D732" s="14" t="s">
        <v>1216</v>
      </c>
      <c r="E732" s="16">
        <v>160</v>
      </c>
      <c r="F732" s="14" t="s">
        <v>1216</v>
      </c>
      <c r="G732" s="17">
        <v>3040</v>
      </c>
      <c r="H732" s="14" t="s">
        <v>2334</v>
      </c>
      <c r="I732" s="14" t="s">
        <v>1256</v>
      </c>
      <c r="J732" s="14" t="s">
        <v>1233</v>
      </c>
      <c r="K732" s="14" t="s">
        <v>1257</v>
      </c>
      <c r="L732" s="14" t="s">
        <v>2335</v>
      </c>
      <c r="M732" s="14" t="s">
        <v>1218</v>
      </c>
      <c r="N732" s="14" t="s">
        <v>1237</v>
      </c>
      <c r="O732" s="14" t="s">
        <v>1220</v>
      </c>
    </row>
    <row r="733" spans="1:15" x14ac:dyDescent="0.25">
      <c r="A733" s="14">
        <v>1149</v>
      </c>
      <c r="B733" s="14" t="s">
        <v>948</v>
      </c>
      <c r="C733" s="14" t="s">
        <v>2621</v>
      </c>
      <c r="D733" s="14" t="s">
        <v>1216</v>
      </c>
      <c r="E733" s="16">
        <v>120</v>
      </c>
      <c r="F733" s="14" t="s">
        <v>1216</v>
      </c>
      <c r="G733" s="17">
        <v>3000</v>
      </c>
      <c r="H733" s="14" t="s">
        <v>1216</v>
      </c>
      <c r="I733" s="14" t="s">
        <v>1256</v>
      </c>
      <c r="J733" s="14" t="s">
        <v>1233</v>
      </c>
      <c r="K733" s="14" t="s">
        <v>1257</v>
      </c>
      <c r="L733" s="14" t="s">
        <v>2622</v>
      </c>
      <c r="M733" s="14" t="s">
        <v>1218</v>
      </c>
      <c r="N733" s="14" t="s">
        <v>1237</v>
      </c>
      <c r="O733" s="14" t="s">
        <v>1220</v>
      </c>
    </row>
    <row r="734" spans="1:15" x14ac:dyDescent="0.25">
      <c r="A734" s="14" t="s">
        <v>2623</v>
      </c>
      <c r="B734" s="14" t="s">
        <v>2624</v>
      </c>
      <c r="C734" s="14" t="s">
        <v>2625</v>
      </c>
      <c r="D734" s="14" t="s">
        <v>2569</v>
      </c>
      <c r="E734" s="15"/>
      <c r="F734" s="14" t="s">
        <v>1216</v>
      </c>
      <c r="G734" s="15"/>
      <c r="H734" s="14" t="s">
        <v>1216</v>
      </c>
      <c r="I734" s="14" t="s">
        <v>1262</v>
      </c>
      <c r="J734" s="14" t="s">
        <v>1262</v>
      </c>
      <c r="K734" s="14"/>
      <c r="L734" s="14" t="s">
        <v>2622</v>
      </c>
      <c r="M734" s="14" t="s">
        <v>1218</v>
      </c>
      <c r="N734" s="14" t="s">
        <v>1219</v>
      </c>
      <c r="O734" s="14" t="s">
        <v>1220</v>
      </c>
    </row>
    <row r="735" spans="1:15" x14ac:dyDescent="0.25">
      <c r="A735" s="14" t="s">
        <v>2626</v>
      </c>
      <c r="B735" s="14" t="s">
        <v>2627</v>
      </c>
      <c r="C735" s="14" t="s">
        <v>2627</v>
      </c>
      <c r="D735" s="14" t="s">
        <v>1215</v>
      </c>
      <c r="E735" s="15"/>
      <c r="F735" s="14"/>
      <c r="G735" s="15"/>
      <c r="H735" s="14" t="s">
        <v>1216</v>
      </c>
      <c r="I735" s="14" t="s">
        <v>1217</v>
      </c>
      <c r="J735" s="14"/>
      <c r="K735" s="14"/>
      <c r="L735" s="14" t="s">
        <v>2628</v>
      </c>
      <c r="M735" s="14" t="s">
        <v>1218</v>
      </c>
      <c r="N735" s="14" t="s">
        <v>1219</v>
      </c>
      <c r="O735" s="14" t="s">
        <v>1220</v>
      </c>
    </row>
    <row r="736" spans="1:15" x14ac:dyDescent="0.25">
      <c r="A736" s="14" t="s">
        <v>2629</v>
      </c>
      <c r="B736" s="14" t="s">
        <v>2630</v>
      </c>
      <c r="C736" s="14" t="s">
        <v>2630</v>
      </c>
      <c r="D736" s="14" t="s">
        <v>1215</v>
      </c>
      <c r="E736" s="15"/>
      <c r="F736" s="14"/>
      <c r="G736" s="15"/>
      <c r="H736" s="14" t="s">
        <v>1216</v>
      </c>
      <c r="I736" s="14" t="s">
        <v>1217</v>
      </c>
      <c r="J736" s="14"/>
      <c r="K736" s="14"/>
      <c r="L736" s="14"/>
      <c r="M736" s="14" t="s">
        <v>1218</v>
      </c>
      <c r="N736" s="14" t="s">
        <v>1219</v>
      </c>
      <c r="O736" s="14" t="s">
        <v>1220</v>
      </c>
    </row>
    <row r="737" spans="1:15" x14ac:dyDescent="0.25">
      <c r="A737" s="14">
        <v>1010201</v>
      </c>
      <c r="B737" s="14" t="s">
        <v>2631</v>
      </c>
      <c r="C737" s="14" t="s">
        <v>2631</v>
      </c>
      <c r="D737" s="14" t="s">
        <v>1215</v>
      </c>
      <c r="E737" s="15"/>
      <c r="F737" s="14"/>
      <c r="G737" s="15"/>
      <c r="H737" s="14" t="s">
        <v>1216</v>
      </c>
      <c r="I737" s="14" t="s">
        <v>1217</v>
      </c>
      <c r="J737" s="14"/>
      <c r="K737" s="14"/>
      <c r="L737" s="14"/>
      <c r="M737" s="14" t="s">
        <v>1218</v>
      </c>
      <c r="N737" s="14" t="s">
        <v>1219</v>
      </c>
      <c r="O737" s="14" t="s">
        <v>1220</v>
      </c>
    </row>
    <row r="738" spans="1:15" x14ac:dyDescent="0.25">
      <c r="A738" s="14">
        <v>1010501</v>
      </c>
      <c r="B738" s="14" t="s">
        <v>2632</v>
      </c>
      <c r="C738" s="14" t="s">
        <v>2632</v>
      </c>
      <c r="D738" s="14" t="s">
        <v>1215</v>
      </c>
      <c r="E738" s="15"/>
      <c r="F738" s="14"/>
      <c r="G738" s="15"/>
      <c r="H738" s="14" t="s">
        <v>1216</v>
      </c>
      <c r="I738" s="14" t="s">
        <v>1217</v>
      </c>
      <c r="J738" s="14"/>
      <c r="K738" s="14"/>
      <c r="L738" s="14"/>
      <c r="M738" s="14" t="s">
        <v>1218</v>
      </c>
      <c r="N738" s="14" t="s">
        <v>1219</v>
      </c>
      <c r="O738" s="14" t="s">
        <v>1220</v>
      </c>
    </row>
    <row r="739" spans="1:15" x14ac:dyDescent="0.25">
      <c r="A739" s="14">
        <v>1010801</v>
      </c>
      <c r="B739" s="14" t="s">
        <v>2633</v>
      </c>
      <c r="C739" s="14" t="s">
        <v>2633</v>
      </c>
      <c r="D739" s="14" t="s">
        <v>1215</v>
      </c>
      <c r="E739" s="15"/>
      <c r="F739" s="14"/>
      <c r="G739" s="15"/>
      <c r="H739" s="14" t="s">
        <v>1216</v>
      </c>
      <c r="I739" s="14" t="s">
        <v>1217</v>
      </c>
      <c r="J739" s="14"/>
      <c r="K739" s="14"/>
      <c r="L739" s="14"/>
      <c r="M739" s="14" t="s">
        <v>1218</v>
      </c>
      <c r="N739" s="14" t="s">
        <v>1219</v>
      </c>
      <c r="O739" s="14" t="s">
        <v>1220</v>
      </c>
    </row>
    <row r="740" spans="1:15" x14ac:dyDescent="0.25">
      <c r="A740" s="14">
        <v>1013003</v>
      </c>
      <c r="B740" s="14" t="s">
        <v>2634</v>
      </c>
      <c r="C740" s="14" t="s">
        <v>2634</v>
      </c>
      <c r="D740" s="14" t="s">
        <v>1215</v>
      </c>
      <c r="E740" s="15"/>
      <c r="F740" s="14"/>
      <c r="G740" s="15"/>
      <c r="H740" s="14" t="s">
        <v>1216</v>
      </c>
      <c r="I740" s="14" t="s">
        <v>1217</v>
      </c>
      <c r="J740" s="14"/>
      <c r="K740" s="14"/>
      <c r="L740" s="14"/>
      <c r="M740" s="14" t="s">
        <v>1218</v>
      </c>
      <c r="N740" s="14" t="s">
        <v>1219</v>
      </c>
      <c r="O740" s="14" t="s">
        <v>1220</v>
      </c>
    </row>
    <row r="741" spans="1:15" x14ac:dyDescent="0.25">
      <c r="A741" s="14">
        <v>1010701</v>
      </c>
      <c r="B741" s="14" t="s">
        <v>2635</v>
      </c>
      <c r="C741" s="14" t="s">
        <v>2635</v>
      </c>
      <c r="D741" s="14" t="s">
        <v>1215</v>
      </c>
      <c r="E741" s="15"/>
      <c r="F741" s="14"/>
      <c r="G741" s="15"/>
      <c r="H741" s="14" t="s">
        <v>1216</v>
      </c>
      <c r="I741" s="14" t="s">
        <v>1217</v>
      </c>
      <c r="J741" s="14"/>
      <c r="K741" s="14"/>
      <c r="L741" s="14"/>
      <c r="M741" s="14" t="s">
        <v>1218</v>
      </c>
      <c r="N741" s="14" t="s">
        <v>1219</v>
      </c>
      <c r="O741" s="14" t="s">
        <v>1220</v>
      </c>
    </row>
    <row r="742" spans="1:15" x14ac:dyDescent="0.25">
      <c r="A742" s="14">
        <v>6070007</v>
      </c>
      <c r="B742" s="14" t="s">
        <v>2636</v>
      </c>
      <c r="C742" s="14" t="s">
        <v>2636</v>
      </c>
      <c r="D742" s="14" t="s">
        <v>1533</v>
      </c>
      <c r="E742" s="15"/>
      <c r="F742" s="14" t="s">
        <v>1533</v>
      </c>
      <c r="G742" s="15"/>
      <c r="H742" s="14" t="s">
        <v>1534</v>
      </c>
      <c r="I742" s="14" t="s">
        <v>1360</v>
      </c>
      <c r="J742" s="14" t="s">
        <v>1360</v>
      </c>
      <c r="K742" s="14"/>
      <c r="L742" s="14"/>
      <c r="M742" s="14" t="s">
        <v>1218</v>
      </c>
      <c r="N742" s="14" t="s">
        <v>1219</v>
      </c>
      <c r="O742" s="14" t="s">
        <v>1220</v>
      </c>
    </row>
    <row r="743" spans="1:15" x14ac:dyDescent="0.25">
      <c r="A743" s="14">
        <v>9170004</v>
      </c>
      <c r="B743" s="14" t="s">
        <v>2637</v>
      </c>
      <c r="C743" s="14" t="s">
        <v>2637</v>
      </c>
      <c r="D743" s="14" t="s">
        <v>1349</v>
      </c>
      <c r="E743" s="15"/>
      <c r="F743" s="14"/>
      <c r="G743" s="15"/>
      <c r="H743" s="14" t="s">
        <v>1534</v>
      </c>
      <c r="I743" s="14" t="s">
        <v>1351</v>
      </c>
      <c r="J743" s="14" t="s">
        <v>1351</v>
      </c>
      <c r="K743" s="14"/>
      <c r="L743" s="14" t="s">
        <v>2638</v>
      </c>
      <c r="M743" s="14" t="s">
        <v>1218</v>
      </c>
      <c r="N743" s="14" t="s">
        <v>1219</v>
      </c>
      <c r="O743" s="14" t="s">
        <v>1220</v>
      </c>
    </row>
    <row r="744" spans="1:15" x14ac:dyDescent="0.25">
      <c r="A744" s="14">
        <v>3070060</v>
      </c>
      <c r="B744" s="14" t="s">
        <v>2639</v>
      </c>
      <c r="C744" s="14" t="s">
        <v>2639</v>
      </c>
      <c r="D744" s="14" t="s">
        <v>1349</v>
      </c>
      <c r="E744" s="15"/>
      <c r="F744" s="14" t="s">
        <v>1533</v>
      </c>
      <c r="G744" s="15"/>
      <c r="H744" s="14" t="s">
        <v>1534</v>
      </c>
      <c r="I744" s="14" t="s">
        <v>1360</v>
      </c>
      <c r="J744" s="14" t="s">
        <v>1360</v>
      </c>
      <c r="K744" s="14"/>
      <c r="L744" s="14" t="s">
        <v>2640</v>
      </c>
      <c r="M744" s="14" t="s">
        <v>1218</v>
      </c>
      <c r="N744" s="14" t="s">
        <v>1219</v>
      </c>
      <c r="O744" s="14" t="s">
        <v>1220</v>
      </c>
    </row>
    <row r="745" spans="1:15" x14ac:dyDescent="0.25">
      <c r="A745" s="14">
        <v>6050007</v>
      </c>
      <c r="B745" s="14" t="s">
        <v>2641</v>
      </c>
      <c r="C745" s="14" t="s">
        <v>2641</v>
      </c>
      <c r="D745" s="14" t="s">
        <v>1533</v>
      </c>
      <c r="E745" s="15"/>
      <c r="F745" s="14" t="s">
        <v>1533</v>
      </c>
      <c r="G745" s="15"/>
      <c r="H745" s="14" t="s">
        <v>1534</v>
      </c>
      <c r="I745" s="14" t="s">
        <v>1360</v>
      </c>
      <c r="J745" s="14" t="s">
        <v>1360</v>
      </c>
      <c r="K745" s="14"/>
      <c r="L745" s="14"/>
      <c r="M745" s="14" t="s">
        <v>1218</v>
      </c>
      <c r="N745" s="14" t="s">
        <v>1219</v>
      </c>
      <c r="O745" s="14" t="s">
        <v>1220</v>
      </c>
    </row>
    <row r="746" spans="1:15" x14ac:dyDescent="0.25">
      <c r="A746" s="14">
        <v>99999</v>
      </c>
      <c r="B746" s="14" t="s">
        <v>2642</v>
      </c>
      <c r="C746" s="14" t="s">
        <v>2642</v>
      </c>
      <c r="D746" s="14" t="s">
        <v>2459</v>
      </c>
      <c r="E746" s="15"/>
      <c r="F746" s="14" t="s">
        <v>1350</v>
      </c>
      <c r="G746" s="15"/>
      <c r="H746" s="14" t="s">
        <v>1534</v>
      </c>
      <c r="I746" s="14" t="s">
        <v>1360</v>
      </c>
      <c r="J746" s="14" t="s">
        <v>1360</v>
      </c>
      <c r="K746" s="14" t="s">
        <v>1257</v>
      </c>
      <c r="L746" s="14" t="s">
        <v>2371</v>
      </c>
      <c r="M746" s="14" t="s">
        <v>1218</v>
      </c>
      <c r="N746" s="14" t="s">
        <v>1219</v>
      </c>
      <c r="O746" s="14" t="s">
        <v>1220</v>
      </c>
    </row>
    <row r="747" spans="1:15" x14ac:dyDescent="0.25">
      <c r="A747" s="14" t="s">
        <v>2643</v>
      </c>
      <c r="B747" s="14" t="s">
        <v>2644</v>
      </c>
      <c r="C747" s="14" t="s">
        <v>2644</v>
      </c>
      <c r="D747" s="14" t="s">
        <v>2463</v>
      </c>
      <c r="E747" s="15"/>
      <c r="F747" s="14" t="s">
        <v>1350</v>
      </c>
      <c r="G747" s="15"/>
      <c r="H747" s="14" t="s">
        <v>1534</v>
      </c>
      <c r="I747" s="14" t="s">
        <v>1262</v>
      </c>
      <c r="J747" s="14" t="s">
        <v>1262</v>
      </c>
      <c r="K747" s="14"/>
      <c r="L747" s="14" t="s">
        <v>2645</v>
      </c>
      <c r="M747" s="14" t="s">
        <v>1218</v>
      </c>
      <c r="N747" s="14" t="s">
        <v>1219</v>
      </c>
      <c r="O747" s="14" t="s">
        <v>1220</v>
      </c>
    </row>
    <row r="748" spans="1:15" x14ac:dyDescent="0.25">
      <c r="A748" s="14">
        <v>99999</v>
      </c>
      <c r="B748" s="14" t="s">
        <v>2646</v>
      </c>
      <c r="C748" s="14" t="s">
        <v>2646</v>
      </c>
      <c r="D748" s="14" t="s">
        <v>2473</v>
      </c>
      <c r="E748" s="15"/>
      <c r="F748" s="14" t="s">
        <v>1350</v>
      </c>
      <c r="G748" s="15"/>
      <c r="H748" s="14" t="s">
        <v>1534</v>
      </c>
      <c r="I748" s="14" t="s">
        <v>1351</v>
      </c>
      <c r="J748" s="14" t="s">
        <v>1351</v>
      </c>
      <c r="K748" s="14" t="s">
        <v>1257</v>
      </c>
      <c r="L748" s="14" t="s">
        <v>2647</v>
      </c>
      <c r="M748" s="14" t="s">
        <v>1218</v>
      </c>
      <c r="N748" s="14" t="s">
        <v>1219</v>
      </c>
      <c r="O748" s="14" t="s">
        <v>1220</v>
      </c>
    </row>
    <row r="749" spans="1:15" x14ac:dyDescent="0.25">
      <c r="A749" s="14">
        <v>6060009</v>
      </c>
      <c r="B749" s="14" t="s">
        <v>2648</v>
      </c>
      <c r="C749" s="14" t="s">
        <v>2648</v>
      </c>
      <c r="D749" s="14" t="s">
        <v>1533</v>
      </c>
      <c r="E749" s="15"/>
      <c r="F749" s="14" t="s">
        <v>1533</v>
      </c>
      <c r="G749" s="15"/>
      <c r="H749" s="14" t="s">
        <v>1534</v>
      </c>
      <c r="I749" s="14" t="s">
        <v>1360</v>
      </c>
      <c r="J749" s="14" t="s">
        <v>1360</v>
      </c>
      <c r="K749" s="14"/>
      <c r="L749" s="14"/>
      <c r="M749" s="14" t="s">
        <v>1218</v>
      </c>
      <c r="N749" s="14" t="s">
        <v>1219</v>
      </c>
      <c r="O749" s="14" t="s">
        <v>1220</v>
      </c>
    </row>
    <row r="750" spans="1:15" x14ac:dyDescent="0.25">
      <c r="A750" s="14">
        <v>9160001</v>
      </c>
      <c r="B750" s="14" t="s">
        <v>2649</v>
      </c>
      <c r="C750" s="14" t="s">
        <v>2649</v>
      </c>
      <c r="D750" s="14" t="s">
        <v>1533</v>
      </c>
      <c r="E750" s="15"/>
      <c r="F750" s="14"/>
      <c r="G750" s="15"/>
      <c r="H750" s="14" t="s">
        <v>1534</v>
      </c>
      <c r="I750" s="14" t="s">
        <v>1360</v>
      </c>
      <c r="J750" s="14" t="s">
        <v>1360</v>
      </c>
      <c r="K750" s="14"/>
      <c r="L750" s="14"/>
      <c r="M750" s="14" t="s">
        <v>1218</v>
      </c>
      <c r="N750" s="14" t="s">
        <v>1219</v>
      </c>
      <c r="O750" s="14" t="s">
        <v>1220</v>
      </c>
    </row>
    <row r="751" spans="1:15" x14ac:dyDescent="0.25">
      <c r="A751" s="14">
        <v>3060095</v>
      </c>
      <c r="B751" s="14" t="s">
        <v>2650</v>
      </c>
      <c r="C751" s="14" t="s">
        <v>2650</v>
      </c>
      <c r="D751" s="14" t="s">
        <v>1533</v>
      </c>
      <c r="E751" s="15"/>
      <c r="F751" s="14" t="s">
        <v>1533</v>
      </c>
      <c r="G751" s="15"/>
      <c r="H751" s="14" t="s">
        <v>1534</v>
      </c>
      <c r="I751" s="14" t="s">
        <v>1360</v>
      </c>
      <c r="J751" s="14" t="s">
        <v>1360</v>
      </c>
      <c r="K751" s="14"/>
      <c r="L751" s="14"/>
      <c r="M751" s="14" t="s">
        <v>1218</v>
      </c>
      <c r="N751" s="14" t="s">
        <v>1219</v>
      </c>
      <c r="O751" s="14" t="s">
        <v>1220</v>
      </c>
    </row>
    <row r="752" spans="1:15" x14ac:dyDescent="0.25">
      <c r="A752" s="14">
        <v>3070051</v>
      </c>
      <c r="B752" s="14" t="s">
        <v>2651</v>
      </c>
      <c r="C752" s="14" t="s">
        <v>2651</v>
      </c>
      <c r="D752" s="14" t="s">
        <v>1533</v>
      </c>
      <c r="E752" s="15"/>
      <c r="F752" s="14" t="s">
        <v>1533</v>
      </c>
      <c r="G752" s="15"/>
      <c r="H752" s="14" t="s">
        <v>1534</v>
      </c>
      <c r="I752" s="14" t="s">
        <v>1360</v>
      </c>
      <c r="J752" s="14" t="s">
        <v>1360</v>
      </c>
      <c r="K752" s="14"/>
      <c r="L752" s="14"/>
      <c r="M752" s="14" t="s">
        <v>1218</v>
      </c>
      <c r="N752" s="14" t="s">
        <v>1219</v>
      </c>
      <c r="O752" s="14" t="s">
        <v>1220</v>
      </c>
    </row>
    <row r="753" spans="1:15" x14ac:dyDescent="0.25">
      <c r="A753" s="14">
        <v>3050051</v>
      </c>
      <c r="B753" s="14" t="s">
        <v>2652</v>
      </c>
      <c r="C753" s="14" t="s">
        <v>2652</v>
      </c>
      <c r="D753" s="14" t="s">
        <v>1533</v>
      </c>
      <c r="E753" s="15"/>
      <c r="F753" s="14" t="s">
        <v>1533</v>
      </c>
      <c r="G753" s="15"/>
      <c r="H753" s="14" t="s">
        <v>1534</v>
      </c>
      <c r="I753" s="14" t="s">
        <v>1360</v>
      </c>
      <c r="J753" s="14" t="s">
        <v>1360</v>
      </c>
      <c r="K753" s="14"/>
      <c r="L753" s="14"/>
      <c r="M753" s="14" t="s">
        <v>1218</v>
      </c>
      <c r="N753" s="14" t="s">
        <v>1219</v>
      </c>
      <c r="O753" s="14" t="s">
        <v>1220</v>
      </c>
    </row>
    <row r="754" spans="1:15" x14ac:dyDescent="0.25">
      <c r="A754" s="14">
        <v>3060087</v>
      </c>
      <c r="B754" s="14" t="s">
        <v>2653</v>
      </c>
      <c r="C754" s="14" t="s">
        <v>2653</v>
      </c>
      <c r="D754" s="14" t="s">
        <v>1533</v>
      </c>
      <c r="E754" s="15"/>
      <c r="F754" s="14" t="s">
        <v>1533</v>
      </c>
      <c r="G754" s="15"/>
      <c r="H754" s="14" t="s">
        <v>1534</v>
      </c>
      <c r="I754" s="14" t="s">
        <v>1360</v>
      </c>
      <c r="J754" s="14" t="s">
        <v>1360</v>
      </c>
      <c r="K754" s="14"/>
      <c r="L754" s="14"/>
      <c r="M754" s="14" t="s">
        <v>1218</v>
      </c>
      <c r="N754" s="14" t="s">
        <v>1219</v>
      </c>
      <c r="O754" s="14" t="s">
        <v>1220</v>
      </c>
    </row>
    <row r="755" spans="1:15" x14ac:dyDescent="0.25">
      <c r="A755" s="14">
        <v>6070054</v>
      </c>
      <c r="B755" s="14" t="s">
        <v>2654</v>
      </c>
      <c r="C755" s="14" t="s">
        <v>2654</v>
      </c>
      <c r="D755" s="14" t="s">
        <v>2456</v>
      </c>
      <c r="E755" s="15"/>
      <c r="F755" s="14" t="s">
        <v>1533</v>
      </c>
      <c r="G755" s="15"/>
      <c r="H755" s="14" t="s">
        <v>1534</v>
      </c>
      <c r="I755" s="14" t="s">
        <v>1360</v>
      </c>
      <c r="J755" s="14" t="s">
        <v>1360</v>
      </c>
      <c r="K755" s="14"/>
      <c r="L755" s="14"/>
      <c r="M755" s="14" t="s">
        <v>1218</v>
      </c>
      <c r="N755" s="14" t="s">
        <v>1219</v>
      </c>
      <c r="O755" s="14" t="s">
        <v>1220</v>
      </c>
    </row>
    <row r="756" spans="1:15" x14ac:dyDescent="0.25">
      <c r="A756" s="14">
        <v>9170006</v>
      </c>
      <c r="B756" s="14" t="s">
        <v>2655</v>
      </c>
      <c r="C756" s="14" t="s">
        <v>2655</v>
      </c>
      <c r="D756" s="14" t="s">
        <v>1349</v>
      </c>
      <c r="E756" s="15"/>
      <c r="F756" s="14"/>
      <c r="G756" s="15"/>
      <c r="H756" s="14" t="s">
        <v>1534</v>
      </c>
      <c r="I756" s="14" t="s">
        <v>1360</v>
      </c>
      <c r="J756" s="14" t="s">
        <v>1360</v>
      </c>
      <c r="K756" s="14"/>
      <c r="L756" s="14" t="s">
        <v>2656</v>
      </c>
      <c r="M756" s="14" t="s">
        <v>1218</v>
      </c>
      <c r="N756" s="14" t="s">
        <v>1219</v>
      </c>
      <c r="O756" s="14" t="s">
        <v>1220</v>
      </c>
    </row>
    <row r="757" spans="1:15" x14ac:dyDescent="0.25">
      <c r="A757" s="14">
        <v>99999</v>
      </c>
      <c r="B757" s="14" t="s">
        <v>2657</v>
      </c>
      <c r="C757" s="14" t="s">
        <v>2657</v>
      </c>
      <c r="D757" s="14" t="s">
        <v>2473</v>
      </c>
      <c r="E757" s="15"/>
      <c r="F757" s="14" t="s">
        <v>1350</v>
      </c>
      <c r="G757" s="15"/>
      <c r="H757" s="14" t="s">
        <v>1534</v>
      </c>
      <c r="I757" s="14" t="s">
        <v>1360</v>
      </c>
      <c r="J757" s="14" t="s">
        <v>1360</v>
      </c>
      <c r="K757" s="14" t="s">
        <v>1257</v>
      </c>
      <c r="L757" s="14" t="s">
        <v>2371</v>
      </c>
      <c r="M757" s="14" t="s">
        <v>1218</v>
      </c>
      <c r="N757" s="14" t="s">
        <v>1219</v>
      </c>
      <c r="O757" s="14" t="s">
        <v>1220</v>
      </c>
    </row>
    <row r="758" spans="1:15" x14ac:dyDescent="0.25">
      <c r="A758" s="14">
        <v>6050077</v>
      </c>
      <c r="B758" s="14" t="s">
        <v>2658</v>
      </c>
      <c r="C758" s="14" t="s">
        <v>2658</v>
      </c>
      <c r="D758" s="14" t="s">
        <v>1533</v>
      </c>
      <c r="E758" s="15"/>
      <c r="F758" s="14" t="s">
        <v>1533</v>
      </c>
      <c r="G758" s="15"/>
      <c r="H758" s="14" t="s">
        <v>1534</v>
      </c>
      <c r="I758" s="14" t="s">
        <v>1360</v>
      </c>
      <c r="J758" s="14" t="s">
        <v>1360</v>
      </c>
      <c r="K758" s="14"/>
      <c r="L758" s="14"/>
      <c r="M758" s="14" t="s">
        <v>1218</v>
      </c>
      <c r="N758" s="14" t="s">
        <v>1219</v>
      </c>
      <c r="O758" s="14" t="s">
        <v>1220</v>
      </c>
    </row>
    <row r="759" spans="1:15" x14ac:dyDescent="0.25">
      <c r="A759" s="14">
        <v>9150005</v>
      </c>
      <c r="B759" s="14" t="s">
        <v>2659</v>
      </c>
      <c r="C759" s="14" t="s">
        <v>2659</v>
      </c>
      <c r="D759" s="14" t="s">
        <v>1349</v>
      </c>
      <c r="E759" s="15"/>
      <c r="F759" s="14"/>
      <c r="G759" s="15"/>
      <c r="H759" s="14" t="s">
        <v>1534</v>
      </c>
      <c r="I759" s="14" t="s">
        <v>1360</v>
      </c>
      <c r="J759" s="14" t="s">
        <v>1360</v>
      </c>
      <c r="K759" s="14"/>
      <c r="L759" s="14" t="s">
        <v>2660</v>
      </c>
      <c r="M759" s="14" t="s">
        <v>1218</v>
      </c>
      <c r="N759" s="14" t="s">
        <v>1219</v>
      </c>
      <c r="O759" s="14" t="s">
        <v>1220</v>
      </c>
    </row>
    <row r="760" spans="1:15" x14ac:dyDescent="0.25">
      <c r="A760" s="14">
        <v>3050074</v>
      </c>
      <c r="B760" s="14" t="s">
        <v>2661</v>
      </c>
      <c r="C760" s="14" t="s">
        <v>2661</v>
      </c>
      <c r="D760" s="14" t="s">
        <v>1349</v>
      </c>
      <c r="E760" s="15"/>
      <c r="F760" s="14" t="s">
        <v>1533</v>
      </c>
      <c r="G760" s="15"/>
      <c r="H760" s="14" t="s">
        <v>1534</v>
      </c>
      <c r="I760" s="14" t="s">
        <v>1360</v>
      </c>
      <c r="J760" s="14" t="s">
        <v>1360</v>
      </c>
      <c r="K760" s="14"/>
      <c r="L760" s="14" t="s">
        <v>2662</v>
      </c>
      <c r="M760" s="14" t="s">
        <v>1218</v>
      </c>
      <c r="N760" s="14" t="s">
        <v>1219</v>
      </c>
      <c r="O760" s="14" t="s">
        <v>1220</v>
      </c>
    </row>
    <row r="761" spans="1:15" x14ac:dyDescent="0.25">
      <c r="A761" s="14">
        <v>6060105</v>
      </c>
      <c r="B761" s="14" t="s">
        <v>2663</v>
      </c>
      <c r="C761" s="14" t="s">
        <v>2663</v>
      </c>
      <c r="D761" s="14" t="s">
        <v>1533</v>
      </c>
      <c r="E761" s="15"/>
      <c r="F761" s="14" t="s">
        <v>1533</v>
      </c>
      <c r="G761" s="15"/>
      <c r="H761" s="14" t="s">
        <v>1534</v>
      </c>
      <c r="I761" s="14" t="s">
        <v>1360</v>
      </c>
      <c r="J761" s="14" t="s">
        <v>1360</v>
      </c>
      <c r="K761" s="14"/>
      <c r="L761" s="14"/>
      <c r="M761" s="14" t="s">
        <v>1218</v>
      </c>
      <c r="N761" s="14" t="s">
        <v>1219</v>
      </c>
      <c r="O761" s="14" t="s">
        <v>1220</v>
      </c>
    </row>
    <row r="762" spans="1:15" x14ac:dyDescent="0.25">
      <c r="A762" s="14">
        <v>9160003</v>
      </c>
      <c r="B762" s="14" t="s">
        <v>2664</v>
      </c>
      <c r="C762" s="14" t="s">
        <v>2664</v>
      </c>
      <c r="D762" s="14" t="s">
        <v>1533</v>
      </c>
      <c r="E762" s="15"/>
      <c r="F762" s="14"/>
      <c r="G762" s="15"/>
      <c r="H762" s="14" t="s">
        <v>1534</v>
      </c>
      <c r="I762" s="14" t="s">
        <v>1360</v>
      </c>
      <c r="J762" s="14" t="s">
        <v>1360</v>
      </c>
      <c r="K762" s="14"/>
      <c r="L762" s="14"/>
      <c r="M762" s="14" t="s">
        <v>1218</v>
      </c>
      <c r="N762" s="14" t="s">
        <v>1219</v>
      </c>
      <c r="O762" s="14" t="s">
        <v>1220</v>
      </c>
    </row>
    <row r="763" spans="1:15" x14ac:dyDescent="0.25">
      <c r="A763" s="14">
        <v>3060103</v>
      </c>
      <c r="B763" s="14" t="s">
        <v>2665</v>
      </c>
      <c r="C763" s="14" t="s">
        <v>2665</v>
      </c>
      <c r="D763" s="14" t="s">
        <v>1533</v>
      </c>
      <c r="E763" s="15"/>
      <c r="F763" s="14" t="s">
        <v>1533</v>
      </c>
      <c r="G763" s="15"/>
      <c r="H763" s="14" t="s">
        <v>1534</v>
      </c>
      <c r="I763" s="14" t="s">
        <v>1360</v>
      </c>
      <c r="J763" s="14" t="s">
        <v>1360</v>
      </c>
      <c r="K763" s="14"/>
      <c r="L763" s="14"/>
      <c r="M763" s="14" t="s">
        <v>1218</v>
      </c>
      <c r="N763" s="14" t="s">
        <v>1219</v>
      </c>
      <c r="O763" s="14" t="s">
        <v>1220</v>
      </c>
    </row>
    <row r="764" spans="1:15" x14ac:dyDescent="0.25">
      <c r="A764" s="14">
        <v>4787</v>
      </c>
      <c r="B764" s="14" t="s">
        <v>1030</v>
      </c>
      <c r="C764" s="14" t="s">
        <v>2666</v>
      </c>
      <c r="D764" s="14" t="s">
        <v>1216</v>
      </c>
      <c r="E764" s="16">
        <v>10</v>
      </c>
      <c r="F764" s="14" t="s">
        <v>1216</v>
      </c>
      <c r="G764" s="16">
        <v>500</v>
      </c>
      <c r="H764" s="14" t="s">
        <v>2334</v>
      </c>
      <c r="I764" s="14" t="s">
        <v>1256</v>
      </c>
      <c r="J764" s="14" t="s">
        <v>1242</v>
      </c>
      <c r="K764" s="14" t="s">
        <v>1257</v>
      </c>
      <c r="L764" s="14" t="s">
        <v>2667</v>
      </c>
      <c r="M764" s="14" t="s">
        <v>1218</v>
      </c>
      <c r="N764" s="14" t="s">
        <v>1237</v>
      </c>
      <c r="O764" s="14" t="s">
        <v>1220</v>
      </c>
    </row>
    <row r="765" spans="1:15" x14ac:dyDescent="0.25">
      <c r="A765" s="14">
        <v>1154</v>
      </c>
      <c r="B765" s="14" t="s">
        <v>955</v>
      </c>
      <c r="C765" s="14" t="s">
        <v>2668</v>
      </c>
      <c r="D765" s="14" t="s">
        <v>1216</v>
      </c>
      <c r="E765" s="16">
        <v>12</v>
      </c>
      <c r="F765" s="14" t="s">
        <v>1216</v>
      </c>
      <c r="G765" s="16">
        <v>504</v>
      </c>
      <c r="H765" s="14" t="s">
        <v>1216</v>
      </c>
      <c r="I765" s="14" t="s">
        <v>1256</v>
      </c>
      <c r="J765" s="14" t="s">
        <v>1233</v>
      </c>
      <c r="K765" s="14" t="s">
        <v>1257</v>
      </c>
      <c r="L765" s="14" t="s">
        <v>2669</v>
      </c>
      <c r="M765" s="14" t="s">
        <v>1218</v>
      </c>
      <c r="N765" s="14" t="s">
        <v>1237</v>
      </c>
      <c r="O765" s="14" t="s">
        <v>1220</v>
      </c>
    </row>
    <row r="766" spans="1:15" x14ac:dyDescent="0.25">
      <c r="A766" s="14">
        <v>6050095</v>
      </c>
      <c r="B766" s="14" t="s">
        <v>2670</v>
      </c>
      <c r="C766" s="14" t="s">
        <v>2670</v>
      </c>
      <c r="D766" s="14" t="s">
        <v>1533</v>
      </c>
      <c r="E766" s="15"/>
      <c r="F766" s="14" t="s">
        <v>1533</v>
      </c>
      <c r="G766" s="15"/>
      <c r="H766" s="14" t="s">
        <v>1534</v>
      </c>
      <c r="I766" s="14" t="s">
        <v>1360</v>
      </c>
      <c r="J766" s="14" t="s">
        <v>1360</v>
      </c>
      <c r="K766" s="14"/>
      <c r="L766" s="14"/>
      <c r="M766" s="14" t="s">
        <v>1218</v>
      </c>
      <c r="N766" s="14" t="s">
        <v>1219</v>
      </c>
      <c r="O766" s="14" t="s">
        <v>1220</v>
      </c>
    </row>
    <row r="767" spans="1:15" x14ac:dyDescent="0.25">
      <c r="A767" s="14">
        <v>9150008</v>
      </c>
      <c r="B767" s="14" t="s">
        <v>2671</v>
      </c>
      <c r="C767" s="14" t="s">
        <v>2671</v>
      </c>
      <c r="D767" s="14" t="s">
        <v>1533</v>
      </c>
      <c r="E767" s="15"/>
      <c r="F767" s="14"/>
      <c r="G767" s="15"/>
      <c r="H767" s="14" t="s">
        <v>1534</v>
      </c>
      <c r="I767" s="14" t="s">
        <v>1360</v>
      </c>
      <c r="J767" s="14" t="s">
        <v>1360</v>
      </c>
      <c r="K767" s="14"/>
      <c r="L767" s="14"/>
      <c r="M767" s="14" t="s">
        <v>1218</v>
      </c>
      <c r="N767" s="14" t="s">
        <v>1219</v>
      </c>
      <c r="O767" s="14" t="s">
        <v>1220</v>
      </c>
    </row>
    <row r="768" spans="1:15" x14ac:dyDescent="0.25">
      <c r="A768" s="14">
        <v>3050092</v>
      </c>
      <c r="B768" s="14" t="s">
        <v>2672</v>
      </c>
      <c r="C768" s="14" t="s">
        <v>2672</v>
      </c>
      <c r="D768" s="14" t="s">
        <v>1349</v>
      </c>
      <c r="E768" s="15"/>
      <c r="F768" s="14" t="s">
        <v>1533</v>
      </c>
      <c r="G768" s="15"/>
      <c r="H768" s="14" t="s">
        <v>1534</v>
      </c>
      <c r="I768" s="14" t="s">
        <v>1360</v>
      </c>
      <c r="J768" s="14" t="s">
        <v>1360</v>
      </c>
      <c r="K768" s="14"/>
      <c r="L768" s="14"/>
      <c r="M768" s="14" t="s">
        <v>1218</v>
      </c>
      <c r="N768" s="14" t="s">
        <v>1219</v>
      </c>
      <c r="O768" s="14" t="s">
        <v>1220</v>
      </c>
    </row>
    <row r="769" spans="1:15" x14ac:dyDescent="0.25">
      <c r="A769" s="14">
        <v>6060117</v>
      </c>
      <c r="B769" s="14" t="s">
        <v>2673</v>
      </c>
      <c r="C769" s="14" t="s">
        <v>2673</v>
      </c>
      <c r="D769" s="14" t="s">
        <v>1533</v>
      </c>
      <c r="E769" s="15"/>
      <c r="F769" s="14" t="s">
        <v>1533</v>
      </c>
      <c r="G769" s="15"/>
      <c r="H769" s="14" t="s">
        <v>1534</v>
      </c>
      <c r="I769" s="14" t="s">
        <v>1360</v>
      </c>
      <c r="J769" s="14" t="s">
        <v>1360</v>
      </c>
      <c r="K769" s="14"/>
      <c r="L769" s="14"/>
      <c r="M769" s="14" t="s">
        <v>1218</v>
      </c>
      <c r="N769" s="14" t="s">
        <v>1219</v>
      </c>
      <c r="O769" s="14" t="s">
        <v>1220</v>
      </c>
    </row>
    <row r="770" spans="1:15" x14ac:dyDescent="0.25">
      <c r="A770" s="14">
        <v>9160006</v>
      </c>
      <c r="B770" s="14" t="s">
        <v>2674</v>
      </c>
      <c r="C770" s="14" t="s">
        <v>2674</v>
      </c>
      <c r="D770" s="14" t="s">
        <v>1533</v>
      </c>
      <c r="E770" s="15"/>
      <c r="F770" s="14"/>
      <c r="G770" s="15"/>
      <c r="H770" s="14" t="s">
        <v>1534</v>
      </c>
      <c r="I770" s="14" t="s">
        <v>1360</v>
      </c>
      <c r="J770" s="14" t="s">
        <v>1360</v>
      </c>
      <c r="K770" s="14"/>
      <c r="L770" s="14"/>
      <c r="M770" s="14" t="s">
        <v>1218</v>
      </c>
      <c r="N770" s="14" t="s">
        <v>1219</v>
      </c>
      <c r="O770" s="14" t="s">
        <v>1220</v>
      </c>
    </row>
    <row r="771" spans="1:15" x14ac:dyDescent="0.25">
      <c r="A771" s="14">
        <v>3060115</v>
      </c>
      <c r="B771" s="14" t="s">
        <v>2675</v>
      </c>
      <c r="C771" s="14" t="s">
        <v>2675</v>
      </c>
      <c r="D771" s="14" t="s">
        <v>1533</v>
      </c>
      <c r="E771" s="15"/>
      <c r="F771" s="14" t="s">
        <v>1533</v>
      </c>
      <c r="G771" s="15"/>
      <c r="H771" s="14" t="s">
        <v>1534</v>
      </c>
      <c r="I771" s="14" t="s">
        <v>1360</v>
      </c>
      <c r="J771" s="14" t="s">
        <v>1360</v>
      </c>
      <c r="K771" s="14"/>
      <c r="L771" s="14"/>
      <c r="M771" s="14" t="s">
        <v>1218</v>
      </c>
      <c r="N771" s="14" t="s">
        <v>1219</v>
      </c>
      <c r="O771" s="14" t="s">
        <v>1220</v>
      </c>
    </row>
    <row r="772" spans="1:15" x14ac:dyDescent="0.25">
      <c r="A772" s="14">
        <v>4773</v>
      </c>
      <c r="B772" s="14" t="s">
        <v>1025</v>
      </c>
      <c r="C772" s="14" t="s">
        <v>2676</v>
      </c>
      <c r="D772" s="14" t="s">
        <v>1216</v>
      </c>
      <c r="E772" s="16">
        <v>90</v>
      </c>
      <c r="F772" s="14" t="s">
        <v>1216</v>
      </c>
      <c r="G772" s="17">
        <v>2070</v>
      </c>
      <c r="H772" s="14" t="s">
        <v>2334</v>
      </c>
      <c r="I772" s="14" t="s">
        <v>1256</v>
      </c>
      <c r="J772" s="14" t="s">
        <v>1233</v>
      </c>
      <c r="K772" s="14" t="s">
        <v>1257</v>
      </c>
      <c r="L772" s="14" t="s">
        <v>2677</v>
      </c>
      <c r="M772" s="14" t="s">
        <v>1218</v>
      </c>
      <c r="N772" s="14" t="s">
        <v>1237</v>
      </c>
      <c r="O772" s="14" t="s">
        <v>1220</v>
      </c>
    </row>
    <row r="773" spans="1:15" x14ac:dyDescent="0.25">
      <c r="A773" s="14" t="s">
        <v>2678</v>
      </c>
      <c r="B773" s="14" t="s">
        <v>2679</v>
      </c>
      <c r="C773" s="14" t="s">
        <v>2680</v>
      </c>
      <c r="D773" s="14" t="s">
        <v>2334</v>
      </c>
      <c r="E773" s="16">
        <v>90</v>
      </c>
      <c r="F773" s="14" t="s">
        <v>1216</v>
      </c>
      <c r="G773" s="17">
        <v>2070</v>
      </c>
      <c r="H773" s="14" t="s">
        <v>2334</v>
      </c>
      <c r="I773" s="14" t="s">
        <v>1262</v>
      </c>
      <c r="J773" s="14" t="s">
        <v>1262</v>
      </c>
      <c r="K773" s="14" t="s">
        <v>1257</v>
      </c>
      <c r="L773" s="14" t="s">
        <v>2677</v>
      </c>
      <c r="M773" s="14" t="s">
        <v>1218</v>
      </c>
      <c r="N773" s="14" t="s">
        <v>1219</v>
      </c>
      <c r="O773" s="14" t="s">
        <v>1220</v>
      </c>
    </row>
    <row r="774" spans="1:15" x14ac:dyDescent="0.25">
      <c r="A774" s="14">
        <v>1159</v>
      </c>
      <c r="B774" s="14" t="s">
        <v>949</v>
      </c>
      <c r="C774" s="14" t="s">
        <v>2681</v>
      </c>
      <c r="D774" s="14" t="s">
        <v>1216</v>
      </c>
      <c r="E774" s="16">
        <v>100</v>
      </c>
      <c r="F774" s="14" t="s">
        <v>1216</v>
      </c>
      <c r="G774" s="17">
        <v>2000</v>
      </c>
      <c r="H774" s="14" t="s">
        <v>1216</v>
      </c>
      <c r="I774" s="14" t="s">
        <v>1256</v>
      </c>
      <c r="J774" s="14" t="s">
        <v>1233</v>
      </c>
      <c r="K774" s="14" t="s">
        <v>1257</v>
      </c>
      <c r="L774" s="14" t="s">
        <v>2682</v>
      </c>
      <c r="M774" s="14" t="s">
        <v>1218</v>
      </c>
      <c r="N774" s="14" t="s">
        <v>1237</v>
      </c>
      <c r="O774" s="14" t="s">
        <v>1220</v>
      </c>
    </row>
    <row r="775" spans="1:15" x14ac:dyDescent="0.25">
      <c r="A775" s="14">
        <v>4777</v>
      </c>
      <c r="B775" s="14" t="s">
        <v>1024</v>
      </c>
      <c r="C775" s="14" t="s">
        <v>2683</v>
      </c>
      <c r="D775" s="14" t="s">
        <v>1216</v>
      </c>
      <c r="E775" s="16">
        <v>100</v>
      </c>
      <c r="F775" s="14" t="s">
        <v>1216</v>
      </c>
      <c r="G775" s="17">
        <v>2000</v>
      </c>
      <c r="H775" s="14" t="s">
        <v>2334</v>
      </c>
      <c r="I775" s="14" t="s">
        <v>1256</v>
      </c>
      <c r="J775" s="14" t="s">
        <v>1233</v>
      </c>
      <c r="K775" s="14" t="s">
        <v>1257</v>
      </c>
      <c r="L775" s="14" t="s">
        <v>2684</v>
      </c>
      <c r="M775" s="14" t="s">
        <v>1218</v>
      </c>
      <c r="N775" s="14" t="s">
        <v>1237</v>
      </c>
      <c r="O775" s="14" t="s">
        <v>1220</v>
      </c>
    </row>
    <row r="776" spans="1:15" x14ac:dyDescent="0.25">
      <c r="A776" s="14" t="s">
        <v>2685</v>
      </c>
      <c r="B776" s="14" t="s">
        <v>2686</v>
      </c>
      <c r="C776" s="14" t="s">
        <v>2687</v>
      </c>
      <c r="D776" s="14" t="s">
        <v>2446</v>
      </c>
      <c r="E776" s="15"/>
      <c r="F776" s="14" t="s">
        <v>1216</v>
      </c>
      <c r="G776" s="15"/>
      <c r="H776" s="14" t="s">
        <v>2334</v>
      </c>
      <c r="I776" s="14" t="s">
        <v>1262</v>
      </c>
      <c r="J776" s="14" t="s">
        <v>1262</v>
      </c>
      <c r="K776" s="14" t="s">
        <v>1257</v>
      </c>
      <c r="L776" s="14" t="s">
        <v>2684</v>
      </c>
      <c r="M776" s="14" t="s">
        <v>1218</v>
      </c>
      <c r="N776" s="14" t="s">
        <v>1219</v>
      </c>
      <c r="O776" s="14" t="s">
        <v>1220</v>
      </c>
    </row>
    <row r="777" spans="1:15" x14ac:dyDescent="0.25">
      <c r="A777" s="14" t="s">
        <v>2688</v>
      </c>
      <c r="B777" s="14" t="s">
        <v>2689</v>
      </c>
      <c r="C777" s="14" t="s">
        <v>2690</v>
      </c>
      <c r="D777" s="14" t="s">
        <v>2569</v>
      </c>
      <c r="E777" s="15"/>
      <c r="F777" s="14" t="s">
        <v>1216</v>
      </c>
      <c r="G777" s="15"/>
      <c r="H777" s="14" t="s">
        <v>1216</v>
      </c>
      <c r="I777" s="14" t="s">
        <v>1262</v>
      </c>
      <c r="J777" s="14" t="s">
        <v>1262</v>
      </c>
      <c r="K777" s="14"/>
      <c r="L777" s="14" t="s">
        <v>2682</v>
      </c>
      <c r="M777" s="14" t="s">
        <v>1218</v>
      </c>
      <c r="N777" s="14" t="s">
        <v>1219</v>
      </c>
      <c r="O777" s="14" t="s">
        <v>1220</v>
      </c>
    </row>
    <row r="778" spans="1:15" x14ac:dyDescent="0.25">
      <c r="A778" s="14">
        <v>1150</v>
      </c>
      <c r="B778" s="14" t="s">
        <v>950</v>
      </c>
      <c r="C778" s="14" t="s">
        <v>2691</v>
      </c>
      <c r="D778" s="14" t="s">
        <v>1216</v>
      </c>
      <c r="E778" s="16">
        <v>100</v>
      </c>
      <c r="F778" s="14" t="s">
        <v>1216</v>
      </c>
      <c r="G778" s="17">
        <v>2000</v>
      </c>
      <c r="H778" s="14" t="s">
        <v>1216</v>
      </c>
      <c r="I778" s="14" t="s">
        <v>1256</v>
      </c>
      <c r="J778" s="14" t="s">
        <v>1233</v>
      </c>
      <c r="K778" s="14" t="s">
        <v>1257</v>
      </c>
      <c r="L778" s="14" t="s">
        <v>2692</v>
      </c>
      <c r="M778" s="14" t="s">
        <v>1218</v>
      </c>
      <c r="N778" s="14" t="s">
        <v>1237</v>
      </c>
      <c r="O778" s="14" t="s">
        <v>1220</v>
      </c>
    </row>
    <row r="779" spans="1:15" x14ac:dyDescent="0.25">
      <c r="A779" s="14" t="s">
        <v>2693</v>
      </c>
      <c r="B779" s="14" t="s">
        <v>2694</v>
      </c>
      <c r="C779" s="14" t="s">
        <v>2695</v>
      </c>
      <c r="D779" s="14" t="s">
        <v>2569</v>
      </c>
      <c r="E779" s="15"/>
      <c r="F779" s="14" t="s">
        <v>1216</v>
      </c>
      <c r="G779" s="15"/>
      <c r="H779" s="14" t="s">
        <v>1216</v>
      </c>
      <c r="I779" s="14" t="s">
        <v>1262</v>
      </c>
      <c r="J779" s="14" t="s">
        <v>1262</v>
      </c>
      <c r="K779" s="14"/>
      <c r="L779" s="14" t="s">
        <v>2692</v>
      </c>
      <c r="M779" s="14" t="s">
        <v>1218</v>
      </c>
      <c r="N779" s="14" t="s">
        <v>1219</v>
      </c>
      <c r="O779" s="14" t="s">
        <v>1220</v>
      </c>
    </row>
    <row r="780" spans="1:15" x14ac:dyDescent="0.25">
      <c r="A780" s="14" t="s">
        <v>2696</v>
      </c>
      <c r="B780" s="14" t="s">
        <v>2697</v>
      </c>
      <c r="C780" s="14" t="s">
        <v>2697</v>
      </c>
      <c r="D780" s="14" t="s">
        <v>1215</v>
      </c>
      <c r="E780" s="15"/>
      <c r="F780" s="14"/>
      <c r="G780" s="15"/>
      <c r="H780" s="14" t="s">
        <v>1216</v>
      </c>
      <c r="I780" s="14" t="s">
        <v>1217</v>
      </c>
      <c r="J780" s="14"/>
      <c r="K780" s="14"/>
      <c r="L780" s="14"/>
      <c r="M780" s="14"/>
      <c r="N780" s="14" t="s">
        <v>1219</v>
      </c>
      <c r="O780" s="14" t="s">
        <v>1220</v>
      </c>
    </row>
    <row r="781" spans="1:15" x14ac:dyDescent="0.25">
      <c r="A781" s="14">
        <v>1010702</v>
      </c>
      <c r="B781" s="14" t="s">
        <v>2698</v>
      </c>
      <c r="C781" s="14" t="s">
        <v>2698</v>
      </c>
      <c r="D781" s="14" t="s">
        <v>1215</v>
      </c>
      <c r="E781" s="15"/>
      <c r="F781" s="14"/>
      <c r="G781" s="15"/>
      <c r="H781" s="14" t="s">
        <v>1216</v>
      </c>
      <c r="I781" s="14" t="s">
        <v>1217</v>
      </c>
      <c r="J781" s="14"/>
      <c r="K781" s="14"/>
      <c r="L781" s="14"/>
      <c r="M781" s="14" t="s">
        <v>1218</v>
      </c>
      <c r="N781" s="14" t="s">
        <v>1219</v>
      </c>
      <c r="O781" s="14" t="s">
        <v>1220</v>
      </c>
    </row>
    <row r="782" spans="1:15" x14ac:dyDescent="0.25">
      <c r="A782" s="14">
        <v>6070015</v>
      </c>
      <c r="B782" s="14" t="s">
        <v>2699</v>
      </c>
      <c r="C782" s="14" t="s">
        <v>2699</v>
      </c>
      <c r="D782" s="14" t="s">
        <v>1533</v>
      </c>
      <c r="E782" s="15"/>
      <c r="F782" s="14" t="s">
        <v>1533</v>
      </c>
      <c r="G782" s="15"/>
      <c r="H782" s="14" t="s">
        <v>1534</v>
      </c>
      <c r="I782" s="14" t="s">
        <v>1360</v>
      </c>
      <c r="J782" s="14" t="s">
        <v>1360</v>
      </c>
      <c r="K782" s="14"/>
      <c r="L782" s="14"/>
      <c r="M782" s="14" t="s">
        <v>1218</v>
      </c>
      <c r="N782" s="14" t="s">
        <v>1219</v>
      </c>
      <c r="O782" s="14" t="s">
        <v>1220</v>
      </c>
    </row>
    <row r="783" spans="1:15" x14ac:dyDescent="0.25">
      <c r="A783" s="14">
        <v>99999</v>
      </c>
      <c r="B783" s="14" t="s">
        <v>2700</v>
      </c>
      <c r="C783" s="14" t="s">
        <v>2700</v>
      </c>
      <c r="D783" s="14" t="s">
        <v>2459</v>
      </c>
      <c r="E783" s="15"/>
      <c r="F783" s="14" t="s">
        <v>1350</v>
      </c>
      <c r="G783" s="15"/>
      <c r="H783" s="14" t="s">
        <v>1534</v>
      </c>
      <c r="I783" s="14" t="s">
        <v>1351</v>
      </c>
      <c r="J783" s="14" t="s">
        <v>1351</v>
      </c>
      <c r="K783" s="14" t="s">
        <v>1257</v>
      </c>
      <c r="L783" s="14" t="s">
        <v>2701</v>
      </c>
      <c r="M783" s="14" t="s">
        <v>1218</v>
      </c>
      <c r="N783" s="14" t="s">
        <v>1219</v>
      </c>
      <c r="O783" s="14" t="s">
        <v>1220</v>
      </c>
    </row>
    <row r="784" spans="1:15" x14ac:dyDescent="0.25">
      <c r="A784" s="14">
        <v>3070065</v>
      </c>
      <c r="B784" s="14" t="s">
        <v>2702</v>
      </c>
      <c r="C784" s="14" t="s">
        <v>2702</v>
      </c>
      <c r="D784" s="14" t="s">
        <v>1349</v>
      </c>
      <c r="E784" s="15"/>
      <c r="F784" s="14" t="s">
        <v>1533</v>
      </c>
      <c r="G784" s="15"/>
      <c r="H784" s="14" t="s">
        <v>1534</v>
      </c>
      <c r="I784" s="14" t="s">
        <v>1360</v>
      </c>
      <c r="J784" s="14" t="s">
        <v>1360</v>
      </c>
      <c r="K784" s="14"/>
      <c r="L784" s="14" t="s">
        <v>2703</v>
      </c>
      <c r="M784" s="14" t="s">
        <v>1218</v>
      </c>
      <c r="N784" s="14" t="s">
        <v>1219</v>
      </c>
      <c r="O784" s="14" t="s">
        <v>1220</v>
      </c>
    </row>
    <row r="785" spans="1:15" x14ac:dyDescent="0.25">
      <c r="A785" s="14">
        <v>6050015</v>
      </c>
      <c r="B785" s="14" t="s">
        <v>2704</v>
      </c>
      <c r="C785" s="14" t="s">
        <v>2704</v>
      </c>
      <c r="D785" s="14" t="s">
        <v>2456</v>
      </c>
      <c r="E785" s="15"/>
      <c r="F785" s="14" t="s">
        <v>1533</v>
      </c>
      <c r="G785" s="15"/>
      <c r="H785" s="14" t="s">
        <v>1534</v>
      </c>
      <c r="I785" s="14" t="s">
        <v>1360</v>
      </c>
      <c r="J785" s="14" t="s">
        <v>1360</v>
      </c>
      <c r="K785" s="14"/>
      <c r="L785" s="14" t="s">
        <v>2705</v>
      </c>
      <c r="M785" s="14" t="s">
        <v>1218</v>
      </c>
      <c r="N785" s="14" t="s">
        <v>1219</v>
      </c>
      <c r="O785" s="14" t="s">
        <v>1220</v>
      </c>
    </row>
    <row r="786" spans="1:15" x14ac:dyDescent="0.25">
      <c r="A786" s="14">
        <v>99999</v>
      </c>
      <c r="B786" s="14" t="s">
        <v>2706</v>
      </c>
      <c r="C786" s="14" t="s">
        <v>2706</v>
      </c>
      <c r="D786" s="14" t="s">
        <v>2459</v>
      </c>
      <c r="E786" s="15"/>
      <c r="F786" s="14" t="s">
        <v>1350</v>
      </c>
      <c r="G786" s="15"/>
      <c r="H786" s="14" t="s">
        <v>1534</v>
      </c>
      <c r="I786" s="14" t="s">
        <v>1360</v>
      </c>
      <c r="J786" s="14" t="s">
        <v>1360</v>
      </c>
      <c r="K786" s="14" t="s">
        <v>1257</v>
      </c>
      <c r="L786" s="14" t="s">
        <v>2707</v>
      </c>
      <c r="M786" s="14" t="s">
        <v>1218</v>
      </c>
      <c r="N786" s="14" t="s">
        <v>1219</v>
      </c>
      <c r="O786" s="14" t="s">
        <v>1220</v>
      </c>
    </row>
    <row r="787" spans="1:15" x14ac:dyDescent="0.25">
      <c r="A787" s="14">
        <v>99999</v>
      </c>
      <c r="B787" s="14" t="s">
        <v>2708</v>
      </c>
      <c r="C787" s="14" t="s">
        <v>2708</v>
      </c>
      <c r="D787" s="14" t="s">
        <v>2473</v>
      </c>
      <c r="E787" s="15"/>
      <c r="F787" s="14" t="s">
        <v>1350</v>
      </c>
      <c r="G787" s="15"/>
      <c r="H787" s="14" t="s">
        <v>1534</v>
      </c>
      <c r="I787" s="14" t="s">
        <v>1360</v>
      </c>
      <c r="J787" s="14" t="s">
        <v>1360</v>
      </c>
      <c r="K787" s="14" t="s">
        <v>1257</v>
      </c>
      <c r="L787" s="14" t="s">
        <v>2371</v>
      </c>
      <c r="M787" s="14" t="s">
        <v>1218</v>
      </c>
      <c r="N787" s="14" t="s">
        <v>1219</v>
      </c>
      <c r="O787" s="14" t="s">
        <v>1220</v>
      </c>
    </row>
    <row r="788" spans="1:15" x14ac:dyDescent="0.25">
      <c r="A788" s="14">
        <v>6060013</v>
      </c>
      <c r="B788" s="14" t="s">
        <v>2709</v>
      </c>
      <c r="C788" s="14" t="s">
        <v>2709</v>
      </c>
      <c r="D788" s="14" t="s">
        <v>1533</v>
      </c>
      <c r="E788" s="15"/>
      <c r="F788" s="14" t="s">
        <v>1533</v>
      </c>
      <c r="G788" s="15"/>
      <c r="H788" s="14" t="s">
        <v>1534</v>
      </c>
      <c r="I788" s="14" t="s">
        <v>1360</v>
      </c>
      <c r="J788" s="14" t="s">
        <v>1360</v>
      </c>
      <c r="K788" s="14"/>
      <c r="L788" s="14"/>
      <c r="M788" s="14" t="s">
        <v>1218</v>
      </c>
      <c r="N788" s="14" t="s">
        <v>1219</v>
      </c>
      <c r="O788" s="14" t="s">
        <v>1220</v>
      </c>
    </row>
    <row r="789" spans="1:15" x14ac:dyDescent="0.25">
      <c r="A789" s="14">
        <v>9160002</v>
      </c>
      <c r="B789" s="14" t="s">
        <v>2710</v>
      </c>
      <c r="C789" s="14" t="s">
        <v>2710</v>
      </c>
      <c r="D789" s="14" t="s">
        <v>1533</v>
      </c>
      <c r="E789" s="15"/>
      <c r="F789" s="14"/>
      <c r="G789" s="15"/>
      <c r="H789" s="14" t="s">
        <v>1534</v>
      </c>
      <c r="I789" s="14" t="s">
        <v>1360</v>
      </c>
      <c r="J789" s="14" t="s">
        <v>1360</v>
      </c>
      <c r="K789" s="14"/>
      <c r="L789" s="14"/>
      <c r="M789" s="14" t="s">
        <v>1218</v>
      </c>
      <c r="N789" s="14" t="s">
        <v>1219</v>
      </c>
      <c r="O789" s="14" t="s">
        <v>1220</v>
      </c>
    </row>
    <row r="790" spans="1:15" x14ac:dyDescent="0.25">
      <c r="A790" s="14">
        <v>3060099</v>
      </c>
      <c r="B790" s="14" t="s">
        <v>2711</v>
      </c>
      <c r="C790" s="14" t="s">
        <v>2711</v>
      </c>
      <c r="D790" s="14" t="s">
        <v>1533</v>
      </c>
      <c r="E790" s="15"/>
      <c r="F790" s="14" t="s">
        <v>1533</v>
      </c>
      <c r="G790" s="15"/>
      <c r="H790" s="14" t="s">
        <v>1534</v>
      </c>
      <c r="I790" s="14" t="s">
        <v>1360</v>
      </c>
      <c r="J790" s="14" t="s">
        <v>1360</v>
      </c>
      <c r="K790" s="14"/>
      <c r="L790" s="14"/>
      <c r="M790" s="14" t="s">
        <v>1218</v>
      </c>
      <c r="N790" s="14" t="s">
        <v>1219</v>
      </c>
      <c r="O790" s="14" t="s">
        <v>1220</v>
      </c>
    </row>
    <row r="791" spans="1:15" x14ac:dyDescent="0.25">
      <c r="A791" s="14">
        <v>3070055</v>
      </c>
      <c r="B791" s="14" t="s">
        <v>2712</v>
      </c>
      <c r="C791" s="14" t="s">
        <v>2712</v>
      </c>
      <c r="D791" s="14" t="s">
        <v>1533</v>
      </c>
      <c r="E791" s="15"/>
      <c r="F791" s="14" t="s">
        <v>1533</v>
      </c>
      <c r="G791" s="15"/>
      <c r="H791" s="14" t="s">
        <v>1534</v>
      </c>
      <c r="I791" s="14" t="s">
        <v>1360</v>
      </c>
      <c r="J791" s="14" t="s">
        <v>1360</v>
      </c>
      <c r="K791" s="14"/>
      <c r="L791" s="14"/>
      <c r="M791" s="14" t="s">
        <v>1218</v>
      </c>
      <c r="N791" s="14" t="s">
        <v>1219</v>
      </c>
      <c r="O791" s="14" t="s">
        <v>1220</v>
      </c>
    </row>
    <row r="792" spans="1:15" x14ac:dyDescent="0.25">
      <c r="A792" s="14">
        <v>3050056</v>
      </c>
      <c r="B792" s="14" t="s">
        <v>2713</v>
      </c>
      <c r="C792" s="14" t="s">
        <v>2713</v>
      </c>
      <c r="D792" s="14" t="s">
        <v>1533</v>
      </c>
      <c r="E792" s="15"/>
      <c r="F792" s="14" t="s">
        <v>1533</v>
      </c>
      <c r="G792" s="15"/>
      <c r="H792" s="14" t="s">
        <v>1534</v>
      </c>
      <c r="I792" s="14" t="s">
        <v>1360</v>
      </c>
      <c r="J792" s="14" t="s">
        <v>1360</v>
      </c>
      <c r="K792" s="14"/>
      <c r="L792" s="14"/>
      <c r="M792" s="14" t="s">
        <v>1218</v>
      </c>
      <c r="N792" s="14" t="s">
        <v>1219</v>
      </c>
      <c r="O792" s="14" t="s">
        <v>1220</v>
      </c>
    </row>
    <row r="793" spans="1:15" x14ac:dyDescent="0.25">
      <c r="A793" s="14">
        <v>3060091</v>
      </c>
      <c r="B793" s="14" t="s">
        <v>2714</v>
      </c>
      <c r="C793" s="14" t="s">
        <v>2714</v>
      </c>
      <c r="D793" s="14" t="s">
        <v>1533</v>
      </c>
      <c r="E793" s="15"/>
      <c r="F793" s="14" t="s">
        <v>1533</v>
      </c>
      <c r="G793" s="15"/>
      <c r="H793" s="14" t="s">
        <v>1534</v>
      </c>
      <c r="I793" s="14" t="s">
        <v>1360</v>
      </c>
      <c r="J793" s="14" t="s">
        <v>1360</v>
      </c>
      <c r="K793" s="14"/>
      <c r="L793" s="14"/>
      <c r="M793" s="14" t="s">
        <v>1218</v>
      </c>
      <c r="N793" s="14" t="s">
        <v>1219</v>
      </c>
      <c r="O793" s="14" t="s">
        <v>1220</v>
      </c>
    </row>
    <row r="794" spans="1:15" x14ac:dyDescent="0.25">
      <c r="A794" s="14">
        <v>1011002</v>
      </c>
      <c r="B794" s="14" t="s">
        <v>2715</v>
      </c>
      <c r="C794" s="14" t="s">
        <v>2715</v>
      </c>
      <c r="D794" s="14" t="s">
        <v>1215</v>
      </c>
      <c r="E794" s="15"/>
      <c r="F794" s="14"/>
      <c r="G794" s="15"/>
      <c r="H794" s="14" t="s">
        <v>1216</v>
      </c>
      <c r="I794" s="14" t="s">
        <v>1217</v>
      </c>
      <c r="J794" s="14"/>
      <c r="K794" s="14"/>
      <c r="L794" s="14"/>
      <c r="M794" s="14" t="s">
        <v>1218</v>
      </c>
      <c r="N794" s="14" t="s">
        <v>1219</v>
      </c>
      <c r="O794" s="14" t="s">
        <v>1220</v>
      </c>
    </row>
    <row r="795" spans="1:15" x14ac:dyDescent="0.25">
      <c r="A795" s="14">
        <v>8000015</v>
      </c>
      <c r="B795" s="14" t="s">
        <v>2716</v>
      </c>
      <c r="C795" s="14" t="s">
        <v>2716</v>
      </c>
      <c r="D795" s="14" t="s">
        <v>2717</v>
      </c>
      <c r="E795" s="15"/>
      <c r="F795" s="14" t="s">
        <v>1533</v>
      </c>
      <c r="G795" s="15"/>
      <c r="H795" s="14" t="s">
        <v>1534</v>
      </c>
      <c r="I795" s="14"/>
      <c r="J795" s="14" t="s">
        <v>1296</v>
      </c>
      <c r="K795" s="14"/>
      <c r="L795" s="14"/>
      <c r="M795" s="14" t="s">
        <v>1218</v>
      </c>
      <c r="N795" s="14" t="s">
        <v>1219</v>
      </c>
      <c r="O795" s="14" t="s">
        <v>1220</v>
      </c>
    </row>
    <row r="796" spans="1:15" x14ac:dyDescent="0.25">
      <c r="A796" s="14">
        <v>8000005</v>
      </c>
      <c r="B796" s="14" t="s">
        <v>2718</v>
      </c>
      <c r="C796" s="14" t="s">
        <v>2718</v>
      </c>
      <c r="D796" s="14" t="s">
        <v>2717</v>
      </c>
      <c r="E796" s="15"/>
      <c r="F796" s="14" t="s">
        <v>1533</v>
      </c>
      <c r="G796" s="15"/>
      <c r="H796" s="14" t="s">
        <v>1534</v>
      </c>
      <c r="I796" s="14"/>
      <c r="J796" s="14" t="s">
        <v>1296</v>
      </c>
      <c r="K796" s="14"/>
      <c r="L796" s="14"/>
      <c r="M796" s="14" t="s">
        <v>1218</v>
      </c>
      <c r="N796" s="14" t="s">
        <v>1219</v>
      </c>
      <c r="O796" s="14" t="s">
        <v>1220</v>
      </c>
    </row>
    <row r="797" spans="1:15" x14ac:dyDescent="0.25">
      <c r="A797" s="14">
        <v>8000010</v>
      </c>
      <c r="B797" s="14" t="s">
        <v>2719</v>
      </c>
      <c r="C797" s="14" t="s">
        <v>2719</v>
      </c>
      <c r="D797" s="14" t="s">
        <v>2717</v>
      </c>
      <c r="E797" s="15"/>
      <c r="F797" s="14" t="s">
        <v>1533</v>
      </c>
      <c r="G797" s="15"/>
      <c r="H797" s="14" t="s">
        <v>1534</v>
      </c>
      <c r="I797" s="14"/>
      <c r="J797" s="14" t="s">
        <v>1296</v>
      </c>
      <c r="K797" s="14"/>
      <c r="L797" s="14"/>
      <c r="M797" s="14" t="s">
        <v>1218</v>
      </c>
      <c r="N797" s="14" t="s">
        <v>1219</v>
      </c>
      <c r="O797" s="14" t="s">
        <v>1220</v>
      </c>
    </row>
    <row r="798" spans="1:15" x14ac:dyDescent="0.25">
      <c r="A798" s="14">
        <v>8050016</v>
      </c>
      <c r="B798" s="14" t="s">
        <v>2720</v>
      </c>
      <c r="C798" s="14" t="s">
        <v>2720</v>
      </c>
      <c r="D798" s="14" t="s">
        <v>2717</v>
      </c>
      <c r="E798" s="15"/>
      <c r="F798" s="14" t="s">
        <v>1533</v>
      </c>
      <c r="G798" s="15"/>
      <c r="H798" s="14" t="s">
        <v>1534</v>
      </c>
      <c r="I798" s="14"/>
      <c r="J798" s="14" t="s">
        <v>1296</v>
      </c>
      <c r="K798" s="14"/>
      <c r="L798" s="14"/>
      <c r="M798" s="14" t="s">
        <v>1218</v>
      </c>
      <c r="N798" s="14" t="s">
        <v>1219</v>
      </c>
      <c r="O798" s="14" t="s">
        <v>1220</v>
      </c>
    </row>
    <row r="799" spans="1:15" x14ac:dyDescent="0.25">
      <c r="A799" s="14">
        <v>8050006</v>
      </c>
      <c r="B799" s="14" t="s">
        <v>2721</v>
      </c>
      <c r="C799" s="14" t="s">
        <v>2721</v>
      </c>
      <c r="D799" s="14" t="s">
        <v>2717</v>
      </c>
      <c r="E799" s="15"/>
      <c r="F799" s="14" t="s">
        <v>1533</v>
      </c>
      <c r="G799" s="15"/>
      <c r="H799" s="14" t="s">
        <v>1534</v>
      </c>
      <c r="I799" s="14"/>
      <c r="J799" s="14" t="s">
        <v>1296</v>
      </c>
      <c r="K799" s="14"/>
      <c r="L799" s="14"/>
      <c r="M799" s="14" t="s">
        <v>1218</v>
      </c>
      <c r="N799" s="14" t="s">
        <v>1219</v>
      </c>
      <c r="O799" s="14" t="s">
        <v>1220</v>
      </c>
    </row>
    <row r="800" spans="1:15" x14ac:dyDescent="0.25">
      <c r="A800" s="14">
        <v>8050011</v>
      </c>
      <c r="B800" s="14" t="s">
        <v>2722</v>
      </c>
      <c r="C800" s="14" t="s">
        <v>2722</v>
      </c>
      <c r="D800" s="14" t="s">
        <v>2717</v>
      </c>
      <c r="E800" s="15"/>
      <c r="F800" s="14" t="s">
        <v>1533</v>
      </c>
      <c r="G800" s="15"/>
      <c r="H800" s="14" t="s">
        <v>1534</v>
      </c>
      <c r="I800" s="14"/>
      <c r="J800" s="14" t="s">
        <v>1296</v>
      </c>
      <c r="K800" s="14"/>
      <c r="L800" s="14"/>
      <c r="M800" s="14" t="s">
        <v>1218</v>
      </c>
      <c r="N800" s="14" t="s">
        <v>1219</v>
      </c>
      <c r="O800" s="14" t="s">
        <v>1220</v>
      </c>
    </row>
    <row r="801" spans="1:15" x14ac:dyDescent="0.25">
      <c r="A801" s="14">
        <v>8100013</v>
      </c>
      <c r="B801" s="14" t="s">
        <v>2723</v>
      </c>
      <c r="C801" s="14" t="s">
        <v>2723</v>
      </c>
      <c r="D801" s="14" t="s">
        <v>2717</v>
      </c>
      <c r="E801" s="15"/>
      <c r="F801" s="14" t="s">
        <v>1533</v>
      </c>
      <c r="G801" s="15"/>
      <c r="H801" s="14" t="s">
        <v>1534</v>
      </c>
      <c r="I801" s="14"/>
      <c r="J801" s="14" t="s">
        <v>1296</v>
      </c>
      <c r="K801" s="14"/>
      <c r="L801" s="14"/>
      <c r="M801" s="14" t="s">
        <v>1218</v>
      </c>
      <c r="N801" s="14" t="s">
        <v>1219</v>
      </c>
      <c r="O801" s="14" t="s">
        <v>1220</v>
      </c>
    </row>
    <row r="802" spans="1:15" x14ac:dyDescent="0.25">
      <c r="A802" s="14">
        <v>8100005</v>
      </c>
      <c r="B802" s="14" t="s">
        <v>2724</v>
      </c>
      <c r="C802" s="14" t="s">
        <v>2724</v>
      </c>
      <c r="D802" s="14" t="s">
        <v>2717</v>
      </c>
      <c r="E802" s="15"/>
      <c r="F802" s="14" t="s">
        <v>1533</v>
      </c>
      <c r="G802" s="15"/>
      <c r="H802" s="14" t="s">
        <v>1534</v>
      </c>
      <c r="I802" s="14"/>
      <c r="J802" s="14" t="s">
        <v>1296</v>
      </c>
      <c r="K802" s="14"/>
      <c r="L802" s="14"/>
      <c r="M802" s="14" t="s">
        <v>1218</v>
      </c>
      <c r="N802" s="14" t="s">
        <v>1219</v>
      </c>
      <c r="O802" s="14" t="s">
        <v>1220</v>
      </c>
    </row>
    <row r="803" spans="1:15" x14ac:dyDescent="0.25">
      <c r="A803" s="14">
        <v>8100009</v>
      </c>
      <c r="B803" s="14" t="s">
        <v>2725</v>
      </c>
      <c r="C803" s="14" t="s">
        <v>2725</v>
      </c>
      <c r="D803" s="14" t="s">
        <v>2717</v>
      </c>
      <c r="E803" s="15"/>
      <c r="F803" s="14" t="s">
        <v>1533</v>
      </c>
      <c r="G803" s="15"/>
      <c r="H803" s="14" t="s">
        <v>1534</v>
      </c>
      <c r="I803" s="14"/>
      <c r="J803" s="14" t="s">
        <v>1296</v>
      </c>
      <c r="K803" s="14"/>
      <c r="L803" s="14"/>
      <c r="M803" s="14" t="s">
        <v>1218</v>
      </c>
      <c r="N803" s="14" t="s">
        <v>1219</v>
      </c>
      <c r="O803" s="14" t="s">
        <v>1220</v>
      </c>
    </row>
    <row r="804" spans="1:15" x14ac:dyDescent="0.25">
      <c r="A804" s="14">
        <v>2338</v>
      </c>
      <c r="B804" s="14" t="s">
        <v>960</v>
      </c>
      <c r="C804" s="14" t="s">
        <v>2726</v>
      </c>
      <c r="D804" s="14" t="s">
        <v>1216</v>
      </c>
      <c r="E804" s="16">
        <v>60</v>
      </c>
      <c r="F804" s="14" t="s">
        <v>1216</v>
      </c>
      <c r="G804" s="17">
        <v>1020</v>
      </c>
      <c r="H804" s="14" t="s">
        <v>1216</v>
      </c>
      <c r="I804" s="14" t="s">
        <v>1256</v>
      </c>
      <c r="J804" s="14" t="s">
        <v>1242</v>
      </c>
      <c r="K804" s="14" t="s">
        <v>1257</v>
      </c>
      <c r="L804" s="14" t="s">
        <v>2727</v>
      </c>
      <c r="M804" s="14" t="s">
        <v>1218</v>
      </c>
      <c r="N804" s="14" t="s">
        <v>1237</v>
      </c>
      <c r="O804" s="14" t="s">
        <v>1220</v>
      </c>
    </row>
    <row r="805" spans="1:15" x14ac:dyDescent="0.25">
      <c r="A805" s="14" t="s">
        <v>2728</v>
      </c>
      <c r="B805" s="14" t="s">
        <v>2729</v>
      </c>
      <c r="C805" s="14" t="s">
        <v>2730</v>
      </c>
      <c r="D805" s="14" t="s">
        <v>2731</v>
      </c>
      <c r="E805" s="15"/>
      <c r="F805" s="14" t="s">
        <v>1216</v>
      </c>
      <c r="G805" s="15"/>
      <c r="H805" s="14" t="s">
        <v>1216</v>
      </c>
      <c r="I805" s="14" t="s">
        <v>1262</v>
      </c>
      <c r="J805" s="14" t="s">
        <v>1262</v>
      </c>
      <c r="K805" s="14"/>
      <c r="L805" s="14" t="s">
        <v>2727</v>
      </c>
      <c r="M805" s="14" t="s">
        <v>1218</v>
      </c>
      <c r="N805" s="14" t="s">
        <v>1219</v>
      </c>
      <c r="O805" s="14" t="s">
        <v>1220</v>
      </c>
    </row>
    <row r="806" spans="1:15" x14ac:dyDescent="0.25">
      <c r="A806" s="14">
        <v>2429</v>
      </c>
      <c r="B806" s="14" t="s">
        <v>961</v>
      </c>
      <c r="C806" s="14" t="s">
        <v>2732</v>
      </c>
      <c r="D806" s="14" t="s">
        <v>1216</v>
      </c>
      <c r="E806" s="16">
        <v>60</v>
      </c>
      <c r="F806" s="14" t="s">
        <v>1216</v>
      </c>
      <c r="G806" s="17">
        <v>1020</v>
      </c>
      <c r="H806" s="14" t="s">
        <v>1216</v>
      </c>
      <c r="I806" s="14" t="s">
        <v>1256</v>
      </c>
      <c r="J806" s="14" t="s">
        <v>1296</v>
      </c>
      <c r="K806" s="14" t="s">
        <v>1257</v>
      </c>
      <c r="L806" s="14" t="s">
        <v>2733</v>
      </c>
      <c r="M806" s="14" t="s">
        <v>1218</v>
      </c>
      <c r="N806" s="14" t="s">
        <v>1237</v>
      </c>
      <c r="O806" s="14" t="s">
        <v>1220</v>
      </c>
    </row>
    <row r="807" spans="1:15" x14ac:dyDescent="0.25">
      <c r="A807" s="14" t="s">
        <v>2734</v>
      </c>
      <c r="B807" s="14" t="s">
        <v>2735</v>
      </c>
      <c r="C807" s="14" t="s">
        <v>2736</v>
      </c>
      <c r="D807" s="14" t="s">
        <v>2731</v>
      </c>
      <c r="E807" s="15"/>
      <c r="F807" s="14" t="s">
        <v>1216</v>
      </c>
      <c r="G807" s="15"/>
      <c r="H807" s="14" t="s">
        <v>1216</v>
      </c>
      <c r="I807" s="14" t="s">
        <v>1262</v>
      </c>
      <c r="J807" s="14" t="s">
        <v>1262</v>
      </c>
      <c r="K807" s="14"/>
      <c r="L807" s="14" t="s">
        <v>2733</v>
      </c>
      <c r="M807" s="14" t="s">
        <v>1218</v>
      </c>
      <c r="N807" s="14" t="s">
        <v>1219</v>
      </c>
      <c r="O807" s="14" t="s">
        <v>1220</v>
      </c>
    </row>
    <row r="808" spans="1:15" x14ac:dyDescent="0.25">
      <c r="A808" s="14">
        <v>2336</v>
      </c>
      <c r="B808" s="14" t="s">
        <v>956</v>
      </c>
      <c r="C808" s="14" t="s">
        <v>2737</v>
      </c>
      <c r="D808" s="14" t="s">
        <v>1216</v>
      </c>
      <c r="E808" s="16">
        <v>120</v>
      </c>
      <c r="F808" s="14" t="s">
        <v>1216</v>
      </c>
      <c r="G808" s="17">
        <v>3000</v>
      </c>
      <c r="H808" s="14" t="s">
        <v>1216</v>
      </c>
      <c r="I808" s="14" t="s">
        <v>1256</v>
      </c>
      <c r="J808" s="14" t="s">
        <v>1233</v>
      </c>
      <c r="K808" s="14" t="s">
        <v>1257</v>
      </c>
      <c r="L808" s="14" t="s">
        <v>2738</v>
      </c>
      <c r="M808" s="14" t="s">
        <v>1218</v>
      </c>
      <c r="N808" s="14" t="s">
        <v>1237</v>
      </c>
      <c r="O808" s="14" t="s">
        <v>1220</v>
      </c>
    </row>
    <row r="809" spans="1:15" x14ac:dyDescent="0.25">
      <c r="A809" s="14" t="s">
        <v>2739</v>
      </c>
      <c r="B809" s="14" t="s">
        <v>2740</v>
      </c>
      <c r="C809" s="14" t="s">
        <v>2741</v>
      </c>
      <c r="D809" s="14" t="s">
        <v>2731</v>
      </c>
      <c r="E809" s="15"/>
      <c r="F809" s="14" t="s">
        <v>1216</v>
      </c>
      <c r="G809" s="15"/>
      <c r="H809" s="14" t="s">
        <v>1216</v>
      </c>
      <c r="I809" s="14" t="s">
        <v>1262</v>
      </c>
      <c r="J809" s="14" t="s">
        <v>1262</v>
      </c>
      <c r="K809" s="14"/>
      <c r="L809" s="14" t="s">
        <v>2738</v>
      </c>
      <c r="M809" s="14" t="s">
        <v>1218</v>
      </c>
      <c r="N809" s="14" t="s">
        <v>1219</v>
      </c>
      <c r="O809" s="14" t="s">
        <v>1220</v>
      </c>
    </row>
    <row r="810" spans="1:15" x14ac:dyDescent="0.25">
      <c r="A810" s="14">
        <v>2427</v>
      </c>
      <c r="B810" s="14" t="s">
        <v>957</v>
      </c>
      <c r="C810" s="14" t="s">
        <v>2742</v>
      </c>
      <c r="D810" s="14" t="s">
        <v>1216</v>
      </c>
      <c r="E810" s="16">
        <v>120</v>
      </c>
      <c r="F810" s="14" t="s">
        <v>1216</v>
      </c>
      <c r="G810" s="17">
        <v>3000</v>
      </c>
      <c r="H810" s="14" t="s">
        <v>1216</v>
      </c>
      <c r="I810" s="14" t="s">
        <v>1256</v>
      </c>
      <c r="J810" s="14" t="s">
        <v>1233</v>
      </c>
      <c r="K810" s="14" t="s">
        <v>1257</v>
      </c>
      <c r="L810" s="14" t="s">
        <v>2743</v>
      </c>
      <c r="M810" s="14" t="s">
        <v>1218</v>
      </c>
      <c r="N810" s="14" t="s">
        <v>1237</v>
      </c>
      <c r="O810" s="14" t="s">
        <v>1220</v>
      </c>
    </row>
    <row r="811" spans="1:15" x14ac:dyDescent="0.25">
      <c r="A811" s="14" t="s">
        <v>2744</v>
      </c>
      <c r="B811" s="14" t="s">
        <v>2745</v>
      </c>
      <c r="C811" s="14" t="s">
        <v>2746</v>
      </c>
      <c r="D811" s="14" t="s">
        <v>2731</v>
      </c>
      <c r="E811" s="15"/>
      <c r="F811" s="14" t="s">
        <v>1216</v>
      </c>
      <c r="G811" s="15"/>
      <c r="H811" s="14" t="s">
        <v>1216</v>
      </c>
      <c r="I811" s="14" t="s">
        <v>1262</v>
      </c>
      <c r="J811" s="14" t="s">
        <v>1262</v>
      </c>
      <c r="K811" s="14"/>
      <c r="L811" s="14" t="s">
        <v>2743</v>
      </c>
      <c r="M811" s="14" t="s">
        <v>1218</v>
      </c>
      <c r="N811" s="14" t="s">
        <v>1219</v>
      </c>
      <c r="O811" s="14" t="s">
        <v>1220</v>
      </c>
    </row>
    <row r="812" spans="1:15" x14ac:dyDescent="0.25">
      <c r="A812" s="14">
        <v>1010601</v>
      </c>
      <c r="B812" s="14" t="s">
        <v>2747</v>
      </c>
      <c r="C812" s="14" t="s">
        <v>2747</v>
      </c>
      <c r="D812" s="14" t="s">
        <v>1215</v>
      </c>
      <c r="E812" s="15"/>
      <c r="F812" s="14"/>
      <c r="G812" s="15"/>
      <c r="H812" s="14" t="s">
        <v>1216</v>
      </c>
      <c r="I812" s="14" t="s">
        <v>1217</v>
      </c>
      <c r="J812" s="14"/>
      <c r="K812" s="14"/>
      <c r="L812" s="14"/>
      <c r="M812" s="14" t="s">
        <v>1218</v>
      </c>
      <c r="N812" s="14" t="s">
        <v>1219</v>
      </c>
      <c r="O812" s="14" t="s">
        <v>1220</v>
      </c>
    </row>
    <row r="813" spans="1:15" x14ac:dyDescent="0.25">
      <c r="A813" s="14">
        <v>3270022</v>
      </c>
      <c r="B813" s="14" t="s">
        <v>2748</v>
      </c>
      <c r="C813" s="14" t="s">
        <v>2748</v>
      </c>
      <c r="D813" s="14" t="s">
        <v>1349</v>
      </c>
      <c r="E813" s="15"/>
      <c r="F813" s="14" t="s">
        <v>1533</v>
      </c>
      <c r="G813" s="15"/>
      <c r="H813" s="14" t="s">
        <v>1534</v>
      </c>
      <c r="I813" s="14" t="s">
        <v>1360</v>
      </c>
      <c r="J813" s="14" t="s">
        <v>1360</v>
      </c>
      <c r="K813" s="14"/>
      <c r="L813" s="14" t="s">
        <v>2749</v>
      </c>
      <c r="M813" s="14" t="s">
        <v>1218</v>
      </c>
      <c r="N813" s="14" t="s">
        <v>1219</v>
      </c>
      <c r="O813" s="14" t="s">
        <v>1220</v>
      </c>
    </row>
    <row r="814" spans="1:15" x14ac:dyDescent="0.25">
      <c r="A814" s="14">
        <v>3250020</v>
      </c>
      <c r="B814" s="14" t="s">
        <v>2750</v>
      </c>
      <c r="C814" s="14" t="s">
        <v>2750</v>
      </c>
      <c r="D814" s="14" t="s">
        <v>1349</v>
      </c>
      <c r="E814" s="15"/>
      <c r="F814" s="14" t="s">
        <v>1533</v>
      </c>
      <c r="G814" s="15"/>
      <c r="H814" s="14" t="s">
        <v>1534</v>
      </c>
      <c r="I814" s="14" t="s">
        <v>1360</v>
      </c>
      <c r="J814" s="14" t="s">
        <v>1360</v>
      </c>
      <c r="K814" s="14"/>
      <c r="L814" s="14" t="s">
        <v>2751</v>
      </c>
      <c r="M814" s="14" t="s">
        <v>1218</v>
      </c>
      <c r="N814" s="14" t="s">
        <v>1219</v>
      </c>
      <c r="O814" s="14" t="s">
        <v>1220</v>
      </c>
    </row>
    <row r="815" spans="1:15" x14ac:dyDescent="0.25">
      <c r="A815" s="14">
        <v>3260027</v>
      </c>
      <c r="B815" s="14" t="s">
        <v>2752</v>
      </c>
      <c r="C815" s="14" t="s">
        <v>2752</v>
      </c>
      <c r="D815" s="14" t="s">
        <v>1533</v>
      </c>
      <c r="E815" s="15"/>
      <c r="F815" s="14" t="s">
        <v>1533</v>
      </c>
      <c r="G815" s="15"/>
      <c r="H815" s="14" t="s">
        <v>1534</v>
      </c>
      <c r="I815" s="14" t="s">
        <v>1360</v>
      </c>
      <c r="J815" s="14" t="s">
        <v>1360</v>
      </c>
      <c r="K815" s="14"/>
      <c r="L815" s="14"/>
      <c r="M815" s="14" t="s">
        <v>1218</v>
      </c>
      <c r="N815" s="14" t="s">
        <v>1219</v>
      </c>
      <c r="O815" s="14" t="s">
        <v>1220</v>
      </c>
    </row>
    <row r="816" spans="1:15" x14ac:dyDescent="0.25">
      <c r="A816" s="14">
        <v>3270032</v>
      </c>
      <c r="B816" s="14" t="s">
        <v>2753</v>
      </c>
      <c r="C816" s="14" t="s">
        <v>2753</v>
      </c>
      <c r="D816" s="14" t="s">
        <v>1533</v>
      </c>
      <c r="E816" s="15"/>
      <c r="F816" s="14" t="s">
        <v>1533</v>
      </c>
      <c r="G816" s="15"/>
      <c r="H816" s="14" t="s">
        <v>1534</v>
      </c>
      <c r="I816" s="14" t="s">
        <v>1360</v>
      </c>
      <c r="J816" s="14" t="s">
        <v>1360</v>
      </c>
      <c r="K816" s="14"/>
      <c r="L816" s="14"/>
      <c r="M816" s="14" t="s">
        <v>1218</v>
      </c>
      <c r="N816" s="14" t="s">
        <v>1219</v>
      </c>
      <c r="O816" s="14" t="s">
        <v>1220</v>
      </c>
    </row>
    <row r="817" spans="1:15" x14ac:dyDescent="0.25">
      <c r="A817" s="14">
        <v>3250028</v>
      </c>
      <c r="B817" s="14" t="s">
        <v>2754</v>
      </c>
      <c r="C817" s="14" t="s">
        <v>2754</v>
      </c>
      <c r="D817" s="14" t="s">
        <v>1533</v>
      </c>
      <c r="E817" s="15"/>
      <c r="F817" s="14" t="s">
        <v>1533</v>
      </c>
      <c r="G817" s="15"/>
      <c r="H817" s="14" t="s">
        <v>1534</v>
      </c>
      <c r="I817" s="14" t="s">
        <v>1360</v>
      </c>
      <c r="J817" s="14" t="s">
        <v>1360</v>
      </c>
      <c r="K817" s="14"/>
      <c r="L817" s="14"/>
      <c r="M817" s="14" t="s">
        <v>1218</v>
      </c>
      <c r="N817" s="14" t="s">
        <v>1219</v>
      </c>
      <c r="O817" s="14" t="s">
        <v>1220</v>
      </c>
    </row>
    <row r="818" spans="1:15" x14ac:dyDescent="0.25">
      <c r="A818" s="14">
        <v>3260035</v>
      </c>
      <c r="B818" s="14" t="s">
        <v>2755</v>
      </c>
      <c r="C818" s="14" t="s">
        <v>2755</v>
      </c>
      <c r="D818" s="14" t="s">
        <v>1533</v>
      </c>
      <c r="E818" s="15"/>
      <c r="F818" s="14" t="s">
        <v>1533</v>
      </c>
      <c r="G818" s="15"/>
      <c r="H818" s="14" t="s">
        <v>1534</v>
      </c>
      <c r="I818" s="14" t="s">
        <v>1360</v>
      </c>
      <c r="J818" s="14" t="s">
        <v>1360</v>
      </c>
      <c r="K818" s="14"/>
      <c r="L818" s="14"/>
      <c r="M818" s="14" t="s">
        <v>1218</v>
      </c>
      <c r="N818" s="14" t="s">
        <v>1219</v>
      </c>
      <c r="O818" s="14" t="s">
        <v>1220</v>
      </c>
    </row>
    <row r="819" spans="1:15" x14ac:dyDescent="0.25">
      <c r="A819" s="14">
        <v>2337</v>
      </c>
      <c r="B819" s="14" t="s">
        <v>958</v>
      </c>
      <c r="C819" s="14" t="s">
        <v>2756</v>
      </c>
      <c r="D819" s="14" t="s">
        <v>1216</v>
      </c>
      <c r="E819" s="16">
        <v>100</v>
      </c>
      <c r="F819" s="14" t="s">
        <v>1216</v>
      </c>
      <c r="G819" s="17">
        <v>2000</v>
      </c>
      <c r="H819" s="14" t="s">
        <v>1216</v>
      </c>
      <c r="I819" s="14" t="s">
        <v>1256</v>
      </c>
      <c r="J819" s="14" t="s">
        <v>1242</v>
      </c>
      <c r="K819" s="14" t="s">
        <v>1257</v>
      </c>
      <c r="L819" s="14" t="s">
        <v>2757</v>
      </c>
      <c r="M819" s="14" t="s">
        <v>1218</v>
      </c>
      <c r="N819" s="14" t="s">
        <v>1237</v>
      </c>
      <c r="O819" s="14" t="s">
        <v>1220</v>
      </c>
    </row>
    <row r="820" spans="1:15" x14ac:dyDescent="0.25">
      <c r="A820" s="14" t="s">
        <v>2758</v>
      </c>
      <c r="B820" s="14" t="s">
        <v>2759</v>
      </c>
      <c r="C820" s="14" t="s">
        <v>2760</v>
      </c>
      <c r="D820" s="14" t="s">
        <v>2731</v>
      </c>
      <c r="E820" s="15"/>
      <c r="F820" s="14" t="s">
        <v>1216</v>
      </c>
      <c r="G820" s="15"/>
      <c r="H820" s="14" t="s">
        <v>1216</v>
      </c>
      <c r="I820" s="14" t="s">
        <v>1262</v>
      </c>
      <c r="J820" s="14" t="s">
        <v>1262</v>
      </c>
      <c r="K820" s="14"/>
      <c r="L820" s="14" t="s">
        <v>2757</v>
      </c>
      <c r="M820" s="14" t="s">
        <v>1218</v>
      </c>
      <c r="N820" s="14" t="s">
        <v>1219</v>
      </c>
      <c r="O820" s="14" t="s">
        <v>1220</v>
      </c>
    </row>
    <row r="821" spans="1:15" x14ac:dyDescent="0.25">
      <c r="A821" s="14">
        <v>2428</v>
      </c>
      <c r="B821" s="14" t="s">
        <v>959</v>
      </c>
      <c r="C821" s="14" t="s">
        <v>2761</v>
      </c>
      <c r="D821" s="14" t="s">
        <v>1216</v>
      </c>
      <c r="E821" s="16">
        <v>100</v>
      </c>
      <c r="F821" s="14" t="s">
        <v>1216</v>
      </c>
      <c r="G821" s="17">
        <v>2000</v>
      </c>
      <c r="H821" s="14" t="s">
        <v>1216</v>
      </c>
      <c r="I821" s="14" t="s">
        <v>1256</v>
      </c>
      <c r="J821" s="14" t="s">
        <v>1242</v>
      </c>
      <c r="K821" s="14" t="s">
        <v>1257</v>
      </c>
      <c r="L821" s="14" t="s">
        <v>2762</v>
      </c>
      <c r="M821" s="14" t="s">
        <v>1218</v>
      </c>
      <c r="N821" s="14" t="s">
        <v>1237</v>
      </c>
      <c r="O821" s="14" t="s">
        <v>1220</v>
      </c>
    </row>
    <row r="822" spans="1:15" x14ac:dyDescent="0.25">
      <c r="A822" s="14" t="s">
        <v>2763</v>
      </c>
      <c r="B822" s="14" t="s">
        <v>2764</v>
      </c>
      <c r="C822" s="14" t="s">
        <v>2765</v>
      </c>
      <c r="D822" s="14" t="s">
        <v>2731</v>
      </c>
      <c r="E822" s="15"/>
      <c r="F822" s="14" t="s">
        <v>1216</v>
      </c>
      <c r="G822" s="15"/>
      <c r="H822" s="14" t="s">
        <v>1216</v>
      </c>
      <c r="I822" s="14" t="s">
        <v>1262</v>
      </c>
      <c r="J822" s="14" t="s">
        <v>1262</v>
      </c>
      <c r="K822" s="14"/>
      <c r="L822" s="14" t="s">
        <v>2762</v>
      </c>
      <c r="M822" s="14" t="s">
        <v>1218</v>
      </c>
      <c r="N822" s="14" t="s">
        <v>1219</v>
      </c>
      <c r="O822" s="14" t="s">
        <v>1220</v>
      </c>
    </row>
    <row r="823" spans="1:15" x14ac:dyDescent="0.25">
      <c r="A823" s="14">
        <v>3270027</v>
      </c>
      <c r="B823" s="14" t="s">
        <v>2766</v>
      </c>
      <c r="C823" s="14" t="s">
        <v>2766</v>
      </c>
      <c r="D823" s="14" t="s">
        <v>1349</v>
      </c>
      <c r="E823" s="15"/>
      <c r="F823" s="14" t="s">
        <v>1533</v>
      </c>
      <c r="G823" s="15"/>
      <c r="H823" s="14" t="s">
        <v>1534</v>
      </c>
      <c r="I823" s="14" t="s">
        <v>1360</v>
      </c>
      <c r="J823" s="14" t="s">
        <v>1360</v>
      </c>
      <c r="K823" s="14"/>
      <c r="L823" s="14" t="s">
        <v>2767</v>
      </c>
      <c r="M823" s="14" t="s">
        <v>1218</v>
      </c>
      <c r="N823" s="14" t="s">
        <v>1219</v>
      </c>
      <c r="O823" s="14" t="s">
        <v>1220</v>
      </c>
    </row>
    <row r="824" spans="1:15" x14ac:dyDescent="0.25">
      <c r="A824" s="14">
        <v>3250024</v>
      </c>
      <c r="B824" s="14" t="s">
        <v>2768</v>
      </c>
      <c r="C824" s="14" t="s">
        <v>2768</v>
      </c>
      <c r="D824" s="14" t="s">
        <v>1533</v>
      </c>
      <c r="E824" s="15"/>
      <c r="F824" s="14" t="s">
        <v>1533</v>
      </c>
      <c r="G824" s="15"/>
      <c r="H824" s="14" t="s">
        <v>1534</v>
      </c>
      <c r="I824" s="14" t="s">
        <v>1360</v>
      </c>
      <c r="J824" s="14" t="s">
        <v>1360</v>
      </c>
      <c r="K824" s="14"/>
      <c r="L824" s="14"/>
      <c r="M824" s="14" t="s">
        <v>1218</v>
      </c>
      <c r="N824" s="14" t="s">
        <v>1219</v>
      </c>
      <c r="O824" s="14" t="s">
        <v>1220</v>
      </c>
    </row>
    <row r="825" spans="1:15" x14ac:dyDescent="0.25">
      <c r="A825" s="14">
        <v>3260031</v>
      </c>
      <c r="B825" s="14" t="s">
        <v>2769</v>
      </c>
      <c r="C825" s="14" t="s">
        <v>2769</v>
      </c>
      <c r="D825" s="14" t="s">
        <v>1533</v>
      </c>
      <c r="E825" s="15"/>
      <c r="F825" s="14" t="s">
        <v>1533</v>
      </c>
      <c r="G825" s="15"/>
      <c r="H825" s="14" t="s">
        <v>1534</v>
      </c>
      <c r="I825" s="14" t="s">
        <v>1360</v>
      </c>
      <c r="J825" s="14" t="s">
        <v>1360</v>
      </c>
      <c r="K825" s="14"/>
      <c r="L825" s="14"/>
      <c r="M825" s="14" t="s">
        <v>1218</v>
      </c>
      <c r="N825" s="14" t="s">
        <v>1219</v>
      </c>
      <c r="O825" s="14" t="s">
        <v>1220</v>
      </c>
    </row>
    <row r="826" spans="1:15" x14ac:dyDescent="0.25">
      <c r="A826" s="14" t="s">
        <v>2770</v>
      </c>
      <c r="B826" s="14" t="s">
        <v>2771</v>
      </c>
      <c r="C826" s="14" t="s">
        <v>2771</v>
      </c>
      <c r="D826" s="14" t="s">
        <v>2329</v>
      </c>
      <c r="E826" s="15"/>
      <c r="F826" s="14"/>
      <c r="G826" s="15"/>
      <c r="H826" s="14" t="s">
        <v>1216</v>
      </c>
      <c r="I826" s="14"/>
      <c r="J826" s="14" t="s">
        <v>1360</v>
      </c>
      <c r="K826" s="14"/>
      <c r="L826" s="14"/>
      <c r="M826" s="14"/>
      <c r="N826" s="14" t="s">
        <v>1219</v>
      </c>
      <c r="O826" s="14" t="s">
        <v>1220</v>
      </c>
    </row>
    <row r="827" spans="1:15" x14ac:dyDescent="0.25">
      <c r="A827" s="14" t="s">
        <v>2772</v>
      </c>
      <c r="B827" s="14" t="s">
        <v>2773</v>
      </c>
      <c r="C827" s="14" t="s">
        <v>2773</v>
      </c>
      <c r="D827" s="14" t="s">
        <v>2329</v>
      </c>
      <c r="E827" s="15"/>
      <c r="F827" s="14"/>
      <c r="G827" s="15"/>
      <c r="H827" s="14" t="s">
        <v>1216</v>
      </c>
      <c r="I827" s="14"/>
      <c r="J827" s="14" t="s">
        <v>1360</v>
      </c>
      <c r="K827" s="14"/>
      <c r="L827" s="14"/>
      <c r="M827" s="14"/>
      <c r="N827" s="14" t="s">
        <v>1219</v>
      </c>
      <c r="O827" s="14" t="s">
        <v>1220</v>
      </c>
    </row>
    <row r="828" spans="1:15" x14ac:dyDescent="0.25">
      <c r="A828" s="14" t="s">
        <v>2774</v>
      </c>
      <c r="B828" s="14" t="s">
        <v>2775</v>
      </c>
      <c r="C828" s="14" t="s">
        <v>2775</v>
      </c>
      <c r="D828" s="14" t="s">
        <v>2329</v>
      </c>
      <c r="E828" s="15"/>
      <c r="F828" s="14"/>
      <c r="G828" s="15"/>
      <c r="H828" s="14" t="s">
        <v>1216</v>
      </c>
      <c r="I828" s="14"/>
      <c r="J828" s="14" t="s">
        <v>1360</v>
      </c>
      <c r="K828" s="14"/>
      <c r="L828" s="14"/>
      <c r="M828" s="14"/>
      <c r="N828" s="14" t="s">
        <v>1219</v>
      </c>
      <c r="O828" s="14" t="s">
        <v>1220</v>
      </c>
    </row>
    <row r="829" spans="1:15" x14ac:dyDescent="0.25">
      <c r="A829" s="14" t="s">
        <v>2776</v>
      </c>
      <c r="B829" s="14" t="s">
        <v>2777</v>
      </c>
      <c r="C829" s="14" t="s">
        <v>2777</v>
      </c>
      <c r="D829" s="14" t="s">
        <v>2329</v>
      </c>
      <c r="E829" s="15"/>
      <c r="F829" s="14"/>
      <c r="G829" s="15"/>
      <c r="H829" s="14" t="s">
        <v>1216</v>
      </c>
      <c r="I829" s="14"/>
      <c r="J829" s="14" t="s">
        <v>1360</v>
      </c>
      <c r="K829" s="14"/>
      <c r="L829" s="14"/>
      <c r="M829" s="14"/>
      <c r="N829" s="14" t="s">
        <v>1219</v>
      </c>
      <c r="O829" s="14" t="s">
        <v>1220</v>
      </c>
    </row>
    <row r="830" spans="1:15" x14ac:dyDescent="0.25">
      <c r="A830" s="14" t="s">
        <v>2778</v>
      </c>
      <c r="B830" s="14" t="s">
        <v>2779</v>
      </c>
      <c r="C830" s="14" t="s">
        <v>2779</v>
      </c>
      <c r="D830" s="14" t="s">
        <v>2329</v>
      </c>
      <c r="E830" s="15"/>
      <c r="F830" s="14"/>
      <c r="G830" s="15"/>
      <c r="H830" s="14" t="s">
        <v>1216</v>
      </c>
      <c r="I830" s="14"/>
      <c r="J830" s="14" t="s">
        <v>1360</v>
      </c>
      <c r="K830" s="14"/>
      <c r="L830" s="14"/>
      <c r="M830" s="14"/>
      <c r="N830" s="14" t="s">
        <v>1219</v>
      </c>
      <c r="O830" s="14" t="s">
        <v>1220</v>
      </c>
    </row>
    <row r="831" spans="1:15" x14ac:dyDescent="0.25">
      <c r="A831" s="14" t="s">
        <v>2780</v>
      </c>
      <c r="B831" s="14" t="s">
        <v>2781</v>
      </c>
      <c r="C831" s="14" t="s">
        <v>2781</v>
      </c>
      <c r="D831" s="14" t="s">
        <v>2329</v>
      </c>
      <c r="E831" s="15"/>
      <c r="F831" s="14"/>
      <c r="G831" s="15"/>
      <c r="H831" s="14" t="s">
        <v>1216</v>
      </c>
      <c r="I831" s="14"/>
      <c r="J831" s="14" t="s">
        <v>1360</v>
      </c>
      <c r="K831" s="14"/>
      <c r="L831" s="14"/>
      <c r="M831" s="14"/>
      <c r="N831" s="14" t="s">
        <v>1219</v>
      </c>
      <c r="O831" s="14" t="s">
        <v>1220</v>
      </c>
    </row>
    <row r="832" spans="1:15" x14ac:dyDescent="0.25">
      <c r="A832" s="14" t="s">
        <v>2782</v>
      </c>
      <c r="B832" s="14" t="s">
        <v>2783</v>
      </c>
      <c r="C832" s="14" t="s">
        <v>2783</v>
      </c>
      <c r="D832" s="14" t="s">
        <v>2329</v>
      </c>
      <c r="E832" s="15"/>
      <c r="F832" s="14"/>
      <c r="G832" s="15"/>
      <c r="H832" s="14" t="s">
        <v>1216</v>
      </c>
      <c r="I832" s="14"/>
      <c r="J832" s="14" t="s">
        <v>1360</v>
      </c>
      <c r="K832" s="14"/>
      <c r="L832" s="14"/>
      <c r="M832" s="14"/>
      <c r="N832" s="14" t="s">
        <v>1219</v>
      </c>
      <c r="O832" s="14" t="s">
        <v>1220</v>
      </c>
    </row>
    <row r="833" spans="1:15" x14ac:dyDescent="0.25">
      <c r="A833" s="14" t="s">
        <v>2784</v>
      </c>
      <c r="B833" s="14" t="s">
        <v>2785</v>
      </c>
      <c r="C833" s="14" t="s">
        <v>2785</v>
      </c>
      <c r="D833" s="14" t="s">
        <v>2329</v>
      </c>
      <c r="E833" s="15"/>
      <c r="F833" s="14"/>
      <c r="G833" s="15"/>
      <c r="H833" s="14" t="s">
        <v>1216</v>
      </c>
      <c r="I833" s="14"/>
      <c r="J833" s="14" t="s">
        <v>1360</v>
      </c>
      <c r="K833" s="14"/>
      <c r="L833" s="14"/>
      <c r="M833" s="14"/>
      <c r="N833" s="14" t="s">
        <v>1219</v>
      </c>
      <c r="O833" s="14" t="s">
        <v>1220</v>
      </c>
    </row>
    <row r="834" spans="1:15" x14ac:dyDescent="0.25">
      <c r="A834" s="14" t="s">
        <v>2786</v>
      </c>
      <c r="B834" s="14" t="s">
        <v>2787</v>
      </c>
      <c r="C834" s="14" t="s">
        <v>2787</v>
      </c>
      <c r="D834" s="14" t="s">
        <v>2329</v>
      </c>
      <c r="E834" s="15"/>
      <c r="F834" s="14"/>
      <c r="G834" s="15"/>
      <c r="H834" s="14" t="s">
        <v>1216</v>
      </c>
      <c r="I834" s="14"/>
      <c r="J834" s="14" t="s">
        <v>1360</v>
      </c>
      <c r="K834" s="14"/>
      <c r="L834" s="14"/>
      <c r="M834" s="14"/>
      <c r="N834" s="14" t="s">
        <v>1219</v>
      </c>
      <c r="O834" s="14" t="s">
        <v>1220</v>
      </c>
    </row>
    <row r="835" spans="1:15" x14ac:dyDescent="0.25">
      <c r="A835" s="14" t="s">
        <v>2788</v>
      </c>
      <c r="B835" s="14" t="s">
        <v>2789</v>
      </c>
      <c r="C835" s="14" t="s">
        <v>2789</v>
      </c>
      <c r="D835" s="14" t="s">
        <v>2329</v>
      </c>
      <c r="E835" s="15"/>
      <c r="F835" s="14"/>
      <c r="G835" s="15"/>
      <c r="H835" s="14" t="s">
        <v>1216</v>
      </c>
      <c r="I835" s="14"/>
      <c r="J835" s="14" t="s">
        <v>1360</v>
      </c>
      <c r="K835" s="14"/>
      <c r="L835" s="14"/>
      <c r="M835" s="14"/>
      <c r="N835" s="14" t="s">
        <v>1219</v>
      </c>
      <c r="O835" s="14" t="s">
        <v>1220</v>
      </c>
    </row>
    <row r="836" spans="1:15" x14ac:dyDescent="0.25">
      <c r="A836" s="14" t="s">
        <v>2790</v>
      </c>
      <c r="B836" s="14" t="s">
        <v>2791</v>
      </c>
      <c r="C836" s="14" t="s">
        <v>2791</v>
      </c>
      <c r="D836" s="14" t="s">
        <v>2329</v>
      </c>
      <c r="E836" s="15"/>
      <c r="F836" s="14"/>
      <c r="G836" s="15"/>
      <c r="H836" s="14" t="s">
        <v>1216</v>
      </c>
      <c r="I836" s="14"/>
      <c r="J836" s="14" t="s">
        <v>1360</v>
      </c>
      <c r="K836" s="14"/>
      <c r="L836" s="14"/>
      <c r="M836" s="14"/>
      <c r="N836" s="14" t="s">
        <v>1219</v>
      </c>
      <c r="O836" s="14" t="s">
        <v>1220</v>
      </c>
    </row>
    <row r="837" spans="1:15" x14ac:dyDescent="0.25">
      <c r="A837" s="14" t="s">
        <v>2792</v>
      </c>
      <c r="B837" s="14" t="s">
        <v>2793</v>
      </c>
      <c r="C837" s="14" t="s">
        <v>2793</v>
      </c>
      <c r="D837" s="14" t="s">
        <v>2329</v>
      </c>
      <c r="E837" s="15"/>
      <c r="F837" s="14"/>
      <c r="G837" s="15"/>
      <c r="H837" s="14" t="s">
        <v>1216</v>
      </c>
      <c r="I837" s="14"/>
      <c r="J837" s="14" t="s">
        <v>1360</v>
      </c>
      <c r="K837" s="14"/>
      <c r="L837" s="14"/>
      <c r="M837" s="14"/>
      <c r="N837" s="14" t="s">
        <v>1219</v>
      </c>
      <c r="O837" s="14" t="s">
        <v>1220</v>
      </c>
    </row>
    <row r="838" spans="1:15" x14ac:dyDescent="0.25">
      <c r="A838" s="14">
        <v>6910032</v>
      </c>
      <c r="B838" s="14" t="s">
        <v>2794</v>
      </c>
      <c r="C838" s="14" t="s">
        <v>2794</v>
      </c>
      <c r="D838" s="14" t="s">
        <v>1533</v>
      </c>
      <c r="E838" s="15"/>
      <c r="F838" s="14" t="s">
        <v>1533</v>
      </c>
      <c r="G838" s="15"/>
      <c r="H838" s="14" t="s">
        <v>1534</v>
      </c>
      <c r="I838" s="14" t="s">
        <v>1360</v>
      </c>
      <c r="J838" s="14" t="s">
        <v>1360</v>
      </c>
      <c r="K838" s="14"/>
      <c r="L838" s="14"/>
      <c r="M838" s="14" t="s">
        <v>1218</v>
      </c>
      <c r="N838" s="14" t="s">
        <v>1219</v>
      </c>
      <c r="O838" s="14" t="s">
        <v>1220</v>
      </c>
    </row>
    <row r="839" spans="1:15" x14ac:dyDescent="0.25">
      <c r="A839" s="14" t="s">
        <v>2795</v>
      </c>
      <c r="B839" s="14" t="s">
        <v>2796</v>
      </c>
      <c r="C839" s="14" t="s">
        <v>2796</v>
      </c>
      <c r="D839" s="14" t="s">
        <v>1349</v>
      </c>
      <c r="E839" s="15"/>
      <c r="F839" s="14"/>
      <c r="G839" s="15"/>
      <c r="H839" s="14" t="s">
        <v>1216</v>
      </c>
      <c r="I839" s="14" t="s">
        <v>1360</v>
      </c>
      <c r="J839" s="14" t="s">
        <v>1360</v>
      </c>
      <c r="K839" s="14"/>
      <c r="L839" s="14"/>
      <c r="M839" s="14" t="s">
        <v>1218</v>
      </c>
      <c r="N839" s="14" t="s">
        <v>1219</v>
      </c>
      <c r="O839" s="14" t="s">
        <v>1220</v>
      </c>
    </row>
    <row r="840" spans="1:15" x14ac:dyDescent="0.25">
      <c r="A840" s="14">
        <v>6890081</v>
      </c>
      <c r="B840" s="14" t="s">
        <v>2797</v>
      </c>
      <c r="C840" s="14" t="s">
        <v>2797</v>
      </c>
      <c r="D840" s="14" t="s">
        <v>2798</v>
      </c>
      <c r="E840" s="15"/>
      <c r="F840" s="14" t="s">
        <v>1533</v>
      </c>
      <c r="G840" s="15"/>
      <c r="H840" s="14" t="s">
        <v>1534</v>
      </c>
      <c r="I840" s="14" t="s">
        <v>1360</v>
      </c>
      <c r="J840" s="14" t="s">
        <v>1360</v>
      </c>
      <c r="K840" s="14"/>
      <c r="L840" s="14"/>
      <c r="M840" s="14" t="s">
        <v>1218</v>
      </c>
      <c r="N840" s="14" t="s">
        <v>1219</v>
      </c>
      <c r="O840" s="14" t="s">
        <v>1220</v>
      </c>
    </row>
    <row r="841" spans="1:15" x14ac:dyDescent="0.25">
      <c r="A841" s="14">
        <v>6890082</v>
      </c>
      <c r="B841" s="14" t="s">
        <v>2799</v>
      </c>
      <c r="C841" s="14" t="s">
        <v>2799</v>
      </c>
      <c r="D841" s="14" t="s">
        <v>2798</v>
      </c>
      <c r="E841" s="15"/>
      <c r="F841" s="14" t="s">
        <v>1533</v>
      </c>
      <c r="G841" s="15"/>
      <c r="H841" s="14" t="s">
        <v>1534</v>
      </c>
      <c r="I841" s="14" t="s">
        <v>1360</v>
      </c>
      <c r="J841" s="14" t="s">
        <v>1360</v>
      </c>
      <c r="K841" s="14"/>
      <c r="L841" s="14"/>
      <c r="M841" s="14" t="s">
        <v>1218</v>
      </c>
      <c r="N841" s="14" t="s">
        <v>1219</v>
      </c>
      <c r="O841" s="14" t="s">
        <v>1220</v>
      </c>
    </row>
    <row r="842" spans="1:15" x14ac:dyDescent="0.25">
      <c r="A842" s="14">
        <v>6890087</v>
      </c>
      <c r="B842" s="14" t="s">
        <v>2800</v>
      </c>
      <c r="C842" s="14" t="s">
        <v>2800</v>
      </c>
      <c r="D842" s="14" t="s">
        <v>1533</v>
      </c>
      <c r="E842" s="15"/>
      <c r="F842" s="14" t="s">
        <v>1533</v>
      </c>
      <c r="G842" s="15"/>
      <c r="H842" s="14" t="s">
        <v>1534</v>
      </c>
      <c r="I842" s="14" t="s">
        <v>1360</v>
      </c>
      <c r="J842" s="14" t="s">
        <v>1360</v>
      </c>
      <c r="K842" s="14"/>
      <c r="L842" s="14"/>
      <c r="M842" s="14" t="s">
        <v>1218</v>
      </c>
      <c r="N842" s="14" t="s">
        <v>1219</v>
      </c>
      <c r="O842" s="14" t="s">
        <v>1220</v>
      </c>
    </row>
    <row r="843" spans="1:15" x14ac:dyDescent="0.25">
      <c r="A843" s="14">
        <v>3965</v>
      </c>
      <c r="B843" s="14" t="s">
        <v>969</v>
      </c>
      <c r="C843" s="14" t="s">
        <v>969</v>
      </c>
      <c r="D843" s="14" t="s">
        <v>2801</v>
      </c>
      <c r="E843" s="16">
        <v>180</v>
      </c>
      <c r="F843" s="14" t="s">
        <v>2802</v>
      </c>
      <c r="G843" s="17">
        <v>1800</v>
      </c>
      <c r="H843" s="14" t="s">
        <v>1216</v>
      </c>
      <c r="I843" s="14" t="s">
        <v>1256</v>
      </c>
      <c r="J843" s="14" t="s">
        <v>1233</v>
      </c>
      <c r="K843" s="14" t="s">
        <v>1257</v>
      </c>
      <c r="L843" s="14" t="s">
        <v>2803</v>
      </c>
      <c r="M843" s="14" t="s">
        <v>1218</v>
      </c>
      <c r="N843" s="14" t="s">
        <v>1237</v>
      </c>
      <c r="O843" s="14" t="s">
        <v>1220</v>
      </c>
    </row>
    <row r="844" spans="1:15" x14ac:dyDescent="0.25">
      <c r="A844" s="14" t="s">
        <v>2804</v>
      </c>
      <c r="B844" s="14" t="s">
        <v>2805</v>
      </c>
      <c r="C844" s="14" t="s">
        <v>2805</v>
      </c>
      <c r="D844" s="14" t="s">
        <v>2801</v>
      </c>
      <c r="E844" s="15"/>
      <c r="F844" s="14" t="s">
        <v>2802</v>
      </c>
      <c r="G844" s="15"/>
      <c r="H844" s="14" t="s">
        <v>1216</v>
      </c>
      <c r="I844" s="14" t="s">
        <v>1262</v>
      </c>
      <c r="J844" s="14" t="s">
        <v>1262</v>
      </c>
      <c r="K844" s="14" t="s">
        <v>1257</v>
      </c>
      <c r="L844" s="14" t="s">
        <v>2803</v>
      </c>
      <c r="M844" s="14" t="s">
        <v>1218</v>
      </c>
      <c r="N844" s="14" t="s">
        <v>1219</v>
      </c>
      <c r="O844" s="14" t="s">
        <v>1220</v>
      </c>
    </row>
    <row r="845" spans="1:15" x14ac:dyDescent="0.25">
      <c r="A845" s="14">
        <v>3966</v>
      </c>
      <c r="B845" s="14" t="s">
        <v>972</v>
      </c>
      <c r="C845" s="14" t="s">
        <v>972</v>
      </c>
      <c r="D845" s="14" t="s">
        <v>2801</v>
      </c>
      <c r="E845" s="16">
        <v>120</v>
      </c>
      <c r="F845" s="14" t="s">
        <v>2802</v>
      </c>
      <c r="G845" s="17">
        <v>1200</v>
      </c>
      <c r="H845" s="14" t="s">
        <v>1216</v>
      </c>
      <c r="I845" s="14" t="s">
        <v>1256</v>
      </c>
      <c r="J845" s="14" t="s">
        <v>1233</v>
      </c>
      <c r="K845" s="14" t="s">
        <v>1257</v>
      </c>
      <c r="L845" s="14" t="s">
        <v>2806</v>
      </c>
      <c r="M845" s="14" t="s">
        <v>1218</v>
      </c>
      <c r="N845" s="14" t="s">
        <v>1237</v>
      </c>
      <c r="O845" s="14" t="s">
        <v>1220</v>
      </c>
    </row>
    <row r="846" spans="1:15" x14ac:dyDescent="0.25">
      <c r="A846" s="14" t="s">
        <v>2807</v>
      </c>
      <c r="B846" s="14" t="s">
        <v>2808</v>
      </c>
      <c r="C846" s="14" t="s">
        <v>2808</v>
      </c>
      <c r="D846" s="14" t="s">
        <v>2801</v>
      </c>
      <c r="E846" s="15"/>
      <c r="F846" s="14" t="s">
        <v>1350</v>
      </c>
      <c r="G846" s="15"/>
      <c r="H846" s="14" t="s">
        <v>1216</v>
      </c>
      <c r="I846" s="14" t="s">
        <v>1262</v>
      </c>
      <c r="J846" s="14" t="s">
        <v>1262</v>
      </c>
      <c r="K846" s="14" t="s">
        <v>1257</v>
      </c>
      <c r="L846" s="14" t="s">
        <v>2806</v>
      </c>
      <c r="M846" s="14" t="s">
        <v>1218</v>
      </c>
      <c r="N846" s="14" t="s">
        <v>1219</v>
      </c>
      <c r="O846" s="14" t="s">
        <v>1220</v>
      </c>
    </row>
    <row r="847" spans="1:15" x14ac:dyDescent="0.25">
      <c r="A847" s="14">
        <v>3952</v>
      </c>
      <c r="B847" s="14" t="s">
        <v>2809</v>
      </c>
      <c r="C847" s="14" t="s">
        <v>2810</v>
      </c>
      <c r="D847" s="14" t="s">
        <v>2801</v>
      </c>
      <c r="E847" s="15"/>
      <c r="F847" s="14" t="s">
        <v>1350</v>
      </c>
      <c r="G847" s="15"/>
      <c r="H847" s="14" t="s">
        <v>1216</v>
      </c>
      <c r="I847" s="14" t="s">
        <v>1351</v>
      </c>
      <c r="J847" s="14" t="s">
        <v>1385</v>
      </c>
      <c r="K847" s="14" t="s">
        <v>1257</v>
      </c>
      <c r="L847" s="14" t="s">
        <v>2811</v>
      </c>
      <c r="M847" s="14" t="s">
        <v>1218</v>
      </c>
      <c r="N847" s="14" t="s">
        <v>1219</v>
      </c>
      <c r="O847" s="14" t="s">
        <v>1220</v>
      </c>
    </row>
    <row r="848" spans="1:15" x14ac:dyDescent="0.25">
      <c r="A848" s="14">
        <v>1489</v>
      </c>
      <c r="B848" s="14" t="s">
        <v>970</v>
      </c>
      <c r="C848" s="14" t="s">
        <v>2812</v>
      </c>
      <c r="D848" s="14" t="s">
        <v>2801</v>
      </c>
      <c r="E848" s="16">
        <v>100</v>
      </c>
      <c r="F848" s="14" t="s">
        <v>1216</v>
      </c>
      <c r="G848" s="17">
        <v>3000</v>
      </c>
      <c r="H848" s="14" t="s">
        <v>1216</v>
      </c>
      <c r="I848" s="14" t="s">
        <v>1256</v>
      </c>
      <c r="J848" s="14" t="s">
        <v>1233</v>
      </c>
      <c r="K848" s="14" t="s">
        <v>1257</v>
      </c>
      <c r="L848" s="14" t="s">
        <v>2813</v>
      </c>
      <c r="M848" s="14" t="s">
        <v>1218</v>
      </c>
      <c r="N848" s="14" t="s">
        <v>1237</v>
      </c>
      <c r="O848" s="14" t="s">
        <v>1220</v>
      </c>
    </row>
    <row r="849" spans="1:15" x14ac:dyDescent="0.25">
      <c r="A849" s="14" t="s">
        <v>2814</v>
      </c>
      <c r="B849" s="14" t="s">
        <v>2815</v>
      </c>
      <c r="C849" s="14" t="s">
        <v>2816</v>
      </c>
      <c r="D849" s="14" t="s">
        <v>2801</v>
      </c>
      <c r="E849" s="16">
        <v>100</v>
      </c>
      <c r="F849" s="14" t="s">
        <v>1216</v>
      </c>
      <c r="G849" s="17">
        <v>3000</v>
      </c>
      <c r="H849" s="14" t="s">
        <v>1216</v>
      </c>
      <c r="I849" s="14" t="s">
        <v>1262</v>
      </c>
      <c r="J849" s="14" t="s">
        <v>1262</v>
      </c>
      <c r="K849" s="14" t="s">
        <v>1257</v>
      </c>
      <c r="L849" s="14" t="s">
        <v>2813</v>
      </c>
      <c r="M849" s="14" t="s">
        <v>1218</v>
      </c>
      <c r="N849" s="14" t="s">
        <v>1219</v>
      </c>
      <c r="O849" s="14" t="s">
        <v>1220</v>
      </c>
    </row>
    <row r="850" spans="1:15" x14ac:dyDescent="0.25">
      <c r="A850" s="14">
        <v>1323</v>
      </c>
      <c r="B850" s="14" t="s">
        <v>968</v>
      </c>
      <c r="C850" s="14" t="s">
        <v>2817</v>
      </c>
      <c r="D850" s="14" t="s">
        <v>2801</v>
      </c>
      <c r="E850" s="16">
        <v>100</v>
      </c>
      <c r="F850" s="14" t="s">
        <v>1216</v>
      </c>
      <c r="G850" s="17">
        <v>3000</v>
      </c>
      <c r="H850" s="14" t="s">
        <v>1216</v>
      </c>
      <c r="I850" s="14" t="s">
        <v>1256</v>
      </c>
      <c r="J850" s="14" t="s">
        <v>1233</v>
      </c>
      <c r="K850" s="14" t="s">
        <v>1257</v>
      </c>
      <c r="L850" s="14" t="s">
        <v>2818</v>
      </c>
      <c r="M850" s="14" t="s">
        <v>1218</v>
      </c>
      <c r="N850" s="14" t="s">
        <v>1237</v>
      </c>
      <c r="O850" s="14" t="s">
        <v>1220</v>
      </c>
    </row>
    <row r="851" spans="1:15" x14ac:dyDescent="0.25">
      <c r="A851" s="14" t="s">
        <v>2819</v>
      </c>
      <c r="B851" s="14" t="s">
        <v>2820</v>
      </c>
      <c r="C851" s="14" t="s">
        <v>2821</v>
      </c>
      <c r="D851" s="14" t="s">
        <v>2822</v>
      </c>
      <c r="E851" s="15"/>
      <c r="F851" s="14" t="s">
        <v>1216</v>
      </c>
      <c r="G851" s="15"/>
      <c r="H851" s="14" t="s">
        <v>1216</v>
      </c>
      <c r="I851" s="14" t="s">
        <v>1262</v>
      </c>
      <c r="J851" s="14" t="s">
        <v>1262</v>
      </c>
      <c r="K851" s="14"/>
      <c r="L851" s="14" t="s">
        <v>2818</v>
      </c>
      <c r="M851" s="14" t="s">
        <v>1218</v>
      </c>
      <c r="N851" s="14" t="s">
        <v>1219</v>
      </c>
      <c r="O851" s="14" t="s">
        <v>1220</v>
      </c>
    </row>
    <row r="852" spans="1:15" x14ac:dyDescent="0.25">
      <c r="A852" s="14">
        <v>1490</v>
      </c>
      <c r="B852" s="14" t="s">
        <v>973</v>
      </c>
      <c r="C852" s="14" t="s">
        <v>2823</v>
      </c>
      <c r="D852" s="14" t="s">
        <v>2801</v>
      </c>
      <c r="E852" s="16">
        <v>80</v>
      </c>
      <c r="F852" s="14" t="s">
        <v>1216</v>
      </c>
      <c r="G852" s="17">
        <v>2000</v>
      </c>
      <c r="H852" s="14" t="s">
        <v>1216</v>
      </c>
      <c r="I852" s="14" t="s">
        <v>1256</v>
      </c>
      <c r="J852" s="14" t="s">
        <v>1242</v>
      </c>
      <c r="K852" s="14" t="s">
        <v>1257</v>
      </c>
      <c r="L852" s="14" t="s">
        <v>2824</v>
      </c>
      <c r="M852" s="14" t="s">
        <v>1218</v>
      </c>
      <c r="N852" s="14" t="s">
        <v>1237</v>
      </c>
      <c r="O852" s="14" t="s">
        <v>1220</v>
      </c>
    </row>
    <row r="853" spans="1:15" x14ac:dyDescent="0.25">
      <c r="A853" s="14" t="s">
        <v>2825</v>
      </c>
      <c r="B853" s="14" t="s">
        <v>2826</v>
      </c>
      <c r="C853" s="14" t="s">
        <v>2827</v>
      </c>
      <c r="D853" s="14" t="s">
        <v>2801</v>
      </c>
      <c r="E853" s="16">
        <v>80</v>
      </c>
      <c r="F853" s="14" t="s">
        <v>1216</v>
      </c>
      <c r="G853" s="17">
        <v>2000</v>
      </c>
      <c r="H853" s="14" t="s">
        <v>1216</v>
      </c>
      <c r="I853" s="14" t="s">
        <v>1262</v>
      </c>
      <c r="J853" s="14" t="s">
        <v>1262</v>
      </c>
      <c r="K853" s="14" t="s">
        <v>1257</v>
      </c>
      <c r="L853" s="14" t="s">
        <v>2824</v>
      </c>
      <c r="M853" s="14" t="s">
        <v>1218</v>
      </c>
      <c r="N853" s="14" t="s">
        <v>1219</v>
      </c>
      <c r="O853" s="14" t="s">
        <v>1220</v>
      </c>
    </row>
    <row r="854" spans="1:15" x14ac:dyDescent="0.25">
      <c r="A854" s="14">
        <v>3951</v>
      </c>
      <c r="B854" s="14" t="s">
        <v>971</v>
      </c>
      <c r="C854" s="14" t="s">
        <v>2828</v>
      </c>
      <c r="D854" s="14" t="s">
        <v>2801</v>
      </c>
      <c r="E854" s="16">
        <v>40</v>
      </c>
      <c r="F854" s="14" t="s">
        <v>1216</v>
      </c>
      <c r="G854" s="17">
        <v>2000</v>
      </c>
      <c r="H854" s="14" t="s">
        <v>1216</v>
      </c>
      <c r="I854" s="14" t="s">
        <v>1256</v>
      </c>
      <c r="J854" s="14" t="s">
        <v>1233</v>
      </c>
      <c r="K854" s="14" t="s">
        <v>1257</v>
      </c>
      <c r="L854" s="14" t="s">
        <v>2829</v>
      </c>
      <c r="M854" s="14" t="s">
        <v>1218</v>
      </c>
      <c r="N854" s="14" t="s">
        <v>1237</v>
      </c>
      <c r="O854" s="14" t="s">
        <v>1220</v>
      </c>
    </row>
    <row r="855" spans="1:15" x14ac:dyDescent="0.25">
      <c r="A855" s="14" t="s">
        <v>2830</v>
      </c>
      <c r="B855" s="14" t="s">
        <v>2831</v>
      </c>
      <c r="C855" s="14" t="s">
        <v>2832</v>
      </c>
      <c r="D855" s="14" t="s">
        <v>2822</v>
      </c>
      <c r="E855" s="15"/>
      <c r="F855" s="14" t="s">
        <v>1216</v>
      </c>
      <c r="G855" s="15"/>
      <c r="H855" s="14" t="s">
        <v>1216</v>
      </c>
      <c r="I855" s="14" t="s">
        <v>1262</v>
      </c>
      <c r="J855" s="14" t="s">
        <v>1262</v>
      </c>
      <c r="K855" s="14"/>
      <c r="L855" s="14" t="s">
        <v>2829</v>
      </c>
      <c r="M855" s="14" t="s">
        <v>1218</v>
      </c>
      <c r="N855" s="14" t="s">
        <v>1219</v>
      </c>
      <c r="O855" s="14" t="s">
        <v>1220</v>
      </c>
    </row>
    <row r="856" spans="1:15" x14ac:dyDescent="0.25">
      <c r="A856" s="14">
        <v>7103</v>
      </c>
      <c r="B856" s="14" t="s">
        <v>1035</v>
      </c>
      <c r="C856" s="14" t="s">
        <v>1035</v>
      </c>
      <c r="D856" s="14" t="s">
        <v>2833</v>
      </c>
      <c r="E856" s="16">
        <v>60</v>
      </c>
      <c r="F856" s="14" t="s">
        <v>1216</v>
      </c>
      <c r="G856" s="16">
        <v>300</v>
      </c>
      <c r="H856" s="14" t="s">
        <v>2834</v>
      </c>
      <c r="I856" s="14" t="s">
        <v>1256</v>
      </c>
      <c r="J856" s="14" t="s">
        <v>1242</v>
      </c>
      <c r="K856" s="14" t="s">
        <v>1257</v>
      </c>
      <c r="L856" s="14" t="s">
        <v>2835</v>
      </c>
      <c r="M856" s="14" t="s">
        <v>1218</v>
      </c>
      <c r="N856" s="14" t="s">
        <v>1237</v>
      </c>
      <c r="O856" s="14" t="s">
        <v>1220</v>
      </c>
    </row>
    <row r="857" spans="1:15" x14ac:dyDescent="0.25">
      <c r="A857" s="14" t="s">
        <v>2836</v>
      </c>
      <c r="B857" s="14" t="s">
        <v>2837</v>
      </c>
      <c r="C857" s="14" t="s">
        <v>2837</v>
      </c>
      <c r="D857" s="14" t="s">
        <v>2838</v>
      </c>
      <c r="E857" s="15"/>
      <c r="F857" s="14" t="s">
        <v>1216</v>
      </c>
      <c r="G857" s="15"/>
      <c r="H857" s="14" t="s">
        <v>2834</v>
      </c>
      <c r="I857" s="14" t="s">
        <v>1262</v>
      </c>
      <c r="J857" s="14" t="s">
        <v>1262</v>
      </c>
      <c r="K857" s="14"/>
      <c r="L857" s="14" t="s">
        <v>2835</v>
      </c>
      <c r="M857" s="14" t="s">
        <v>1218</v>
      </c>
      <c r="N857" s="14" t="s">
        <v>1219</v>
      </c>
      <c r="O857" s="14" t="s">
        <v>1220</v>
      </c>
    </row>
    <row r="858" spans="1:15" x14ac:dyDescent="0.25">
      <c r="A858" s="14">
        <v>7106</v>
      </c>
      <c r="B858" s="14" t="s">
        <v>1036</v>
      </c>
      <c r="C858" s="14" t="s">
        <v>1036</v>
      </c>
      <c r="D858" s="14" t="s">
        <v>2833</v>
      </c>
      <c r="E858" s="16">
        <v>60</v>
      </c>
      <c r="F858" s="14" t="s">
        <v>1216</v>
      </c>
      <c r="G858" s="16">
        <v>300</v>
      </c>
      <c r="H858" s="14" t="s">
        <v>2834</v>
      </c>
      <c r="I858" s="14" t="s">
        <v>1256</v>
      </c>
      <c r="J858" s="14" t="s">
        <v>1296</v>
      </c>
      <c r="K858" s="14" t="s">
        <v>1257</v>
      </c>
      <c r="L858" s="14" t="s">
        <v>2839</v>
      </c>
      <c r="M858" s="14" t="s">
        <v>1218</v>
      </c>
      <c r="N858" s="14" t="s">
        <v>1237</v>
      </c>
      <c r="O858" s="14" t="s">
        <v>1220</v>
      </c>
    </row>
    <row r="859" spans="1:15" x14ac:dyDescent="0.25">
      <c r="A859" s="14" t="s">
        <v>2840</v>
      </c>
      <c r="B859" s="14" t="s">
        <v>2841</v>
      </c>
      <c r="C859" s="14" t="s">
        <v>2841</v>
      </c>
      <c r="D859" s="14" t="s">
        <v>2838</v>
      </c>
      <c r="E859" s="15"/>
      <c r="F859" s="14" t="s">
        <v>1216</v>
      </c>
      <c r="G859" s="15"/>
      <c r="H859" s="14" t="s">
        <v>2834</v>
      </c>
      <c r="I859" s="14" t="s">
        <v>1262</v>
      </c>
      <c r="J859" s="14" t="s">
        <v>1262</v>
      </c>
      <c r="K859" s="14"/>
      <c r="L859" s="14" t="s">
        <v>2839</v>
      </c>
      <c r="M859" s="14" t="s">
        <v>1218</v>
      </c>
      <c r="N859" s="14" t="s">
        <v>1219</v>
      </c>
      <c r="O859" s="14" t="s">
        <v>1220</v>
      </c>
    </row>
    <row r="860" spans="1:15" x14ac:dyDescent="0.25">
      <c r="A860" s="14">
        <v>7107</v>
      </c>
      <c r="B860" s="14" t="s">
        <v>1037</v>
      </c>
      <c r="C860" s="14" t="s">
        <v>1037</v>
      </c>
      <c r="D860" s="14" t="s">
        <v>2833</v>
      </c>
      <c r="E860" s="16">
        <v>120</v>
      </c>
      <c r="F860" s="14" t="s">
        <v>1216</v>
      </c>
      <c r="G860" s="17">
        <v>1200</v>
      </c>
      <c r="H860" s="14" t="s">
        <v>2834</v>
      </c>
      <c r="I860" s="14" t="s">
        <v>1256</v>
      </c>
      <c r="J860" s="14" t="s">
        <v>1242</v>
      </c>
      <c r="K860" s="14" t="s">
        <v>1257</v>
      </c>
      <c r="L860" s="14" t="s">
        <v>2842</v>
      </c>
      <c r="M860" s="14" t="s">
        <v>1218</v>
      </c>
      <c r="N860" s="14" t="s">
        <v>1237</v>
      </c>
      <c r="O860" s="14" t="s">
        <v>1220</v>
      </c>
    </row>
    <row r="861" spans="1:15" x14ac:dyDescent="0.25">
      <c r="A861" s="14" t="s">
        <v>2843</v>
      </c>
      <c r="B861" s="14" t="s">
        <v>2844</v>
      </c>
      <c r="C861" s="14" t="s">
        <v>2844</v>
      </c>
      <c r="D861" s="14" t="s">
        <v>2838</v>
      </c>
      <c r="E861" s="15"/>
      <c r="F861" s="14" t="s">
        <v>1216</v>
      </c>
      <c r="G861" s="15"/>
      <c r="H861" s="14" t="s">
        <v>2834</v>
      </c>
      <c r="I861" s="14" t="s">
        <v>1262</v>
      </c>
      <c r="J861" s="14" t="s">
        <v>1262</v>
      </c>
      <c r="K861" s="14"/>
      <c r="L861" s="14" t="s">
        <v>2842</v>
      </c>
      <c r="M861" s="14" t="s">
        <v>1218</v>
      </c>
      <c r="N861" s="14" t="s">
        <v>1219</v>
      </c>
      <c r="O861" s="14" t="s">
        <v>1220</v>
      </c>
    </row>
    <row r="862" spans="1:15" x14ac:dyDescent="0.25">
      <c r="A862" s="14">
        <v>7101</v>
      </c>
      <c r="B862" s="14" t="s">
        <v>1038</v>
      </c>
      <c r="C862" s="14" t="s">
        <v>1038</v>
      </c>
      <c r="D862" s="14" t="s">
        <v>2833</v>
      </c>
      <c r="E862" s="16">
        <v>120</v>
      </c>
      <c r="F862" s="14" t="s">
        <v>1216</v>
      </c>
      <c r="G862" s="17">
        <v>1200</v>
      </c>
      <c r="H862" s="14" t="s">
        <v>2834</v>
      </c>
      <c r="I862" s="14" t="s">
        <v>1256</v>
      </c>
      <c r="J862" s="14" t="s">
        <v>1242</v>
      </c>
      <c r="K862" s="14" t="s">
        <v>1257</v>
      </c>
      <c r="L862" s="14" t="s">
        <v>2845</v>
      </c>
      <c r="M862" s="14" t="s">
        <v>1218</v>
      </c>
      <c r="N862" s="14" t="s">
        <v>1237</v>
      </c>
      <c r="O862" s="14" t="s">
        <v>1220</v>
      </c>
    </row>
    <row r="863" spans="1:15" x14ac:dyDescent="0.25">
      <c r="A863" s="14" t="s">
        <v>2846</v>
      </c>
      <c r="B863" s="14" t="s">
        <v>2847</v>
      </c>
      <c r="C863" s="14" t="s">
        <v>2847</v>
      </c>
      <c r="D863" s="14" t="s">
        <v>2838</v>
      </c>
      <c r="E863" s="15"/>
      <c r="F863" s="14" t="s">
        <v>1216</v>
      </c>
      <c r="G863" s="15"/>
      <c r="H863" s="14" t="s">
        <v>2834</v>
      </c>
      <c r="I863" s="14" t="s">
        <v>1262</v>
      </c>
      <c r="J863" s="14" t="s">
        <v>1262</v>
      </c>
      <c r="K863" s="14"/>
      <c r="L863" s="14" t="s">
        <v>2845</v>
      </c>
      <c r="M863" s="14" t="s">
        <v>1218</v>
      </c>
      <c r="N863" s="14" t="s">
        <v>1219</v>
      </c>
      <c r="O863" s="14" t="s">
        <v>1220</v>
      </c>
    </row>
    <row r="864" spans="1:15" x14ac:dyDescent="0.25">
      <c r="A864" s="14">
        <v>7109</v>
      </c>
      <c r="B864" s="14" t="s">
        <v>1039</v>
      </c>
      <c r="C864" s="14" t="s">
        <v>1039</v>
      </c>
      <c r="D864" s="14" t="s">
        <v>2833</v>
      </c>
      <c r="E864" s="16">
        <v>120</v>
      </c>
      <c r="F864" s="14" t="s">
        <v>1216</v>
      </c>
      <c r="G864" s="17">
        <v>1200</v>
      </c>
      <c r="H864" s="14" t="s">
        <v>2834</v>
      </c>
      <c r="I864" s="14" t="s">
        <v>1256</v>
      </c>
      <c r="J864" s="14" t="s">
        <v>1233</v>
      </c>
      <c r="K864" s="14" t="s">
        <v>1257</v>
      </c>
      <c r="L864" s="14" t="s">
        <v>2848</v>
      </c>
      <c r="M864" s="14" t="s">
        <v>1218</v>
      </c>
      <c r="N864" s="14" t="s">
        <v>1237</v>
      </c>
      <c r="O864" s="14" t="s">
        <v>1220</v>
      </c>
    </row>
    <row r="865" spans="1:15" x14ac:dyDescent="0.25">
      <c r="A865" s="14" t="s">
        <v>2849</v>
      </c>
      <c r="B865" s="14" t="s">
        <v>2850</v>
      </c>
      <c r="C865" s="14" t="s">
        <v>2850</v>
      </c>
      <c r="D865" s="14" t="s">
        <v>2838</v>
      </c>
      <c r="E865" s="15"/>
      <c r="F865" s="14" t="s">
        <v>1216</v>
      </c>
      <c r="G865" s="15"/>
      <c r="H865" s="14" t="s">
        <v>2834</v>
      </c>
      <c r="I865" s="14" t="s">
        <v>1262</v>
      </c>
      <c r="J865" s="14" t="s">
        <v>1262</v>
      </c>
      <c r="K865" s="14"/>
      <c r="L865" s="14" t="s">
        <v>2848</v>
      </c>
      <c r="M865" s="14" t="s">
        <v>1218</v>
      </c>
      <c r="N865" s="14" t="s">
        <v>1219</v>
      </c>
      <c r="O865" s="14" t="s">
        <v>1220</v>
      </c>
    </row>
    <row r="866" spans="1:15" x14ac:dyDescent="0.25">
      <c r="A866" s="14">
        <v>7104</v>
      </c>
      <c r="B866" s="14" t="s">
        <v>1040</v>
      </c>
      <c r="C866" s="14" t="s">
        <v>1040</v>
      </c>
      <c r="D866" s="14" t="s">
        <v>2833</v>
      </c>
      <c r="E866" s="16">
        <v>120</v>
      </c>
      <c r="F866" s="14" t="s">
        <v>1216</v>
      </c>
      <c r="G866" s="17">
        <v>1200</v>
      </c>
      <c r="H866" s="14" t="s">
        <v>2834</v>
      </c>
      <c r="I866" s="14" t="s">
        <v>1256</v>
      </c>
      <c r="J866" s="14" t="s">
        <v>1242</v>
      </c>
      <c r="K866" s="14" t="s">
        <v>1257</v>
      </c>
      <c r="L866" s="14" t="s">
        <v>2851</v>
      </c>
      <c r="M866" s="14" t="s">
        <v>1218</v>
      </c>
      <c r="N866" s="14" t="s">
        <v>1237</v>
      </c>
      <c r="O866" s="14" t="s">
        <v>1220</v>
      </c>
    </row>
    <row r="867" spans="1:15" x14ac:dyDescent="0.25">
      <c r="A867" s="14" t="s">
        <v>2852</v>
      </c>
      <c r="B867" s="14" t="s">
        <v>2853</v>
      </c>
      <c r="C867" s="14" t="s">
        <v>2853</v>
      </c>
      <c r="D867" s="14" t="s">
        <v>2838</v>
      </c>
      <c r="E867" s="15"/>
      <c r="F867" s="14" t="s">
        <v>1216</v>
      </c>
      <c r="G867" s="15"/>
      <c r="H867" s="14" t="s">
        <v>2834</v>
      </c>
      <c r="I867" s="14" t="s">
        <v>1262</v>
      </c>
      <c r="J867" s="14" t="s">
        <v>1262</v>
      </c>
      <c r="K867" s="14"/>
      <c r="L867" s="14" t="s">
        <v>2851</v>
      </c>
      <c r="M867" s="14" t="s">
        <v>1218</v>
      </c>
      <c r="N867" s="14" t="s">
        <v>1219</v>
      </c>
      <c r="O867" s="14" t="s">
        <v>1220</v>
      </c>
    </row>
    <row r="868" spans="1:15" x14ac:dyDescent="0.25">
      <c r="A868" s="14">
        <v>7108</v>
      </c>
      <c r="B868" s="14" t="s">
        <v>1041</v>
      </c>
      <c r="C868" s="14" t="s">
        <v>1041</v>
      </c>
      <c r="D868" s="14" t="s">
        <v>2833</v>
      </c>
      <c r="E868" s="16">
        <v>100</v>
      </c>
      <c r="F868" s="14" t="s">
        <v>1216</v>
      </c>
      <c r="G868" s="17">
        <v>1000</v>
      </c>
      <c r="H868" s="14" t="s">
        <v>2834</v>
      </c>
      <c r="I868" s="14" t="s">
        <v>1256</v>
      </c>
      <c r="J868" s="14" t="s">
        <v>1242</v>
      </c>
      <c r="K868" s="14" t="s">
        <v>1257</v>
      </c>
      <c r="L868" s="14" t="s">
        <v>2854</v>
      </c>
      <c r="M868" s="14" t="s">
        <v>1218</v>
      </c>
      <c r="N868" s="14" t="s">
        <v>1237</v>
      </c>
      <c r="O868" s="14" t="s">
        <v>1220</v>
      </c>
    </row>
    <row r="869" spans="1:15" x14ac:dyDescent="0.25">
      <c r="A869" s="14" t="s">
        <v>2855</v>
      </c>
      <c r="B869" s="14" t="s">
        <v>2856</v>
      </c>
      <c r="C869" s="14" t="s">
        <v>2856</v>
      </c>
      <c r="D869" s="14" t="s">
        <v>2838</v>
      </c>
      <c r="E869" s="15"/>
      <c r="F869" s="14" t="s">
        <v>1216</v>
      </c>
      <c r="G869" s="15"/>
      <c r="H869" s="14" t="s">
        <v>2834</v>
      </c>
      <c r="I869" s="14" t="s">
        <v>1262</v>
      </c>
      <c r="J869" s="14" t="s">
        <v>1262</v>
      </c>
      <c r="K869" s="14"/>
      <c r="L869" s="14" t="s">
        <v>2854</v>
      </c>
      <c r="M869" s="14" t="s">
        <v>1218</v>
      </c>
      <c r="N869" s="14" t="s">
        <v>1219</v>
      </c>
      <c r="O869" s="14" t="s">
        <v>1220</v>
      </c>
    </row>
    <row r="870" spans="1:15" x14ac:dyDescent="0.25">
      <c r="A870" s="14">
        <v>7102</v>
      </c>
      <c r="B870" s="14" t="s">
        <v>1042</v>
      </c>
      <c r="C870" s="14" t="s">
        <v>1042</v>
      </c>
      <c r="D870" s="14" t="s">
        <v>2833</v>
      </c>
      <c r="E870" s="16">
        <v>100</v>
      </c>
      <c r="F870" s="14" t="s">
        <v>1216</v>
      </c>
      <c r="G870" s="17">
        <v>1000</v>
      </c>
      <c r="H870" s="14" t="s">
        <v>2834</v>
      </c>
      <c r="I870" s="14" t="s">
        <v>1256</v>
      </c>
      <c r="J870" s="14" t="s">
        <v>1242</v>
      </c>
      <c r="K870" s="14" t="s">
        <v>1257</v>
      </c>
      <c r="L870" s="14" t="s">
        <v>2857</v>
      </c>
      <c r="M870" s="14" t="s">
        <v>1218</v>
      </c>
      <c r="N870" s="14" t="s">
        <v>1237</v>
      </c>
      <c r="O870" s="14" t="s">
        <v>1220</v>
      </c>
    </row>
    <row r="871" spans="1:15" x14ac:dyDescent="0.25">
      <c r="A871" s="14" t="s">
        <v>2858</v>
      </c>
      <c r="B871" s="14" t="s">
        <v>2859</v>
      </c>
      <c r="C871" s="14" t="s">
        <v>2859</v>
      </c>
      <c r="D871" s="14" t="s">
        <v>2838</v>
      </c>
      <c r="E871" s="15"/>
      <c r="F871" s="14" t="s">
        <v>1216</v>
      </c>
      <c r="G871" s="15"/>
      <c r="H871" s="14" t="s">
        <v>2834</v>
      </c>
      <c r="I871" s="14" t="s">
        <v>1262</v>
      </c>
      <c r="J871" s="14" t="s">
        <v>1262</v>
      </c>
      <c r="K871" s="14"/>
      <c r="L871" s="14" t="s">
        <v>2857</v>
      </c>
      <c r="M871" s="14" t="s">
        <v>1218</v>
      </c>
      <c r="N871" s="14" t="s">
        <v>1219</v>
      </c>
      <c r="O871" s="14" t="s">
        <v>1220</v>
      </c>
    </row>
    <row r="872" spans="1:15" x14ac:dyDescent="0.25">
      <c r="A872" s="14">
        <v>7110</v>
      </c>
      <c r="B872" s="14" t="s">
        <v>1043</v>
      </c>
      <c r="C872" s="14" t="s">
        <v>1043</v>
      </c>
      <c r="D872" s="14" t="s">
        <v>2833</v>
      </c>
      <c r="E872" s="16">
        <v>100</v>
      </c>
      <c r="F872" s="14" t="s">
        <v>1216</v>
      </c>
      <c r="G872" s="17">
        <v>1000</v>
      </c>
      <c r="H872" s="14" t="s">
        <v>2834</v>
      </c>
      <c r="I872" s="14" t="s">
        <v>1256</v>
      </c>
      <c r="J872" s="14" t="s">
        <v>1242</v>
      </c>
      <c r="K872" s="14" t="s">
        <v>1257</v>
      </c>
      <c r="L872" s="14" t="s">
        <v>2860</v>
      </c>
      <c r="M872" s="14" t="s">
        <v>1218</v>
      </c>
      <c r="N872" s="14" t="s">
        <v>1237</v>
      </c>
      <c r="O872" s="14" t="s">
        <v>1220</v>
      </c>
    </row>
    <row r="873" spans="1:15" x14ac:dyDescent="0.25">
      <c r="A873" s="14" t="s">
        <v>2861</v>
      </c>
      <c r="B873" s="14" t="s">
        <v>2862</v>
      </c>
      <c r="C873" s="14" t="s">
        <v>2862</v>
      </c>
      <c r="D873" s="14" t="s">
        <v>2838</v>
      </c>
      <c r="E873" s="15"/>
      <c r="F873" s="14" t="s">
        <v>1216</v>
      </c>
      <c r="G873" s="15"/>
      <c r="H873" s="14" t="s">
        <v>2834</v>
      </c>
      <c r="I873" s="14" t="s">
        <v>1262</v>
      </c>
      <c r="J873" s="14" t="s">
        <v>1262</v>
      </c>
      <c r="K873" s="14"/>
      <c r="L873" s="14" t="s">
        <v>2860</v>
      </c>
      <c r="M873" s="14" t="s">
        <v>1218</v>
      </c>
      <c r="N873" s="14" t="s">
        <v>1219</v>
      </c>
      <c r="O873" s="14" t="s">
        <v>1220</v>
      </c>
    </row>
    <row r="874" spans="1:15" x14ac:dyDescent="0.25">
      <c r="A874" s="14">
        <v>7105</v>
      </c>
      <c r="B874" s="14" t="s">
        <v>1044</v>
      </c>
      <c r="C874" s="14" t="s">
        <v>1044</v>
      </c>
      <c r="D874" s="14" t="s">
        <v>2833</v>
      </c>
      <c r="E874" s="16">
        <v>100</v>
      </c>
      <c r="F874" s="14" t="s">
        <v>1216</v>
      </c>
      <c r="G874" s="17">
        <v>1000</v>
      </c>
      <c r="H874" s="14" t="s">
        <v>2834</v>
      </c>
      <c r="I874" s="14" t="s">
        <v>1256</v>
      </c>
      <c r="J874" s="14" t="s">
        <v>1296</v>
      </c>
      <c r="K874" s="14" t="s">
        <v>1257</v>
      </c>
      <c r="L874" s="14" t="s">
        <v>2863</v>
      </c>
      <c r="M874" s="14" t="s">
        <v>1218</v>
      </c>
      <c r="N874" s="14" t="s">
        <v>1237</v>
      </c>
      <c r="O874" s="14" t="s">
        <v>1220</v>
      </c>
    </row>
    <row r="875" spans="1:15" x14ac:dyDescent="0.25">
      <c r="A875" s="14" t="s">
        <v>2864</v>
      </c>
      <c r="B875" s="14" t="s">
        <v>2865</v>
      </c>
      <c r="C875" s="14" t="s">
        <v>2865</v>
      </c>
      <c r="D875" s="14" t="s">
        <v>2838</v>
      </c>
      <c r="E875" s="15"/>
      <c r="F875" s="14" t="s">
        <v>1216</v>
      </c>
      <c r="G875" s="15"/>
      <c r="H875" s="14" t="s">
        <v>2834</v>
      </c>
      <c r="I875" s="14" t="s">
        <v>1262</v>
      </c>
      <c r="J875" s="14" t="s">
        <v>1262</v>
      </c>
      <c r="K875" s="14"/>
      <c r="L875" s="14" t="s">
        <v>2863</v>
      </c>
      <c r="M875" s="14" t="s">
        <v>1218</v>
      </c>
      <c r="N875" s="14" t="s">
        <v>1219</v>
      </c>
      <c r="O875" s="14" t="s">
        <v>1220</v>
      </c>
    </row>
    <row r="876" spans="1:15" x14ac:dyDescent="0.25">
      <c r="A876" s="14">
        <v>4760001</v>
      </c>
      <c r="B876" s="14" t="s">
        <v>2866</v>
      </c>
      <c r="C876" s="14" t="s">
        <v>2866</v>
      </c>
      <c r="D876" s="14" t="s">
        <v>2867</v>
      </c>
      <c r="E876" s="15"/>
      <c r="F876" s="14" t="s">
        <v>1533</v>
      </c>
      <c r="G876" s="15"/>
      <c r="H876" s="14" t="s">
        <v>1534</v>
      </c>
      <c r="I876" s="14" t="s">
        <v>1360</v>
      </c>
      <c r="J876" s="14" t="s">
        <v>1360</v>
      </c>
      <c r="K876" s="14"/>
      <c r="L876" s="14"/>
      <c r="M876" s="14" t="s">
        <v>1218</v>
      </c>
      <c r="N876" s="14" t="s">
        <v>1219</v>
      </c>
      <c r="O876" s="14" t="s">
        <v>1220</v>
      </c>
    </row>
    <row r="877" spans="1:15" x14ac:dyDescent="0.25">
      <c r="A877" s="14">
        <v>4750001</v>
      </c>
      <c r="B877" s="14" t="s">
        <v>2868</v>
      </c>
      <c r="C877" s="14" t="s">
        <v>2868</v>
      </c>
      <c r="D877" s="14" t="s">
        <v>2867</v>
      </c>
      <c r="E877" s="15"/>
      <c r="F877" s="14" t="s">
        <v>1533</v>
      </c>
      <c r="G877" s="15"/>
      <c r="H877" s="14" t="s">
        <v>1534</v>
      </c>
      <c r="I877" s="14" t="s">
        <v>1360</v>
      </c>
      <c r="J877" s="14" t="s">
        <v>1360</v>
      </c>
      <c r="K877" s="14"/>
      <c r="L877" s="14"/>
      <c r="M877" s="14" t="s">
        <v>1218</v>
      </c>
      <c r="N877" s="14" t="s">
        <v>1219</v>
      </c>
      <c r="O877" s="14" t="s">
        <v>1220</v>
      </c>
    </row>
    <row r="878" spans="1:15" x14ac:dyDescent="0.25">
      <c r="A878" s="14">
        <v>4760003</v>
      </c>
      <c r="B878" s="14" t="s">
        <v>2869</v>
      </c>
      <c r="C878" s="14" t="s">
        <v>2869</v>
      </c>
      <c r="D878" s="14" t="s">
        <v>2867</v>
      </c>
      <c r="E878" s="15"/>
      <c r="F878" s="14" t="s">
        <v>1533</v>
      </c>
      <c r="G878" s="15"/>
      <c r="H878" s="14" t="s">
        <v>1534</v>
      </c>
      <c r="I878" s="14" t="s">
        <v>1360</v>
      </c>
      <c r="J878" s="14" t="s">
        <v>1360</v>
      </c>
      <c r="K878" s="14"/>
      <c r="L878" s="14"/>
      <c r="M878" s="14" t="s">
        <v>1218</v>
      </c>
      <c r="N878" s="14" t="s">
        <v>1219</v>
      </c>
      <c r="O878" s="14" t="s">
        <v>1220</v>
      </c>
    </row>
    <row r="879" spans="1:15" x14ac:dyDescent="0.25">
      <c r="A879" s="14">
        <v>4750003</v>
      </c>
      <c r="B879" s="14" t="s">
        <v>2870</v>
      </c>
      <c r="C879" s="14" t="s">
        <v>2870</v>
      </c>
      <c r="D879" s="14" t="s">
        <v>2867</v>
      </c>
      <c r="E879" s="15"/>
      <c r="F879" s="14" t="s">
        <v>1533</v>
      </c>
      <c r="G879" s="15"/>
      <c r="H879" s="14" t="s">
        <v>1534</v>
      </c>
      <c r="I879" s="14" t="s">
        <v>1360</v>
      </c>
      <c r="J879" s="14" t="s">
        <v>1360</v>
      </c>
      <c r="K879" s="14"/>
      <c r="L879" s="14"/>
      <c r="M879" s="14" t="s">
        <v>1218</v>
      </c>
      <c r="N879" s="14" t="s">
        <v>1219</v>
      </c>
      <c r="O879" s="14" t="s">
        <v>1220</v>
      </c>
    </row>
    <row r="880" spans="1:15" x14ac:dyDescent="0.25">
      <c r="A880" s="14">
        <v>4780001</v>
      </c>
      <c r="B880" s="14" t="s">
        <v>2871</v>
      </c>
      <c r="C880" s="14" t="s">
        <v>2871</v>
      </c>
      <c r="D880" s="14" t="s">
        <v>2867</v>
      </c>
      <c r="E880" s="15"/>
      <c r="F880" s="14" t="s">
        <v>1533</v>
      </c>
      <c r="G880" s="15"/>
      <c r="H880" s="14" t="s">
        <v>1534</v>
      </c>
      <c r="I880" s="14" t="s">
        <v>1360</v>
      </c>
      <c r="J880" s="14" t="s">
        <v>1360</v>
      </c>
      <c r="K880" s="14"/>
      <c r="L880" s="14"/>
      <c r="M880" s="14" t="s">
        <v>1218</v>
      </c>
      <c r="N880" s="14" t="s">
        <v>1219</v>
      </c>
      <c r="O880" s="14" t="s">
        <v>1220</v>
      </c>
    </row>
    <row r="881" spans="1:15" x14ac:dyDescent="0.25">
      <c r="A881" s="14">
        <v>4770001</v>
      </c>
      <c r="B881" s="14" t="s">
        <v>2872</v>
      </c>
      <c r="C881" s="14" t="s">
        <v>2872</v>
      </c>
      <c r="D881" s="14" t="s">
        <v>2867</v>
      </c>
      <c r="E881" s="15"/>
      <c r="F881" s="14" t="s">
        <v>1533</v>
      </c>
      <c r="G881" s="15"/>
      <c r="H881" s="14" t="s">
        <v>1534</v>
      </c>
      <c r="I881" s="14" t="s">
        <v>1360</v>
      </c>
      <c r="J881" s="14" t="s">
        <v>1360</v>
      </c>
      <c r="K881" s="14"/>
      <c r="L881" s="14"/>
      <c r="M881" s="14" t="s">
        <v>1218</v>
      </c>
      <c r="N881" s="14" t="s">
        <v>1219</v>
      </c>
      <c r="O881" s="14" t="s">
        <v>1220</v>
      </c>
    </row>
    <row r="882" spans="1:15" x14ac:dyDescent="0.25">
      <c r="A882" s="14">
        <v>4780003</v>
      </c>
      <c r="B882" s="14" t="s">
        <v>2873</v>
      </c>
      <c r="C882" s="14" t="s">
        <v>2873</v>
      </c>
      <c r="D882" s="14" t="s">
        <v>2867</v>
      </c>
      <c r="E882" s="15"/>
      <c r="F882" s="14" t="s">
        <v>1533</v>
      </c>
      <c r="G882" s="15"/>
      <c r="H882" s="14" t="s">
        <v>1534</v>
      </c>
      <c r="I882" s="14" t="s">
        <v>1360</v>
      </c>
      <c r="J882" s="14" t="s">
        <v>1360</v>
      </c>
      <c r="K882" s="14"/>
      <c r="L882" s="14"/>
      <c r="M882" s="14" t="s">
        <v>1218</v>
      </c>
      <c r="N882" s="14" t="s">
        <v>1219</v>
      </c>
      <c r="O882" s="14" t="s">
        <v>1220</v>
      </c>
    </row>
    <row r="883" spans="1:15" x14ac:dyDescent="0.25">
      <c r="A883" s="14">
        <v>4770003</v>
      </c>
      <c r="B883" s="14" t="s">
        <v>2874</v>
      </c>
      <c r="C883" s="14" t="s">
        <v>2874</v>
      </c>
      <c r="D883" s="14" t="s">
        <v>2867</v>
      </c>
      <c r="E883" s="15"/>
      <c r="F883" s="14" t="s">
        <v>1533</v>
      </c>
      <c r="G883" s="15"/>
      <c r="H883" s="14" t="s">
        <v>1534</v>
      </c>
      <c r="I883" s="14" t="s">
        <v>1360</v>
      </c>
      <c r="J883" s="14" t="s">
        <v>1360</v>
      </c>
      <c r="K883" s="14"/>
      <c r="L883" s="14"/>
      <c r="M883" s="14" t="s">
        <v>1218</v>
      </c>
      <c r="N883" s="14" t="s">
        <v>1219</v>
      </c>
      <c r="O883" s="14" t="s">
        <v>1220</v>
      </c>
    </row>
    <row r="884" spans="1:15" x14ac:dyDescent="0.25">
      <c r="A884" s="14">
        <v>872</v>
      </c>
      <c r="B884" s="14" t="s">
        <v>974</v>
      </c>
      <c r="C884" s="14" t="s">
        <v>2875</v>
      </c>
      <c r="D884" s="14" t="s">
        <v>2876</v>
      </c>
      <c r="E884" s="16">
        <v>100</v>
      </c>
      <c r="F884" s="14" t="s">
        <v>1216</v>
      </c>
      <c r="G884" s="17">
        <v>3000</v>
      </c>
      <c r="H884" s="14" t="s">
        <v>1216</v>
      </c>
      <c r="I884" s="14" t="s">
        <v>1256</v>
      </c>
      <c r="J884" s="14" t="s">
        <v>1233</v>
      </c>
      <c r="K884" s="14" t="s">
        <v>1257</v>
      </c>
      <c r="L884" s="14" t="s">
        <v>2877</v>
      </c>
      <c r="M884" s="14" t="s">
        <v>1218</v>
      </c>
      <c r="N884" s="14" t="s">
        <v>1237</v>
      </c>
      <c r="O884" s="14" t="s">
        <v>1220</v>
      </c>
    </row>
    <row r="885" spans="1:15" x14ac:dyDescent="0.25">
      <c r="A885" s="14" t="s">
        <v>2878</v>
      </c>
      <c r="B885" s="14" t="s">
        <v>2879</v>
      </c>
      <c r="C885" s="14" t="s">
        <v>2880</v>
      </c>
      <c r="D885" s="14" t="s">
        <v>2881</v>
      </c>
      <c r="E885" s="15"/>
      <c r="F885" s="14" t="s">
        <v>1216</v>
      </c>
      <c r="G885" s="15"/>
      <c r="H885" s="14" t="s">
        <v>1216</v>
      </c>
      <c r="I885" s="14" t="s">
        <v>1262</v>
      </c>
      <c r="J885" s="14" t="s">
        <v>1262</v>
      </c>
      <c r="K885" s="14"/>
      <c r="L885" s="14" t="s">
        <v>2877</v>
      </c>
      <c r="M885" s="14" t="s">
        <v>1218</v>
      </c>
      <c r="N885" s="14" t="s">
        <v>1219</v>
      </c>
      <c r="O885" s="14" t="s">
        <v>1220</v>
      </c>
    </row>
    <row r="886" spans="1:15" x14ac:dyDescent="0.25">
      <c r="A886" s="14">
        <v>3943</v>
      </c>
      <c r="B886" s="14" t="s">
        <v>2882</v>
      </c>
      <c r="C886" s="14" t="s">
        <v>2883</v>
      </c>
      <c r="D886" s="14" t="s">
        <v>2876</v>
      </c>
      <c r="E886" s="15"/>
      <c r="F886" s="14" t="s">
        <v>1350</v>
      </c>
      <c r="G886" s="15"/>
      <c r="H886" s="14" t="s">
        <v>1216</v>
      </c>
      <c r="I886" s="14" t="s">
        <v>1351</v>
      </c>
      <c r="J886" s="14" t="s">
        <v>1385</v>
      </c>
      <c r="K886" s="14" t="s">
        <v>1257</v>
      </c>
      <c r="L886" s="14" t="s">
        <v>2877</v>
      </c>
      <c r="M886" s="14" t="s">
        <v>1218</v>
      </c>
      <c r="N886" s="14" t="s">
        <v>1219</v>
      </c>
      <c r="O886" s="14" t="s">
        <v>1220</v>
      </c>
    </row>
    <row r="887" spans="1:15" x14ac:dyDescent="0.25">
      <c r="A887" s="14">
        <v>873</v>
      </c>
      <c r="B887" s="14" t="s">
        <v>975</v>
      </c>
      <c r="C887" s="14" t="s">
        <v>2884</v>
      </c>
      <c r="D887" s="14" t="s">
        <v>2876</v>
      </c>
      <c r="E887" s="16">
        <v>100</v>
      </c>
      <c r="F887" s="14" t="s">
        <v>1216</v>
      </c>
      <c r="G887" s="17">
        <v>2000</v>
      </c>
      <c r="H887" s="14" t="s">
        <v>1216</v>
      </c>
      <c r="I887" s="14" t="s">
        <v>1256</v>
      </c>
      <c r="J887" s="14" t="s">
        <v>1233</v>
      </c>
      <c r="K887" s="14" t="s">
        <v>1257</v>
      </c>
      <c r="L887" s="14" t="s">
        <v>2885</v>
      </c>
      <c r="M887" s="14" t="s">
        <v>1218</v>
      </c>
      <c r="N887" s="14" t="s">
        <v>1237</v>
      </c>
      <c r="O887" s="14" t="s">
        <v>1220</v>
      </c>
    </row>
    <row r="888" spans="1:15" x14ac:dyDescent="0.25">
      <c r="A888" s="14" t="s">
        <v>2886</v>
      </c>
      <c r="B888" s="14" t="s">
        <v>2887</v>
      </c>
      <c r="C888" s="14" t="s">
        <v>2888</v>
      </c>
      <c r="D888" s="14" t="s">
        <v>2881</v>
      </c>
      <c r="E888" s="15"/>
      <c r="F888" s="14" t="s">
        <v>1216</v>
      </c>
      <c r="G888" s="15"/>
      <c r="H888" s="14" t="s">
        <v>1216</v>
      </c>
      <c r="I888" s="14" t="s">
        <v>1262</v>
      </c>
      <c r="J888" s="14" t="s">
        <v>1262</v>
      </c>
      <c r="K888" s="14"/>
      <c r="L888" s="14" t="s">
        <v>2885</v>
      </c>
      <c r="M888" s="14" t="s">
        <v>1218</v>
      </c>
      <c r="N888" s="14" t="s">
        <v>1219</v>
      </c>
      <c r="O888" s="14" t="s">
        <v>1220</v>
      </c>
    </row>
    <row r="889" spans="1:15" x14ac:dyDescent="0.25">
      <c r="A889" s="14">
        <v>2420</v>
      </c>
      <c r="B889" s="14" t="s">
        <v>2889</v>
      </c>
      <c r="C889" s="14" t="s">
        <v>2890</v>
      </c>
      <c r="D889" s="14" t="s">
        <v>1349</v>
      </c>
      <c r="E889" s="15"/>
      <c r="F889" s="14"/>
      <c r="G889" s="15"/>
      <c r="H889" s="14" t="s">
        <v>1216</v>
      </c>
      <c r="I889" s="14" t="s">
        <v>1360</v>
      </c>
      <c r="J889" s="14" t="s">
        <v>1360</v>
      </c>
      <c r="K889" s="14"/>
      <c r="L889" s="14"/>
      <c r="M889" s="14" t="s">
        <v>1218</v>
      </c>
      <c r="N889" s="14" t="s">
        <v>1219</v>
      </c>
      <c r="O889" s="14" t="s">
        <v>1220</v>
      </c>
    </row>
    <row r="890" spans="1:15" x14ac:dyDescent="0.25">
      <c r="A890" s="14">
        <v>874</v>
      </c>
      <c r="B890" s="14" t="s">
        <v>976</v>
      </c>
      <c r="C890" s="14" t="s">
        <v>2891</v>
      </c>
      <c r="D890" s="14" t="s">
        <v>2876</v>
      </c>
      <c r="E890" s="16">
        <v>100</v>
      </c>
      <c r="F890" s="14" t="s">
        <v>1216</v>
      </c>
      <c r="G890" s="17">
        <v>3000</v>
      </c>
      <c r="H890" s="14" t="s">
        <v>1216</v>
      </c>
      <c r="I890" s="14" t="s">
        <v>1256</v>
      </c>
      <c r="J890" s="14" t="s">
        <v>1233</v>
      </c>
      <c r="K890" s="14" t="s">
        <v>1257</v>
      </c>
      <c r="L890" s="14" t="s">
        <v>2892</v>
      </c>
      <c r="M890" s="14" t="s">
        <v>1218</v>
      </c>
      <c r="N890" s="14" t="s">
        <v>1237</v>
      </c>
      <c r="O890" s="14" t="s">
        <v>1220</v>
      </c>
    </row>
    <row r="891" spans="1:15" x14ac:dyDescent="0.25">
      <c r="A891" s="14" t="s">
        <v>2893</v>
      </c>
      <c r="B891" s="14" t="s">
        <v>2894</v>
      </c>
      <c r="C891" s="14" t="s">
        <v>2895</v>
      </c>
      <c r="D891" s="14" t="s">
        <v>2881</v>
      </c>
      <c r="E891" s="15"/>
      <c r="F891" s="14" t="s">
        <v>1216</v>
      </c>
      <c r="G891" s="15"/>
      <c r="H891" s="14" t="s">
        <v>1216</v>
      </c>
      <c r="I891" s="14" t="s">
        <v>1262</v>
      </c>
      <c r="J891" s="14" t="s">
        <v>1262</v>
      </c>
      <c r="K891" s="14"/>
      <c r="L891" s="14" t="s">
        <v>2892</v>
      </c>
      <c r="M891" s="14" t="s">
        <v>1218</v>
      </c>
      <c r="N891" s="14" t="s">
        <v>1219</v>
      </c>
      <c r="O891" s="14" t="s">
        <v>1220</v>
      </c>
    </row>
    <row r="892" spans="1:15" x14ac:dyDescent="0.25">
      <c r="A892" s="14">
        <v>1165</v>
      </c>
      <c r="B892" s="14" t="s">
        <v>977</v>
      </c>
      <c r="C892" s="14" t="s">
        <v>2896</v>
      </c>
      <c r="D892" s="14" t="s">
        <v>2876</v>
      </c>
      <c r="E892" s="16">
        <v>100</v>
      </c>
      <c r="F892" s="14" t="s">
        <v>1216</v>
      </c>
      <c r="G892" s="17">
        <v>3000</v>
      </c>
      <c r="H892" s="14" t="s">
        <v>1216</v>
      </c>
      <c r="I892" s="14" t="s">
        <v>1256</v>
      </c>
      <c r="J892" s="14" t="s">
        <v>1242</v>
      </c>
      <c r="K892" s="14" t="s">
        <v>1257</v>
      </c>
      <c r="L892" s="14" t="s">
        <v>2897</v>
      </c>
      <c r="M892" s="14" t="s">
        <v>1218</v>
      </c>
      <c r="N892" s="14" t="s">
        <v>1237</v>
      </c>
      <c r="O892" s="14" t="s">
        <v>1220</v>
      </c>
    </row>
    <row r="893" spans="1:15" x14ac:dyDescent="0.25">
      <c r="A893" s="14" t="s">
        <v>2898</v>
      </c>
      <c r="B893" s="14" t="s">
        <v>2899</v>
      </c>
      <c r="C893" s="14" t="s">
        <v>2900</v>
      </c>
      <c r="D893" s="14" t="s">
        <v>2881</v>
      </c>
      <c r="E893" s="15"/>
      <c r="F893" s="14" t="s">
        <v>1216</v>
      </c>
      <c r="G893" s="15"/>
      <c r="H893" s="14" t="s">
        <v>1216</v>
      </c>
      <c r="I893" s="14" t="s">
        <v>1262</v>
      </c>
      <c r="J893" s="14" t="s">
        <v>1262</v>
      </c>
      <c r="K893" s="14"/>
      <c r="L893" s="14" t="s">
        <v>2897</v>
      </c>
      <c r="M893" s="14" t="s">
        <v>1218</v>
      </c>
      <c r="N893" s="14" t="s">
        <v>1219</v>
      </c>
      <c r="O893" s="14" t="s">
        <v>1220</v>
      </c>
    </row>
    <row r="894" spans="1:15" x14ac:dyDescent="0.25">
      <c r="A894" s="14">
        <v>3949</v>
      </c>
      <c r="B894" s="14" t="s">
        <v>2901</v>
      </c>
      <c r="C894" s="14" t="s">
        <v>2902</v>
      </c>
      <c r="D894" s="14" t="s">
        <v>2876</v>
      </c>
      <c r="E894" s="15"/>
      <c r="F894" s="14" t="s">
        <v>1350</v>
      </c>
      <c r="G894" s="15"/>
      <c r="H894" s="14" t="s">
        <v>1216</v>
      </c>
      <c r="I894" s="14" t="s">
        <v>1360</v>
      </c>
      <c r="J894" s="14" t="s">
        <v>1385</v>
      </c>
      <c r="K894" s="14" t="s">
        <v>1257</v>
      </c>
      <c r="L894" s="14" t="s">
        <v>2903</v>
      </c>
      <c r="M894" s="14" t="s">
        <v>1218</v>
      </c>
      <c r="N894" s="14" t="s">
        <v>1219</v>
      </c>
      <c r="O894" s="14" t="s">
        <v>1220</v>
      </c>
    </row>
    <row r="895" spans="1:15" x14ac:dyDescent="0.25">
      <c r="A895" s="14">
        <v>875</v>
      </c>
      <c r="B895" s="14" t="s">
        <v>978</v>
      </c>
      <c r="C895" s="14" t="s">
        <v>2904</v>
      </c>
      <c r="D895" s="14" t="s">
        <v>2876</v>
      </c>
      <c r="E895" s="16">
        <v>100</v>
      </c>
      <c r="F895" s="14" t="s">
        <v>1216</v>
      </c>
      <c r="G895" s="17">
        <v>2000</v>
      </c>
      <c r="H895" s="14" t="s">
        <v>1216</v>
      </c>
      <c r="I895" s="14" t="s">
        <v>1256</v>
      </c>
      <c r="J895" s="14" t="s">
        <v>1242</v>
      </c>
      <c r="K895" s="14" t="s">
        <v>1257</v>
      </c>
      <c r="L895" s="14" t="s">
        <v>2903</v>
      </c>
      <c r="M895" s="14" t="s">
        <v>1218</v>
      </c>
      <c r="N895" s="14" t="s">
        <v>1237</v>
      </c>
      <c r="O895" s="14" t="s">
        <v>1220</v>
      </c>
    </row>
    <row r="896" spans="1:15" x14ac:dyDescent="0.25">
      <c r="A896" s="14" t="s">
        <v>2905</v>
      </c>
      <c r="B896" s="14" t="s">
        <v>2906</v>
      </c>
      <c r="C896" s="14" t="s">
        <v>2907</v>
      </c>
      <c r="D896" s="14" t="s">
        <v>2881</v>
      </c>
      <c r="E896" s="15"/>
      <c r="F896" s="14" t="s">
        <v>1216</v>
      </c>
      <c r="G896" s="15"/>
      <c r="H896" s="14" t="s">
        <v>1216</v>
      </c>
      <c r="I896" s="14" t="s">
        <v>1262</v>
      </c>
      <c r="J896" s="14" t="s">
        <v>1262</v>
      </c>
      <c r="K896" s="14"/>
      <c r="L896" s="14" t="s">
        <v>2903</v>
      </c>
      <c r="M896" s="14" t="s">
        <v>1218</v>
      </c>
      <c r="N896" s="14" t="s">
        <v>1219</v>
      </c>
      <c r="O896" s="14" t="s">
        <v>1220</v>
      </c>
    </row>
    <row r="897" spans="1:15" x14ac:dyDescent="0.25">
      <c r="A897" s="14">
        <v>876</v>
      </c>
      <c r="B897" s="14" t="s">
        <v>979</v>
      </c>
      <c r="C897" s="14" t="s">
        <v>2908</v>
      </c>
      <c r="D897" s="14" t="s">
        <v>2876</v>
      </c>
      <c r="E897" s="16">
        <v>100</v>
      </c>
      <c r="F897" s="14" t="s">
        <v>1216</v>
      </c>
      <c r="G897" s="17">
        <v>3000</v>
      </c>
      <c r="H897" s="14" t="s">
        <v>1216</v>
      </c>
      <c r="I897" s="14" t="s">
        <v>1256</v>
      </c>
      <c r="J897" s="14" t="s">
        <v>1233</v>
      </c>
      <c r="K897" s="14" t="s">
        <v>1257</v>
      </c>
      <c r="L897" s="14" t="s">
        <v>2909</v>
      </c>
      <c r="M897" s="14" t="s">
        <v>1218</v>
      </c>
      <c r="N897" s="14" t="s">
        <v>1237</v>
      </c>
      <c r="O897" s="14" t="s">
        <v>1220</v>
      </c>
    </row>
    <row r="898" spans="1:15" x14ac:dyDescent="0.25">
      <c r="A898" s="14" t="s">
        <v>2910</v>
      </c>
      <c r="B898" s="14" t="s">
        <v>2911</v>
      </c>
      <c r="C898" s="14" t="s">
        <v>2912</v>
      </c>
      <c r="D898" s="14" t="s">
        <v>2881</v>
      </c>
      <c r="E898" s="15"/>
      <c r="F898" s="14" t="s">
        <v>1216</v>
      </c>
      <c r="G898" s="15"/>
      <c r="H898" s="14" t="s">
        <v>1216</v>
      </c>
      <c r="I898" s="14" t="s">
        <v>1262</v>
      </c>
      <c r="J898" s="14" t="s">
        <v>1262</v>
      </c>
      <c r="K898" s="14"/>
      <c r="L898" s="14" t="s">
        <v>2909</v>
      </c>
      <c r="M898" s="14" t="s">
        <v>1218</v>
      </c>
      <c r="N898" s="14" t="s">
        <v>1219</v>
      </c>
      <c r="O898" s="14" t="s">
        <v>1220</v>
      </c>
    </row>
    <row r="899" spans="1:15" x14ac:dyDescent="0.25">
      <c r="A899" s="14">
        <v>2430</v>
      </c>
      <c r="B899" s="14" t="s">
        <v>980</v>
      </c>
      <c r="C899" s="14" t="s">
        <v>2913</v>
      </c>
      <c r="D899" s="14" t="s">
        <v>2876</v>
      </c>
      <c r="E899" s="16">
        <v>100</v>
      </c>
      <c r="F899" s="14" t="s">
        <v>1216</v>
      </c>
      <c r="G899" s="17">
        <v>3000</v>
      </c>
      <c r="H899" s="14" t="s">
        <v>1216</v>
      </c>
      <c r="I899" s="14" t="s">
        <v>1256</v>
      </c>
      <c r="J899" s="14" t="s">
        <v>1242</v>
      </c>
      <c r="K899" s="14" t="s">
        <v>1257</v>
      </c>
      <c r="L899" s="14" t="s">
        <v>2914</v>
      </c>
      <c r="M899" s="14" t="s">
        <v>1218</v>
      </c>
      <c r="N899" s="14" t="s">
        <v>1237</v>
      </c>
      <c r="O899" s="14" t="s">
        <v>1220</v>
      </c>
    </row>
    <row r="900" spans="1:15" x14ac:dyDescent="0.25">
      <c r="A900" s="14" t="s">
        <v>2915</v>
      </c>
      <c r="B900" s="14" t="s">
        <v>2916</v>
      </c>
      <c r="C900" s="14" t="s">
        <v>2917</v>
      </c>
      <c r="D900" s="14" t="s">
        <v>2881</v>
      </c>
      <c r="E900" s="15"/>
      <c r="F900" s="14" t="s">
        <v>1216</v>
      </c>
      <c r="G900" s="15"/>
      <c r="H900" s="14" t="s">
        <v>1216</v>
      </c>
      <c r="I900" s="14" t="s">
        <v>1262</v>
      </c>
      <c r="J900" s="14" t="s">
        <v>1262</v>
      </c>
      <c r="K900" s="14"/>
      <c r="L900" s="14" t="s">
        <v>2914</v>
      </c>
      <c r="M900" s="14" t="s">
        <v>1218</v>
      </c>
      <c r="N900" s="14" t="s">
        <v>1219</v>
      </c>
      <c r="O900" s="14" t="s">
        <v>1220</v>
      </c>
    </row>
    <row r="901" spans="1:15" x14ac:dyDescent="0.25">
      <c r="A901" s="14">
        <v>3950</v>
      </c>
      <c r="B901" s="14" t="s">
        <v>2918</v>
      </c>
      <c r="C901" s="14" t="s">
        <v>2919</v>
      </c>
      <c r="D901" s="14" t="s">
        <v>1349</v>
      </c>
      <c r="E901" s="15"/>
      <c r="F901" s="14"/>
      <c r="G901" s="15"/>
      <c r="H901" s="14" t="s">
        <v>1216</v>
      </c>
      <c r="I901" s="14" t="s">
        <v>1360</v>
      </c>
      <c r="J901" s="14" t="s">
        <v>1360</v>
      </c>
      <c r="K901" s="14"/>
      <c r="L901" s="14"/>
      <c r="M901" s="14" t="s">
        <v>1218</v>
      </c>
      <c r="N901" s="14" t="s">
        <v>1219</v>
      </c>
      <c r="O901" s="14" t="s">
        <v>1220</v>
      </c>
    </row>
    <row r="902" spans="1:15" x14ac:dyDescent="0.25">
      <c r="A902" s="14">
        <v>1310</v>
      </c>
      <c r="B902" s="14" t="s">
        <v>981</v>
      </c>
      <c r="C902" s="14" t="s">
        <v>2920</v>
      </c>
      <c r="D902" s="14" t="s">
        <v>2876</v>
      </c>
      <c r="E902" s="16">
        <v>100</v>
      </c>
      <c r="F902" s="14" t="s">
        <v>1216</v>
      </c>
      <c r="G902" s="17">
        <v>2000</v>
      </c>
      <c r="H902" s="14" t="s">
        <v>1216</v>
      </c>
      <c r="I902" s="14" t="s">
        <v>1256</v>
      </c>
      <c r="J902" s="14" t="s">
        <v>1242</v>
      </c>
      <c r="K902" s="14" t="s">
        <v>1257</v>
      </c>
      <c r="L902" s="14" t="s">
        <v>2921</v>
      </c>
      <c r="M902" s="14" t="s">
        <v>1218</v>
      </c>
      <c r="N902" s="14" t="s">
        <v>1237</v>
      </c>
      <c r="O902" s="14" t="s">
        <v>1220</v>
      </c>
    </row>
    <row r="903" spans="1:15" x14ac:dyDescent="0.25">
      <c r="A903" s="14" t="s">
        <v>2922</v>
      </c>
      <c r="B903" s="14" t="s">
        <v>2923</v>
      </c>
      <c r="C903" s="14" t="s">
        <v>2924</v>
      </c>
      <c r="D903" s="14" t="s">
        <v>2881</v>
      </c>
      <c r="E903" s="15"/>
      <c r="F903" s="14" t="s">
        <v>1216</v>
      </c>
      <c r="G903" s="15"/>
      <c r="H903" s="14" t="s">
        <v>1216</v>
      </c>
      <c r="I903" s="14" t="s">
        <v>1262</v>
      </c>
      <c r="J903" s="14" t="s">
        <v>1262</v>
      </c>
      <c r="K903" s="14"/>
      <c r="L903" s="14" t="s">
        <v>2921</v>
      </c>
      <c r="M903" s="14" t="s">
        <v>1218</v>
      </c>
      <c r="N903" s="14" t="s">
        <v>1219</v>
      </c>
      <c r="O903" s="14" t="s">
        <v>1220</v>
      </c>
    </row>
    <row r="904" spans="1:15" x14ac:dyDescent="0.25">
      <c r="A904" s="14">
        <v>8830001</v>
      </c>
      <c r="B904" s="14" t="s">
        <v>2925</v>
      </c>
      <c r="C904" s="14" t="s">
        <v>2925</v>
      </c>
      <c r="D904" s="14" t="s">
        <v>1349</v>
      </c>
      <c r="E904" s="15"/>
      <c r="F904" s="14"/>
      <c r="G904" s="15"/>
      <c r="H904" s="14" t="s">
        <v>1534</v>
      </c>
      <c r="I904" s="14" t="s">
        <v>1360</v>
      </c>
      <c r="J904" s="14" t="s">
        <v>1360</v>
      </c>
      <c r="K904" s="14"/>
      <c r="L904" s="14" t="s">
        <v>2926</v>
      </c>
      <c r="M904" s="14" t="s">
        <v>1218</v>
      </c>
      <c r="N904" s="14" t="s">
        <v>1219</v>
      </c>
      <c r="O904" s="14" t="s">
        <v>1220</v>
      </c>
    </row>
    <row r="905" spans="1:15" x14ac:dyDescent="0.25">
      <c r="A905" s="14">
        <v>99999</v>
      </c>
      <c r="B905" s="14" t="s">
        <v>2927</v>
      </c>
      <c r="C905" s="14" t="s">
        <v>2927</v>
      </c>
      <c r="D905" s="14" t="s">
        <v>2928</v>
      </c>
      <c r="E905" s="15"/>
      <c r="F905" s="14" t="s">
        <v>1350</v>
      </c>
      <c r="G905" s="15"/>
      <c r="H905" s="14" t="s">
        <v>1534</v>
      </c>
      <c r="I905" s="14" t="s">
        <v>1360</v>
      </c>
      <c r="J905" s="14" t="s">
        <v>1360</v>
      </c>
      <c r="K905" s="14" t="s">
        <v>1257</v>
      </c>
      <c r="L905" s="14" t="s">
        <v>2921</v>
      </c>
      <c r="M905" s="14" t="s">
        <v>1218</v>
      </c>
      <c r="N905" s="14" t="s">
        <v>1219</v>
      </c>
      <c r="O905" s="14" t="s">
        <v>1220</v>
      </c>
    </row>
    <row r="906" spans="1:15" x14ac:dyDescent="0.25">
      <c r="A906" s="14">
        <v>7710002</v>
      </c>
      <c r="B906" s="14" t="s">
        <v>2929</v>
      </c>
      <c r="C906" s="14" t="s">
        <v>2929</v>
      </c>
      <c r="D906" s="14" t="s">
        <v>2717</v>
      </c>
      <c r="E906" s="15"/>
      <c r="F906" s="14" t="s">
        <v>1533</v>
      </c>
      <c r="G906" s="15"/>
      <c r="H906" s="14" t="s">
        <v>1534</v>
      </c>
      <c r="I906" s="14"/>
      <c r="J906" s="14" t="s">
        <v>1296</v>
      </c>
      <c r="K906" s="14"/>
      <c r="L906" s="14"/>
      <c r="M906" s="14" t="s">
        <v>1218</v>
      </c>
      <c r="N906" s="14" t="s">
        <v>1219</v>
      </c>
      <c r="O906" s="14" t="s">
        <v>1220</v>
      </c>
    </row>
    <row r="907" spans="1:15" x14ac:dyDescent="0.25">
      <c r="A907" s="14">
        <v>7710001</v>
      </c>
      <c r="B907" s="14" t="s">
        <v>2930</v>
      </c>
      <c r="C907" s="14" t="s">
        <v>2930</v>
      </c>
      <c r="D907" s="14" t="s">
        <v>2717</v>
      </c>
      <c r="E907" s="15"/>
      <c r="F907" s="14" t="s">
        <v>1533</v>
      </c>
      <c r="G907" s="15"/>
      <c r="H907" s="14" t="s">
        <v>1534</v>
      </c>
      <c r="I907" s="14"/>
      <c r="J907" s="14" t="s">
        <v>1296</v>
      </c>
      <c r="K907" s="14"/>
      <c r="L907" s="14"/>
      <c r="M907" s="14" t="s">
        <v>1218</v>
      </c>
      <c r="N907" s="14" t="s">
        <v>1219</v>
      </c>
      <c r="O907" s="14" t="s">
        <v>1220</v>
      </c>
    </row>
    <row r="908" spans="1:15" x14ac:dyDescent="0.25">
      <c r="A908" s="14">
        <v>8710007</v>
      </c>
      <c r="B908" s="14" t="s">
        <v>2931</v>
      </c>
      <c r="C908" s="14" t="s">
        <v>2931</v>
      </c>
      <c r="D908" s="14" t="s">
        <v>2717</v>
      </c>
      <c r="E908" s="15"/>
      <c r="F908" s="14" t="s">
        <v>1533</v>
      </c>
      <c r="G908" s="15"/>
      <c r="H908" s="14" t="s">
        <v>1534</v>
      </c>
      <c r="I908" s="14"/>
      <c r="J908" s="14" t="s">
        <v>1296</v>
      </c>
      <c r="K908" s="14"/>
      <c r="L908" s="14"/>
      <c r="M908" s="14" t="s">
        <v>1218</v>
      </c>
      <c r="N908" s="14" t="s">
        <v>1219</v>
      </c>
      <c r="O908" s="14" t="s">
        <v>1220</v>
      </c>
    </row>
    <row r="909" spans="1:15" x14ac:dyDescent="0.25">
      <c r="A909" s="14">
        <v>8710004</v>
      </c>
      <c r="B909" s="14" t="s">
        <v>2932</v>
      </c>
      <c r="C909" s="14" t="s">
        <v>2932</v>
      </c>
      <c r="D909" s="14" t="s">
        <v>2717</v>
      </c>
      <c r="E909" s="15"/>
      <c r="F909" s="14" t="s">
        <v>1533</v>
      </c>
      <c r="G909" s="15"/>
      <c r="H909" s="14" t="s">
        <v>1534</v>
      </c>
      <c r="I909" s="14"/>
      <c r="J909" s="14" t="s">
        <v>1296</v>
      </c>
      <c r="K909" s="14"/>
      <c r="L909" s="14"/>
      <c r="M909" s="14" t="s">
        <v>1218</v>
      </c>
      <c r="N909" s="14" t="s">
        <v>1219</v>
      </c>
      <c r="O909" s="14" t="s">
        <v>1220</v>
      </c>
    </row>
    <row r="910" spans="1:15" x14ac:dyDescent="0.25">
      <c r="A910" s="14" t="s">
        <v>2933</v>
      </c>
      <c r="B910" s="14" t="s">
        <v>2934</v>
      </c>
      <c r="C910" s="14" t="s">
        <v>2934</v>
      </c>
      <c r="D910" s="14" t="s">
        <v>2329</v>
      </c>
      <c r="E910" s="15"/>
      <c r="F910" s="14"/>
      <c r="G910" s="15"/>
      <c r="H910" s="14" t="s">
        <v>1216</v>
      </c>
      <c r="I910" s="14"/>
      <c r="J910" s="14" t="s">
        <v>1360</v>
      </c>
      <c r="K910" s="14"/>
      <c r="L910" s="14"/>
      <c r="M910" s="14"/>
      <c r="N910" s="14" t="s">
        <v>1219</v>
      </c>
      <c r="O910" s="14" t="s">
        <v>1220</v>
      </c>
    </row>
    <row r="911" spans="1:15" x14ac:dyDescent="0.25">
      <c r="A911" s="14" t="s">
        <v>2935</v>
      </c>
      <c r="B911" s="14" t="s">
        <v>2936</v>
      </c>
      <c r="C911" s="14" t="s">
        <v>2936</v>
      </c>
      <c r="D911" s="14" t="s">
        <v>2329</v>
      </c>
      <c r="E911" s="15"/>
      <c r="F911" s="14"/>
      <c r="G911" s="15"/>
      <c r="H911" s="14" t="s">
        <v>1216</v>
      </c>
      <c r="I911" s="14"/>
      <c r="J911" s="14" t="s">
        <v>1360</v>
      </c>
      <c r="K911" s="14"/>
      <c r="L911" s="14"/>
      <c r="M911" s="14"/>
      <c r="N911" s="14" t="s">
        <v>1219</v>
      </c>
      <c r="O911" s="14" t="s">
        <v>1220</v>
      </c>
    </row>
    <row r="912" spans="1:15" x14ac:dyDescent="0.25">
      <c r="A912" s="14" t="s">
        <v>2937</v>
      </c>
      <c r="B912" s="14" t="s">
        <v>2938</v>
      </c>
      <c r="C912" s="14" t="s">
        <v>2938</v>
      </c>
      <c r="D912" s="14" t="s">
        <v>2329</v>
      </c>
      <c r="E912" s="15"/>
      <c r="F912" s="14"/>
      <c r="G912" s="15"/>
      <c r="H912" s="14" t="s">
        <v>1216</v>
      </c>
      <c r="I912" s="14"/>
      <c r="J912" s="14" t="s">
        <v>1360</v>
      </c>
      <c r="K912" s="14"/>
      <c r="L912" s="14"/>
      <c r="M912" s="14"/>
      <c r="N912" s="14" t="s">
        <v>1219</v>
      </c>
      <c r="O912" s="14" t="s">
        <v>1220</v>
      </c>
    </row>
    <row r="913" spans="1:15" x14ac:dyDescent="0.25">
      <c r="A913" s="14" t="s">
        <v>2939</v>
      </c>
      <c r="B913" s="14" t="s">
        <v>2940</v>
      </c>
      <c r="C913" s="14" t="s">
        <v>2940</v>
      </c>
      <c r="D913" s="14" t="s">
        <v>2329</v>
      </c>
      <c r="E913" s="15"/>
      <c r="F913" s="14"/>
      <c r="G913" s="15"/>
      <c r="H913" s="14" t="s">
        <v>1216</v>
      </c>
      <c r="I913" s="14"/>
      <c r="J913" s="14" t="s">
        <v>1360</v>
      </c>
      <c r="K913" s="14"/>
      <c r="L913" s="14"/>
      <c r="M913" s="14"/>
      <c r="N913" s="14" t="s">
        <v>1219</v>
      </c>
      <c r="O913" s="14" t="s">
        <v>1220</v>
      </c>
    </row>
    <row r="914" spans="1:15" x14ac:dyDescent="0.25">
      <c r="A914" s="14">
        <v>3320009</v>
      </c>
      <c r="B914" s="14" t="s">
        <v>2941</v>
      </c>
      <c r="C914" s="14" t="s">
        <v>2941</v>
      </c>
      <c r="D914" s="14" t="s">
        <v>1533</v>
      </c>
      <c r="E914" s="15"/>
      <c r="F914" s="14" t="s">
        <v>1533</v>
      </c>
      <c r="G914" s="15"/>
      <c r="H914" s="14" t="s">
        <v>1534</v>
      </c>
      <c r="I914" s="14" t="s">
        <v>1360</v>
      </c>
      <c r="J914" s="14" t="s">
        <v>1360</v>
      </c>
      <c r="K914" s="14"/>
      <c r="L914" s="14"/>
      <c r="M914" s="14" t="s">
        <v>1218</v>
      </c>
      <c r="N914" s="14" t="s">
        <v>1219</v>
      </c>
      <c r="O914" s="14" t="s">
        <v>1220</v>
      </c>
    </row>
    <row r="915" spans="1:15" x14ac:dyDescent="0.25">
      <c r="A915" s="14">
        <v>3300019</v>
      </c>
      <c r="B915" s="14" t="s">
        <v>2942</v>
      </c>
      <c r="C915" s="14" t="s">
        <v>2942</v>
      </c>
      <c r="D915" s="14" t="s">
        <v>1533</v>
      </c>
      <c r="E915" s="15"/>
      <c r="F915" s="14" t="s">
        <v>1533</v>
      </c>
      <c r="G915" s="15"/>
      <c r="H915" s="14" t="s">
        <v>1534</v>
      </c>
      <c r="I915" s="14" t="s">
        <v>1360</v>
      </c>
      <c r="J915" s="14" t="s">
        <v>1360</v>
      </c>
      <c r="K915" s="14"/>
      <c r="L915" s="14"/>
      <c r="M915" s="14" t="s">
        <v>1218</v>
      </c>
      <c r="N915" s="14" t="s">
        <v>1219</v>
      </c>
      <c r="O915" s="14" t="s">
        <v>1220</v>
      </c>
    </row>
    <row r="916" spans="1:15" x14ac:dyDescent="0.25">
      <c r="A916" s="14">
        <v>3310019</v>
      </c>
      <c r="B916" s="14" t="s">
        <v>2943</v>
      </c>
      <c r="C916" s="14" t="s">
        <v>2943</v>
      </c>
      <c r="D916" s="14" t="s">
        <v>1533</v>
      </c>
      <c r="E916" s="15"/>
      <c r="F916" s="14" t="s">
        <v>1533</v>
      </c>
      <c r="G916" s="15"/>
      <c r="H916" s="14" t="s">
        <v>1534</v>
      </c>
      <c r="I916" s="14" t="s">
        <v>1360</v>
      </c>
      <c r="J916" s="14" t="s">
        <v>1360</v>
      </c>
      <c r="K916" s="14"/>
      <c r="L916" s="14"/>
      <c r="M916" s="14" t="s">
        <v>1218</v>
      </c>
      <c r="N916" s="14" t="s">
        <v>1219</v>
      </c>
      <c r="O916" s="14" t="s">
        <v>1220</v>
      </c>
    </row>
    <row r="917" spans="1:15" x14ac:dyDescent="0.25">
      <c r="A917" s="14">
        <v>3320017</v>
      </c>
      <c r="B917" s="14" t="s">
        <v>2944</v>
      </c>
      <c r="C917" s="14" t="s">
        <v>2944</v>
      </c>
      <c r="D917" s="14" t="s">
        <v>1533</v>
      </c>
      <c r="E917" s="15"/>
      <c r="F917" s="14" t="s">
        <v>1533</v>
      </c>
      <c r="G917" s="15"/>
      <c r="H917" s="14" t="s">
        <v>1534</v>
      </c>
      <c r="I917" s="14" t="s">
        <v>1360</v>
      </c>
      <c r="J917" s="14" t="s">
        <v>1360</v>
      </c>
      <c r="K917" s="14"/>
      <c r="L917" s="14"/>
      <c r="M917" s="14" t="s">
        <v>1218</v>
      </c>
      <c r="N917" s="14" t="s">
        <v>1219</v>
      </c>
      <c r="O917" s="14" t="s">
        <v>1220</v>
      </c>
    </row>
    <row r="918" spans="1:15" x14ac:dyDescent="0.25">
      <c r="A918" s="14">
        <v>3300029</v>
      </c>
      <c r="B918" s="14" t="s">
        <v>2945</v>
      </c>
      <c r="C918" s="14" t="s">
        <v>2945</v>
      </c>
      <c r="D918" s="14" t="s">
        <v>1533</v>
      </c>
      <c r="E918" s="15"/>
      <c r="F918" s="14" t="s">
        <v>1533</v>
      </c>
      <c r="G918" s="15"/>
      <c r="H918" s="14" t="s">
        <v>1534</v>
      </c>
      <c r="I918" s="14" t="s">
        <v>1360</v>
      </c>
      <c r="J918" s="14" t="s">
        <v>1360</v>
      </c>
      <c r="K918" s="14"/>
      <c r="L918" s="14"/>
      <c r="M918" s="14" t="s">
        <v>1218</v>
      </c>
      <c r="N918" s="14" t="s">
        <v>1219</v>
      </c>
      <c r="O918" s="14" t="s">
        <v>1220</v>
      </c>
    </row>
    <row r="919" spans="1:15" x14ac:dyDescent="0.25">
      <c r="A919" s="14">
        <v>3310027</v>
      </c>
      <c r="B919" s="14" t="s">
        <v>2946</v>
      </c>
      <c r="C919" s="14" t="s">
        <v>2946</v>
      </c>
      <c r="D919" s="14" t="s">
        <v>1533</v>
      </c>
      <c r="E919" s="15"/>
      <c r="F919" s="14" t="s">
        <v>1533</v>
      </c>
      <c r="G919" s="15"/>
      <c r="H919" s="14" t="s">
        <v>1534</v>
      </c>
      <c r="I919" s="14" t="s">
        <v>1360</v>
      </c>
      <c r="J919" s="14" t="s">
        <v>1360</v>
      </c>
      <c r="K919" s="14"/>
      <c r="L919" s="14"/>
      <c r="M919" s="14" t="s">
        <v>1218</v>
      </c>
      <c r="N919" s="14" t="s">
        <v>1219</v>
      </c>
      <c r="O919" s="14" t="s">
        <v>1220</v>
      </c>
    </row>
    <row r="920" spans="1:15" x14ac:dyDescent="0.25">
      <c r="A920" s="14">
        <v>3320013</v>
      </c>
      <c r="B920" s="14" t="s">
        <v>2947</v>
      </c>
      <c r="C920" s="14" t="s">
        <v>2947</v>
      </c>
      <c r="D920" s="14" t="s">
        <v>1533</v>
      </c>
      <c r="E920" s="15"/>
      <c r="F920" s="14" t="s">
        <v>1533</v>
      </c>
      <c r="G920" s="15"/>
      <c r="H920" s="14" t="s">
        <v>1534</v>
      </c>
      <c r="I920" s="14" t="s">
        <v>1360</v>
      </c>
      <c r="J920" s="14" t="s">
        <v>1360</v>
      </c>
      <c r="K920" s="14"/>
      <c r="L920" s="14"/>
      <c r="M920" s="14" t="s">
        <v>1218</v>
      </c>
      <c r="N920" s="14" t="s">
        <v>1219</v>
      </c>
      <c r="O920" s="14" t="s">
        <v>1220</v>
      </c>
    </row>
    <row r="921" spans="1:15" x14ac:dyDescent="0.25">
      <c r="A921" s="14">
        <v>3300024</v>
      </c>
      <c r="B921" s="14" t="s">
        <v>2948</v>
      </c>
      <c r="C921" s="14" t="s">
        <v>2948</v>
      </c>
      <c r="D921" s="14" t="s">
        <v>1533</v>
      </c>
      <c r="E921" s="15"/>
      <c r="F921" s="14" t="s">
        <v>1533</v>
      </c>
      <c r="G921" s="15"/>
      <c r="H921" s="14" t="s">
        <v>1534</v>
      </c>
      <c r="I921" s="14" t="s">
        <v>1360</v>
      </c>
      <c r="J921" s="14" t="s">
        <v>1360</v>
      </c>
      <c r="K921" s="14"/>
      <c r="L921" s="14"/>
      <c r="M921" s="14" t="s">
        <v>1218</v>
      </c>
      <c r="N921" s="14" t="s">
        <v>1219</v>
      </c>
      <c r="O921" s="14" t="s">
        <v>1220</v>
      </c>
    </row>
    <row r="922" spans="1:15" x14ac:dyDescent="0.25">
      <c r="A922" s="14">
        <v>3310023</v>
      </c>
      <c r="B922" s="14" t="s">
        <v>2949</v>
      </c>
      <c r="C922" s="14" t="s">
        <v>2949</v>
      </c>
      <c r="D922" s="14" t="s">
        <v>1533</v>
      </c>
      <c r="E922" s="15"/>
      <c r="F922" s="14" t="s">
        <v>1533</v>
      </c>
      <c r="G922" s="15"/>
      <c r="H922" s="14" t="s">
        <v>1534</v>
      </c>
      <c r="I922" s="14" t="s">
        <v>1360</v>
      </c>
      <c r="J922" s="14" t="s">
        <v>1360</v>
      </c>
      <c r="K922" s="14"/>
      <c r="L922" s="14"/>
      <c r="M922" s="14" t="s">
        <v>1218</v>
      </c>
      <c r="N922" s="14" t="s">
        <v>1219</v>
      </c>
      <c r="O922" s="14" t="s">
        <v>1220</v>
      </c>
    </row>
    <row r="923" spans="1:15" x14ac:dyDescent="0.25">
      <c r="A923" s="14">
        <v>2065</v>
      </c>
      <c r="B923" s="14" t="s">
        <v>986</v>
      </c>
      <c r="C923" s="14" t="s">
        <v>2950</v>
      </c>
      <c r="D923" s="14" t="s">
        <v>2951</v>
      </c>
      <c r="E923" s="16">
        <v>30</v>
      </c>
      <c r="F923" s="14" t="s">
        <v>1216</v>
      </c>
      <c r="G923" s="17">
        <v>1020</v>
      </c>
      <c r="H923" s="14" t="s">
        <v>1216</v>
      </c>
      <c r="I923" s="14" t="s">
        <v>1256</v>
      </c>
      <c r="J923" s="14" t="s">
        <v>1233</v>
      </c>
      <c r="K923" s="14" t="s">
        <v>1257</v>
      </c>
      <c r="L923" s="14" t="s">
        <v>2952</v>
      </c>
      <c r="M923" s="14" t="s">
        <v>1218</v>
      </c>
      <c r="N923" s="14" t="s">
        <v>1237</v>
      </c>
      <c r="O923" s="14" t="s">
        <v>1220</v>
      </c>
    </row>
    <row r="924" spans="1:15" x14ac:dyDescent="0.25">
      <c r="A924" s="14">
        <v>1161</v>
      </c>
      <c r="B924" s="14" t="s">
        <v>983</v>
      </c>
      <c r="C924" s="14" t="s">
        <v>2953</v>
      </c>
      <c r="D924" s="14" t="s">
        <v>2951</v>
      </c>
      <c r="E924" s="16">
        <v>100</v>
      </c>
      <c r="F924" s="14" t="s">
        <v>1216</v>
      </c>
      <c r="G924" s="17">
        <v>3000</v>
      </c>
      <c r="H924" s="14" t="s">
        <v>1216</v>
      </c>
      <c r="I924" s="14" t="s">
        <v>1256</v>
      </c>
      <c r="J924" s="14" t="s">
        <v>1233</v>
      </c>
      <c r="K924" s="14" t="s">
        <v>1257</v>
      </c>
      <c r="L924" s="14" t="s">
        <v>2954</v>
      </c>
      <c r="M924" s="14" t="s">
        <v>1218</v>
      </c>
      <c r="N924" s="14" t="s">
        <v>1237</v>
      </c>
      <c r="O924" s="14" t="s">
        <v>1220</v>
      </c>
    </row>
    <row r="925" spans="1:15" x14ac:dyDescent="0.25">
      <c r="A925" s="14" t="s">
        <v>2955</v>
      </c>
      <c r="B925" s="14" t="s">
        <v>2956</v>
      </c>
      <c r="C925" s="14" t="s">
        <v>2957</v>
      </c>
      <c r="D925" s="14" t="s">
        <v>2951</v>
      </c>
      <c r="E925" s="16">
        <v>100</v>
      </c>
      <c r="F925" s="14" t="s">
        <v>1216</v>
      </c>
      <c r="G925" s="17">
        <v>3000</v>
      </c>
      <c r="H925" s="14" t="s">
        <v>1216</v>
      </c>
      <c r="I925" s="14" t="s">
        <v>1262</v>
      </c>
      <c r="J925" s="14" t="s">
        <v>1262</v>
      </c>
      <c r="K925" s="14" t="s">
        <v>1257</v>
      </c>
      <c r="L925" s="14" t="s">
        <v>2954</v>
      </c>
      <c r="M925" s="14" t="s">
        <v>1218</v>
      </c>
      <c r="N925" s="14" t="s">
        <v>1219</v>
      </c>
      <c r="O925" s="14" t="s">
        <v>1220</v>
      </c>
    </row>
    <row r="926" spans="1:15" x14ac:dyDescent="0.25">
      <c r="A926" s="14">
        <v>1163</v>
      </c>
      <c r="B926" s="14" t="s">
        <v>982</v>
      </c>
      <c r="C926" s="14" t="s">
        <v>2958</v>
      </c>
      <c r="D926" s="14" t="s">
        <v>2951</v>
      </c>
      <c r="E926" s="16">
        <v>100</v>
      </c>
      <c r="F926" s="14" t="s">
        <v>1216</v>
      </c>
      <c r="G926" s="17">
        <v>3000</v>
      </c>
      <c r="H926" s="14" t="s">
        <v>1216</v>
      </c>
      <c r="I926" s="14" t="s">
        <v>1256</v>
      </c>
      <c r="J926" s="14" t="s">
        <v>1233</v>
      </c>
      <c r="K926" s="14" t="s">
        <v>1257</v>
      </c>
      <c r="L926" s="14" t="s">
        <v>2959</v>
      </c>
      <c r="M926" s="14" t="s">
        <v>1218</v>
      </c>
      <c r="N926" s="14" t="s">
        <v>1237</v>
      </c>
      <c r="O926" s="14" t="s">
        <v>1220</v>
      </c>
    </row>
    <row r="927" spans="1:15" x14ac:dyDescent="0.25">
      <c r="A927" s="14" t="s">
        <v>2960</v>
      </c>
      <c r="B927" s="14" t="s">
        <v>2961</v>
      </c>
      <c r="C927" s="14" t="s">
        <v>2962</v>
      </c>
      <c r="D927" s="14" t="s">
        <v>2963</v>
      </c>
      <c r="E927" s="15"/>
      <c r="F927" s="14" t="s">
        <v>1216</v>
      </c>
      <c r="G927" s="15"/>
      <c r="H927" s="14" t="s">
        <v>1216</v>
      </c>
      <c r="I927" s="14" t="s">
        <v>1262</v>
      </c>
      <c r="J927" s="14" t="s">
        <v>1262</v>
      </c>
      <c r="K927" s="14"/>
      <c r="L927" s="14" t="s">
        <v>2959</v>
      </c>
      <c r="M927" s="14" t="s">
        <v>1218</v>
      </c>
      <c r="N927" s="14" t="s">
        <v>1219</v>
      </c>
      <c r="O927" s="14" t="s">
        <v>1220</v>
      </c>
    </row>
    <row r="928" spans="1:15" x14ac:dyDescent="0.25">
      <c r="A928" s="14">
        <v>1162</v>
      </c>
      <c r="B928" s="14" t="s">
        <v>985</v>
      </c>
      <c r="C928" s="14" t="s">
        <v>2964</v>
      </c>
      <c r="D928" s="14" t="s">
        <v>2951</v>
      </c>
      <c r="E928" s="16">
        <v>50</v>
      </c>
      <c r="F928" s="14" t="s">
        <v>1216</v>
      </c>
      <c r="G928" s="17">
        <v>2000</v>
      </c>
      <c r="H928" s="14" t="s">
        <v>1216</v>
      </c>
      <c r="I928" s="14" t="s">
        <v>1256</v>
      </c>
      <c r="J928" s="14" t="s">
        <v>1242</v>
      </c>
      <c r="K928" s="14" t="s">
        <v>1257</v>
      </c>
      <c r="L928" s="14" t="s">
        <v>2965</v>
      </c>
      <c r="M928" s="14" t="s">
        <v>1218</v>
      </c>
      <c r="N928" s="14" t="s">
        <v>1237</v>
      </c>
      <c r="O928" s="14" t="s">
        <v>1220</v>
      </c>
    </row>
    <row r="929" spans="1:15" x14ac:dyDescent="0.25">
      <c r="A929" s="14" t="s">
        <v>2966</v>
      </c>
      <c r="B929" s="14" t="s">
        <v>2967</v>
      </c>
      <c r="C929" s="14" t="s">
        <v>2968</v>
      </c>
      <c r="D929" s="14" t="s">
        <v>2951</v>
      </c>
      <c r="E929" s="16">
        <v>50</v>
      </c>
      <c r="F929" s="14" t="s">
        <v>1216</v>
      </c>
      <c r="G929" s="17">
        <v>2000</v>
      </c>
      <c r="H929" s="14" t="s">
        <v>1216</v>
      </c>
      <c r="I929" s="14" t="s">
        <v>1262</v>
      </c>
      <c r="J929" s="14" t="s">
        <v>1262</v>
      </c>
      <c r="K929" s="14" t="s">
        <v>1257</v>
      </c>
      <c r="L929" s="14" t="s">
        <v>2965</v>
      </c>
      <c r="M929" s="14" t="s">
        <v>1218</v>
      </c>
      <c r="N929" s="14" t="s">
        <v>1219</v>
      </c>
      <c r="O929" s="14" t="s">
        <v>1220</v>
      </c>
    </row>
    <row r="930" spans="1:15" x14ac:dyDescent="0.25">
      <c r="A930" s="14">
        <v>1164</v>
      </c>
      <c r="B930" s="14" t="s">
        <v>984</v>
      </c>
      <c r="C930" s="14" t="s">
        <v>2969</v>
      </c>
      <c r="D930" s="14" t="s">
        <v>2951</v>
      </c>
      <c r="E930" s="16">
        <v>50</v>
      </c>
      <c r="F930" s="14" t="s">
        <v>1216</v>
      </c>
      <c r="G930" s="17">
        <v>2000</v>
      </c>
      <c r="H930" s="14" t="s">
        <v>1216</v>
      </c>
      <c r="I930" s="14" t="s">
        <v>1256</v>
      </c>
      <c r="J930" s="14" t="s">
        <v>1242</v>
      </c>
      <c r="K930" s="14" t="s">
        <v>1257</v>
      </c>
      <c r="L930" s="14" t="s">
        <v>2970</v>
      </c>
      <c r="M930" s="14" t="s">
        <v>1218</v>
      </c>
      <c r="N930" s="14" t="s">
        <v>1237</v>
      </c>
      <c r="O930" s="14" t="s">
        <v>1220</v>
      </c>
    </row>
    <row r="931" spans="1:15" x14ac:dyDescent="0.25">
      <c r="A931" s="14" t="s">
        <v>2971</v>
      </c>
      <c r="B931" s="14" t="s">
        <v>2972</v>
      </c>
      <c r="C931" s="14" t="s">
        <v>2972</v>
      </c>
      <c r="D931" s="14" t="s">
        <v>2329</v>
      </c>
      <c r="E931" s="15"/>
      <c r="F931" s="14"/>
      <c r="G931" s="15"/>
      <c r="H931" s="14" t="s">
        <v>1216</v>
      </c>
      <c r="I931" s="14"/>
      <c r="J931" s="14" t="s">
        <v>1360</v>
      </c>
      <c r="K931" s="14"/>
      <c r="L931" s="14"/>
      <c r="M931" s="14"/>
      <c r="N931" s="14" t="s">
        <v>1219</v>
      </c>
      <c r="O931" s="14" t="s">
        <v>1220</v>
      </c>
    </row>
    <row r="932" spans="1:15" x14ac:dyDescent="0.25">
      <c r="A932" s="14">
        <v>3220042</v>
      </c>
      <c r="B932" s="14" t="s">
        <v>2973</v>
      </c>
      <c r="C932" s="14" t="s">
        <v>2973</v>
      </c>
      <c r="D932" s="14" t="s">
        <v>1533</v>
      </c>
      <c r="E932" s="15"/>
      <c r="F932" s="14" t="s">
        <v>1533</v>
      </c>
      <c r="G932" s="15"/>
      <c r="H932" s="14" t="s">
        <v>1534</v>
      </c>
      <c r="I932" s="14" t="s">
        <v>1360</v>
      </c>
      <c r="J932" s="14" t="s">
        <v>1360</v>
      </c>
      <c r="K932" s="14"/>
      <c r="L932" s="14"/>
      <c r="M932" s="14" t="s">
        <v>1218</v>
      </c>
      <c r="N932" s="14" t="s">
        <v>1219</v>
      </c>
      <c r="O932" s="14" t="s">
        <v>1220</v>
      </c>
    </row>
    <row r="933" spans="1:15" x14ac:dyDescent="0.25">
      <c r="A933" s="14">
        <v>3200038</v>
      </c>
      <c r="B933" s="14" t="s">
        <v>2974</v>
      </c>
      <c r="C933" s="14" t="s">
        <v>2974</v>
      </c>
      <c r="D933" s="14" t="s">
        <v>1349</v>
      </c>
      <c r="E933" s="15"/>
      <c r="F933" s="14" t="s">
        <v>1533</v>
      </c>
      <c r="G933" s="15"/>
      <c r="H933" s="14" t="s">
        <v>1534</v>
      </c>
      <c r="I933" s="14" t="s">
        <v>1360</v>
      </c>
      <c r="J933" s="14" t="s">
        <v>1360</v>
      </c>
      <c r="K933" s="14"/>
      <c r="L933" s="14" t="s">
        <v>2975</v>
      </c>
      <c r="M933" s="14" t="s">
        <v>1218</v>
      </c>
      <c r="N933" s="14" t="s">
        <v>1219</v>
      </c>
      <c r="O933" s="14" t="s">
        <v>1220</v>
      </c>
    </row>
    <row r="934" spans="1:15" x14ac:dyDescent="0.25">
      <c r="A934" s="14">
        <v>6260010</v>
      </c>
      <c r="B934" s="14" t="s">
        <v>2976</v>
      </c>
      <c r="C934" s="14" t="s">
        <v>2976</v>
      </c>
      <c r="D934" s="14" t="s">
        <v>1533</v>
      </c>
      <c r="E934" s="15"/>
      <c r="F934" s="14" t="s">
        <v>1533</v>
      </c>
      <c r="G934" s="15"/>
      <c r="H934" s="14" t="s">
        <v>1534</v>
      </c>
      <c r="I934" s="14" t="s">
        <v>1360</v>
      </c>
      <c r="J934" s="14" t="s">
        <v>1360</v>
      </c>
      <c r="K934" s="14"/>
      <c r="L934" s="14"/>
      <c r="M934" s="14" t="s">
        <v>1218</v>
      </c>
      <c r="N934" s="14" t="s">
        <v>1219</v>
      </c>
      <c r="O934" s="14" t="s">
        <v>1220</v>
      </c>
    </row>
    <row r="935" spans="1:15" x14ac:dyDescent="0.25">
      <c r="A935" s="14">
        <v>3220027</v>
      </c>
      <c r="B935" s="14" t="s">
        <v>2977</v>
      </c>
      <c r="C935" s="14" t="s">
        <v>2977</v>
      </c>
      <c r="D935" s="14" t="s">
        <v>1349</v>
      </c>
      <c r="E935" s="15"/>
      <c r="F935" s="14" t="s">
        <v>1533</v>
      </c>
      <c r="G935" s="15"/>
      <c r="H935" s="14" t="s">
        <v>1534</v>
      </c>
      <c r="I935" s="14" t="s">
        <v>1360</v>
      </c>
      <c r="J935" s="14" t="s">
        <v>1360</v>
      </c>
      <c r="K935" s="14"/>
      <c r="L935" s="14" t="s">
        <v>2978</v>
      </c>
      <c r="M935" s="14" t="s">
        <v>1218</v>
      </c>
      <c r="N935" s="14" t="s">
        <v>1219</v>
      </c>
      <c r="O935" s="14" t="s">
        <v>1220</v>
      </c>
    </row>
    <row r="936" spans="1:15" x14ac:dyDescent="0.25">
      <c r="A936" s="14">
        <v>3200026</v>
      </c>
      <c r="B936" s="14" t="s">
        <v>2979</v>
      </c>
      <c r="C936" s="14" t="s">
        <v>2979</v>
      </c>
      <c r="D936" s="14" t="s">
        <v>1533</v>
      </c>
      <c r="E936" s="15"/>
      <c r="F936" s="14" t="s">
        <v>1533</v>
      </c>
      <c r="G936" s="15"/>
      <c r="H936" s="14" t="s">
        <v>1534</v>
      </c>
      <c r="I936" s="14" t="s">
        <v>1360</v>
      </c>
      <c r="J936" s="14" t="s">
        <v>1360</v>
      </c>
      <c r="K936" s="14"/>
      <c r="L936" s="14"/>
      <c r="M936" s="14" t="s">
        <v>1218</v>
      </c>
      <c r="N936" s="14" t="s">
        <v>1219</v>
      </c>
      <c r="O936" s="14" t="s">
        <v>1220</v>
      </c>
    </row>
    <row r="937" spans="1:15" x14ac:dyDescent="0.25">
      <c r="A937" s="14">
        <v>6260012</v>
      </c>
      <c r="B937" s="14" t="s">
        <v>2980</v>
      </c>
      <c r="C937" s="14" t="s">
        <v>2980</v>
      </c>
      <c r="D937" s="14" t="s">
        <v>1533</v>
      </c>
      <c r="E937" s="15"/>
      <c r="F937" s="14" t="s">
        <v>1533</v>
      </c>
      <c r="G937" s="15"/>
      <c r="H937" s="14" t="s">
        <v>1534</v>
      </c>
      <c r="I937" s="14"/>
      <c r="J937" s="14" t="s">
        <v>1360</v>
      </c>
      <c r="K937" s="14"/>
      <c r="L937" s="14"/>
      <c r="M937" s="14" t="s">
        <v>1218</v>
      </c>
      <c r="N937" s="14" t="s">
        <v>1219</v>
      </c>
      <c r="O937" s="14" t="s">
        <v>1220</v>
      </c>
    </row>
    <row r="938" spans="1:15" x14ac:dyDescent="0.25">
      <c r="A938" s="14">
        <v>3220037</v>
      </c>
      <c r="B938" s="14" t="s">
        <v>2981</v>
      </c>
      <c r="C938" s="14" t="s">
        <v>2981</v>
      </c>
      <c r="D938" s="14" t="s">
        <v>1349</v>
      </c>
      <c r="E938" s="15"/>
      <c r="F938" s="14" t="s">
        <v>1533</v>
      </c>
      <c r="G938" s="15"/>
      <c r="H938" s="14" t="s">
        <v>1534</v>
      </c>
      <c r="I938" s="14" t="s">
        <v>1360</v>
      </c>
      <c r="J938" s="14" t="s">
        <v>1360</v>
      </c>
      <c r="K938" s="14"/>
      <c r="L938" s="14" t="s">
        <v>2982</v>
      </c>
      <c r="M938" s="14" t="s">
        <v>1218</v>
      </c>
      <c r="N938" s="14" t="s">
        <v>1219</v>
      </c>
      <c r="O938" s="14" t="s">
        <v>1220</v>
      </c>
    </row>
    <row r="939" spans="1:15" x14ac:dyDescent="0.25">
      <c r="A939" s="14">
        <v>3200034</v>
      </c>
      <c r="B939" s="14" t="s">
        <v>2983</v>
      </c>
      <c r="C939" s="14" t="s">
        <v>2983</v>
      </c>
      <c r="D939" s="14" t="s">
        <v>1533</v>
      </c>
      <c r="E939" s="15"/>
      <c r="F939" s="14" t="s">
        <v>1533</v>
      </c>
      <c r="G939" s="15"/>
      <c r="H939" s="14" t="s">
        <v>1534</v>
      </c>
      <c r="I939" s="14" t="s">
        <v>1360</v>
      </c>
      <c r="J939" s="14" t="s">
        <v>1360</v>
      </c>
      <c r="K939" s="14"/>
      <c r="L939" s="14"/>
      <c r="M939" s="14" t="s">
        <v>1218</v>
      </c>
      <c r="N939" s="14" t="s">
        <v>1219</v>
      </c>
      <c r="O939" s="14" t="s">
        <v>1220</v>
      </c>
    </row>
    <row r="940" spans="1:15" x14ac:dyDescent="0.25">
      <c r="A940" s="14">
        <v>6260011</v>
      </c>
      <c r="B940" s="14" t="s">
        <v>2984</v>
      </c>
      <c r="C940" s="14" t="s">
        <v>2984</v>
      </c>
      <c r="D940" s="14" t="s">
        <v>1533</v>
      </c>
      <c r="E940" s="15"/>
      <c r="F940" s="14" t="s">
        <v>1533</v>
      </c>
      <c r="G940" s="15"/>
      <c r="H940" s="14" t="s">
        <v>1534</v>
      </c>
      <c r="I940" s="14"/>
      <c r="J940" s="14" t="s">
        <v>1360</v>
      </c>
      <c r="K940" s="14"/>
      <c r="L940" s="14"/>
      <c r="M940" s="14" t="s">
        <v>1218</v>
      </c>
      <c r="N940" s="14" t="s">
        <v>1219</v>
      </c>
      <c r="O940" s="14" t="s">
        <v>1220</v>
      </c>
    </row>
    <row r="941" spans="1:15" x14ac:dyDescent="0.25">
      <c r="A941" s="14">
        <v>3220032</v>
      </c>
      <c r="B941" s="14" t="s">
        <v>2985</v>
      </c>
      <c r="C941" s="14" t="s">
        <v>2985</v>
      </c>
      <c r="D941" s="14" t="s">
        <v>1349</v>
      </c>
      <c r="E941" s="15"/>
      <c r="F941" s="14" t="s">
        <v>1533</v>
      </c>
      <c r="G941" s="15"/>
      <c r="H941" s="14" t="s">
        <v>1534</v>
      </c>
      <c r="I941" s="14" t="s">
        <v>1360</v>
      </c>
      <c r="J941" s="14" t="s">
        <v>1360</v>
      </c>
      <c r="K941" s="14"/>
      <c r="L941" s="14" t="s">
        <v>2986</v>
      </c>
      <c r="M941" s="14" t="s">
        <v>1218</v>
      </c>
      <c r="N941" s="14" t="s">
        <v>1219</v>
      </c>
      <c r="O941" s="14" t="s">
        <v>1220</v>
      </c>
    </row>
    <row r="942" spans="1:15" x14ac:dyDescent="0.25">
      <c r="A942" s="14">
        <v>3200030</v>
      </c>
      <c r="B942" s="14" t="s">
        <v>2987</v>
      </c>
      <c r="C942" s="14" t="s">
        <v>2987</v>
      </c>
      <c r="D942" s="14" t="s">
        <v>1349</v>
      </c>
      <c r="E942" s="15"/>
      <c r="F942" s="14" t="s">
        <v>1533</v>
      </c>
      <c r="G942" s="15"/>
      <c r="H942" s="14" t="s">
        <v>1534</v>
      </c>
      <c r="I942" s="14" t="s">
        <v>1360</v>
      </c>
      <c r="J942" s="14" t="s">
        <v>1360</v>
      </c>
      <c r="K942" s="14"/>
      <c r="L942" s="14" t="s">
        <v>2988</v>
      </c>
      <c r="M942" s="14" t="s">
        <v>1218</v>
      </c>
      <c r="N942" s="14" t="s">
        <v>1219</v>
      </c>
      <c r="O942" s="14" t="s">
        <v>1220</v>
      </c>
    </row>
    <row r="943" spans="1:15" x14ac:dyDescent="0.25">
      <c r="A943" s="14" t="s">
        <v>2989</v>
      </c>
      <c r="B943" s="14" t="s">
        <v>2990</v>
      </c>
      <c r="C943" s="14" t="s">
        <v>2990</v>
      </c>
      <c r="D943" s="14" t="s">
        <v>1533</v>
      </c>
      <c r="E943" s="15"/>
      <c r="F943" s="14" t="s">
        <v>1533</v>
      </c>
      <c r="G943" s="15"/>
      <c r="H943" s="14" t="s">
        <v>1534</v>
      </c>
      <c r="I943" s="14" t="s">
        <v>1360</v>
      </c>
      <c r="J943" s="14" t="s">
        <v>1360</v>
      </c>
      <c r="K943" s="14"/>
      <c r="L943" s="14"/>
      <c r="M943" s="14" t="s">
        <v>1218</v>
      </c>
      <c r="N943" s="14" t="s">
        <v>1219</v>
      </c>
      <c r="O943" s="14" t="s">
        <v>1220</v>
      </c>
    </row>
    <row r="944" spans="1:15" x14ac:dyDescent="0.25">
      <c r="A944" s="14" t="s">
        <v>2991</v>
      </c>
      <c r="B944" s="14" t="s">
        <v>2992</v>
      </c>
      <c r="C944" s="14" t="s">
        <v>2992</v>
      </c>
      <c r="D944" s="14" t="s">
        <v>1533</v>
      </c>
      <c r="E944" s="15"/>
      <c r="F944" s="14" t="s">
        <v>1533</v>
      </c>
      <c r="G944" s="15"/>
      <c r="H944" s="14" t="s">
        <v>1534</v>
      </c>
      <c r="I944" s="14" t="s">
        <v>1360</v>
      </c>
      <c r="J944" s="14" t="s">
        <v>1360</v>
      </c>
      <c r="K944" s="14"/>
      <c r="L944" s="14"/>
      <c r="M944" s="14" t="s">
        <v>1218</v>
      </c>
      <c r="N944" s="14" t="s">
        <v>1219</v>
      </c>
      <c r="O944" s="14" t="s">
        <v>1220</v>
      </c>
    </row>
    <row r="945" spans="1:15" x14ac:dyDescent="0.25">
      <c r="A945" s="14" t="s">
        <v>2993</v>
      </c>
      <c r="B945" s="14" t="s">
        <v>2994</v>
      </c>
      <c r="C945" s="14" t="s">
        <v>2994</v>
      </c>
      <c r="D945" s="14" t="s">
        <v>1533</v>
      </c>
      <c r="E945" s="15"/>
      <c r="F945" s="14" t="s">
        <v>1533</v>
      </c>
      <c r="G945" s="15"/>
      <c r="H945" s="14" t="s">
        <v>1534</v>
      </c>
      <c r="I945" s="14" t="s">
        <v>1360</v>
      </c>
      <c r="J945" s="14" t="s">
        <v>1360</v>
      </c>
      <c r="K945" s="14"/>
      <c r="L945" s="14"/>
      <c r="M945" s="14" t="s">
        <v>1218</v>
      </c>
      <c r="N945" s="14" t="s">
        <v>1219</v>
      </c>
      <c r="O945" s="14" t="s">
        <v>1220</v>
      </c>
    </row>
    <row r="946" spans="1:15" x14ac:dyDescent="0.25">
      <c r="A946" s="14" t="s">
        <v>2995</v>
      </c>
      <c r="B946" s="14" t="s">
        <v>2996</v>
      </c>
      <c r="C946" s="14" t="s">
        <v>2996</v>
      </c>
      <c r="D946" s="14" t="s">
        <v>1533</v>
      </c>
      <c r="E946" s="15"/>
      <c r="F946" s="14" t="s">
        <v>1533</v>
      </c>
      <c r="G946" s="15"/>
      <c r="H946" s="14" t="s">
        <v>1534</v>
      </c>
      <c r="I946" s="14" t="s">
        <v>1360</v>
      </c>
      <c r="J946" s="14" t="s">
        <v>1360</v>
      </c>
      <c r="K946" s="14"/>
      <c r="L946" s="14"/>
      <c r="M946" s="14" t="s">
        <v>1218</v>
      </c>
      <c r="N946" s="14" t="s">
        <v>1219</v>
      </c>
      <c r="O946" s="14" t="s">
        <v>1220</v>
      </c>
    </row>
    <row r="947" spans="1:15" x14ac:dyDescent="0.25">
      <c r="A947" s="14" t="s">
        <v>2997</v>
      </c>
      <c r="B947" s="14" t="s">
        <v>2998</v>
      </c>
      <c r="C947" s="14" t="s">
        <v>2998</v>
      </c>
      <c r="D947" s="14" t="s">
        <v>1533</v>
      </c>
      <c r="E947" s="15"/>
      <c r="F947" s="14" t="s">
        <v>1533</v>
      </c>
      <c r="G947" s="15"/>
      <c r="H947" s="14" t="s">
        <v>1534</v>
      </c>
      <c r="I947" s="14" t="s">
        <v>1360</v>
      </c>
      <c r="J947" s="14" t="s">
        <v>1360</v>
      </c>
      <c r="K947" s="14"/>
      <c r="L947" s="14"/>
      <c r="M947" s="14" t="s">
        <v>1218</v>
      </c>
      <c r="N947" s="14" t="s">
        <v>1219</v>
      </c>
      <c r="O947" s="14" t="s">
        <v>1220</v>
      </c>
    </row>
    <row r="948" spans="1:15" x14ac:dyDescent="0.25">
      <c r="A948" s="14" t="s">
        <v>2999</v>
      </c>
      <c r="B948" s="14" t="s">
        <v>3000</v>
      </c>
      <c r="C948" s="14" t="s">
        <v>3000</v>
      </c>
      <c r="D948" s="14" t="s">
        <v>1533</v>
      </c>
      <c r="E948" s="15"/>
      <c r="F948" s="14" t="s">
        <v>1533</v>
      </c>
      <c r="G948" s="15"/>
      <c r="H948" s="14" t="s">
        <v>1534</v>
      </c>
      <c r="I948" s="14" t="s">
        <v>1360</v>
      </c>
      <c r="J948" s="14" t="s">
        <v>1360</v>
      </c>
      <c r="K948" s="14"/>
      <c r="L948" s="14"/>
      <c r="M948" s="14" t="s">
        <v>1218</v>
      </c>
      <c r="N948" s="14" t="s">
        <v>1219</v>
      </c>
      <c r="O948" s="14" t="s">
        <v>1220</v>
      </c>
    </row>
    <row r="949" spans="1:15" x14ac:dyDescent="0.25">
      <c r="A949" s="14">
        <v>9200007</v>
      </c>
      <c r="B949" s="14" t="s">
        <v>3001</v>
      </c>
      <c r="C949" s="14" t="s">
        <v>3001</v>
      </c>
      <c r="D949" s="14" t="s">
        <v>1533</v>
      </c>
      <c r="E949" s="15"/>
      <c r="F949" s="14"/>
      <c r="G949" s="15"/>
      <c r="H949" s="14" t="s">
        <v>1534</v>
      </c>
      <c r="I949" s="14" t="s">
        <v>1360</v>
      </c>
      <c r="J949" s="14" t="s">
        <v>1360</v>
      </c>
      <c r="K949" s="14"/>
      <c r="L949" s="14"/>
      <c r="M949" s="14" t="s">
        <v>1218</v>
      </c>
      <c r="N949" s="14" t="s">
        <v>1219</v>
      </c>
      <c r="O949" s="14" t="s">
        <v>1220</v>
      </c>
    </row>
    <row r="950" spans="1:15" x14ac:dyDescent="0.25">
      <c r="A950" s="14">
        <v>4791</v>
      </c>
      <c r="B950" s="14" t="s">
        <v>1034</v>
      </c>
      <c r="C950" s="14" t="s">
        <v>3002</v>
      </c>
      <c r="D950" s="14" t="s">
        <v>3003</v>
      </c>
      <c r="E950" s="16">
        <v>25</v>
      </c>
      <c r="F950" s="14" t="s">
        <v>1216</v>
      </c>
      <c r="G950" s="16">
        <v>500</v>
      </c>
      <c r="H950" s="14" t="s">
        <v>2334</v>
      </c>
      <c r="I950" s="14" t="s">
        <v>1256</v>
      </c>
      <c r="J950" s="14" t="s">
        <v>1242</v>
      </c>
      <c r="K950" s="14" t="s">
        <v>1257</v>
      </c>
      <c r="L950" s="14" t="s">
        <v>3004</v>
      </c>
      <c r="M950" s="14" t="s">
        <v>1218</v>
      </c>
      <c r="N950" s="14" t="s">
        <v>1237</v>
      </c>
      <c r="O950" s="14" t="s">
        <v>1220</v>
      </c>
    </row>
    <row r="951" spans="1:15" x14ac:dyDescent="0.25">
      <c r="A951" s="14">
        <v>9220007</v>
      </c>
      <c r="B951" s="14" t="s">
        <v>3005</v>
      </c>
      <c r="C951" s="14" t="s">
        <v>3005</v>
      </c>
      <c r="D951" s="14" t="s">
        <v>1533</v>
      </c>
      <c r="E951" s="15"/>
      <c r="F951" s="14"/>
      <c r="G951" s="15"/>
      <c r="H951" s="14" t="s">
        <v>1534</v>
      </c>
      <c r="I951" s="14" t="s">
        <v>1360</v>
      </c>
      <c r="J951" s="14" t="s">
        <v>1360</v>
      </c>
      <c r="K951" s="14"/>
      <c r="L951" s="14"/>
      <c r="M951" s="14" t="s">
        <v>1218</v>
      </c>
      <c r="N951" s="14" t="s">
        <v>1219</v>
      </c>
      <c r="O951" s="14" t="s">
        <v>1220</v>
      </c>
    </row>
    <row r="952" spans="1:15" x14ac:dyDescent="0.25">
      <c r="A952" s="14">
        <v>9200006</v>
      </c>
      <c r="B952" s="14" t="s">
        <v>3006</v>
      </c>
      <c r="C952" s="14" t="s">
        <v>3006</v>
      </c>
      <c r="D952" s="14" t="s">
        <v>1533</v>
      </c>
      <c r="E952" s="15"/>
      <c r="F952" s="14"/>
      <c r="G952" s="15"/>
      <c r="H952" s="14" t="s">
        <v>1534</v>
      </c>
      <c r="I952" s="14" t="s">
        <v>1360</v>
      </c>
      <c r="J952" s="14" t="s">
        <v>1360</v>
      </c>
      <c r="K952" s="14"/>
      <c r="L952" s="14"/>
      <c r="M952" s="14" t="s">
        <v>1218</v>
      </c>
      <c r="N952" s="14" t="s">
        <v>1219</v>
      </c>
      <c r="O952" s="14" t="s">
        <v>1220</v>
      </c>
    </row>
    <row r="953" spans="1:15" x14ac:dyDescent="0.25">
      <c r="A953" s="14">
        <v>4790</v>
      </c>
      <c r="B953" s="14" t="s">
        <v>1033</v>
      </c>
      <c r="C953" s="14" t="s">
        <v>3007</v>
      </c>
      <c r="D953" s="14" t="s">
        <v>3003</v>
      </c>
      <c r="E953" s="16">
        <v>50</v>
      </c>
      <c r="F953" s="14" t="s">
        <v>1216</v>
      </c>
      <c r="G953" s="17">
        <v>1000</v>
      </c>
      <c r="H953" s="14" t="s">
        <v>2334</v>
      </c>
      <c r="I953" s="14" t="s">
        <v>1256</v>
      </c>
      <c r="J953" s="14" t="s">
        <v>1233</v>
      </c>
      <c r="K953" s="14" t="s">
        <v>1257</v>
      </c>
      <c r="L953" s="14" t="s">
        <v>3008</v>
      </c>
      <c r="M953" s="14" t="s">
        <v>1218</v>
      </c>
      <c r="N953" s="14" t="s">
        <v>1237</v>
      </c>
      <c r="O953" s="14" t="s">
        <v>1220</v>
      </c>
    </row>
    <row r="954" spans="1:15" x14ac:dyDescent="0.25">
      <c r="A954" s="14" t="s">
        <v>3009</v>
      </c>
      <c r="B954" s="14" t="s">
        <v>3010</v>
      </c>
      <c r="C954" s="14" t="s">
        <v>3011</v>
      </c>
      <c r="D954" s="14" t="s">
        <v>3003</v>
      </c>
      <c r="E954" s="15"/>
      <c r="F954" s="14" t="s">
        <v>1350</v>
      </c>
      <c r="G954" s="15"/>
      <c r="H954" s="14" t="s">
        <v>2334</v>
      </c>
      <c r="I954" s="14" t="s">
        <v>1262</v>
      </c>
      <c r="J954" s="14" t="s">
        <v>1262</v>
      </c>
      <c r="K954" s="14" t="s">
        <v>1257</v>
      </c>
      <c r="L954" s="14" t="s">
        <v>3008</v>
      </c>
      <c r="M954" s="14" t="s">
        <v>1218</v>
      </c>
      <c r="N954" s="14" t="s">
        <v>1219</v>
      </c>
      <c r="O954" s="14" t="s">
        <v>1220</v>
      </c>
    </row>
    <row r="955" spans="1:15" x14ac:dyDescent="0.25">
      <c r="A955" s="14">
        <v>4778</v>
      </c>
      <c r="B955" s="14" t="s">
        <v>1031</v>
      </c>
      <c r="C955" s="14" t="s">
        <v>3012</v>
      </c>
      <c r="D955" s="14" t="s">
        <v>3003</v>
      </c>
      <c r="E955" s="16">
        <v>100</v>
      </c>
      <c r="F955" s="14" t="s">
        <v>1216</v>
      </c>
      <c r="G955" s="17">
        <v>3000</v>
      </c>
      <c r="H955" s="14" t="s">
        <v>2334</v>
      </c>
      <c r="I955" s="14" t="s">
        <v>1256</v>
      </c>
      <c r="J955" s="14" t="s">
        <v>1233</v>
      </c>
      <c r="K955" s="14" t="s">
        <v>1257</v>
      </c>
      <c r="L955" s="14" t="s">
        <v>3013</v>
      </c>
      <c r="M955" s="14" t="s">
        <v>1218</v>
      </c>
      <c r="N955" s="14" t="s">
        <v>1237</v>
      </c>
      <c r="O955" s="14" t="s">
        <v>1220</v>
      </c>
    </row>
    <row r="956" spans="1:15" x14ac:dyDescent="0.25">
      <c r="A956" s="14" t="s">
        <v>3014</v>
      </c>
      <c r="B956" s="14" t="s">
        <v>3015</v>
      </c>
      <c r="C956" s="14" t="s">
        <v>3016</v>
      </c>
      <c r="D956" s="14" t="s">
        <v>2334</v>
      </c>
      <c r="E956" s="15"/>
      <c r="F956" s="14" t="s">
        <v>1350</v>
      </c>
      <c r="G956" s="15"/>
      <c r="H956" s="14" t="s">
        <v>2334</v>
      </c>
      <c r="I956" s="14" t="s">
        <v>1262</v>
      </c>
      <c r="J956" s="14" t="s">
        <v>1262</v>
      </c>
      <c r="K956" s="14" t="s">
        <v>1257</v>
      </c>
      <c r="L956" s="14" t="s">
        <v>3013</v>
      </c>
      <c r="M956" s="14" t="s">
        <v>1218</v>
      </c>
      <c r="N956" s="14" t="s">
        <v>1219</v>
      </c>
      <c r="O956" s="14" t="s">
        <v>1220</v>
      </c>
    </row>
    <row r="957" spans="1:15" x14ac:dyDescent="0.25">
      <c r="A957" s="14">
        <v>9220004</v>
      </c>
      <c r="B957" s="14" t="s">
        <v>3017</v>
      </c>
      <c r="C957" s="14" t="s">
        <v>3017</v>
      </c>
      <c r="D957" s="14" t="s">
        <v>1349</v>
      </c>
      <c r="E957" s="15"/>
      <c r="F957" s="14"/>
      <c r="G957" s="15"/>
      <c r="H957" s="14" t="s">
        <v>1534</v>
      </c>
      <c r="I957" s="14" t="s">
        <v>1360</v>
      </c>
      <c r="J957" s="14" t="s">
        <v>1360</v>
      </c>
      <c r="K957" s="14"/>
      <c r="L957" s="14" t="s">
        <v>3018</v>
      </c>
      <c r="M957" s="14" t="s">
        <v>1218</v>
      </c>
      <c r="N957" s="14" t="s">
        <v>1219</v>
      </c>
      <c r="O957" s="14" t="s">
        <v>1220</v>
      </c>
    </row>
    <row r="958" spans="1:15" x14ac:dyDescent="0.25">
      <c r="A958" s="14">
        <v>9200003</v>
      </c>
      <c r="B958" s="14" t="s">
        <v>3019</v>
      </c>
      <c r="C958" s="14" t="s">
        <v>3019</v>
      </c>
      <c r="D958" s="14" t="s">
        <v>1349</v>
      </c>
      <c r="E958" s="15"/>
      <c r="F958" s="14"/>
      <c r="G958" s="15"/>
      <c r="H958" s="14" t="s">
        <v>1534</v>
      </c>
      <c r="I958" s="14" t="s">
        <v>1360</v>
      </c>
      <c r="J958" s="14" t="s">
        <v>1360</v>
      </c>
      <c r="K958" s="14"/>
      <c r="L958" s="14"/>
      <c r="M958" s="14" t="s">
        <v>1218</v>
      </c>
      <c r="N958" s="14" t="s">
        <v>1219</v>
      </c>
      <c r="O958" s="14" t="s">
        <v>1220</v>
      </c>
    </row>
    <row r="959" spans="1:15" x14ac:dyDescent="0.25">
      <c r="A959" s="14">
        <v>9220006</v>
      </c>
      <c r="B959" s="14" t="s">
        <v>3020</v>
      </c>
      <c r="C959" s="14" t="s">
        <v>3020</v>
      </c>
      <c r="D959" s="14" t="s">
        <v>1349</v>
      </c>
      <c r="E959" s="15"/>
      <c r="F959" s="14"/>
      <c r="G959" s="15"/>
      <c r="H959" s="14" t="s">
        <v>1534</v>
      </c>
      <c r="I959" s="14" t="s">
        <v>1360</v>
      </c>
      <c r="J959" s="14" t="s">
        <v>1360</v>
      </c>
      <c r="K959" s="14"/>
      <c r="L959" s="14" t="s">
        <v>3021</v>
      </c>
      <c r="M959" s="14" t="s">
        <v>1218</v>
      </c>
      <c r="N959" s="14" t="s">
        <v>1219</v>
      </c>
      <c r="O959" s="14" t="s">
        <v>1220</v>
      </c>
    </row>
    <row r="960" spans="1:15" x14ac:dyDescent="0.25">
      <c r="A960" s="14">
        <v>9200005</v>
      </c>
      <c r="B960" s="14" t="s">
        <v>3022</v>
      </c>
      <c r="C960" s="14" t="s">
        <v>3022</v>
      </c>
      <c r="D960" s="14" t="s">
        <v>1533</v>
      </c>
      <c r="E960" s="15"/>
      <c r="F960" s="14"/>
      <c r="G960" s="15"/>
      <c r="H960" s="14" t="s">
        <v>1534</v>
      </c>
      <c r="I960" s="14" t="s">
        <v>1360</v>
      </c>
      <c r="J960" s="14" t="s">
        <v>1360</v>
      </c>
      <c r="K960" s="14"/>
      <c r="L960" s="14"/>
      <c r="M960" s="14" t="s">
        <v>1218</v>
      </c>
      <c r="N960" s="14" t="s">
        <v>1219</v>
      </c>
      <c r="O960" s="14" t="s">
        <v>1220</v>
      </c>
    </row>
    <row r="961" spans="1:15" x14ac:dyDescent="0.25">
      <c r="A961" s="14">
        <v>9200008</v>
      </c>
      <c r="B961" s="14" t="s">
        <v>3023</v>
      </c>
      <c r="C961" s="14" t="s">
        <v>3023</v>
      </c>
      <c r="D961" s="14" t="s">
        <v>1533</v>
      </c>
      <c r="E961" s="15"/>
      <c r="F961" s="14"/>
      <c r="G961" s="15"/>
      <c r="H961" s="14" t="s">
        <v>1534</v>
      </c>
      <c r="I961" s="14" t="s">
        <v>1360</v>
      </c>
      <c r="J961" s="14" t="s">
        <v>1360</v>
      </c>
      <c r="K961" s="14"/>
      <c r="L961" s="14"/>
      <c r="M961" s="14" t="s">
        <v>1218</v>
      </c>
      <c r="N961" s="14" t="s">
        <v>1219</v>
      </c>
      <c r="O961" s="14" t="s">
        <v>1220</v>
      </c>
    </row>
    <row r="962" spans="1:15" x14ac:dyDescent="0.25">
      <c r="A962" s="14">
        <v>4779</v>
      </c>
      <c r="B962" s="14" t="s">
        <v>1032</v>
      </c>
      <c r="C962" s="14" t="s">
        <v>3024</v>
      </c>
      <c r="D962" s="14" t="s">
        <v>3003</v>
      </c>
      <c r="E962" s="16">
        <v>80</v>
      </c>
      <c r="F962" s="14" t="s">
        <v>1216</v>
      </c>
      <c r="G962" s="17">
        <v>2000</v>
      </c>
      <c r="H962" s="14" t="s">
        <v>2334</v>
      </c>
      <c r="I962" s="14" t="s">
        <v>1256</v>
      </c>
      <c r="J962" s="14" t="s">
        <v>1233</v>
      </c>
      <c r="K962" s="14" t="s">
        <v>1257</v>
      </c>
      <c r="L962" s="14" t="s">
        <v>3025</v>
      </c>
      <c r="M962" s="14" t="s">
        <v>1218</v>
      </c>
      <c r="N962" s="14" t="s">
        <v>1237</v>
      </c>
      <c r="O962" s="14" t="s">
        <v>1220</v>
      </c>
    </row>
    <row r="963" spans="1:15" x14ac:dyDescent="0.25">
      <c r="A963" s="14" t="s">
        <v>3026</v>
      </c>
      <c r="B963" s="14" t="s">
        <v>3027</v>
      </c>
      <c r="C963" s="14" t="s">
        <v>3028</v>
      </c>
      <c r="D963" s="14" t="s">
        <v>3003</v>
      </c>
      <c r="E963" s="15"/>
      <c r="F963" s="14" t="s">
        <v>1350</v>
      </c>
      <c r="G963" s="15"/>
      <c r="H963" s="14" t="s">
        <v>2334</v>
      </c>
      <c r="I963" s="14" t="s">
        <v>1262</v>
      </c>
      <c r="J963" s="14" t="s">
        <v>1262</v>
      </c>
      <c r="K963" s="14" t="s">
        <v>1257</v>
      </c>
      <c r="L963" s="14" t="s">
        <v>3025</v>
      </c>
      <c r="M963" s="14" t="s">
        <v>1218</v>
      </c>
      <c r="N963" s="14" t="s">
        <v>1219</v>
      </c>
      <c r="O963" s="14" t="s">
        <v>1220</v>
      </c>
    </row>
    <row r="964" spans="1:15" x14ac:dyDescent="0.25">
      <c r="A964" s="14">
        <v>9220005</v>
      </c>
      <c r="B964" s="14" t="s">
        <v>3029</v>
      </c>
      <c r="C964" s="14" t="s">
        <v>3029</v>
      </c>
      <c r="D964" s="14" t="s">
        <v>1349</v>
      </c>
      <c r="E964" s="15"/>
      <c r="F964" s="14"/>
      <c r="G964" s="15"/>
      <c r="H964" s="14" t="s">
        <v>1534</v>
      </c>
      <c r="I964" s="14" t="s">
        <v>1360</v>
      </c>
      <c r="J964" s="14" t="s">
        <v>1360</v>
      </c>
      <c r="K964" s="14"/>
      <c r="L964" s="14" t="s">
        <v>3030</v>
      </c>
      <c r="M964" s="14" t="s">
        <v>1218</v>
      </c>
      <c r="N964" s="14" t="s">
        <v>1219</v>
      </c>
      <c r="O964" s="14" t="s">
        <v>1220</v>
      </c>
    </row>
    <row r="965" spans="1:15" x14ac:dyDescent="0.25">
      <c r="A965" s="14">
        <v>9200004</v>
      </c>
      <c r="B965" s="14" t="s">
        <v>3031</v>
      </c>
      <c r="C965" s="14" t="s">
        <v>3031</v>
      </c>
      <c r="D965" s="14" t="s">
        <v>1349</v>
      </c>
      <c r="E965" s="15"/>
      <c r="F965" s="14"/>
      <c r="G965" s="15"/>
      <c r="H965" s="14" t="s">
        <v>1534</v>
      </c>
      <c r="I965" s="14" t="s">
        <v>1360</v>
      </c>
      <c r="J965" s="14" t="s">
        <v>1360</v>
      </c>
      <c r="K965" s="14"/>
      <c r="L965" s="14"/>
      <c r="M965" s="14" t="s">
        <v>1218</v>
      </c>
      <c r="N965" s="14" t="s">
        <v>1219</v>
      </c>
      <c r="O965" s="14" t="s">
        <v>1220</v>
      </c>
    </row>
    <row r="966" spans="1:15" x14ac:dyDescent="0.25">
      <c r="A966" s="14">
        <v>3948</v>
      </c>
      <c r="B966" s="14" t="s">
        <v>993</v>
      </c>
      <c r="C966" s="14" t="s">
        <v>3032</v>
      </c>
      <c r="D966" s="14" t="s">
        <v>3003</v>
      </c>
      <c r="E966" s="16">
        <v>30</v>
      </c>
      <c r="F966" s="14" t="s">
        <v>1216</v>
      </c>
      <c r="G966" s="16">
        <v>510</v>
      </c>
      <c r="H966" s="14" t="s">
        <v>1216</v>
      </c>
      <c r="I966" s="14" t="s">
        <v>1256</v>
      </c>
      <c r="J966" s="14" t="s">
        <v>1233</v>
      </c>
      <c r="K966" s="14" t="s">
        <v>1257</v>
      </c>
      <c r="L966" s="14" t="s">
        <v>3033</v>
      </c>
      <c r="M966" s="14" t="s">
        <v>1218</v>
      </c>
      <c r="N966" s="14" t="s">
        <v>1237</v>
      </c>
      <c r="O966" s="14" t="s">
        <v>1220</v>
      </c>
    </row>
    <row r="967" spans="1:15" x14ac:dyDescent="0.25">
      <c r="A967" s="14">
        <v>1462</v>
      </c>
      <c r="B967" s="14" t="s">
        <v>992</v>
      </c>
      <c r="C967" s="14" t="s">
        <v>3034</v>
      </c>
      <c r="D967" s="14" t="s">
        <v>3003</v>
      </c>
      <c r="E967" s="16">
        <v>30</v>
      </c>
      <c r="F967" s="14" t="s">
        <v>1216</v>
      </c>
      <c r="G967" s="17">
        <v>1020</v>
      </c>
      <c r="H967" s="14" t="s">
        <v>1216</v>
      </c>
      <c r="I967" s="14" t="s">
        <v>1256</v>
      </c>
      <c r="J967" s="14" t="s">
        <v>1233</v>
      </c>
      <c r="K967" s="14" t="s">
        <v>1257</v>
      </c>
      <c r="L967" s="14" t="s">
        <v>3035</v>
      </c>
      <c r="M967" s="14" t="s">
        <v>1218</v>
      </c>
      <c r="N967" s="14" t="s">
        <v>1237</v>
      </c>
      <c r="O967" s="14" t="s">
        <v>1220</v>
      </c>
    </row>
    <row r="968" spans="1:15" x14ac:dyDescent="0.25">
      <c r="A968" s="14" t="s">
        <v>3036</v>
      </c>
      <c r="B968" s="14" t="s">
        <v>3037</v>
      </c>
      <c r="C968" s="14" t="s">
        <v>3038</v>
      </c>
      <c r="D968" s="14" t="s">
        <v>3039</v>
      </c>
      <c r="E968" s="15"/>
      <c r="F968" s="14" t="s">
        <v>1216</v>
      </c>
      <c r="G968" s="15"/>
      <c r="H968" s="14" t="s">
        <v>1216</v>
      </c>
      <c r="I968" s="14" t="s">
        <v>1262</v>
      </c>
      <c r="J968" s="14" t="s">
        <v>1262</v>
      </c>
      <c r="K968" s="14"/>
      <c r="L968" s="14" t="s">
        <v>3035</v>
      </c>
      <c r="M968" s="14" t="s">
        <v>1218</v>
      </c>
      <c r="N968" s="14" t="s">
        <v>1219</v>
      </c>
      <c r="O968" s="14" t="s">
        <v>1220</v>
      </c>
    </row>
    <row r="969" spans="1:15" x14ac:dyDescent="0.25">
      <c r="A969" s="14">
        <v>3947</v>
      </c>
      <c r="B969" s="14" t="s">
        <v>991</v>
      </c>
      <c r="C969" s="14" t="s">
        <v>3040</v>
      </c>
      <c r="D969" s="14" t="s">
        <v>3003</v>
      </c>
      <c r="E969" s="16">
        <v>30</v>
      </c>
      <c r="F969" s="14" t="s">
        <v>1216</v>
      </c>
      <c r="G969" s="17">
        <v>1020</v>
      </c>
      <c r="H969" s="14" t="s">
        <v>1216</v>
      </c>
      <c r="I969" s="14" t="s">
        <v>1256</v>
      </c>
      <c r="J969" s="14" t="s">
        <v>1242</v>
      </c>
      <c r="K969" s="14" t="s">
        <v>1257</v>
      </c>
      <c r="L969" s="14" t="s">
        <v>3041</v>
      </c>
      <c r="M969" s="14" t="s">
        <v>1218</v>
      </c>
      <c r="N969" s="14" t="s">
        <v>1237</v>
      </c>
      <c r="O969" s="14" t="s">
        <v>1220</v>
      </c>
    </row>
    <row r="970" spans="1:15" x14ac:dyDescent="0.25">
      <c r="A970" s="14" t="s">
        <v>3042</v>
      </c>
      <c r="B970" s="14" t="s">
        <v>3043</v>
      </c>
      <c r="C970" s="14" t="s">
        <v>3044</v>
      </c>
      <c r="D970" s="14" t="s">
        <v>1215</v>
      </c>
      <c r="E970" s="15"/>
      <c r="F970" s="14"/>
      <c r="G970" s="15"/>
      <c r="H970" s="14" t="s">
        <v>1216</v>
      </c>
      <c r="I970" s="14" t="s">
        <v>1217</v>
      </c>
      <c r="J970" s="14"/>
      <c r="K970" s="14"/>
      <c r="L970" s="14"/>
      <c r="M970" s="14" t="s">
        <v>1218</v>
      </c>
      <c r="N970" s="14" t="s">
        <v>1219</v>
      </c>
      <c r="O970" s="14" t="s">
        <v>1220</v>
      </c>
    </row>
    <row r="971" spans="1:15" x14ac:dyDescent="0.25">
      <c r="A971" s="14">
        <v>1013101</v>
      </c>
      <c r="B971" s="14" t="s">
        <v>3045</v>
      </c>
      <c r="C971" s="14" t="s">
        <v>3046</v>
      </c>
      <c r="D971" s="14" t="s">
        <v>1215</v>
      </c>
      <c r="E971" s="15"/>
      <c r="F971" s="14"/>
      <c r="G971" s="15"/>
      <c r="H971" s="14" t="s">
        <v>1216</v>
      </c>
      <c r="I971" s="14" t="s">
        <v>1217</v>
      </c>
      <c r="J971" s="14"/>
      <c r="K971" s="14"/>
      <c r="L971" s="14"/>
      <c r="M971" s="14" t="s">
        <v>1218</v>
      </c>
      <c r="N971" s="14" t="s">
        <v>1219</v>
      </c>
      <c r="O971" s="14" t="s">
        <v>1220</v>
      </c>
    </row>
    <row r="972" spans="1:15" x14ac:dyDescent="0.25">
      <c r="A972" s="14">
        <v>1167</v>
      </c>
      <c r="B972" s="14" t="s">
        <v>988</v>
      </c>
      <c r="C972" s="14" t="s">
        <v>3046</v>
      </c>
      <c r="D972" s="14" t="s">
        <v>3003</v>
      </c>
      <c r="E972" s="16">
        <v>100</v>
      </c>
      <c r="F972" s="14" t="s">
        <v>1216</v>
      </c>
      <c r="G972" s="17">
        <v>3000</v>
      </c>
      <c r="H972" s="14" t="s">
        <v>1216</v>
      </c>
      <c r="I972" s="14" t="s">
        <v>1256</v>
      </c>
      <c r="J972" s="14" t="s">
        <v>1233</v>
      </c>
      <c r="K972" s="14" t="s">
        <v>1257</v>
      </c>
      <c r="L972" s="14" t="s">
        <v>3047</v>
      </c>
      <c r="M972" s="14" t="s">
        <v>1218</v>
      </c>
      <c r="N972" s="14" t="s">
        <v>1237</v>
      </c>
      <c r="O972" s="14" t="s">
        <v>1220</v>
      </c>
    </row>
    <row r="973" spans="1:15" x14ac:dyDescent="0.25">
      <c r="A973" s="14" t="s">
        <v>3048</v>
      </c>
      <c r="B973" s="14" t="s">
        <v>3049</v>
      </c>
      <c r="C973" s="14" t="s">
        <v>3050</v>
      </c>
      <c r="D973" s="14" t="s">
        <v>3039</v>
      </c>
      <c r="E973" s="15"/>
      <c r="F973" s="14" t="s">
        <v>1216</v>
      </c>
      <c r="G973" s="15"/>
      <c r="H973" s="14" t="s">
        <v>1216</v>
      </c>
      <c r="I973" s="14" t="s">
        <v>1262</v>
      </c>
      <c r="J973" s="14" t="s">
        <v>1262</v>
      </c>
      <c r="K973" s="14"/>
      <c r="L973" s="14" t="s">
        <v>3047</v>
      </c>
      <c r="M973" s="14" t="s">
        <v>1218</v>
      </c>
      <c r="N973" s="14" t="s">
        <v>1219</v>
      </c>
      <c r="O973" s="14" t="s">
        <v>1220</v>
      </c>
    </row>
    <row r="974" spans="1:15" x14ac:dyDescent="0.25">
      <c r="A974" s="14">
        <v>1169</v>
      </c>
      <c r="B974" s="14" t="s">
        <v>987</v>
      </c>
      <c r="C974" s="14" t="s">
        <v>3051</v>
      </c>
      <c r="D974" s="14" t="s">
        <v>3003</v>
      </c>
      <c r="E974" s="16">
        <v>100</v>
      </c>
      <c r="F974" s="14" t="s">
        <v>1216</v>
      </c>
      <c r="G974" s="17">
        <v>3000</v>
      </c>
      <c r="H974" s="14" t="s">
        <v>1216</v>
      </c>
      <c r="I974" s="14" t="s">
        <v>1256</v>
      </c>
      <c r="J974" s="14" t="s">
        <v>1242</v>
      </c>
      <c r="K974" s="14" t="s">
        <v>1257</v>
      </c>
      <c r="L974" s="14" t="s">
        <v>3052</v>
      </c>
      <c r="M974" s="14" t="s">
        <v>1218</v>
      </c>
      <c r="N974" s="14" t="s">
        <v>1237</v>
      </c>
      <c r="O974" s="14" t="s">
        <v>1220</v>
      </c>
    </row>
    <row r="975" spans="1:15" x14ac:dyDescent="0.25">
      <c r="A975" s="14">
        <v>1013102</v>
      </c>
      <c r="B975" s="14" t="s">
        <v>3053</v>
      </c>
      <c r="C975" s="14" t="s">
        <v>3054</v>
      </c>
      <c r="D975" s="14" t="s">
        <v>1215</v>
      </c>
      <c r="E975" s="15"/>
      <c r="F975" s="14"/>
      <c r="G975" s="15"/>
      <c r="H975" s="14" t="s">
        <v>1216</v>
      </c>
      <c r="I975" s="14" t="s">
        <v>1217</v>
      </c>
      <c r="J975" s="14"/>
      <c r="K975" s="14"/>
      <c r="L975" s="14"/>
      <c r="M975" s="14" t="s">
        <v>1218</v>
      </c>
      <c r="N975" s="14" t="s">
        <v>1219</v>
      </c>
      <c r="O975" s="14" t="s">
        <v>1220</v>
      </c>
    </row>
    <row r="976" spans="1:15" x14ac:dyDescent="0.25">
      <c r="A976" s="14">
        <v>1168</v>
      </c>
      <c r="B976" s="14" t="s">
        <v>990</v>
      </c>
      <c r="C976" s="14" t="s">
        <v>3054</v>
      </c>
      <c r="D976" s="14" t="s">
        <v>3003</v>
      </c>
      <c r="E976" s="16">
        <v>60</v>
      </c>
      <c r="F976" s="14" t="s">
        <v>1216</v>
      </c>
      <c r="G976" s="17">
        <v>2040</v>
      </c>
      <c r="H976" s="14" t="s">
        <v>1216</v>
      </c>
      <c r="I976" s="14" t="s">
        <v>1256</v>
      </c>
      <c r="J976" s="14" t="s">
        <v>1233</v>
      </c>
      <c r="K976" s="14" t="s">
        <v>1257</v>
      </c>
      <c r="L976" s="14" t="s">
        <v>3055</v>
      </c>
      <c r="M976" s="14" t="s">
        <v>1218</v>
      </c>
      <c r="N976" s="14" t="s">
        <v>1237</v>
      </c>
      <c r="O976" s="14" t="s">
        <v>1220</v>
      </c>
    </row>
    <row r="977" spans="1:15" x14ac:dyDescent="0.25">
      <c r="A977" s="14" t="s">
        <v>3056</v>
      </c>
      <c r="B977" s="14" t="s">
        <v>3057</v>
      </c>
      <c r="C977" s="14" t="s">
        <v>3058</v>
      </c>
      <c r="D977" s="14" t="s">
        <v>3039</v>
      </c>
      <c r="E977" s="15"/>
      <c r="F977" s="14" t="s">
        <v>1216</v>
      </c>
      <c r="G977" s="15"/>
      <c r="H977" s="14" t="s">
        <v>1216</v>
      </c>
      <c r="I977" s="14" t="s">
        <v>1262</v>
      </c>
      <c r="J977" s="14" t="s">
        <v>1262</v>
      </c>
      <c r="K977" s="14"/>
      <c r="L977" s="14" t="s">
        <v>3055</v>
      </c>
      <c r="M977" s="14" t="s">
        <v>1218</v>
      </c>
      <c r="N977" s="14" t="s">
        <v>1219</v>
      </c>
      <c r="O977" s="14" t="s">
        <v>1220</v>
      </c>
    </row>
    <row r="978" spans="1:15" x14ac:dyDescent="0.25">
      <c r="A978" s="14">
        <v>1170</v>
      </c>
      <c r="B978" s="14" t="s">
        <v>989</v>
      </c>
      <c r="C978" s="14" t="s">
        <v>3059</v>
      </c>
      <c r="D978" s="14" t="s">
        <v>3003</v>
      </c>
      <c r="E978" s="16">
        <v>60</v>
      </c>
      <c r="F978" s="14" t="s">
        <v>1216</v>
      </c>
      <c r="G978" s="17">
        <v>2040</v>
      </c>
      <c r="H978" s="14" t="s">
        <v>1216</v>
      </c>
      <c r="I978" s="14" t="s">
        <v>1256</v>
      </c>
      <c r="J978" s="14" t="s">
        <v>1242</v>
      </c>
      <c r="K978" s="14" t="s">
        <v>1257</v>
      </c>
      <c r="L978" s="14" t="s">
        <v>3060</v>
      </c>
      <c r="M978" s="14" t="s">
        <v>1218</v>
      </c>
      <c r="N978" s="14" t="s">
        <v>1237</v>
      </c>
      <c r="O978" s="14" t="s">
        <v>1220</v>
      </c>
    </row>
    <row r="979" spans="1:15" x14ac:dyDescent="0.25">
      <c r="A979" s="14">
        <v>1171</v>
      </c>
      <c r="B979" s="14" t="s">
        <v>994</v>
      </c>
      <c r="C979" s="14" t="s">
        <v>3061</v>
      </c>
      <c r="D979" s="14" t="s">
        <v>3003</v>
      </c>
      <c r="E979" s="16">
        <v>100</v>
      </c>
      <c r="F979" s="14" t="s">
        <v>1216</v>
      </c>
      <c r="G979" s="17">
        <v>3000</v>
      </c>
      <c r="H979" s="14" t="s">
        <v>1216</v>
      </c>
      <c r="I979" s="14" t="s">
        <v>1256</v>
      </c>
      <c r="J979" s="14" t="s">
        <v>1233</v>
      </c>
      <c r="K979" s="14" t="s">
        <v>1257</v>
      </c>
      <c r="L979" s="14" t="s">
        <v>3062</v>
      </c>
      <c r="M979" s="14" t="s">
        <v>1218</v>
      </c>
      <c r="N979" s="14" t="s">
        <v>1237</v>
      </c>
      <c r="O979" s="14" t="s">
        <v>1220</v>
      </c>
    </row>
    <row r="980" spans="1:15" x14ac:dyDescent="0.25">
      <c r="A980" s="14" t="s">
        <v>3063</v>
      </c>
      <c r="B980" s="14" t="s">
        <v>3064</v>
      </c>
      <c r="C980" s="14" t="s">
        <v>3065</v>
      </c>
      <c r="D980" s="14" t="s">
        <v>3039</v>
      </c>
      <c r="E980" s="15"/>
      <c r="F980" s="14" t="s">
        <v>1216</v>
      </c>
      <c r="G980" s="15"/>
      <c r="H980" s="14" t="s">
        <v>1216</v>
      </c>
      <c r="I980" s="14" t="s">
        <v>1262</v>
      </c>
      <c r="J980" s="14" t="s">
        <v>1262</v>
      </c>
      <c r="K980" s="14"/>
      <c r="L980" s="14" t="s">
        <v>3062</v>
      </c>
      <c r="M980" s="14" t="s">
        <v>1218</v>
      </c>
      <c r="N980" s="14" t="s">
        <v>1219</v>
      </c>
      <c r="O980" s="14" t="s">
        <v>1220</v>
      </c>
    </row>
    <row r="981" spans="1:15" x14ac:dyDescent="0.25">
      <c r="A981" s="14">
        <v>1173</v>
      </c>
      <c r="B981" s="14" t="s">
        <v>3066</v>
      </c>
      <c r="C981" s="14" t="s">
        <v>3067</v>
      </c>
      <c r="D981" s="14" t="s">
        <v>3003</v>
      </c>
      <c r="E981" s="15"/>
      <c r="F981" s="14" t="s">
        <v>1350</v>
      </c>
      <c r="G981" s="15"/>
      <c r="H981" s="14" t="s">
        <v>1216</v>
      </c>
      <c r="I981" s="14" t="s">
        <v>1360</v>
      </c>
      <c r="J981" s="14" t="s">
        <v>1385</v>
      </c>
      <c r="K981" s="14" t="s">
        <v>1257</v>
      </c>
      <c r="L981" s="14" t="s">
        <v>3004</v>
      </c>
      <c r="M981" s="14" t="s">
        <v>1218</v>
      </c>
      <c r="N981" s="14" t="s">
        <v>1219</v>
      </c>
      <c r="O981" s="14" t="s">
        <v>1220</v>
      </c>
    </row>
    <row r="982" spans="1:15" x14ac:dyDescent="0.25">
      <c r="A982" s="14">
        <v>1172</v>
      </c>
      <c r="B982" s="14" t="s">
        <v>995</v>
      </c>
      <c r="C982" s="14" t="s">
        <v>3068</v>
      </c>
      <c r="D982" s="14" t="s">
        <v>3003</v>
      </c>
      <c r="E982" s="16">
        <v>50</v>
      </c>
      <c r="F982" s="14" t="s">
        <v>1216</v>
      </c>
      <c r="G982" s="17">
        <v>2000</v>
      </c>
      <c r="H982" s="14" t="s">
        <v>1216</v>
      </c>
      <c r="I982" s="14" t="s">
        <v>1256</v>
      </c>
      <c r="J982" s="14" t="s">
        <v>1233</v>
      </c>
      <c r="K982" s="14" t="s">
        <v>1257</v>
      </c>
      <c r="L982" s="14" t="s">
        <v>3069</v>
      </c>
      <c r="M982" s="14" t="s">
        <v>1218</v>
      </c>
      <c r="N982" s="14" t="s">
        <v>1237</v>
      </c>
      <c r="O982" s="14" t="s">
        <v>1220</v>
      </c>
    </row>
    <row r="983" spans="1:15" x14ac:dyDescent="0.25">
      <c r="A983" s="14">
        <v>1174</v>
      </c>
      <c r="B983" s="14" t="s">
        <v>3070</v>
      </c>
      <c r="C983" s="14" t="s">
        <v>3071</v>
      </c>
      <c r="D983" s="14" t="s">
        <v>1349</v>
      </c>
      <c r="E983" s="15"/>
      <c r="F983" s="14"/>
      <c r="G983" s="15"/>
      <c r="H983" s="14" t="s">
        <v>1216</v>
      </c>
      <c r="I983" s="14" t="s">
        <v>1360</v>
      </c>
      <c r="J983" s="14" t="s">
        <v>1360</v>
      </c>
      <c r="K983" s="14"/>
      <c r="L983" s="14"/>
      <c r="M983" s="14" t="s">
        <v>1218</v>
      </c>
      <c r="N983" s="14" t="s">
        <v>1219</v>
      </c>
      <c r="O983" s="14" t="s">
        <v>1220</v>
      </c>
    </row>
    <row r="984" spans="1:15" x14ac:dyDescent="0.25">
      <c r="A984" s="14">
        <v>1175</v>
      </c>
      <c r="B984" s="14" t="s">
        <v>996</v>
      </c>
      <c r="C984" s="14" t="s">
        <v>3072</v>
      </c>
      <c r="D984" s="14" t="s">
        <v>1499</v>
      </c>
      <c r="E984" s="16">
        <v>100</v>
      </c>
      <c r="F984" s="14" t="s">
        <v>1216</v>
      </c>
      <c r="G984" s="17">
        <v>2000</v>
      </c>
      <c r="H984" s="14" t="s">
        <v>1216</v>
      </c>
      <c r="I984" s="14" t="s">
        <v>1256</v>
      </c>
      <c r="J984" s="14" t="s">
        <v>1233</v>
      </c>
      <c r="K984" s="14" t="s">
        <v>1257</v>
      </c>
      <c r="L984" s="14" t="s">
        <v>3073</v>
      </c>
      <c r="M984" s="14" t="s">
        <v>1218</v>
      </c>
      <c r="N984" s="14" t="s">
        <v>1237</v>
      </c>
      <c r="O984" s="14" t="s">
        <v>1220</v>
      </c>
    </row>
    <row r="985" spans="1:15" x14ac:dyDescent="0.25">
      <c r="A985" s="14" t="s">
        <v>3074</v>
      </c>
      <c r="B985" s="14" t="s">
        <v>3075</v>
      </c>
      <c r="C985" s="14" t="s">
        <v>3076</v>
      </c>
      <c r="D985" s="14" t="s">
        <v>1504</v>
      </c>
      <c r="E985" s="15"/>
      <c r="F985" s="14" t="s">
        <v>1216</v>
      </c>
      <c r="G985" s="15"/>
      <c r="H985" s="14" t="s">
        <v>1216</v>
      </c>
      <c r="I985" s="14" t="s">
        <v>1262</v>
      </c>
      <c r="J985" s="14" t="s">
        <v>1262</v>
      </c>
      <c r="K985" s="14"/>
      <c r="L985" s="14" t="s">
        <v>3073</v>
      </c>
      <c r="M985" s="14" t="s">
        <v>1218</v>
      </c>
      <c r="N985" s="14" t="s">
        <v>1219</v>
      </c>
      <c r="O985" s="14" t="s">
        <v>1220</v>
      </c>
    </row>
    <row r="986" spans="1:15" x14ac:dyDescent="0.25">
      <c r="A986" s="14">
        <v>8770004</v>
      </c>
      <c r="B986" s="14" t="s">
        <v>3077</v>
      </c>
      <c r="C986" s="14" t="s">
        <v>3078</v>
      </c>
      <c r="D986" s="14" t="s">
        <v>1349</v>
      </c>
      <c r="E986" s="15"/>
      <c r="F986" s="14" t="s">
        <v>1533</v>
      </c>
      <c r="G986" s="15"/>
      <c r="H986" s="14" t="s">
        <v>1534</v>
      </c>
      <c r="I986" s="14" t="s">
        <v>1360</v>
      </c>
      <c r="J986" s="14" t="s">
        <v>1360</v>
      </c>
      <c r="K986" s="14"/>
      <c r="L986" s="14" t="s">
        <v>3079</v>
      </c>
      <c r="M986" s="14" t="s">
        <v>1218</v>
      </c>
      <c r="N986" s="14" t="s">
        <v>1219</v>
      </c>
      <c r="O986" s="14" t="s">
        <v>1220</v>
      </c>
    </row>
    <row r="987" spans="1:15" x14ac:dyDescent="0.25">
      <c r="A987" s="14">
        <v>1331</v>
      </c>
      <c r="B987" s="14" t="s">
        <v>997</v>
      </c>
      <c r="C987" s="14" t="s">
        <v>3080</v>
      </c>
      <c r="D987" s="14" t="s">
        <v>1499</v>
      </c>
      <c r="E987" s="16">
        <v>120</v>
      </c>
      <c r="F987" s="14" t="s">
        <v>1216</v>
      </c>
      <c r="G987" s="17">
        <v>3000</v>
      </c>
      <c r="H987" s="14" t="s">
        <v>1216</v>
      </c>
      <c r="I987" s="14" t="s">
        <v>1256</v>
      </c>
      <c r="J987" s="14" t="s">
        <v>1233</v>
      </c>
      <c r="K987" s="14" t="s">
        <v>1257</v>
      </c>
      <c r="L987" s="14" t="s">
        <v>3081</v>
      </c>
      <c r="M987" s="14" t="s">
        <v>1218</v>
      </c>
      <c r="N987" s="14" t="s">
        <v>1237</v>
      </c>
      <c r="O987" s="14" t="s">
        <v>1220</v>
      </c>
    </row>
    <row r="988" spans="1:15" x14ac:dyDescent="0.25">
      <c r="A988" s="14" t="s">
        <v>3082</v>
      </c>
      <c r="B988" s="14" t="s">
        <v>3083</v>
      </c>
      <c r="C988" s="14" t="s">
        <v>3084</v>
      </c>
      <c r="D988" s="14" t="s">
        <v>1504</v>
      </c>
      <c r="E988" s="15"/>
      <c r="F988" s="14" t="s">
        <v>1216</v>
      </c>
      <c r="G988" s="15"/>
      <c r="H988" s="14" t="s">
        <v>1216</v>
      </c>
      <c r="I988" s="14" t="s">
        <v>1262</v>
      </c>
      <c r="J988" s="14" t="s">
        <v>1262</v>
      </c>
      <c r="K988" s="14"/>
      <c r="L988" s="14" t="s">
        <v>3081</v>
      </c>
      <c r="M988" s="14" t="s">
        <v>1218</v>
      </c>
      <c r="N988" s="14" t="s">
        <v>1219</v>
      </c>
      <c r="O988" s="14" t="s">
        <v>1220</v>
      </c>
    </row>
    <row r="989" spans="1:15" x14ac:dyDescent="0.25">
      <c r="A989" s="14">
        <v>3971</v>
      </c>
      <c r="B989" s="14" t="s">
        <v>998</v>
      </c>
      <c r="C989" s="14" t="s">
        <v>3085</v>
      </c>
      <c r="D989" s="14" t="s">
        <v>1499</v>
      </c>
      <c r="E989" s="16">
        <v>100</v>
      </c>
      <c r="F989" s="14" t="s">
        <v>1216</v>
      </c>
      <c r="G989" s="17">
        <v>3000</v>
      </c>
      <c r="H989" s="14" t="s">
        <v>1216</v>
      </c>
      <c r="I989" s="14" t="s">
        <v>1256</v>
      </c>
      <c r="J989" s="14" t="s">
        <v>1242</v>
      </c>
      <c r="K989" s="14" t="s">
        <v>1257</v>
      </c>
      <c r="L989" s="14" t="s">
        <v>3086</v>
      </c>
      <c r="M989" s="14" t="s">
        <v>1218</v>
      </c>
      <c r="N989" s="14" t="s">
        <v>1237</v>
      </c>
      <c r="O989" s="14" t="s">
        <v>1220</v>
      </c>
    </row>
    <row r="990" spans="1:15" x14ac:dyDescent="0.25">
      <c r="A990" s="14" t="s">
        <v>3087</v>
      </c>
      <c r="B990" s="14" t="s">
        <v>3088</v>
      </c>
      <c r="C990" s="14" t="s">
        <v>3089</v>
      </c>
      <c r="D990" s="14" t="s">
        <v>1504</v>
      </c>
      <c r="E990" s="15"/>
      <c r="F990" s="14" t="s">
        <v>1216</v>
      </c>
      <c r="G990" s="15"/>
      <c r="H990" s="14" t="s">
        <v>1216</v>
      </c>
      <c r="I990" s="14" t="s">
        <v>1262</v>
      </c>
      <c r="J990" s="14" t="s">
        <v>1262</v>
      </c>
      <c r="K990" s="14"/>
      <c r="L990" s="14" t="s">
        <v>3086</v>
      </c>
      <c r="M990" s="14" t="s">
        <v>1218</v>
      </c>
      <c r="N990" s="14" t="s">
        <v>1219</v>
      </c>
      <c r="O990" s="14" t="s">
        <v>1220</v>
      </c>
    </row>
    <row r="991" spans="1:15" x14ac:dyDescent="0.25">
      <c r="A991" s="14">
        <v>9940001</v>
      </c>
      <c r="B991" s="14" t="s">
        <v>3090</v>
      </c>
      <c r="C991" s="14" t="s">
        <v>3090</v>
      </c>
      <c r="D991" s="14" t="s">
        <v>1533</v>
      </c>
      <c r="E991" s="15"/>
      <c r="F991" s="14"/>
      <c r="G991" s="15"/>
      <c r="H991" s="14" t="s">
        <v>1534</v>
      </c>
      <c r="I991" s="14" t="s">
        <v>1360</v>
      </c>
      <c r="J991" s="14" t="s">
        <v>1360</v>
      </c>
      <c r="K991" s="14"/>
      <c r="L991" s="14"/>
      <c r="M991" s="14" t="s">
        <v>1218</v>
      </c>
      <c r="N991" s="14" t="s">
        <v>1219</v>
      </c>
      <c r="O991" s="14" t="s">
        <v>1220</v>
      </c>
    </row>
    <row r="992" spans="1:15" x14ac:dyDescent="0.25">
      <c r="A992" s="14">
        <v>99999</v>
      </c>
      <c r="B992" s="14" t="s">
        <v>3091</v>
      </c>
      <c r="C992" s="14" t="s">
        <v>3091</v>
      </c>
      <c r="D992" s="14" t="s">
        <v>2473</v>
      </c>
      <c r="E992" s="15"/>
      <c r="F992" s="14" t="s">
        <v>1350</v>
      </c>
      <c r="G992" s="15"/>
      <c r="H992" s="14" t="s">
        <v>1534</v>
      </c>
      <c r="I992" s="14" t="s">
        <v>1360</v>
      </c>
      <c r="J992" s="14" t="s">
        <v>1360</v>
      </c>
      <c r="K992" s="14" t="s">
        <v>1257</v>
      </c>
      <c r="L992" s="14" t="s">
        <v>3092</v>
      </c>
      <c r="M992" s="14" t="s">
        <v>1218</v>
      </c>
      <c r="N992" s="14" t="s">
        <v>1219</v>
      </c>
      <c r="O992" s="14" t="s">
        <v>1220</v>
      </c>
    </row>
    <row r="993" spans="1:15" x14ac:dyDescent="0.25">
      <c r="A993" s="14">
        <v>9940003</v>
      </c>
      <c r="B993" s="14" t="s">
        <v>3093</v>
      </c>
      <c r="C993" s="14" t="s">
        <v>3093</v>
      </c>
      <c r="D993" s="14" t="s">
        <v>1533</v>
      </c>
      <c r="E993" s="15"/>
      <c r="F993" s="14"/>
      <c r="G993" s="15"/>
      <c r="H993" s="14" t="s">
        <v>1534</v>
      </c>
      <c r="I993" s="14" t="s">
        <v>1360</v>
      </c>
      <c r="J993" s="14" t="s">
        <v>1360</v>
      </c>
      <c r="K993" s="14"/>
      <c r="L993" s="14"/>
      <c r="M993" s="14" t="s">
        <v>1218</v>
      </c>
      <c r="N993" s="14" t="s">
        <v>1219</v>
      </c>
      <c r="O993" s="14" t="s">
        <v>1220</v>
      </c>
    </row>
    <row r="994" spans="1:15" x14ac:dyDescent="0.25">
      <c r="A994" s="14">
        <v>5940009</v>
      </c>
      <c r="B994" s="14" t="s">
        <v>3094</v>
      </c>
      <c r="C994" s="14" t="s">
        <v>3094</v>
      </c>
      <c r="D994" s="14" t="s">
        <v>1533</v>
      </c>
      <c r="E994" s="15"/>
      <c r="F994" s="14" t="s">
        <v>1533</v>
      </c>
      <c r="G994" s="15"/>
      <c r="H994" s="14" t="s">
        <v>1534</v>
      </c>
      <c r="I994" s="14" t="s">
        <v>1360</v>
      </c>
      <c r="J994" s="14" t="s">
        <v>1360</v>
      </c>
      <c r="K994" s="14"/>
      <c r="L994" s="14"/>
      <c r="M994" s="14" t="s">
        <v>1218</v>
      </c>
      <c r="N994" s="14" t="s">
        <v>1219</v>
      </c>
      <c r="O994" s="14" t="s">
        <v>1220</v>
      </c>
    </row>
    <row r="995" spans="1:15" x14ac:dyDescent="0.25">
      <c r="A995" s="14">
        <v>9940002</v>
      </c>
      <c r="B995" s="14" t="s">
        <v>3095</v>
      </c>
      <c r="C995" s="14" t="s">
        <v>3095</v>
      </c>
      <c r="D995" s="14" t="s">
        <v>1533</v>
      </c>
      <c r="E995" s="15"/>
      <c r="F995" s="14"/>
      <c r="G995" s="15"/>
      <c r="H995" s="14" t="s">
        <v>1534</v>
      </c>
      <c r="I995" s="14" t="s">
        <v>1360</v>
      </c>
      <c r="J995" s="14" t="s">
        <v>1360</v>
      </c>
      <c r="K995" s="14"/>
      <c r="L995" s="14"/>
      <c r="M995" s="14" t="s">
        <v>1218</v>
      </c>
      <c r="N995" s="14" t="s">
        <v>1219</v>
      </c>
      <c r="O995" s="14" t="s">
        <v>1220</v>
      </c>
    </row>
    <row r="996" spans="1:15" x14ac:dyDescent="0.25">
      <c r="A996" s="14">
        <v>99999</v>
      </c>
      <c r="B996" s="14" t="s">
        <v>3096</v>
      </c>
      <c r="C996" s="14" t="s">
        <v>3096</v>
      </c>
      <c r="D996" s="14" t="s">
        <v>2473</v>
      </c>
      <c r="E996" s="15"/>
      <c r="F996" s="14" t="s">
        <v>1350</v>
      </c>
      <c r="G996" s="15"/>
      <c r="H996" s="14" t="s">
        <v>1534</v>
      </c>
      <c r="I996" s="14" t="s">
        <v>1360</v>
      </c>
      <c r="J996" s="14" t="s">
        <v>1360</v>
      </c>
      <c r="K996" s="14" t="s">
        <v>1257</v>
      </c>
      <c r="L996" s="14" t="s">
        <v>3086</v>
      </c>
      <c r="M996" s="14" t="s">
        <v>1218</v>
      </c>
      <c r="N996" s="14" t="s">
        <v>1219</v>
      </c>
      <c r="O996" s="14" t="s">
        <v>1220</v>
      </c>
    </row>
    <row r="997" spans="1:15" x14ac:dyDescent="0.25">
      <c r="A997" s="14" t="s">
        <v>3097</v>
      </c>
      <c r="B997" s="14" t="s">
        <v>3098</v>
      </c>
      <c r="C997" s="14" t="s">
        <v>3098</v>
      </c>
      <c r="D997" s="14" t="s">
        <v>1533</v>
      </c>
      <c r="E997" s="15"/>
      <c r="F997" s="14" t="s">
        <v>1533</v>
      </c>
      <c r="G997" s="15"/>
      <c r="H997" s="14" t="s">
        <v>1534</v>
      </c>
      <c r="I997" s="14" t="s">
        <v>1360</v>
      </c>
      <c r="J997" s="14" t="s">
        <v>1360</v>
      </c>
      <c r="K997" s="14"/>
      <c r="L997" s="14"/>
      <c r="M997" s="14" t="s">
        <v>1218</v>
      </c>
      <c r="N997" s="14" t="s">
        <v>1219</v>
      </c>
      <c r="O997" s="14" t="s">
        <v>1220</v>
      </c>
    </row>
    <row r="998" spans="1:15" x14ac:dyDescent="0.25">
      <c r="A998" s="14" t="s">
        <v>3099</v>
      </c>
      <c r="B998" s="14" t="s">
        <v>3100</v>
      </c>
      <c r="C998" s="14" t="s">
        <v>3100</v>
      </c>
      <c r="D998" s="14" t="s">
        <v>1533</v>
      </c>
      <c r="E998" s="15"/>
      <c r="F998" s="14" t="s">
        <v>1533</v>
      </c>
      <c r="G998" s="15"/>
      <c r="H998" s="14" t="s">
        <v>1534</v>
      </c>
      <c r="I998" s="14" t="s">
        <v>1360</v>
      </c>
      <c r="J998" s="14" t="s">
        <v>1360</v>
      </c>
      <c r="K998" s="14"/>
      <c r="L998" s="14"/>
      <c r="M998" s="14" t="s">
        <v>1218</v>
      </c>
      <c r="N998" s="14" t="s">
        <v>1219</v>
      </c>
      <c r="O998" s="14" t="s">
        <v>1220</v>
      </c>
    </row>
    <row r="999" spans="1:15" x14ac:dyDescent="0.25">
      <c r="A999" s="14" t="s">
        <v>3101</v>
      </c>
      <c r="B999" s="14" t="s">
        <v>3102</v>
      </c>
      <c r="C999" s="14" t="s">
        <v>3102</v>
      </c>
      <c r="D999" s="14" t="s">
        <v>1533</v>
      </c>
      <c r="E999" s="15"/>
      <c r="F999" s="14" t="s">
        <v>1533</v>
      </c>
      <c r="G999" s="15"/>
      <c r="H999" s="14" t="s">
        <v>1534</v>
      </c>
      <c r="I999" s="14" t="s">
        <v>1360</v>
      </c>
      <c r="J999" s="14" t="s">
        <v>1360</v>
      </c>
      <c r="K999" s="14"/>
      <c r="L999" s="14"/>
      <c r="M999" s="14" t="s">
        <v>1218</v>
      </c>
      <c r="N999" s="14" t="s">
        <v>1219</v>
      </c>
      <c r="O999" s="14" t="s">
        <v>1220</v>
      </c>
    </row>
    <row r="1000" spans="1:15" x14ac:dyDescent="0.25">
      <c r="A1000" s="14">
        <v>3969</v>
      </c>
      <c r="B1000" s="14" t="s">
        <v>999</v>
      </c>
      <c r="C1000" s="14" t="s">
        <v>3103</v>
      </c>
      <c r="D1000" s="14" t="s">
        <v>1499</v>
      </c>
      <c r="E1000" s="16">
        <v>100</v>
      </c>
      <c r="F1000" s="14" t="s">
        <v>1216</v>
      </c>
      <c r="G1000" s="17">
        <v>3000</v>
      </c>
      <c r="H1000" s="14" t="s">
        <v>1216</v>
      </c>
      <c r="I1000" s="14" t="s">
        <v>1256</v>
      </c>
      <c r="J1000" s="14" t="s">
        <v>1233</v>
      </c>
      <c r="K1000" s="14" t="s">
        <v>1257</v>
      </c>
      <c r="L1000" s="14" t="s">
        <v>3104</v>
      </c>
      <c r="M1000" s="14" t="s">
        <v>1218</v>
      </c>
      <c r="N1000" s="14" t="s">
        <v>1237</v>
      </c>
      <c r="O1000" s="14" t="s">
        <v>1220</v>
      </c>
    </row>
    <row r="1001" spans="1:15" x14ac:dyDescent="0.25">
      <c r="A1001" s="14" t="s">
        <v>3105</v>
      </c>
      <c r="B1001" s="14" t="s">
        <v>3106</v>
      </c>
      <c r="C1001" s="14" t="s">
        <v>3107</v>
      </c>
      <c r="D1001" s="14" t="s">
        <v>1504</v>
      </c>
      <c r="E1001" s="15"/>
      <c r="F1001" s="14" t="s">
        <v>1216</v>
      </c>
      <c r="G1001" s="15"/>
      <c r="H1001" s="14" t="s">
        <v>1216</v>
      </c>
      <c r="I1001" s="14" t="s">
        <v>1262</v>
      </c>
      <c r="J1001" s="14" t="s">
        <v>1262</v>
      </c>
      <c r="K1001" s="14"/>
      <c r="L1001" s="14" t="s">
        <v>3104</v>
      </c>
      <c r="M1001" s="14" t="s">
        <v>1218</v>
      </c>
      <c r="N1001" s="14" t="s">
        <v>1219</v>
      </c>
      <c r="O1001" s="14" t="s">
        <v>1220</v>
      </c>
    </row>
    <row r="1002" spans="1:15" x14ac:dyDescent="0.25">
      <c r="A1002" s="14">
        <v>3970</v>
      </c>
      <c r="B1002" s="14" t="s">
        <v>1000</v>
      </c>
      <c r="C1002" s="14" t="s">
        <v>3108</v>
      </c>
      <c r="D1002" s="14" t="s">
        <v>1499</v>
      </c>
      <c r="E1002" s="16">
        <v>100</v>
      </c>
      <c r="F1002" s="14" t="s">
        <v>1216</v>
      </c>
      <c r="G1002" s="17">
        <v>3000</v>
      </c>
      <c r="H1002" s="14" t="s">
        <v>1216</v>
      </c>
      <c r="I1002" s="14" t="s">
        <v>1256</v>
      </c>
      <c r="J1002" s="14" t="s">
        <v>1233</v>
      </c>
      <c r="K1002" s="14" t="s">
        <v>1257</v>
      </c>
      <c r="L1002" s="14" t="s">
        <v>3109</v>
      </c>
      <c r="M1002" s="14" t="s">
        <v>1218</v>
      </c>
      <c r="N1002" s="14" t="s">
        <v>1237</v>
      </c>
      <c r="O1002" s="14" t="s">
        <v>1220</v>
      </c>
    </row>
    <row r="1003" spans="1:15" x14ac:dyDescent="0.25">
      <c r="A1003" s="14" t="s">
        <v>3110</v>
      </c>
      <c r="B1003" s="14" t="s">
        <v>3111</v>
      </c>
      <c r="C1003" s="14" t="s">
        <v>3112</v>
      </c>
      <c r="D1003" s="14" t="s">
        <v>1504</v>
      </c>
      <c r="E1003" s="15"/>
      <c r="F1003" s="14" t="s">
        <v>1216</v>
      </c>
      <c r="G1003" s="15"/>
      <c r="H1003" s="14" t="s">
        <v>1216</v>
      </c>
      <c r="I1003" s="14" t="s">
        <v>1262</v>
      </c>
      <c r="J1003" s="14" t="s">
        <v>1262</v>
      </c>
      <c r="K1003" s="14"/>
      <c r="L1003" s="14" t="s">
        <v>3109</v>
      </c>
      <c r="M1003" s="14" t="s">
        <v>1218</v>
      </c>
      <c r="N1003" s="14" t="s">
        <v>1219</v>
      </c>
      <c r="O1003" s="14" t="s">
        <v>1220</v>
      </c>
    </row>
    <row r="1004" spans="1:15" x14ac:dyDescent="0.25">
      <c r="A1004" s="14">
        <v>3967</v>
      </c>
      <c r="B1004" s="14" t="s">
        <v>3113</v>
      </c>
      <c r="C1004" s="14" t="s">
        <v>3114</v>
      </c>
      <c r="D1004" s="14" t="s">
        <v>1499</v>
      </c>
      <c r="E1004" s="16">
        <v>100</v>
      </c>
      <c r="F1004" s="14" t="s">
        <v>1350</v>
      </c>
      <c r="G1004" s="16">
        <v>500</v>
      </c>
      <c r="H1004" s="14" t="s">
        <v>1216</v>
      </c>
      <c r="I1004" s="14" t="s">
        <v>1360</v>
      </c>
      <c r="J1004" s="14" t="s">
        <v>1385</v>
      </c>
      <c r="K1004" s="14" t="s">
        <v>1257</v>
      </c>
      <c r="L1004" s="14" t="s">
        <v>3115</v>
      </c>
      <c r="M1004" s="14" t="s">
        <v>1218</v>
      </c>
      <c r="N1004" s="14" t="s">
        <v>1219</v>
      </c>
      <c r="O1004" s="14" t="s">
        <v>1220</v>
      </c>
    </row>
    <row r="1005" spans="1:15" x14ac:dyDescent="0.25">
      <c r="A1005" s="14" t="s">
        <v>3116</v>
      </c>
      <c r="B1005" s="14" t="s">
        <v>3117</v>
      </c>
      <c r="C1005" s="14" t="s">
        <v>3117</v>
      </c>
      <c r="D1005" s="14" t="s">
        <v>1349</v>
      </c>
      <c r="E1005" s="15"/>
      <c r="F1005" s="14"/>
      <c r="G1005" s="15"/>
      <c r="H1005" s="14" t="s">
        <v>1380</v>
      </c>
      <c r="I1005" s="14" t="s">
        <v>1360</v>
      </c>
      <c r="J1005" s="14" t="s">
        <v>1360</v>
      </c>
      <c r="K1005" s="14"/>
      <c r="L1005" s="14"/>
      <c r="M1005" s="14" t="s">
        <v>3118</v>
      </c>
      <c r="N1005" s="14" t="s">
        <v>1219</v>
      </c>
      <c r="O1005" s="14" t="s">
        <v>1220</v>
      </c>
    </row>
    <row r="1006" spans="1:15" x14ac:dyDescent="0.25">
      <c r="A1006" s="14" t="s">
        <v>3119</v>
      </c>
      <c r="B1006" s="14" t="s">
        <v>3120</v>
      </c>
      <c r="C1006" s="14" t="s">
        <v>3120</v>
      </c>
      <c r="D1006" s="14" t="s">
        <v>1349</v>
      </c>
      <c r="E1006" s="15"/>
      <c r="F1006" s="14"/>
      <c r="G1006" s="15"/>
      <c r="H1006" s="14" t="s">
        <v>1380</v>
      </c>
      <c r="I1006" s="14" t="s">
        <v>1360</v>
      </c>
      <c r="J1006" s="14" t="s">
        <v>1360</v>
      </c>
      <c r="K1006" s="14"/>
      <c r="L1006" s="14"/>
      <c r="M1006" s="14" t="s">
        <v>3118</v>
      </c>
      <c r="N1006" s="14" t="s">
        <v>1219</v>
      </c>
      <c r="O1006" s="14" t="s">
        <v>1220</v>
      </c>
    </row>
    <row r="1007" spans="1:15" x14ac:dyDescent="0.25">
      <c r="A1007" s="14" t="s">
        <v>3121</v>
      </c>
      <c r="B1007" s="14" t="s">
        <v>3122</v>
      </c>
      <c r="C1007" s="14" t="s">
        <v>3122</v>
      </c>
      <c r="D1007" s="14" t="s">
        <v>1349</v>
      </c>
      <c r="E1007" s="15"/>
      <c r="F1007" s="14"/>
      <c r="G1007" s="15"/>
      <c r="H1007" s="14" t="s">
        <v>1380</v>
      </c>
      <c r="I1007" s="14" t="s">
        <v>1360</v>
      </c>
      <c r="J1007" s="14" t="s">
        <v>1360</v>
      </c>
      <c r="K1007" s="14"/>
      <c r="L1007" s="14"/>
      <c r="M1007" s="14" t="s">
        <v>3118</v>
      </c>
      <c r="N1007" s="14" t="s">
        <v>1219</v>
      </c>
      <c r="O1007" s="14" t="s">
        <v>1220</v>
      </c>
    </row>
    <row r="1008" spans="1:15" x14ac:dyDescent="0.25">
      <c r="A1008" s="14" t="s">
        <v>3123</v>
      </c>
      <c r="B1008" s="14" t="s">
        <v>3124</v>
      </c>
      <c r="C1008" s="14" t="s">
        <v>3124</v>
      </c>
      <c r="D1008" s="14" t="s">
        <v>1222</v>
      </c>
      <c r="E1008" s="15"/>
      <c r="F1008" s="14"/>
      <c r="G1008" s="15"/>
      <c r="H1008" s="14" t="s">
        <v>1223</v>
      </c>
      <c r="I1008" s="14"/>
      <c r="J1008" s="14"/>
      <c r="K1008" s="14"/>
      <c r="L1008" s="14"/>
      <c r="M1008" s="14"/>
      <c r="N1008" s="14" t="s">
        <v>1219</v>
      </c>
      <c r="O1008" s="14" t="s">
        <v>1220</v>
      </c>
    </row>
    <row r="1009" spans="1:15" x14ac:dyDescent="0.25">
      <c r="A1009" s="14" t="s">
        <v>3125</v>
      </c>
      <c r="B1009" s="14" t="s">
        <v>3126</v>
      </c>
      <c r="C1009" s="14" t="s">
        <v>3126</v>
      </c>
      <c r="D1009" s="14" t="s">
        <v>1222</v>
      </c>
      <c r="E1009" s="15"/>
      <c r="F1009" s="14"/>
      <c r="G1009" s="15"/>
      <c r="H1009" s="14" t="s">
        <v>1223</v>
      </c>
      <c r="I1009" s="14"/>
      <c r="J1009" s="14"/>
      <c r="K1009" s="14"/>
      <c r="L1009" s="14"/>
      <c r="M1009" s="14"/>
      <c r="N1009" s="14" t="s">
        <v>1219</v>
      </c>
      <c r="O1009" s="14" t="s">
        <v>1220</v>
      </c>
    </row>
    <row r="1010" spans="1:15" x14ac:dyDescent="0.25">
      <c r="A1010" s="14">
        <v>3828</v>
      </c>
      <c r="B1010" s="14" t="s">
        <v>286</v>
      </c>
      <c r="C1010" s="14" t="s">
        <v>286</v>
      </c>
      <c r="D1010" s="14" t="s">
        <v>3127</v>
      </c>
      <c r="E1010" s="17">
        <v>1700</v>
      </c>
      <c r="F1010" s="14" t="s">
        <v>3128</v>
      </c>
      <c r="G1010" s="17">
        <v>17000</v>
      </c>
      <c r="H1010" s="14" t="s">
        <v>3129</v>
      </c>
      <c r="I1010" s="14" t="s">
        <v>1256</v>
      </c>
      <c r="J1010" s="14" t="s">
        <v>1296</v>
      </c>
      <c r="K1010" s="14" t="s">
        <v>1257</v>
      </c>
      <c r="L1010" s="14" t="s">
        <v>3130</v>
      </c>
      <c r="M1010" s="14" t="s">
        <v>3131</v>
      </c>
      <c r="N1010" s="14" t="s">
        <v>1237</v>
      </c>
      <c r="O1010" s="14" t="s">
        <v>1220</v>
      </c>
    </row>
    <row r="1011" spans="1:15" x14ac:dyDescent="0.25">
      <c r="A1011" s="14" t="s">
        <v>3132</v>
      </c>
      <c r="B1011" s="14" t="s">
        <v>3133</v>
      </c>
      <c r="C1011" s="14" t="s">
        <v>3133</v>
      </c>
      <c r="D1011" s="14" t="s">
        <v>3127</v>
      </c>
      <c r="E1011" s="17">
        <v>1700</v>
      </c>
      <c r="F1011" s="14" t="s">
        <v>3128</v>
      </c>
      <c r="G1011" s="17">
        <v>17000</v>
      </c>
      <c r="H1011" s="14" t="s">
        <v>3129</v>
      </c>
      <c r="I1011" s="14" t="s">
        <v>1262</v>
      </c>
      <c r="J1011" s="14" t="s">
        <v>1296</v>
      </c>
      <c r="K1011" s="14" t="s">
        <v>1257</v>
      </c>
      <c r="L1011" s="14" t="s">
        <v>3130</v>
      </c>
      <c r="M1011" s="14" t="s">
        <v>3131</v>
      </c>
      <c r="N1011" s="14" t="s">
        <v>1219</v>
      </c>
      <c r="O1011" s="14" t="s">
        <v>1220</v>
      </c>
    </row>
    <row r="1012" spans="1:15" x14ac:dyDescent="0.25">
      <c r="A1012" s="14">
        <v>3824</v>
      </c>
      <c r="B1012" s="14" t="s">
        <v>287</v>
      </c>
      <c r="C1012" s="14" t="s">
        <v>287</v>
      </c>
      <c r="D1012" s="14" t="s">
        <v>3127</v>
      </c>
      <c r="E1012" s="17">
        <v>1500</v>
      </c>
      <c r="F1012" s="14" t="s">
        <v>3128</v>
      </c>
      <c r="G1012" s="17">
        <v>15000</v>
      </c>
      <c r="H1012" s="14" t="s">
        <v>3129</v>
      </c>
      <c r="I1012" s="14" t="s">
        <v>1256</v>
      </c>
      <c r="J1012" s="14" t="s">
        <v>1242</v>
      </c>
      <c r="K1012" s="14" t="s">
        <v>1257</v>
      </c>
      <c r="L1012" s="14" t="s">
        <v>3134</v>
      </c>
      <c r="M1012" s="14" t="s">
        <v>3131</v>
      </c>
      <c r="N1012" s="14" t="s">
        <v>1237</v>
      </c>
      <c r="O1012" s="14" t="s">
        <v>1220</v>
      </c>
    </row>
    <row r="1013" spans="1:15" x14ac:dyDescent="0.25">
      <c r="A1013" s="14" t="s">
        <v>3135</v>
      </c>
      <c r="B1013" s="14" t="s">
        <v>3136</v>
      </c>
      <c r="C1013" s="14" t="s">
        <v>3136</v>
      </c>
      <c r="D1013" s="14" t="s">
        <v>3127</v>
      </c>
      <c r="E1013" s="15"/>
      <c r="F1013" s="14" t="s">
        <v>1350</v>
      </c>
      <c r="G1013" s="15"/>
      <c r="H1013" s="14" t="s">
        <v>3129</v>
      </c>
      <c r="I1013" s="14" t="s">
        <v>1262</v>
      </c>
      <c r="J1013" s="14" t="s">
        <v>1262</v>
      </c>
      <c r="K1013" s="14" t="s">
        <v>1257</v>
      </c>
      <c r="L1013" s="14" t="s">
        <v>3134</v>
      </c>
      <c r="M1013" s="14" t="s">
        <v>3131</v>
      </c>
      <c r="N1013" s="14" t="s">
        <v>1219</v>
      </c>
      <c r="O1013" s="14" t="s">
        <v>1220</v>
      </c>
    </row>
    <row r="1014" spans="1:15" x14ac:dyDescent="0.25">
      <c r="A1014" s="14">
        <v>3825</v>
      </c>
      <c r="B1014" s="14" t="s">
        <v>288</v>
      </c>
      <c r="C1014" s="14" t="s">
        <v>288</v>
      </c>
      <c r="D1014" s="14" t="s">
        <v>3127</v>
      </c>
      <c r="E1014" s="16">
        <v>800</v>
      </c>
      <c r="F1014" s="14" t="s">
        <v>3128</v>
      </c>
      <c r="G1014" s="17">
        <v>8000</v>
      </c>
      <c r="H1014" s="14" t="s">
        <v>3129</v>
      </c>
      <c r="I1014" s="14" t="s">
        <v>1256</v>
      </c>
      <c r="J1014" s="14" t="s">
        <v>1242</v>
      </c>
      <c r="K1014" s="14" t="s">
        <v>1257</v>
      </c>
      <c r="L1014" s="14" t="s">
        <v>3137</v>
      </c>
      <c r="M1014" s="14" t="s">
        <v>3131</v>
      </c>
      <c r="N1014" s="14" t="s">
        <v>1237</v>
      </c>
      <c r="O1014" s="14" t="s">
        <v>1220</v>
      </c>
    </row>
    <row r="1015" spans="1:15" x14ac:dyDescent="0.25">
      <c r="A1015" s="14">
        <v>3826</v>
      </c>
      <c r="B1015" s="14" t="s">
        <v>289</v>
      </c>
      <c r="C1015" s="14" t="s">
        <v>289</v>
      </c>
      <c r="D1015" s="14" t="s">
        <v>3127</v>
      </c>
      <c r="E1015" s="16">
        <v>500</v>
      </c>
      <c r="F1015" s="14" t="s">
        <v>3128</v>
      </c>
      <c r="G1015" s="17">
        <v>2500</v>
      </c>
      <c r="H1015" s="14" t="s">
        <v>3129</v>
      </c>
      <c r="I1015" s="14" t="s">
        <v>1256</v>
      </c>
      <c r="J1015" s="14" t="s">
        <v>1296</v>
      </c>
      <c r="K1015" s="14" t="s">
        <v>1257</v>
      </c>
      <c r="L1015" s="14" t="s">
        <v>3138</v>
      </c>
      <c r="M1015" s="14" t="s">
        <v>3131</v>
      </c>
      <c r="N1015" s="14" t="s">
        <v>1237</v>
      </c>
      <c r="O1015" s="14" t="s">
        <v>1220</v>
      </c>
    </row>
    <row r="1016" spans="1:15" x14ac:dyDescent="0.25">
      <c r="A1016" s="14">
        <v>3827</v>
      </c>
      <c r="B1016" s="14" t="s">
        <v>290</v>
      </c>
      <c r="C1016" s="14" t="s">
        <v>290</v>
      </c>
      <c r="D1016" s="14" t="s">
        <v>3127</v>
      </c>
      <c r="E1016" s="16">
        <v>400</v>
      </c>
      <c r="F1016" s="14" t="s">
        <v>3128</v>
      </c>
      <c r="G1016" s="17">
        <v>2000</v>
      </c>
      <c r="H1016" s="14" t="s">
        <v>3129</v>
      </c>
      <c r="I1016" s="14" t="s">
        <v>1256</v>
      </c>
      <c r="J1016" s="14" t="s">
        <v>1296</v>
      </c>
      <c r="K1016" s="14" t="s">
        <v>1257</v>
      </c>
      <c r="L1016" s="14" t="s">
        <v>3139</v>
      </c>
      <c r="M1016" s="14" t="s">
        <v>3131</v>
      </c>
      <c r="N1016" s="14" t="s">
        <v>1237</v>
      </c>
      <c r="O1016" s="14" t="s">
        <v>1220</v>
      </c>
    </row>
    <row r="1017" spans="1:15" x14ac:dyDescent="0.25">
      <c r="A1017" s="14">
        <v>3672</v>
      </c>
      <c r="B1017" s="14" t="s">
        <v>3140</v>
      </c>
      <c r="C1017" s="14" t="s">
        <v>3140</v>
      </c>
      <c r="D1017" s="14" t="s">
        <v>1349</v>
      </c>
      <c r="E1017" s="15"/>
      <c r="F1017" s="14"/>
      <c r="G1017" s="15"/>
      <c r="H1017" s="14" t="s">
        <v>1255</v>
      </c>
      <c r="I1017" s="14" t="s">
        <v>1360</v>
      </c>
      <c r="J1017" s="14" t="s">
        <v>1360</v>
      </c>
      <c r="K1017" s="14"/>
      <c r="L1017" s="14"/>
      <c r="M1017" s="14" t="s">
        <v>3131</v>
      </c>
      <c r="N1017" s="14" t="s">
        <v>1219</v>
      </c>
      <c r="O1017" s="14" t="s">
        <v>1220</v>
      </c>
    </row>
    <row r="1018" spans="1:15" x14ac:dyDescent="0.25">
      <c r="A1018" s="14">
        <v>3673</v>
      </c>
      <c r="B1018" s="14" t="s">
        <v>3141</v>
      </c>
      <c r="C1018" s="14" t="s">
        <v>3141</v>
      </c>
      <c r="D1018" s="14" t="s">
        <v>1349</v>
      </c>
      <c r="E1018" s="15"/>
      <c r="F1018" s="14"/>
      <c r="G1018" s="15"/>
      <c r="H1018" s="14" t="s">
        <v>1255</v>
      </c>
      <c r="I1018" s="14" t="s">
        <v>1360</v>
      </c>
      <c r="J1018" s="14" t="s">
        <v>1360</v>
      </c>
      <c r="K1018" s="14"/>
      <c r="L1018" s="14"/>
      <c r="M1018" s="14" t="s">
        <v>3131</v>
      </c>
      <c r="N1018" s="14" t="s">
        <v>1219</v>
      </c>
      <c r="O1018" s="14" t="s">
        <v>1220</v>
      </c>
    </row>
    <row r="1019" spans="1:15" x14ac:dyDescent="0.25">
      <c r="A1019" s="14">
        <v>3674</v>
      </c>
      <c r="B1019" s="14" t="s">
        <v>3142</v>
      </c>
      <c r="C1019" s="14" t="s">
        <v>3142</v>
      </c>
      <c r="D1019" s="14" t="s">
        <v>1349</v>
      </c>
      <c r="E1019" s="15"/>
      <c r="F1019" s="14"/>
      <c r="G1019" s="15"/>
      <c r="H1019" s="14" t="s">
        <v>1255</v>
      </c>
      <c r="I1019" s="14" t="s">
        <v>1360</v>
      </c>
      <c r="J1019" s="14" t="s">
        <v>1360</v>
      </c>
      <c r="K1019" s="14"/>
      <c r="L1019" s="14"/>
      <c r="M1019" s="14" t="s">
        <v>3131</v>
      </c>
      <c r="N1019" s="14" t="s">
        <v>1219</v>
      </c>
      <c r="O1019" s="14" t="s">
        <v>1220</v>
      </c>
    </row>
    <row r="1020" spans="1:15" x14ac:dyDescent="0.25">
      <c r="A1020" s="14">
        <v>3829</v>
      </c>
      <c r="B1020" s="14" t="s">
        <v>291</v>
      </c>
      <c r="C1020" s="14" t="s">
        <v>291</v>
      </c>
      <c r="D1020" s="14" t="s">
        <v>3143</v>
      </c>
      <c r="E1020" s="17">
        <v>1000</v>
      </c>
      <c r="F1020" s="14" t="s">
        <v>3144</v>
      </c>
      <c r="G1020" s="17">
        <v>10000</v>
      </c>
      <c r="H1020" s="14" t="s">
        <v>3129</v>
      </c>
      <c r="I1020" s="14" t="s">
        <v>1256</v>
      </c>
      <c r="J1020" s="14" t="s">
        <v>1296</v>
      </c>
      <c r="K1020" s="14" t="s">
        <v>1257</v>
      </c>
      <c r="L1020" s="14" t="s">
        <v>3145</v>
      </c>
      <c r="M1020" s="14" t="s">
        <v>3131</v>
      </c>
      <c r="N1020" s="14" t="s">
        <v>1237</v>
      </c>
      <c r="O1020" s="14" t="s">
        <v>1220</v>
      </c>
    </row>
    <row r="1021" spans="1:15" x14ac:dyDescent="0.25">
      <c r="A1021" s="14">
        <v>3667</v>
      </c>
      <c r="B1021" s="14" t="s">
        <v>292</v>
      </c>
      <c r="C1021" s="14" t="s">
        <v>292</v>
      </c>
      <c r="D1021" s="14" t="s">
        <v>3143</v>
      </c>
      <c r="E1021" s="17">
        <v>1000</v>
      </c>
      <c r="F1021" s="14" t="s">
        <v>3144</v>
      </c>
      <c r="G1021" s="17">
        <v>10000</v>
      </c>
      <c r="H1021" s="14" t="s">
        <v>3129</v>
      </c>
      <c r="I1021" s="14" t="s">
        <v>1256</v>
      </c>
      <c r="J1021" s="14" t="s">
        <v>1242</v>
      </c>
      <c r="K1021" s="14" t="s">
        <v>1257</v>
      </c>
      <c r="L1021" s="14" t="s">
        <v>3146</v>
      </c>
      <c r="M1021" s="14" t="s">
        <v>3131</v>
      </c>
      <c r="N1021" s="14" t="s">
        <v>1237</v>
      </c>
      <c r="O1021" s="14" t="s">
        <v>1220</v>
      </c>
    </row>
    <row r="1022" spans="1:15" x14ac:dyDescent="0.25">
      <c r="A1022" s="14">
        <v>3668</v>
      </c>
      <c r="B1022" s="14" t="s">
        <v>293</v>
      </c>
      <c r="C1022" s="14" t="s">
        <v>293</v>
      </c>
      <c r="D1022" s="14" t="s">
        <v>3143</v>
      </c>
      <c r="E1022" s="16">
        <v>800</v>
      </c>
      <c r="F1022" s="14" t="s">
        <v>3144</v>
      </c>
      <c r="G1022" s="17">
        <v>8000</v>
      </c>
      <c r="H1022" s="14" t="s">
        <v>3129</v>
      </c>
      <c r="I1022" s="14" t="s">
        <v>1256</v>
      </c>
      <c r="J1022" s="14" t="s">
        <v>1242</v>
      </c>
      <c r="K1022" s="14" t="s">
        <v>1257</v>
      </c>
      <c r="L1022" s="14" t="s">
        <v>3147</v>
      </c>
      <c r="M1022" s="14" t="s">
        <v>3131</v>
      </c>
      <c r="N1022" s="14" t="s">
        <v>1237</v>
      </c>
      <c r="O1022" s="14" t="s">
        <v>1220</v>
      </c>
    </row>
    <row r="1023" spans="1:15" x14ac:dyDescent="0.25">
      <c r="A1023" s="14">
        <v>3669</v>
      </c>
      <c r="B1023" s="14" t="s">
        <v>294</v>
      </c>
      <c r="C1023" s="14" t="s">
        <v>294</v>
      </c>
      <c r="D1023" s="14" t="s">
        <v>3143</v>
      </c>
      <c r="E1023" s="16">
        <v>500</v>
      </c>
      <c r="F1023" s="14" t="s">
        <v>3144</v>
      </c>
      <c r="G1023" s="17">
        <v>5000</v>
      </c>
      <c r="H1023" s="14" t="s">
        <v>3129</v>
      </c>
      <c r="I1023" s="14" t="s">
        <v>1256</v>
      </c>
      <c r="J1023" s="14" t="s">
        <v>1242</v>
      </c>
      <c r="K1023" s="14" t="s">
        <v>1257</v>
      </c>
      <c r="L1023" s="14" t="s">
        <v>3148</v>
      </c>
      <c r="M1023" s="14" t="s">
        <v>3131</v>
      </c>
      <c r="N1023" s="14" t="s">
        <v>1237</v>
      </c>
      <c r="O1023" s="14" t="s">
        <v>1220</v>
      </c>
    </row>
    <row r="1024" spans="1:15" x14ac:dyDescent="0.25">
      <c r="A1024" s="14" t="s">
        <v>3149</v>
      </c>
      <c r="B1024" s="14" t="s">
        <v>3150</v>
      </c>
      <c r="C1024" s="14" t="s">
        <v>3150</v>
      </c>
      <c r="D1024" s="14" t="s">
        <v>3127</v>
      </c>
      <c r="E1024" s="16">
        <v>500</v>
      </c>
      <c r="F1024" s="14" t="s">
        <v>3144</v>
      </c>
      <c r="G1024" s="17">
        <v>5000</v>
      </c>
      <c r="H1024" s="14" t="s">
        <v>3129</v>
      </c>
      <c r="I1024" s="14" t="s">
        <v>1262</v>
      </c>
      <c r="J1024" s="14" t="s">
        <v>1262</v>
      </c>
      <c r="K1024" s="14" t="s">
        <v>1257</v>
      </c>
      <c r="L1024" s="14" t="s">
        <v>3148</v>
      </c>
      <c r="M1024" s="14" t="s">
        <v>3131</v>
      </c>
      <c r="N1024" s="14" t="s">
        <v>1219</v>
      </c>
      <c r="O1024" s="14" t="s">
        <v>1220</v>
      </c>
    </row>
    <row r="1025" spans="1:15" x14ac:dyDescent="0.25">
      <c r="A1025" s="14">
        <v>3670</v>
      </c>
      <c r="B1025" s="14" t="s">
        <v>295</v>
      </c>
      <c r="C1025" s="14" t="s">
        <v>295</v>
      </c>
      <c r="D1025" s="14" t="s">
        <v>3143</v>
      </c>
      <c r="E1025" s="16">
        <v>300</v>
      </c>
      <c r="F1025" s="14" t="s">
        <v>3144</v>
      </c>
      <c r="G1025" s="17">
        <v>1500</v>
      </c>
      <c r="H1025" s="14" t="s">
        <v>3129</v>
      </c>
      <c r="I1025" s="14" t="s">
        <v>1256</v>
      </c>
      <c r="J1025" s="14" t="s">
        <v>1296</v>
      </c>
      <c r="K1025" s="14" t="s">
        <v>1257</v>
      </c>
      <c r="L1025" s="14" t="s">
        <v>3151</v>
      </c>
      <c r="M1025" s="14" t="s">
        <v>3131</v>
      </c>
      <c r="N1025" s="14" t="s">
        <v>1237</v>
      </c>
      <c r="O1025" s="14" t="s">
        <v>1220</v>
      </c>
    </row>
    <row r="1026" spans="1:15" x14ac:dyDescent="0.25">
      <c r="A1026" s="14">
        <v>3671</v>
      </c>
      <c r="B1026" s="14" t="s">
        <v>296</v>
      </c>
      <c r="C1026" s="14" t="s">
        <v>296</v>
      </c>
      <c r="D1026" s="14" t="s">
        <v>3143</v>
      </c>
      <c r="E1026" s="16">
        <v>200</v>
      </c>
      <c r="F1026" s="14" t="s">
        <v>3144</v>
      </c>
      <c r="G1026" s="17">
        <v>1000</v>
      </c>
      <c r="H1026" s="14" t="s">
        <v>3129</v>
      </c>
      <c r="I1026" s="14" t="s">
        <v>1256</v>
      </c>
      <c r="J1026" s="14" t="s">
        <v>1296</v>
      </c>
      <c r="K1026" s="14" t="s">
        <v>1257</v>
      </c>
      <c r="L1026" s="14" t="s">
        <v>3152</v>
      </c>
      <c r="M1026" s="14" t="s">
        <v>3131</v>
      </c>
      <c r="N1026" s="14" t="s">
        <v>1237</v>
      </c>
      <c r="O1026" s="14" t="s">
        <v>1220</v>
      </c>
    </row>
    <row r="1027" spans="1:15" x14ac:dyDescent="0.25">
      <c r="A1027" s="14">
        <v>4746</v>
      </c>
      <c r="B1027" s="14" t="s">
        <v>297</v>
      </c>
      <c r="C1027" s="14" t="s">
        <v>297</v>
      </c>
      <c r="D1027" s="14" t="s">
        <v>3143</v>
      </c>
      <c r="E1027" s="16">
        <v>200</v>
      </c>
      <c r="F1027" s="14" t="s">
        <v>3144</v>
      </c>
      <c r="G1027" s="17">
        <v>1600</v>
      </c>
      <c r="H1027" s="14" t="s">
        <v>3129</v>
      </c>
      <c r="I1027" s="14" t="s">
        <v>1256</v>
      </c>
      <c r="J1027" s="14" t="s">
        <v>1296</v>
      </c>
      <c r="K1027" s="14" t="s">
        <v>1257</v>
      </c>
      <c r="L1027" s="14" t="s">
        <v>3153</v>
      </c>
      <c r="M1027" s="14" t="s">
        <v>3131</v>
      </c>
      <c r="N1027" s="14" t="s">
        <v>1237</v>
      </c>
      <c r="O1027" s="14" t="s">
        <v>1220</v>
      </c>
    </row>
    <row r="1028" spans="1:15" x14ac:dyDescent="0.25">
      <c r="A1028" s="14">
        <v>2593</v>
      </c>
      <c r="B1028" s="14" t="s">
        <v>603</v>
      </c>
      <c r="C1028" s="14" t="s">
        <v>3154</v>
      </c>
      <c r="D1028" s="14" t="s">
        <v>3155</v>
      </c>
      <c r="E1028" s="16">
        <v>100</v>
      </c>
      <c r="F1028" s="14" t="s">
        <v>1321</v>
      </c>
      <c r="G1028" s="17">
        <v>2000</v>
      </c>
      <c r="H1028" s="14" t="s">
        <v>1322</v>
      </c>
      <c r="I1028" s="14" t="s">
        <v>1256</v>
      </c>
      <c r="J1028" s="14" t="s">
        <v>1242</v>
      </c>
      <c r="K1028" s="14" t="s">
        <v>1257</v>
      </c>
      <c r="L1028" s="14" t="s">
        <v>3156</v>
      </c>
      <c r="M1028" s="14" t="s">
        <v>1324</v>
      </c>
      <c r="N1028" s="14" t="s">
        <v>1237</v>
      </c>
      <c r="O1028" s="14" t="s">
        <v>1220</v>
      </c>
    </row>
    <row r="1029" spans="1:15" x14ac:dyDescent="0.25">
      <c r="A1029" s="14" t="s">
        <v>3157</v>
      </c>
      <c r="B1029" s="14" t="s">
        <v>3158</v>
      </c>
      <c r="C1029" s="14" t="s">
        <v>3159</v>
      </c>
      <c r="D1029" s="14" t="s">
        <v>3160</v>
      </c>
      <c r="E1029" s="15"/>
      <c r="F1029" s="14" t="s">
        <v>1321</v>
      </c>
      <c r="G1029" s="15"/>
      <c r="H1029" s="14" t="s">
        <v>1322</v>
      </c>
      <c r="I1029" s="14" t="s">
        <v>1262</v>
      </c>
      <c r="J1029" s="14" t="s">
        <v>1262</v>
      </c>
      <c r="K1029" s="14"/>
      <c r="L1029" s="14" t="s">
        <v>3156</v>
      </c>
      <c r="M1029" s="14" t="s">
        <v>1324</v>
      </c>
      <c r="N1029" s="14" t="s">
        <v>1219</v>
      </c>
      <c r="O1029" s="14" t="s">
        <v>1220</v>
      </c>
    </row>
    <row r="1030" spans="1:15" x14ac:dyDescent="0.25">
      <c r="A1030" s="14">
        <v>3538</v>
      </c>
      <c r="B1030" s="14" t="s">
        <v>404</v>
      </c>
      <c r="C1030" s="14" t="s">
        <v>404</v>
      </c>
      <c r="D1030" s="14" t="s">
        <v>3155</v>
      </c>
      <c r="E1030" s="16">
        <v>210</v>
      </c>
      <c r="F1030" s="14" t="s">
        <v>1255</v>
      </c>
      <c r="G1030" s="17">
        <v>1050</v>
      </c>
      <c r="H1030" s="14" t="s">
        <v>1255</v>
      </c>
      <c r="I1030" s="14" t="s">
        <v>1256</v>
      </c>
      <c r="J1030" s="14" t="s">
        <v>1296</v>
      </c>
      <c r="K1030" s="14" t="s">
        <v>1257</v>
      </c>
      <c r="L1030" s="14" t="s">
        <v>3161</v>
      </c>
      <c r="M1030" s="14" t="s">
        <v>1259</v>
      </c>
      <c r="N1030" s="14" t="s">
        <v>1237</v>
      </c>
      <c r="O1030" s="14" t="s">
        <v>1220</v>
      </c>
    </row>
    <row r="1031" spans="1:15" x14ac:dyDescent="0.25">
      <c r="A1031" s="14" t="s">
        <v>3162</v>
      </c>
      <c r="B1031" s="14" t="s">
        <v>3163</v>
      </c>
      <c r="C1031" s="14" t="s">
        <v>3163</v>
      </c>
      <c r="D1031" s="14" t="s">
        <v>3155</v>
      </c>
      <c r="E1031" s="15"/>
      <c r="F1031" s="14" t="s">
        <v>1255</v>
      </c>
      <c r="G1031" s="15"/>
      <c r="H1031" s="14" t="s">
        <v>1255</v>
      </c>
      <c r="I1031" s="14" t="s">
        <v>1262</v>
      </c>
      <c r="J1031" s="14" t="s">
        <v>1262</v>
      </c>
      <c r="K1031" s="14"/>
      <c r="L1031" s="14" t="s">
        <v>3161</v>
      </c>
      <c r="M1031" s="14" t="s">
        <v>1259</v>
      </c>
      <c r="N1031" s="14" t="s">
        <v>1219</v>
      </c>
      <c r="O1031" s="14" t="s">
        <v>1220</v>
      </c>
    </row>
    <row r="1032" spans="1:15" x14ac:dyDescent="0.25">
      <c r="A1032" s="14">
        <v>3539</v>
      </c>
      <c r="B1032" s="14" t="s">
        <v>405</v>
      </c>
      <c r="C1032" s="14" t="s">
        <v>405</v>
      </c>
      <c r="D1032" s="14" t="s">
        <v>3155</v>
      </c>
      <c r="E1032" s="16">
        <v>140</v>
      </c>
      <c r="F1032" s="14" t="s">
        <v>1255</v>
      </c>
      <c r="G1032" s="16">
        <v>700</v>
      </c>
      <c r="H1032" s="14" t="s">
        <v>1255</v>
      </c>
      <c r="I1032" s="14" t="s">
        <v>1256</v>
      </c>
      <c r="J1032" s="14" t="s">
        <v>1296</v>
      </c>
      <c r="K1032" s="14" t="s">
        <v>1257</v>
      </c>
      <c r="L1032" s="14" t="s">
        <v>3164</v>
      </c>
      <c r="M1032" s="14" t="s">
        <v>1259</v>
      </c>
      <c r="N1032" s="14" t="s">
        <v>1237</v>
      </c>
      <c r="O1032" s="14" t="s">
        <v>1220</v>
      </c>
    </row>
    <row r="1033" spans="1:15" x14ac:dyDescent="0.25">
      <c r="A1033" s="14" t="s">
        <v>3165</v>
      </c>
      <c r="B1033" s="14" t="s">
        <v>3166</v>
      </c>
      <c r="C1033" s="14" t="s">
        <v>3166</v>
      </c>
      <c r="D1033" s="14" t="s">
        <v>3155</v>
      </c>
      <c r="E1033" s="15"/>
      <c r="F1033" s="14" t="s">
        <v>1255</v>
      </c>
      <c r="G1033" s="15"/>
      <c r="H1033" s="14" t="s">
        <v>1255</v>
      </c>
      <c r="I1033" s="14" t="s">
        <v>1262</v>
      </c>
      <c r="J1033" s="14" t="s">
        <v>1262</v>
      </c>
      <c r="K1033" s="14"/>
      <c r="L1033" s="14" t="s">
        <v>3164</v>
      </c>
      <c r="M1033" s="14" t="s">
        <v>1259</v>
      </c>
      <c r="N1033" s="14" t="s">
        <v>1219</v>
      </c>
      <c r="O1033" s="14" t="s">
        <v>1220</v>
      </c>
    </row>
    <row r="1034" spans="1:15" x14ac:dyDescent="0.25">
      <c r="A1034" s="14">
        <v>2594</v>
      </c>
      <c r="B1034" s="14" t="s">
        <v>604</v>
      </c>
      <c r="C1034" s="14" t="s">
        <v>3167</v>
      </c>
      <c r="D1034" s="14" t="s">
        <v>3155</v>
      </c>
      <c r="E1034" s="16">
        <v>50</v>
      </c>
      <c r="F1034" s="14" t="s">
        <v>1321</v>
      </c>
      <c r="G1034" s="16">
        <v>450</v>
      </c>
      <c r="H1034" s="14" t="s">
        <v>1322</v>
      </c>
      <c r="I1034" s="14" t="s">
        <v>1256</v>
      </c>
      <c r="J1034" s="14" t="s">
        <v>1296</v>
      </c>
      <c r="K1034" s="14" t="s">
        <v>1257</v>
      </c>
      <c r="L1034" s="14" t="s">
        <v>3168</v>
      </c>
      <c r="M1034" s="14" t="s">
        <v>1324</v>
      </c>
      <c r="N1034" s="14" t="s">
        <v>1237</v>
      </c>
      <c r="O1034" s="14" t="s">
        <v>1220</v>
      </c>
    </row>
    <row r="1035" spans="1:15" x14ac:dyDescent="0.25">
      <c r="A1035" s="14" t="s">
        <v>3169</v>
      </c>
      <c r="B1035" s="14" t="s">
        <v>3170</v>
      </c>
      <c r="C1035" s="14" t="s">
        <v>3171</v>
      </c>
      <c r="D1035" s="14" t="s">
        <v>3160</v>
      </c>
      <c r="E1035" s="15"/>
      <c r="F1035" s="14" t="s">
        <v>1321</v>
      </c>
      <c r="G1035" s="15"/>
      <c r="H1035" s="14" t="s">
        <v>1322</v>
      </c>
      <c r="I1035" s="14" t="s">
        <v>1262</v>
      </c>
      <c r="J1035" s="14" t="s">
        <v>1262</v>
      </c>
      <c r="K1035" s="14"/>
      <c r="L1035" s="14" t="s">
        <v>3168</v>
      </c>
      <c r="M1035" s="14" t="s">
        <v>1324</v>
      </c>
      <c r="N1035" s="14" t="s">
        <v>1219</v>
      </c>
      <c r="O1035" s="14" t="s">
        <v>1220</v>
      </c>
    </row>
    <row r="1036" spans="1:15" x14ac:dyDescent="0.25">
      <c r="A1036" s="14">
        <v>3540</v>
      </c>
      <c r="B1036" s="14" t="s">
        <v>406</v>
      </c>
      <c r="C1036" s="14" t="s">
        <v>406</v>
      </c>
      <c r="D1036" s="14" t="s">
        <v>3155</v>
      </c>
      <c r="E1036" s="16">
        <v>80</v>
      </c>
      <c r="F1036" s="14" t="s">
        <v>1255</v>
      </c>
      <c r="G1036" s="16">
        <v>400</v>
      </c>
      <c r="H1036" s="14" t="s">
        <v>1255</v>
      </c>
      <c r="I1036" s="14" t="s">
        <v>1256</v>
      </c>
      <c r="J1036" s="14" t="s">
        <v>1296</v>
      </c>
      <c r="K1036" s="14" t="s">
        <v>1257</v>
      </c>
      <c r="L1036" s="14" t="s">
        <v>3172</v>
      </c>
      <c r="M1036" s="14" t="s">
        <v>1259</v>
      </c>
      <c r="N1036" s="14" t="s">
        <v>1237</v>
      </c>
      <c r="O1036" s="14" t="s">
        <v>1220</v>
      </c>
    </row>
    <row r="1037" spans="1:15" x14ac:dyDescent="0.25">
      <c r="A1037" s="14" t="s">
        <v>3173</v>
      </c>
      <c r="B1037" s="14" t="s">
        <v>3174</v>
      </c>
      <c r="C1037" s="14" t="s">
        <v>3174</v>
      </c>
      <c r="D1037" s="14" t="s">
        <v>3155</v>
      </c>
      <c r="E1037" s="15"/>
      <c r="F1037" s="14" t="s">
        <v>1255</v>
      </c>
      <c r="G1037" s="15"/>
      <c r="H1037" s="14" t="s">
        <v>1255</v>
      </c>
      <c r="I1037" s="14" t="s">
        <v>1262</v>
      </c>
      <c r="J1037" s="14" t="s">
        <v>1262</v>
      </c>
      <c r="K1037" s="14"/>
      <c r="L1037" s="14" t="s">
        <v>3172</v>
      </c>
      <c r="M1037" s="14" t="s">
        <v>1259</v>
      </c>
      <c r="N1037" s="14" t="s">
        <v>1219</v>
      </c>
      <c r="O1037" s="14" t="s">
        <v>1220</v>
      </c>
    </row>
    <row r="1038" spans="1:15" x14ac:dyDescent="0.25">
      <c r="A1038" s="14">
        <v>2520</v>
      </c>
      <c r="B1038" s="14" t="s">
        <v>3175</v>
      </c>
      <c r="C1038" s="14" t="s">
        <v>3175</v>
      </c>
      <c r="D1038" s="14" t="s">
        <v>3155</v>
      </c>
      <c r="E1038" s="15"/>
      <c r="F1038" s="14" t="s">
        <v>1350</v>
      </c>
      <c r="G1038" s="15"/>
      <c r="H1038" s="14" t="s">
        <v>1255</v>
      </c>
      <c r="I1038" s="14" t="s">
        <v>1351</v>
      </c>
      <c r="J1038" s="14" t="s">
        <v>1385</v>
      </c>
      <c r="K1038" s="14" t="s">
        <v>1257</v>
      </c>
      <c r="L1038" s="14" t="s">
        <v>3172</v>
      </c>
      <c r="M1038" s="14" t="s">
        <v>1259</v>
      </c>
      <c r="N1038" s="14" t="s">
        <v>1219</v>
      </c>
      <c r="O1038" s="14" t="s">
        <v>1220</v>
      </c>
    </row>
    <row r="1039" spans="1:15" x14ac:dyDescent="0.25">
      <c r="A1039" s="14">
        <v>2521</v>
      </c>
      <c r="B1039" s="14" t="s">
        <v>3176</v>
      </c>
      <c r="C1039" s="14" t="s">
        <v>3176</v>
      </c>
      <c r="D1039" s="14" t="s">
        <v>3155</v>
      </c>
      <c r="E1039" s="15"/>
      <c r="F1039" s="14" t="s">
        <v>1350</v>
      </c>
      <c r="G1039" s="15"/>
      <c r="H1039" s="14" t="s">
        <v>1255</v>
      </c>
      <c r="I1039" s="14" t="s">
        <v>1351</v>
      </c>
      <c r="J1039" s="14" t="s">
        <v>1385</v>
      </c>
      <c r="K1039" s="14" t="s">
        <v>1257</v>
      </c>
      <c r="L1039" s="14" t="s">
        <v>3172</v>
      </c>
      <c r="M1039" s="14" t="s">
        <v>1259</v>
      </c>
      <c r="N1039" s="14" t="s">
        <v>1219</v>
      </c>
      <c r="O1039" s="14" t="s">
        <v>1220</v>
      </c>
    </row>
    <row r="1040" spans="1:15" x14ac:dyDescent="0.25">
      <c r="A1040" s="14">
        <v>2199</v>
      </c>
      <c r="B1040" s="14" t="s">
        <v>3177</v>
      </c>
      <c r="C1040" s="14" t="s">
        <v>3177</v>
      </c>
      <c r="D1040" s="14" t="s">
        <v>1349</v>
      </c>
      <c r="E1040" s="15"/>
      <c r="F1040" s="14" t="s">
        <v>1350</v>
      </c>
      <c r="G1040" s="15"/>
      <c r="H1040" s="14" t="s">
        <v>1255</v>
      </c>
      <c r="I1040" s="14" t="s">
        <v>1360</v>
      </c>
      <c r="J1040" s="14" t="s">
        <v>1360</v>
      </c>
      <c r="K1040" s="14" t="s">
        <v>1257</v>
      </c>
      <c r="L1040" s="14" t="s">
        <v>3172</v>
      </c>
      <c r="M1040" s="14" t="s">
        <v>1259</v>
      </c>
      <c r="N1040" s="14" t="s">
        <v>1219</v>
      </c>
      <c r="O1040" s="14" t="s">
        <v>1220</v>
      </c>
    </row>
    <row r="1041" spans="1:15" x14ac:dyDescent="0.25">
      <c r="A1041" s="14">
        <v>2522</v>
      </c>
      <c r="B1041" s="14" t="s">
        <v>3178</v>
      </c>
      <c r="C1041" s="14" t="s">
        <v>3178</v>
      </c>
      <c r="D1041" s="14" t="s">
        <v>3155</v>
      </c>
      <c r="E1041" s="15"/>
      <c r="F1041" s="14" t="s">
        <v>1350</v>
      </c>
      <c r="G1041" s="15"/>
      <c r="H1041" s="14" t="s">
        <v>1255</v>
      </c>
      <c r="I1041" s="14" t="s">
        <v>1351</v>
      </c>
      <c r="J1041" s="14" t="s">
        <v>1385</v>
      </c>
      <c r="K1041" s="14" t="s">
        <v>1257</v>
      </c>
      <c r="L1041" s="14" t="s">
        <v>3172</v>
      </c>
      <c r="M1041" s="14" t="s">
        <v>1259</v>
      </c>
      <c r="N1041" s="14" t="s">
        <v>1219</v>
      </c>
      <c r="O1041" s="14" t="s">
        <v>1220</v>
      </c>
    </row>
    <row r="1042" spans="1:15" x14ac:dyDescent="0.25">
      <c r="A1042" s="14">
        <v>2523</v>
      </c>
      <c r="B1042" s="14" t="s">
        <v>3179</v>
      </c>
      <c r="C1042" s="14" t="s">
        <v>3179</v>
      </c>
      <c r="D1042" s="14" t="s">
        <v>3155</v>
      </c>
      <c r="E1042" s="15"/>
      <c r="F1042" s="14" t="s">
        <v>1350</v>
      </c>
      <c r="G1042" s="15"/>
      <c r="H1042" s="14" t="s">
        <v>1255</v>
      </c>
      <c r="I1042" s="14" t="s">
        <v>1351</v>
      </c>
      <c r="J1042" s="14" t="s">
        <v>1385</v>
      </c>
      <c r="K1042" s="14" t="s">
        <v>1257</v>
      </c>
      <c r="L1042" s="14" t="s">
        <v>3172</v>
      </c>
      <c r="M1042" s="14" t="s">
        <v>1259</v>
      </c>
      <c r="N1042" s="14" t="s">
        <v>1219</v>
      </c>
      <c r="O1042" s="14" t="s">
        <v>1220</v>
      </c>
    </row>
    <row r="1043" spans="1:15" x14ac:dyDescent="0.25">
      <c r="A1043" s="14" t="s">
        <v>3180</v>
      </c>
      <c r="B1043" s="14" t="s">
        <v>3181</v>
      </c>
      <c r="C1043" s="14" t="s">
        <v>3181</v>
      </c>
      <c r="D1043" s="14" t="s">
        <v>1283</v>
      </c>
      <c r="E1043" s="15"/>
      <c r="F1043" s="14" t="s">
        <v>1742</v>
      </c>
      <c r="G1043" s="15"/>
      <c r="H1043" s="14" t="s">
        <v>1255</v>
      </c>
      <c r="I1043" s="14" t="s">
        <v>1217</v>
      </c>
      <c r="J1043" s="14" t="s">
        <v>1296</v>
      </c>
      <c r="K1043" s="14"/>
      <c r="L1043" s="14"/>
      <c r="M1043" s="14" t="s">
        <v>1259</v>
      </c>
      <c r="N1043" s="14" t="s">
        <v>1219</v>
      </c>
      <c r="O1043" s="14" t="s">
        <v>1220</v>
      </c>
    </row>
    <row r="1044" spans="1:15" x14ac:dyDescent="0.25">
      <c r="A1044" s="14" t="s">
        <v>3182</v>
      </c>
      <c r="B1044" s="14" t="s">
        <v>3183</v>
      </c>
      <c r="C1044" s="14" t="s">
        <v>3183</v>
      </c>
      <c r="D1044" s="14" t="s">
        <v>1283</v>
      </c>
      <c r="E1044" s="15"/>
      <c r="F1044" s="14" t="s">
        <v>1742</v>
      </c>
      <c r="G1044" s="15"/>
      <c r="H1044" s="14" t="s">
        <v>1255</v>
      </c>
      <c r="I1044" s="14" t="s">
        <v>1217</v>
      </c>
      <c r="J1044" s="14" t="s">
        <v>1296</v>
      </c>
      <c r="K1044" s="14"/>
      <c r="L1044" s="14"/>
      <c r="M1044" s="14" t="s">
        <v>1259</v>
      </c>
      <c r="N1044" s="14" t="s">
        <v>1219</v>
      </c>
      <c r="O1044" s="14" t="s">
        <v>1220</v>
      </c>
    </row>
    <row r="1045" spans="1:15" x14ac:dyDescent="0.25">
      <c r="A1045" s="14" t="s">
        <v>3184</v>
      </c>
      <c r="B1045" s="14" t="s">
        <v>3185</v>
      </c>
      <c r="C1045" s="14" t="s">
        <v>3185</v>
      </c>
      <c r="D1045" s="14" t="s">
        <v>1283</v>
      </c>
      <c r="E1045" s="15"/>
      <c r="F1045" s="14" t="s">
        <v>1742</v>
      </c>
      <c r="G1045" s="15"/>
      <c r="H1045" s="14" t="s">
        <v>1255</v>
      </c>
      <c r="I1045" s="14" t="s">
        <v>1217</v>
      </c>
      <c r="J1045" s="14" t="s">
        <v>1296</v>
      </c>
      <c r="K1045" s="14"/>
      <c r="L1045" s="14"/>
      <c r="M1045" s="14" t="s">
        <v>1259</v>
      </c>
      <c r="N1045" s="14" t="s">
        <v>1219</v>
      </c>
      <c r="O1045" s="14" t="s">
        <v>1220</v>
      </c>
    </row>
    <row r="1046" spans="1:15" x14ac:dyDescent="0.25">
      <c r="A1046" s="14">
        <v>466</v>
      </c>
      <c r="B1046" s="14" t="s">
        <v>310</v>
      </c>
      <c r="C1046" s="14" t="s">
        <v>3186</v>
      </c>
      <c r="D1046" s="14" t="s">
        <v>3155</v>
      </c>
      <c r="E1046" s="16">
        <v>60</v>
      </c>
      <c r="F1046" s="14" t="s">
        <v>1510</v>
      </c>
      <c r="G1046" s="16">
        <v>600</v>
      </c>
      <c r="H1046" s="14" t="s">
        <v>1510</v>
      </c>
      <c r="I1046" s="14" t="s">
        <v>1256</v>
      </c>
      <c r="J1046" s="14" t="s">
        <v>1296</v>
      </c>
      <c r="K1046" s="14" t="s">
        <v>1257</v>
      </c>
      <c r="L1046" s="14" t="s">
        <v>3187</v>
      </c>
      <c r="M1046" s="14" t="s">
        <v>1324</v>
      </c>
      <c r="N1046" s="14" t="s">
        <v>1237</v>
      </c>
      <c r="O1046" s="14" t="s">
        <v>1220</v>
      </c>
    </row>
    <row r="1047" spans="1:15" x14ac:dyDescent="0.25">
      <c r="A1047" s="14" t="s">
        <v>3188</v>
      </c>
      <c r="B1047" s="14" t="s">
        <v>3189</v>
      </c>
      <c r="C1047" s="14" t="s">
        <v>3190</v>
      </c>
      <c r="D1047" s="14" t="s">
        <v>1517</v>
      </c>
      <c r="E1047" s="15"/>
      <c r="F1047" s="14" t="s">
        <v>1510</v>
      </c>
      <c r="G1047" s="15"/>
      <c r="H1047" s="14" t="s">
        <v>1510</v>
      </c>
      <c r="I1047" s="14" t="s">
        <v>1262</v>
      </c>
      <c r="J1047" s="14" t="s">
        <v>1262</v>
      </c>
      <c r="K1047" s="14"/>
      <c r="L1047" s="14" t="s">
        <v>3187</v>
      </c>
      <c r="M1047" s="14" t="s">
        <v>1324</v>
      </c>
      <c r="N1047" s="14" t="s">
        <v>1219</v>
      </c>
      <c r="O1047" s="14" t="s">
        <v>1220</v>
      </c>
    </row>
    <row r="1048" spans="1:15" x14ac:dyDescent="0.25">
      <c r="A1048" s="14">
        <v>606</v>
      </c>
      <c r="B1048" s="14" t="s">
        <v>3191</v>
      </c>
      <c r="C1048" s="14" t="s">
        <v>3192</v>
      </c>
      <c r="D1048" s="14" t="s">
        <v>1349</v>
      </c>
      <c r="E1048" s="15"/>
      <c r="F1048" s="14"/>
      <c r="G1048" s="15"/>
      <c r="H1048" s="14" t="s">
        <v>1510</v>
      </c>
      <c r="I1048" s="14" t="s">
        <v>1360</v>
      </c>
      <c r="J1048" s="14" t="s">
        <v>1360</v>
      </c>
      <c r="K1048" s="14"/>
      <c r="L1048" s="14"/>
      <c r="M1048" s="14" t="s">
        <v>1324</v>
      </c>
      <c r="N1048" s="14" t="s">
        <v>1219</v>
      </c>
      <c r="O1048" s="14" t="s">
        <v>1220</v>
      </c>
    </row>
    <row r="1049" spans="1:15" x14ac:dyDescent="0.25">
      <c r="A1049" s="14">
        <v>536</v>
      </c>
      <c r="B1049" s="14" t="s">
        <v>3193</v>
      </c>
      <c r="C1049" s="14" t="s">
        <v>3194</v>
      </c>
      <c r="D1049" s="14" t="s">
        <v>1349</v>
      </c>
      <c r="E1049" s="15"/>
      <c r="F1049" s="14"/>
      <c r="G1049" s="15"/>
      <c r="H1049" s="14" t="s">
        <v>1510</v>
      </c>
      <c r="I1049" s="14" t="s">
        <v>1360</v>
      </c>
      <c r="J1049" s="14" t="s">
        <v>1360</v>
      </c>
      <c r="K1049" s="14"/>
      <c r="L1049" s="14"/>
      <c r="M1049" s="14" t="s">
        <v>1324</v>
      </c>
      <c r="N1049" s="14" t="s">
        <v>1219</v>
      </c>
      <c r="O1049" s="14" t="s">
        <v>1220</v>
      </c>
    </row>
    <row r="1050" spans="1:15" x14ac:dyDescent="0.25">
      <c r="A1050" s="14">
        <v>607</v>
      </c>
      <c r="B1050" s="14" t="s">
        <v>3195</v>
      </c>
      <c r="C1050" s="14" t="s">
        <v>3196</v>
      </c>
      <c r="D1050" s="14" t="s">
        <v>1349</v>
      </c>
      <c r="E1050" s="15"/>
      <c r="F1050" s="14"/>
      <c r="G1050" s="15"/>
      <c r="H1050" s="14" t="s">
        <v>1510</v>
      </c>
      <c r="I1050" s="14" t="s">
        <v>1360</v>
      </c>
      <c r="J1050" s="14" t="s">
        <v>1360</v>
      </c>
      <c r="K1050" s="14"/>
      <c r="L1050" s="14"/>
      <c r="M1050" s="14" t="s">
        <v>1324</v>
      </c>
      <c r="N1050" s="14" t="s">
        <v>1219</v>
      </c>
      <c r="O1050" s="14" t="s">
        <v>1220</v>
      </c>
    </row>
    <row r="1051" spans="1:15" x14ac:dyDescent="0.25">
      <c r="A1051" s="14">
        <v>494</v>
      </c>
      <c r="B1051" s="14" t="s">
        <v>3197</v>
      </c>
      <c r="C1051" s="14" t="s">
        <v>3198</v>
      </c>
      <c r="D1051" s="14" t="s">
        <v>3155</v>
      </c>
      <c r="E1051" s="15"/>
      <c r="F1051" s="14" t="s">
        <v>1350</v>
      </c>
      <c r="G1051" s="15"/>
      <c r="H1051" s="14" t="s">
        <v>1510</v>
      </c>
      <c r="I1051" s="14" t="s">
        <v>1360</v>
      </c>
      <c r="J1051" s="14" t="s">
        <v>1385</v>
      </c>
      <c r="K1051" s="14" t="s">
        <v>1257</v>
      </c>
      <c r="L1051" s="14" t="s">
        <v>3187</v>
      </c>
      <c r="M1051" s="14" t="s">
        <v>1324</v>
      </c>
      <c r="N1051" s="14" t="s">
        <v>1219</v>
      </c>
      <c r="O1051" s="14" t="s">
        <v>1220</v>
      </c>
    </row>
    <row r="1052" spans="1:15" x14ac:dyDescent="0.25">
      <c r="A1052" s="14">
        <v>6071</v>
      </c>
      <c r="B1052" s="14" t="s">
        <v>3199</v>
      </c>
      <c r="C1052" s="14" t="s">
        <v>3199</v>
      </c>
      <c r="D1052" s="14" t="s">
        <v>1807</v>
      </c>
      <c r="E1052" s="15"/>
      <c r="F1052" s="14"/>
      <c r="G1052" s="15"/>
      <c r="H1052" s="14" t="s">
        <v>1255</v>
      </c>
      <c r="I1052" s="14" t="s">
        <v>1217</v>
      </c>
      <c r="J1052" s="14"/>
      <c r="K1052" s="14"/>
      <c r="L1052" s="14"/>
      <c r="M1052" s="14"/>
      <c r="N1052" s="14" t="s">
        <v>1219</v>
      </c>
      <c r="O1052" s="14" t="s">
        <v>1220</v>
      </c>
    </row>
    <row r="1053" spans="1:15" x14ac:dyDescent="0.25">
      <c r="A1053" s="14">
        <v>6072</v>
      </c>
      <c r="B1053" s="14" t="s">
        <v>3200</v>
      </c>
      <c r="C1053" s="14" t="s">
        <v>3200</v>
      </c>
      <c r="D1053" s="14" t="s">
        <v>1807</v>
      </c>
      <c r="E1053" s="15"/>
      <c r="F1053" s="14"/>
      <c r="G1053" s="15"/>
      <c r="H1053" s="14" t="s">
        <v>1255</v>
      </c>
      <c r="I1053" s="14" t="s">
        <v>1217</v>
      </c>
      <c r="J1053" s="14"/>
      <c r="K1053" s="14"/>
      <c r="L1053" s="14"/>
      <c r="M1053" s="14"/>
      <c r="N1053" s="14" t="s">
        <v>1219</v>
      </c>
      <c r="O1053" s="14" t="s">
        <v>1220</v>
      </c>
    </row>
    <row r="1054" spans="1:15" x14ac:dyDescent="0.25">
      <c r="A1054" s="14">
        <v>6073</v>
      </c>
      <c r="B1054" s="14" t="s">
        <v>3201</v>
      </c>
      <c r="C1054" s="14" t="s">
        <v>3201</v>
      </c>
      <c r="D1054" s="14" t="s">
        <v>1807</v>
      </c>
      <c r="E1054" s="15"/>
      <c r="F1054" s="14"/>
      <c r="G1054" s="15"/>
      <c r="H1054" s="14" t="s">
        <v>1255</v>
      </c>
      <c r="I1054" s="14" t="s">
        <v>1217</v>
      </c>
      <c r="J1054" s="14"/>
      <c r="K1054" s="14"/>
      <c r="L1054" s="14"/>
      <c r="M1054" s="14"/>
      <c r="N1054" s="14" t="s">
        <v>1219</v>
      </c>
      <c r="O1054" s="14" t="s">
        <v>1220</v>
      </c>
    </row>
    <row r="1055" spans="1:15" x14ac:dyDescent="0.25">
      <c r="A1055" s="14" t="s">
        <v>3202</v>
      </c>
      <c r="B1055" s="14" t="s">
        <v>3203</v>
      </c>
      <c r="C1055" s="14" t="s">
        <v>3203</v>
      </c>
      <c r="D1055" s="14" t="s">
        <v>1349</v>
      </c>
      <c r="E1055" s="15"/>
      <c r="F1055" s="14"/>
      <c r="G1055" s="15"/>
      <c r="H1055" s="14" t="s">
        <v>1380</v>
      </c>
      <c r="I1055" s="14" t="s">
        <v>1360</v>
      </c>
      <c r="J1055" s="14" t="s">
        <v>1360</v>
      </c>
      <c r="K1055" s="14"/>
      <c r="L1055" s="14"/>
      <c r="M1055" s="14" t="s">
        <v>1324</v>
      </c>
      <c r="N1055" s="14" t="s">
        <v>1219</v>
      </c>
      <c r="O1055" s="14" t="s">
        <v>1220</v>
      </c>
    </row>
    <row r="1056" spans="1:15" x14ac:dyDescent="0.25">
      <c r="A1056" s="14" t="s">
        <v>3204</v>
      </c>
      <c r="B1056" s="14" t="s">
        <v>3205</v>
      </c>
      <c r="C1056" s="14" t="s">
        <v>3205</v>
      </c>
      <c r="D1056" s="14" t="s">
        <v>1349</v>
      </c>
      <c r="E1056" s="15"/>
      <c r="F1056" s="14"/>
      <c r="G1056" s="15"/>
      <c r="H1056" s="14" t="s">
        <v>1380</v>
      </c>
      <c r="I1056" s="14" t="s">
        <v>1360</v>
      </c>
      <c r="J1056" s="14" t="s">
        <v>1360</v>
      </c>
      <c r="K1056" s="14"/>
      <c r="L1056" s="14"/>
      <c r="M1056" s="14" t="s">
        <v>1324</v>
      </c>
      <c r="N1056" s="14" t="s">
        <v>1219</v>
      </c>
      <c r="O1056" s="14" t="s">
        <v>1220</v>
      </c>
    </row>
    <row r="1057" spans="1:15" x14ac:dyDescent="0.25">
      <c r="A1057" s="14" t="s">
        <v>3206</v>
      </c>
      <c r="B1057" s="14" t="s">
        <v>3207</v>
      </c>
      <c r="C1057" s="14" t="s">
        <v>3207</v>
      </c>
      <c r="D1057" s="14" t="s">
        <v>3208</v>
      </c>
      <c r="E1057" s="15"/>
      <c r="F1057" s="14" t="s">
        <v>1350</v>
      </c>
      <c r="G1057" s="15"/>
      <c r="H1057" s="14" t="s">
        <v>1380</v>
      </c>
      <c r="I1057" s="14" t="s">
        <v>1360</v>
      </c>
      <c r="J1057" s="14" t="s">
        <v>1385</v>
      </c>
      <c r="K1057" s="14" t="s">
        <v>1257</v>
      </c>
      <c r="L1057" s="14" t="s">
        <v>3187</v>
      </c>
      <c r="M1057" s="14" t="s">
        <v>1324</v>
      </c>
      <c r="N1057" s="14" t="s">
        <v>1219</v>
      </c>
      <c r="O1057" s="14" t="s">
        <v>1220</v>
      </c>
    </row>
    <row r="1058" spans="1:15" x14ac:dyDescent="0.25">
      <c r="A1058" s="14" t="s">
        <v>3209</v>
      </c>
      <c r="B1058" s="14" t="s">
        <v>3210</v>
      </c>
      <c r="C1058" s="14" t="s">
        <v>3210</v>
      </c>
      <c r="D1058" s="14" t="s">
        <v>3208</v>
      </c>
      <c r="E1058" s="15"/>
      <c r="F1058" s="14" t="s">
        <v>1350</v>
      </c>
      <c r="G1058" s="15"/>
      <c r="H1058" s="14" t="s">
        <v>1380</v>
      </c>
      <c r="I1058" s="14" t="s">
        <v>1360</v>
      </c>
      <c r="J1058" s="14" t="s">
        <v>1385</v>
      </c>
      <c r="K1058" s="14" t="s">
        <v>1257</v>
      </c>
      <c r="L1058" s="14" t="s">
        <v>3187</v>
      </c>
      <c r="M1058" s="14" t="s">
        <v>1324</v>
      </c>
      <c r="N1058" s="14" t="s">
        <v>1219</v>
      </c>
      <c r="O1058" s="14" t="s">
        <v>1220</v>
      </c>
    </row>
    <row r="1059" spans="1:15" x14ac:dyDescent="0.25">
      <c r="A1059" s="14" t="s">
        <v>3211</v>
      </c>
      <c r="B1059" s="14" t="s">
        <v>3212</v>
      </c>
      <c r="C1059" s="14" t="s">
        <v>3212</v>
      </c>
      <c r="D1059" s="14" t="s">
        <v>3208</v>
      </c>
      <c r="E1059" s="15"/>
      <c r="F1059" s="14" t="s">
        <v>1350</v>
      </c>
      <c r="G1059" s="15"/>
      <c r="H1059" s="14" t="s">
        <v>1380</v>
      </c>
      <c r="I1059" s="14" t="s">
        <v>1360</v>
      </c>
      <c r="J1059" s="14" t="s">
        <v>1385</v>
      </c>
      <c r="K1059" s="14" t="s">
        <v>1257</v>
      </c>
      <c r="L1059" s="14" t="s">
        <v>3187</v>
      </c>
      <c r="M1059" s="14" t="s">
        <v>1324</v>
      </c>
      <c r="N1059" s="14" t="s">
        <v>1219</v>
      </c>
      <c r="O1059" s="14" t="s">
        <v>1220</v>
      </c>
    </row>
    <row r="1060" spans="1:15" x14ac:dyDescent="0.25">
      <c r="A1060" s="14" t="s">
        <v>3213</v>
      </c>
      <c r="B1060" s="14" t="s">
        <v>3214</v>
      </c>
      <c r="C1060" s="14" t="s">
        <v>3214</v>
      </c>
      <c r="D1060" s="14" t="s">
        <v>1349</v>
      </c>
      <c r="E1060" s="15"/>
      <c r="F1060" s="14"/>
      <c r="G1060" s="15"/>
      <c r="H1060" s="14" t="s">
        <v>1380</v>
      </c>
      <c r="I1060" s="14" t="s">
        <v>1360</v>
      </c>
      <c r="J1060" s="14" t="s">
        <v>1360</v>
      </c>
      <c r="K1060" s="14"/>
      <c r="L1060" s="14"/>
      <c r="M1060" s="14" t="s">
        <v>1324</v>
      </c>
      <c r="N1060" s="14" t="s">
        <v>1219</v>
      </c>
      <c r="O1060" s="14" t="s">
        <v>1220</v>
      </c>
    </row>
    <row r="1061" spans="1:15" x14ac:dyDescent="0.25">
      <c r="A1061" s="14">
        <v>3786</v>
      </c>
      <c r="B1061" s="14" t="s">
        <v>1122</v>
      </c>
      <c r="C1061" s="14" t="s">
        <v>1122</v>
      </c>
      <c r="D1061" s="14" t="s">
        <v>1685</v>
      </c>
      <c r="E1061" s="16">
        <v>50</v>
      </c>
      <c r="F1061" s="14" t="s">
        <v>1255</v>
      </c>
      <c r="G1061" s="16">
        <v>150</v>
      </c>
      <c r="H1061" s="14" t="s">
        <v>1255</v>
      </c>
      <c r="I1061" s="14" t="s">
        <v>1232</v>
      </c>
      <c r="J1061" s="14" t="s">
        <v>1296</v>
      </c>
      <c r="K1061" s="14" t="s">
        <v>3215</v>
      </c>
      <c r="L1061" s="14" t="s">
        <v>3216</v>
      </c>
      <c r="M1061" s="14" t="s">
        <v>3131</v>
      </c>
      <c r="N1061" s="14" t="s">
        <v>1237</v>
      </c>
      <c r="O1061" s="14" t="s">
        <v>1220</v>
      </c>
    </row>
    <row r="1062" spans="1:15" x14ac:dyDescent="0.25">
      <c r="A1062" s="14">
        <v>3972</v>
      </c>
      <c r="B1062" s="14" t="s">
        <v>3217</v>
      </c>
      <c r="C1062" s="14" t="s">
        <v>3217</v>
      </c>
      <c r="D1062" s="14" t="s">
        <v>1349</v>
      </c>
      <c r="E1062" s="15"/>
      <c r="F1062" s="14"/>
      <c r="G1062" s="15"/>
      <c r="H1062" s="14" t="s">
        <v>1216</v>
      </c>
      <c r="I1062" s="14" t="s">
        <v>1360</v>
      </c>
      <c r="J1062" s="14" t="s">
        <v>1360</v>
      </c>
      <c r="K1062" s="14"/>
      <c r="L1062" s="14"/>
      <c r="M1062" s="14" t="s">
        <v>3218</v>
      </c>
      <c r="N1062" s="14" t="s">
        <v>1219</v>
      </c>
      <c r="O1062" s="14" t="s">
        <v>1220</v>
      </c>
    </row>
    <row r="1063" spans="1:15" x14ac:dyDescent="0.25">
      <c r="A1063" s="14">
        <v>3900</v>
      </c>
      <c r="B1063" s="14" t="s">
        <v>299</v>
      </c>
      <c r="C1063" s="14" t="s">
        <v>299</v>
      </c>
      <c r="D1063" s="14" t="s">
        <v>3219</v>
      </c>
      <c r="E1063" s="16">
        <v>10</v>
      </c>
      <c r="F1063" s="14" t="s">
        <v>3219</v>
      </c>
      <c r="G1063" s="16">
        <v>100</v>
      </c>
      <c r="H1063" s="14" t="s">
        <v>3219</v>
      </c>
      <c r="I1063" s="14" t="s">
        <v>1256</v>
      </c>
      <c r="J1063" s="14" t="s">
        <v>1233</v>
      </c>
      <c r="K1063" s="14" t="s">
        <v>1257</v>
      </c>
      <c r="L1063" s="14" t="s">
        <v>3220</v>
      </c>
      <c r="M1063" s="14" t="s">
        <v>3218</v>
      </c>
      <c r="N1063" s="14" t="s">
        <v>1237</v>
      </c>
      <c r="O1063" s="14" t="s">
        <v>1220</v>
      </c>
    </row>
    <row r="1064" spans="1:15" x14ac:dyDescent="0.25">
      <c r="A1064" s="14" t="s">
        <v>3221</v>
      </c>
      <c r="B1064" s="14" t="s">
        <v>3222</v>
      </c>
      <c r="C1064" s="14" t="s">
        <v>3222</v>
      </c>
      <c r="D1064" s="14" t="s">
        <v>1222</v>
      </c>
      <c r="E1064" s="15"/>
      <c r="F1064" s="14"/>
      <c r="G1064" s="15"/>
      <c r="H1064" s="14" t="s">
        <v>1223</v>
      </c>
      <c r="I1064" s="14"/>
      <c r="J1064" s="14"/>
      <c r="K1064" s="14"/>
      <c r="L1064" s="14"/>
      <c r="M1064" s="14"/>
      <c r="N1064" s="14" t="s">
        <v>1219</v>
      </c>
      <c r="O1064" s="14" t="s">
        <v>1220</v>
      </c>
    </row>
    <row r="1065" spans="1:15" x14ac:dyDescent="0.25">
      <c r="A1065" s="14">
        <v>2741</v>
      </c>
      <c r="B1065" s="14" t="s">
        <v>246</v>
      </c>
      <c r="C1065" s="14" t="s">
        <v>246</v>
      </c>
      <c r="D1065" s="14" t="s">
        <v>3223</v>
      </c>
      <c r="E1065" s="16">
        <v>40</v>
      </c>
      <c r="F1065" s="14" t="s">
        <v>1536</v>
      </c>
      <c r="G1065" s="16">
        <v>40</v>
      </c>
      <c r="H1065" s="14" t="s">
        <v>2078</v>
      </c>
      <c r="I1065" s="14" t="s">
        <v>1256</v>
      </c>
      <c r="J1065" s="14" t="s">
        <v>1296</v>
      </c>
      <c r="K1065" s="14" t="s">
        <v>3224</v>
      </c>
      <c r="L1065" s="14" t="s">
        <v>3225</v>
      </c>
      <c r="M1065" s="14" t="s">
        <v>3226</v>
      </c>
      <c r="N1065" s="14" t="s">
        <v>1237</v>
      </c>
      <c r="O1065" s="14" t="s">
        <v>1220</v>
      </c>
    </row>
    <row r="1066" spans="1:15" x14ac:dyDescent="0.25">
      <c r="A1066" s="14">
        <v>3897</v>
      </c>
      <c r="B1066" s="14" t="s">
        <v>300</v>
      </c>
      <c r="C1066" s="14" t="s">
        <v>300</v>
      </c>
      <c r="D1066" s="14" t="s">
        <v>3219</v>
      </c>
      <c r="E1066" s="16">
        <v>100</v>
      </c>
      <c r="F1066" s="14" t="s">
        <v>3219</v>
      </c>
      <c r="G1066" s="16">
        <v>400</v>
      </c>
      <c r="H1066" s="14" t="s">
        <v>3219</v>
      </c>
      <c r="I1066" s="14" t="s">
        <v>1256</v>
      </c>
      <c r="J1066" s="14" t="s">
        <v>1242</v>
      </c>
      <c r="K1066" s="14" t="s">
        <v>1257</v>
      </c>
      <c r="L1066" s="14" t="s">
        <v>3227</v>
      </c>
      <c r="M1066" s="14" t="s">
        <v>3218</v>
      </c>
      <c r="N1066" s="14" t="s">
        <v>1237</v>
      </c>
      <c r="O1066" s="14" t="s">
        <v>1220</v>
      </c>
    </row>
    <row r="1067" spans="1:15" x14ac:dyDescent="0.25">
      <c r="A1067" s="14" t="s">
        <v>3228</v>
      </c>
      <c r="B1067" s="14" t="s">
        <v>3229</v>
      </c>
      <c r="C1067" s="14" t="s">
        <v>3229</v>
      </c>
      <c r="D1067" s="14" t="s">
        <v>3219</v>
      </c>
      <c r="E1067" s="15"/>
      <c r="F1067" s="14" t="s">
        <v>3219</v>
      </c>
      <c r="G1067" s="15"/>
      <c r="H1067" s="14" t="s">
        <v>3219</v>
      </c>
      <c r="I1067" s="14" t="s">
        <v>1262</v>
      </c>
      <c r="J1067" s="14" t="s">
        <v>1262</v>
      </c>
      <c r="K1067" s="14" t="s">
        <v>1257</v>
      </c>
      <c r="L1067" s="14" t="s">
        <v>3227</v>
      </c>
      <c r="M1067" s="14" t="s">
        <v>3218</v>
      </c>
      <c r="N1067" s="14" t="s">
        <v>1219</v>
      </c>
      <c r="O1067" s="14" t="s">
        <v>1220</v>
      </c>
    </row>
    <row r="1068" spans="1:15" x14ac:dyDescent="0.25">
      <c r="A1068" s="14">
        <v>3898</v>
      </c>
      <c r="B1068" s="14" t="s">
        <v>301</v>
      </c>
      <c r="C1068" s="14" t="s">
        <v>301</v>
      </c>
      <c r="D1068" s="14" t="s">
        <v>3219</v>
      </c>
      <c r="E1068" s="16">
        <v>50</v>
      </c>
      <c r="F1068" s="14" t="s">
        <v>3219</v>
      </c>
      <c r="G1068" s="16">
        <v>300</v>
      </c>
      <c r="H1068" s="14" t="s">
        <v>3219</v>
      </c>
      <c r="I1068" s="14" t="s">
        <v>1256</v>
      </c>
      <c r="J1068" s="14" t="s">
        <v>1296</v>
      </c>
      <c r="K1068" s="14" t="s">
        <v>1257</v>
      </c>
      <c r="L1068" s="14" t="s">
        <v>3230</v>
      </c>
      <c r="M1068" s="14" t="s">
        <v>3231</v>
      </c>
      <c r="N1068" s="14" t="s">
        <v>1237</v>
      </c>
      <c r="O1068" s="14" t="s">
        <v>1220</v>
      </c>
    </row>
    <row r="1069" spans="1:15" x14ac:dyDescent="0.25">
      <c r="A1069" s="14" t="s">
        <v>3232</v>
      </c>
      <c r="B1069" s="14" t="s">
        <v>3233</v>
      </c>
      <c r="C1069" s="14" t="s">
        <v>3233</v>
      </c>
      <c r="D1069" s="14" t="s">
        <v>3219</v>
      </c>
      <c r="E1069" s="16">
        <v>100</v>
      </c>
      <c r="F1069" s="14" t="s">
        <v>3219</v>
      </c>
      <c r="G1069" s="16">
        <v>300</v>
      </c>
      <c r="H1069" s="14" t="s">
        <v>3219</v>
      </c>
      <c r="I1069" s="14" t="s">
        <v>1262</v>
      </c>
      <c r="J1069" s="14" t="s">
        <v>1262</v>
      </c>
      <c r="K1069" s="14" t="s">
        <v>1257</v>
      </c>
      <c r="L1069" s="14" t="s">
        <v>3230</v>
      </c>
      <c r="M1069" s="14" t="s">
        <v>3231</v>
      </c>
      <c r="N1069" s="14" t="s">
        <v>1219</v>
      </c>
      <c r="O1069" s="14" t="s">
        <v>1220</v>
      </c>
    </row>
    <row r="1070" spans="1:15" x14ac:dyDescent="0.25">
      <c r="A1070" s="14">
        <v>3899</v>
      </c>
      <c r="B1070" s="14" t="s">
        <v>302</v>
      </c>
      <c r="C1070" s="14" t="s">
        <v>302</v>
      </c>
      <c r="D1070" s="14" t="s">
        <v>3219</v>
      </c>
      <c r="E1070" s="16">
        <v>50</v>
      </c>
      <c r="F1070" s="14" t="s">
        <v>3219</v>
      </c>
      <c r="G1070" s="16">
        <v>300</v>
      </c>
      <c r="H1070" s="14" t="s">
        <v>3219</v>
      </c>
      <c r="I1070" s="14" t="s">
        <v>1256</v>
      </c>
      <c r="J1070" s="14" t="s">
        <v>1242</v>
      </c>
      <c r="K1070" s="14" t="s">
        <v>1257</v>
      </c>
      <c r="L1070" s="14" t="s">
        <v>3234</v>
      </c>
      <c r="M1070" s="14" t="s">
        <v>3231</v>
      </c>
      <c r="N1070" s="14" t="s">
        <v>1237</v>
      </c>
      <c r="O1070" s="14" t="s">
        <v>1220</v>
      </c>
    </row>
    <row r="1071" spans="1:15" x14ac:dyDescent="0.25">
      <c r="A1071" s="14">
        <v>3940</v>
      </c>
      <c r="B1071" s="14" t="s">
        <v>3235</v>
      </c>
      <c r="C1071" s="14" t="s">
        <v>3235</v>
      </c>
      <c r="D1071" s="14" t="s">
        <v>1349</v>
      </c>
      <c r="E1071" s="15"/>
      <c r="F1071" s="14" t="s">
        <v>1350</v>
      </c>
      <c r="G1071" s="15"/>
      <c r="H1071" s="14" t="s">
        <v>3219</v>
      </c>
      <c r="I1071" s="14" t="s">
        <v>1351</v>
      </c>
      <c r="J1071" s="14" t="s">
        <v>1351</v>
      </c>
      <c r="K1071" s="14" t="s">
        <v>1257</v>
      </c>
      <c r="L1071" s="14" t="s">
        <v>3236</v>
      </c>
      <c r="M1071" s="14" t="s">
        <v>3231</v>
      </c>
      <c r="N1071" s="14" t="s">
        <v>1219</v>
      </c>
      <c r="O1071" s="14" t="s">
        <v>1220</v>
      </c>
    </row>
    <row r="1072" spans="1:15" x14ac:dyDescent="0.25">
      <c r="A1072" s="14">
        <v>39782</v>
      </c>
      <c r="B1072" s="14" t="s">
        <v>3237</v>
      </c>
      <c r="C1072" s="14" t="s">
        <v>3237</v>
      </c>
      <c r="D1072" s="14" t="s">
        <v>1222</v>
      </c>
      <c r="E1072" s="15"/>
      <c r="F1072" s="14"/>
      <c r="G1072" s="15"/>
      <c r="H1072" s="14" t="s">
        <v>1223</v>
      </c>
      <c r="I1072" s="14"/>
      <c r="J1072" s="14"/>
      <c r="K1072" s="14"/>
      <c r="L1072" s="14"/>
      <c r="M1072" s="14"/>
      <c r="N1072" s="14" t="s">
        <v>1219</v>
      </c>
      <c r="O1072" s="14" t="s">
        <v>1220</v>
      </c>
    </row>
    <row r="1073" spans="1:15" x14ac:dyDescent="0.25">
      <c r="A1073" s="14">
        <v>38010</v>
      </c>
      <c r="B1073" s="14" t="s">
        <v>3238</v>
      </c>
      <c r="C1073" s="14" t="s">
        <v>3238</v>
      </c>
      <c r="D1073" s="14" t="s">
        <v>1222</v>
      </c>
      <c r="E1073" s="15"/>
      <c r="F1073" s="14"/>
      <c r="G1073" s="15"/>
      <c r="H1073" s="14" t="s">
        <v>1223</v>
      </c>
      <c r="I1073" s="14"/>
      <c r="J1073" s="14"/>
      <c r="K1073" s="14"/>
      <c r="L1073" s="14"/>
      <c r="M1073" s="14"/>
      <c r="N1073" s="14" t="s">
        <v>1219</v>
      </c>
      <c r="O1073" s="14" t="s">
        <v>1220</v>
      </c>
    </row>
    <row r="1074" spans="1:15" x14ac:dyDescent="0.25">
      <c r="A1074" s="14" t="s">
        <v>3239</v>
      </c>
      <c r="B1074" s="14" t="s">
        <v>3240</v>
      </c>
      <c r="C1074" s="14" t="s">
        <v>3240</v>
      </c>
      <c r="D1074" s="14" t="s">
        <v>1222</v>
      </c>
      <c r="E1074" s="15"/>
      <c r="F1074" s="14"/>
      <c r="G1074" s="15"/>
      <c r="H1074" s="14" t="s">
        <v>1223</v>
      </c>
      <c r="I1074" s="14"/>
      <c r="J1074" s="14"/>
      <c r="K1074" s="14"/>
      <c r="L1074" s="14"/>
      <c r="M1074" s="14"/>
      <c r="N1074" s="14" t="s">
        <v>1219</v>
      </c>
      <c r="O1074" s="14" t="s">
        <v>1220</v>
      </c>
    </row>
    <row r="1075" spans="1:15" x14ac:dyDescent="0.25">
      <c r="A1075" s="14" t="s">
        <v>3239</v>
      </c>
      <c r="B1075" s="14" t="s">
        <v>3241</v>
      </c>
      <c r="C1075" s="14" t="s">
        <v>3241</v>
      </c>
      <c r="D1075" s="14" t="s">
        <v>1222</v>
      </c>
      <c r="E1075" s="15"/>
      <c r="F1075" s="14"/>
      <c r="G1075" s="15"/>
      <c r="H1075" s="14" t="s">
        <v>1223</v>
      </c>
      <c r="I1075" s="14"/>
      <c r="J1075" s="14"/>
      <c r="K1075" s="14"/>
      <c r="L1075" s="14"/>
      <c r="M1075" s="14"/>
      <c r="N1075" s="14" t="s">
        <v>1219</v>
      </c>
      <c r="O1075" s="14" t="s">
        <v>1220</v>
      </c>
    </row>
    <row r="1076" spans="1:15" x14ac:dyDescent="0.25">
      <c r="A1076" s="14">
        <v>35522</v>
      </c>
      <c r="B1076" s="14" t="s">
        <v>3242</v>
      </c>
      <c r="C1076" s="14" t="s">
        <v>3242</v>
      </c>
      <c r="D1076" s="14" t="s">
        <v>1222</v>
      </c>
      <c r="E1076" s="15"/>
      <c r="F1076" s="14"/>
      <c r="G1076" s="15"/>
      <c r="H1076" s="14" t="s">
        <v>1223</v>
      </c>
      <c r="I1076" s="14"/>
      <c r="J1076" s="14"/>
      <c r="K1076" s="14"/>
      <c r="L1076" s="14"/>
      <c r="M1076" s="14"/>
      <c r="N1076" s="14" t="s">
        <v>1219</v>
      </c>
      <c r="O1076" s="14" t="s">
        <v>1220</v>
      </c>
    </row>
    <row r="1077" spans="1:15" x14ac:dyDescent="0.25">
      <c r="A1077" s="14">
        <v>35520</v>
      </c>
      <c r="B1077" s="14" t="s">
        <v>3243</v>
      </c>
      <c r="C1077" s="14" t="s">
        <v>3243</v>
      </c>
      <c r="D1077" s="14" t="s">
        <v>1222</v>
      </c>
      <c r="E1077" s="15"/>
      <c r="F1077" s="14"/>
      <c r="G1077" s="15"/>
      <c r="H1077" s="14" t="s">
        <v>1223</v>
      </c>
      <c r="I1077" s="14"/>
      <c r="J1077" s="14"/>
      <c r="K1077" s="14"/>
      <c r="L1077" s="14"/>
      <c r="M1077" s="14"/>
      <c r="N1077" s="14" t="s">
        <v>1219</v>
      </c>
      <c r="O1077" s="14" t="s">
        <v>1220</v>
      </c>
    </row>
    <row r="1078" spans="1:15" x14ac:dyDescent="0.25">
      <c r="A1078" s="14">
        <v>35525</v>
      </c>
      <c r="B1078" s="14" t="s">
        <v>3244</v>
      </c>
      <c r="C1078" s="14" t="s">
        <v>3244</v>
      </c>
      <c r="D1078" s="14" t="s">
        <v>1222</v>
      </c>
      <c r="E1078" s="15"/>
      <c r="F1078" s="14"/>
      <c r="G1078" s="15"/>
      <c r="H1078" s="14" t="s">
        <v>1223</v>
      </c>
      <c r="I1078" s="14"/>
      <c r="J1078" s="14"/>
      <c r="K1078" s="14"/>
      <c r="L1078" s="14"/>
      <c r="M1078" s="14"/>
      <c r="N1078" s="14" t="s">
        <v>1219</v>
      </c>
      <c r="O1078" s="14" t="s">
        <v>1220</v>
      </c>
    </row>
    <row r="1079" spans="1:15" x14ac:dyDescent="0.25">
      <c r="A1079" s="14">
        <v>35516</v>
      </c>
      <c r="B1079" s="14" t="s">
        <v>3245</v>
      </c>
      <c r="C1079" s="14" t="s">
        <v>3245</v>
      </c>
      <c r="D1079" s="14" t="s">
        <v>1222</v>
      </c>
      <c r="E1079" s="15"/>
      <c r="F1079" s="14"/>
      <c r="G1079" s="15"/>
      <c r="H1079" s="14" t="s">
        <v>1223</v>
      </c>
      <c r="I1079" s="14"/>
      <c r="J1079" s="14"/>
      <c r="K1079" s="14"/>
      <c r="L1079" s="14"/>
      <c r="M1079" s="14"/>
      <c r="N1079" s="14" t="s">
        <v>1219</v>
      </c>
      <c r="O1079" s="14" t="s">
        <v>1220</v>
      </c>
    </row>
    <row r="1080" spans="1:15" x14ac:dyDescent="0.25">
      <c r="A1080" s="14" t="s">
        <v>3246</v>
      </c>
      <c r="B1080" s="14" t="s">
        <v>3247</v>
      </c>
      <c r="C1080" s="14" t="s">
        <v>3247</v>
      </c>
      <c r="D1080" s="14" t="s">
        <v>1222</v>
      </c>
      <c r="E1080" s="15"/>
      <c r="F1080" s="14"/>
      <c r="G1080" s="15"/>
      <c r="H1080" s="14" t="s">
        <v>1223</v>
      </c>
      <c r="I1080" s="14"/>
      <c r="J1080" s="14"/>
      <c r="K1080" s="14"/>
      <c r="L1080" s="14"/>
      <c r="M1080" s="14"/>
      <c r="N1080" s="14" t="s">
        <v>1219</v>
      </c>
      <c r="O1080" s="14" t="s">
        <v>1220</v>
      </c>
    </row>
    <row r="1081" spans="1:15" x14ac:dyDescent="0.25">
      <c r="A1081" s="14" t="s">
        <v>3246</v>
      </c>
      <c r="B1081" s="14" t="s">
        <v>3248</v>
      </c>
      <c r="C1081" s="14" t="s">
        <v>3248</v>
      </c>
      <c r="D1081" s="14" t="s">
        <v>1222</v>
      </c>
      <c r="E1081" s="15"/>
      <c r="F1081" s="14"/>
      <c r="G1081" s="15"/>
      <c r="H1081" s="14" t="s">
        <v>1223</v>
      </c>
      <c r="I1081" s="14"/>
      <c r="J1081" s="14"/>
      <c r="K1081" s="14"/>
      <c r="L1081" s="14"/>
      <c r="M1081" s="14"/>
      <c r="N1081" s="14" t="s">
        <v>1219</v>
      </c>
      <c r="O1081" s="14" t="s">
        <v>1220</v>
      </c>
    </row>
    <row r="1082" spans="1:15" x14ac:dyDescent="0.25">
      <c r="A1082" s="14">
        <v>35512</v>
      </c>
      <c r="B1082" s="14" t="s">
        <v>3249</v>
      </c>
      <c r="C1082" s="14" t="s">
        <v>3249</v>
      </c>
      <c r="D1082" s="14" t="s">
        <v>1222</v>
      </c>
      <c r="E1082" s="15"/>
      <c r="F1082" s="14"/>
      <c r="G1082" s="15"/>
      <c r="H1082" s="14" t="s">
        <v>1223</v>
      </c>
      <c r="I1082" s="14"/>
      <c r="J1082" s="14"/>
      <c r="K1082" s="14"/>
      <c r="L1082" s="14"/>
      <c r="M1082" s="14"/>
      <c r="N1082" s="14" t="s">
        <v>1219</v>
      </c>
      <c r="O1082" s="14" t="s">
        <v>1220</v>
      </c>
    </row>
    <row r="1083" spans="1:15" x14ac:dyDescent="0.25">
      <c r="A1083" s="14">
        <v>35510</v>
      </c>
      <c r="B1083" s="14" t="s">
        <v>3250</v>
      </c>
      <c r="C1083" s="14" t="s">
        <v>3250</v>
      </c>
      <c r="D1083" s="14" t="s">
        <v>1222</v>
      </c>
      <c r="E1083" s="15"/>
      <c r="F1083" s="14"/>
      <c r="G1083" s="15"/>
      <c r="H1083" s="14" t="s">
        <v>1223</v>
      </c>
      <c r="I1083" s="14"/>
      <c r="J1083" s="14"/>
      <c r="K1083" s="14"/>
      <c r="L1083" s="14"/>
      <c r="M1083" s="14"/>
      <c r="N1083" s="14" t="s">
        <v>1219</v>
      </c>
      <c r="O1083" s="14" t="s">
        <v>1220</v>
      </c>
    </row>
    <row r="1084" spans="1:15" x14ac:dyDescent="0.25">
      <c r="A1084" s="14">
        <v>38363</v>
      </c>
      <c r="B1084" s="14" t="s">
        <v>3251</v>
      </c>
      <c r="C1084" s="14" t="s">
        <v>3251</v>
      </c>
      <c r="D1084" s="14" t="s">
        <v>1222</v>
      </c>
      <c r="E1084" s="15"/>
      <c r="F1084" s="14"/>
      <c r="G1084" s="15"/>
      <c r="H1084" s="14" t="s">
        <v>1223</v>
      </c>
      <c r="I1084" s="14"/>
      <c r="J1084" s="14"/>
      <c r="K1084" s="14"/>
      <c r="L1084" s="14"/>
      <c r="M1084" s="14"/>
      <c r="N1084" s="14" t="s">
        <v>1219</v>
      </c>
      <c r="O1084" s="14" t="s">
        <v>1220</v>
      </c>
    </row>
    <row r="1085" spans="1:15" x14ac:dyDescent="0.25">
      <c r="A1085" s="14">
        <v>38361</v>
      </c>
      <c r="B1085" s="14" t="s">
        <v>3252</v>
      </c>
      <c r="C1085" s="14" t="s">
        <v>3252</v>
      </c>
      <c r="D1085" s="14" t="s">
        <v>1222</v>
      </c>
      <c r="E1085" s="15"/>
      <c r="F1085" s="14"/>
      <c r="G1085" s="15"/>
      <c r="H1085" s="14" t="s">
        <v>1223</v>
      </c>
      <c r="I1085" s="14"/>
      <c r="J1085" s="14"/>
      <c r="K1085" s="14"/>
      <c r="L1085" s="14"/>
      <c r="M1085" s="14"/>
      <c r="N1085" s="14" t="s">
        <v>1219</v>
      </c>
      <c r="O1085" s="14" t="s">
        <v>1220</v>
      </c>
    </row>
    <row r="1086" spans="1:15" x14ac:dyDescent="0.25">
      <c r="A1086" s="14">
        <v>38040</v>
      </c>
      <c r="B1086" s="14" t="s">
        <v>3253</v>
      </c>
      <c r="C1086" s="14" t="s">
        <v>3253</v>
      </c>
      <c r="D1086" s="14" t="s">
        <v>1222</v>
      </c>
      <c r="E1086" s="15"/>
      <c r="F1086" s="14"/>
      <c r="G1086" s="15"/>
      <c r="H1086" s="14" t="s">
        <v>1223</v>
      </c>
      <c r="I1086" s="14"/>
      <c r="J1086" s="14"/>
      <c r="K1086" s="14"/>
      <c r="L1086" s="14"/>
      <c r="M1086" s="14"/>
      <c r="N1086" s="14" t="s">
        <v>1219</v>
      </c>
      <c r="O1086" s="14" t="s">
        <v>1220</v>
      </c>
    </row>
    <row r="1087" spans="1:15" x14ac:dyDescent="0.25">
      <c r="A1087" s="14">
        <v>38079</v>
      </c>
      <c r="B1087" s="14" t="s">
        <v>3254</v>
      </c>
      <c r="C1087" s="14" t="s">
        <v>3255</v>
      </c>
      <c r="D1087" s="14" t="s">
        <v>1222</v>
      </c>
      <c r="E1087" s="15"/>
      <c r="F1087" s="14"/>
      <c r="G1087" s="15"/>
      <c r="H1087" s="14" t="s">
        <v>1223</v>
      </c>
      <c r="I1087" s="14"/>
      <c r="J1087" s="14"/>
      <c r="K1087" s="14"/>
      <c r="L1087" s="14"/>
      <c r="M1087" s="14"/>
      <c r="N1087" s="14" t="s">
        <v>1219</v>
      </c>
      <c r="O1087" s="14" t="s">
        <v>1220</v>
      </c>
    </row>
    <row r="1088" spans="1:15" x14ac:dyDescent="0.25">
      <c r="A1088" s="14">
        <v>38262</v>
      </c>
      <c r="B1088" s="14" t="s">
        <v>3256</v>
      </c>
      <c r="C1088" s="14" t="s">
        <v>3256</v>
      </c>
      <c r="D1088" s="14" t="s">
        <v>1222</v>
      </c>
      <c r="E1088" s="15"/>
      <c r="F1088" s="14"/>
      <c r="G1088" s="15"/>
      <c r="H1088" s="14" t="s">
        <v>1223</v>
      </c>
      <c r="I1088" s="14"/>
      <c r="J1088" s="14"/>
      <c r="K1088" s="14"/>
      <c r="L1088" s="14"/>
      <c r="M1088" s="14"/>
      <c r="N1088" s="14" t="s">
        <v>1219</v>
      </c>
      <c r="O1088" s="14" t="s">
        <v>1220</v>
      </c>
    </row>
    <row r="1089" spans="1:15" x14ac:dyDescent="0.25">
      <c r="A1089" s="14">
        <v>38242</v>
      </c>
      <c r="B1089" s="14" t="s">
        <v>3257</v>
      </c>
      <c r="C1089" s="14" t="s">
        <v>3257</v>
      </c>
      <c r="D1089" s="14" t="s">
        <v>1222</v>
      </c>
      <c r="E1089" s="15"/>
      <c r="F1089" s="14"/>
      <c r="G1089" s="15"/>
      <c r="H1089" s="14" t="s">
        <v>1223</v>
      </c>
      <c r="I1089" s="14"/>
      <c r="J1089" s="14"/>
      <c r="K1089" s="14"/>
      <c r="L1089" s="14"/>
      <c r="M1089" s="14"/>
      <c r="N1089" s="14" t="s">
        <v>1219</v>
      </c>
      <c r="O1089" s="14" t="s">
        <v>1220</v>
      </c>
    </row>
    <row r="1090" spans="1:15" x14ac:dyDescent="0.25">
      <c r="A1090" s="14">
        <v>38341</v>
      </c>
      <c r="B1090" s="14" t="s">
        <v>3258</v>
      </c>
      <c r="C1090" s="14" t="s">
        <v>3259</v>
      </c>
      <c r="D1090" s="14" t="s">
        <v>1222</v>
      </c>
      <c r="E1090" s="15"/>
      <c r="F1090" s="14"/>
      <c r="G1090" s="15"/>
      <c r="H1090" s="14" t="s">
        <v>1223</v>
      </c>
      <c r="I1090" s="14"/>
      <c r="J1090" s="14"/>
      <c r="K1090" s="14"/>
      <c r="L1090" s="14"/>
      <c r="M1090" s="14"/>
      <c r="N1090" s="14" t="s">
        <v>1219</v>
      </c>
      <c r="O1090" s="14" t="s">
        <v>1220</v>
      </c>
    </row>
    <row r="1091" spans="1:15" x14ac:dyDescent="0.25">
      <c r="A1091" s="14">
        <v>38022</v>
      </c>
      <c r="B1091" s="14" t="s">
        <v>3260</v>
      </c>
      <c r="C1091" s="14" t="s">
        <v>3261</v>
      </c>
      <c r="D1091" s="14" t="s">
        <v>1222</v>
      </c>
      <c r="E1091" s="15"/>
      <c r="F1091" s="14"/>
      <c r="G1091" s="15"/>
      <c r="H1091" s="14" t="s">
        <v>1223</v>
      </c>
      <c r="I1091" s="14"/>
      <c r="J1091" s="14"/>
      <c r="K1091" s="14"/>
      <c r="L1091" s="14"/>
      <c r="M1091" s="14"/>
      <c r="N1091" s="14" t="s">
        <v>1219</v>
      </c>
      <c r="O1091" s="14" t="s">
        <v>1220</v>
      </c>
    </row>
    <row r="1092" spans="1:15" x14ac:dyDescent="0.25">
      <c r="A1092" s="14">
        <v>38020</v>
      </c>
      <c r="B1092" s="14" t="s">
        <v>3262</v>
      </c>
      <c r="C1092" s="14" t="s">
        <v>3263</v>
      </c>
      <c r="D1092" s="14" t="s">
        <v>1222</v>
      </c>
      <c r="E1092" s="15"/>
      <c r="F1092" s="14"/>
      <c r="G1092" s="15"/>
      <c r="H1092" s="14" t="s">
        <v>1223</v>
      </c>
      <c r="I1092" s="14"/>
      <c r="J1092" s="14"/>
      <c r="K1092" s="14"/>
      <c r="L1092" s="14"/>
      <c r="M1092" s="14"/>
      <c r="N1092" s="14" t="s">
        <v>1219</v>
      </c>
      <c r="O1092" s="14" t="s">
        <v>1220</v>
      </c>
    </row>
    <row r="1093" spans="1:15" x14ac:dyDescent="0.25">
      <c r="A1093" s="14">
        <v>38002</v>
      </c>
      <c r="B1093" s="14" t="s">
        <v>3264</v>
      </c>
      <c r="C1093" s="14" t="s">
        <v>3264</v>
      </c>
      <c r="D1093" s="14" t="s">
        <v>1222</v>
      </c>
      <c r="E1093" s="15"/>
      <c r="F1093" s="14"/>
      <c r="G1093" s="15"/>
      <c r="H1093" s="14" t="s">
        <v>1223</v>
      </c>
      <c r="I1093" s="14"/>
      <c r="J1093" s="14"/>
      <c r="K1093" s="14"/>
      <c r="L1093" s="14"/>
      <c r="M1093" s="14"/>
      <c r="N1093" s="14" t="s">
        <v>1219</v>
      </c>
      <c r="O1093" s="14" t="s">
        <v>1220</v>
      </c>
    </row>
    <row r="1094" spans="1:15" x14ac:dyDescent="0.25">
      <c r="A1094" s="14">
        <v>38000</v>
      </c>
      <c r="B1094" s="14" t="s">
        <v>3265</v>
      </c>
      <c r="C1094" s="14" t="s">
        <v>3265</v>
      </c>
      <c r="D1094" s="14" t="s">
        <v>1222</v>
      </c>
      <c r="E1094" s="15"/>
      <c r="F1094" s="14"/>
      <c r="G1094" s="15"/>
      <c r="H1094" s="14" t="s">
        <v>1223</v>
      </c>
      <c r="I1094" s="14"/>
      <c r="J1094" s="14"/>
      <c r="K1094" s="14"/>
      <c r="L1094" s="14"/>
      <c r="M1094" s="14"/>
      <c r="N1094" s="14" t="s">
        <v>1219</v>
      </c>
      <c r="O1094" s="14" t="s">
        <v>1220</v>
      </c>
    </row>
    <row r="1095" spans="1:15" x14ac:dyDescent="0.25">
      <c r="A1095" s="14">
        <v>38222</v>
      </c>
      <c r="B1095" s="14" t="s">
        <v>3266</v>
      </c>
      <c r="C1095" s="14" t="s">
        <v>3266</v>
      </c>
      <c r="D1095" s="14" t="s">
        <v>1222</v>
      </c>
      <c r="E1095" s="15"/>
      <c r="F1095" s="14"/>
      <c r="G1095" s="15"/>
      <c r="H1095" s="14" t="s">
        <v>1223</v>
      </c>
      <c r="I1095" s="14"/>
      <c r="J1095" s="14"/>
      <c r="K1095" s="14"/>
      <c r="L1095" s="14"/>
      <c r="M1095" s="14"/>
      <c r="N1095" s="14" t="s">
        <v>1219</v>
      </c>
      <c r="O1095" s="14" t="s">
        <v>1220</v>
      </c>
    </row>
    <row r="1096" spans="1:15" x14ac:dyDescent="0.25">
      <c r="A1096" s="14">
        <v>38202</v>
      </c>
      <c r="B1096" s="14" t="s">
        <v>3267</v>
      </c>
      <c r="C1096" s="14" t="s">
        <v>3268</v>
      </c>
      <c r="D1096" s="14" t="s">
        <v>1222</v>
      </c>
      <c r="E1096" s="15"/>
      <c r="F1096" s="14"/>
      <c r="G1096" s="15"/>
      <c r="H1096" s="14" t="s">
        <v>1223</v>
      </c>
      <c r="I1096" s="14"/>
      <c r="J1096" s="14"/>
      <c r="K1096" s="14"/>
      <c r="L1096" s="14"/>
      <c r="M1096" s="14"/>
      <c r="N1096" s="14" t="s">
        <v>1219</v>
      </c>
      <c r="O1096" s="14" t="s">
        <v>1220</v>
      </c>
    </row>
    <row r="1097" spans="1:15" x14ac:dyDescent="0.25">
      <c r="A1097" s="14">
        <v>36572</v>
      </c>
      <c r="B1097" s="14" t="s">
        <v>3269</v>
      </c>
      <c r="C1097" s="14" t="s">
        <v>3269</v>
      </c>
      <c r="D1097" s="14" t="s">
        <v>1222</v>
      </c>
      <c r="E1097" s="15"/>
      <c r="F1097" s="14"/>
      <c r="G1097" s="15"/>
      <c r="H1097" s="14" t="s">
        <v>1223</v>
      </c>
      <c r="I1097" s="14"/>
      <c r="J1097" s="14"/>
      <c r="K1097" s="14"/>
      <c r="L1097" s="14"/>
      <c r="M1097" s="14"/>
      <c r="N1097" s="14" t="s">
        <v>1219</v>
      </c>
      <c r="O1097" s="14" t="s">
        <v>1220</v>
      </c>
    </row>
    <row r="1098" spans="1:15" x14ac:dyDescent="0.25">
      <c r="A1098" s="14">
        <v>4101</v>
      </c>
      <c r="B1098" s="14" t="s">
        <v>1073</v>
      </c>
      <c r="C1098" s="14" t="s">
        <v>1073</v>
      </c>
      <c r="D1098" s="14" t="s">
        <v>3270</v>
      </c>
      <c r="E1098" s="16">
        <v>50</v>
      </c>
      <c r="F1098" s="14" t="s">
        <v>3271</v>
      </c>
      <c r="G1098" s="17">
        <v>2000</v>
      </c>
      <c r="H1098" s="14" t="s">
        <v>3270</v>
      </c>
      <c r="I1098" s="14" t="s">
        <v>1232</v>
      </c>
      <c r="J1098" s="14" t="s">
        <v>1233</v>
      </c>
      <c r="K1098" s="14" t="s">
        <v>3272</v>
      </c>
      <c r="L1098" s="14" t="s">
        <v>3273</v>
      </c>
      <c r="M1098" s="14" t="s">
        <v>3274</v>
      </c>
      <c r="N1098" s="14" t="s">
        <v>1237</v>
      </c>
      <c r="O1098" s="14" t="s">
        <v>1220</v>
      </c>
    </row>
    <row r="1099" spans="1:15" x14ac:dyDescent="0.25">
      <c r="A1099" s="14">
        <v>4102</v>
      </c>
      <c r="B1099" s="14" t="s">
        <v>1074</v>
      </c>
      <c r="C1099" s="14" t="s">
        <v>1074</v>
      </c>
      <c r="D1099" s="14" t="s">
        <v>3270</v>
      </c>
      <c r="E1099" s="16">
        <v>50</v>
      </c>
      <c r="F1099" s="14" t="s">
        <v>3271</v>
      </c>
      <c r="G1099" s="17">
        <v>1000</v>
      </c>
      <c r="H1099" s="14" t="s">
        <v>3270</v>
      </c>
      <c r="I1099" s="14" t="s">
        <v>1232</v>
      </c>
      <c r="J1099" s="14" t="s">
        <v>1242</v>
      </c>
      <c r="K1099" s="14" t="s">
        <v>3272</v>
      </c>
      <c r="L1099" s="14" t="s">
        <v>3275</v>
      </c>
      <c r="M1099" s="14" t="s">
        <v>3274</v>
      </c>
      <c r="N1099" s="14" t="s">
        <v>1237</v>
      </c>
      <c r="O1099" s="14" t="s">
        <v>1220</v>
      </c>
    </row>
    <row r="1100" spans="1:15" x14ac:dyDescent="0.25">
      <c r="A1100" s="14">
        <v>4103</v>
      </c>
      <c r="B1100" s="14" t="s">
        <v>1075</v>
      </c>
      <c r="C1100" s="14" t="s">
        <v>1075</v>
      </c>
      <c r="D1100" s="14" t="s">
        <v>3270</v>
      </c>
      <c r="E1100" s="16">
        <v>50</v>
      </c>
      <c r="F1100" s="14" t="s">
        <v>3271</v>
      </c>
      <c r="G1100" s="17">
        <v>1000</v>
      </c>
      <c r="H1100" s="14" t="s">
        <v>3270</v>
      </c>
      <c r="I1100" s="14" t="s">
        <v>1232</v>
      </c>
      <c r="J1100" s="14" t="s">
        <v>1242</v>
      </c>
      <c r="K1100" s="14" t="s">
        <v>3272</v>
      </c>
      <c r="L1100" s="14" t="s">
        <v>3276</v>
      </c>
      <c r="M1100" s="14" t="s">
        <v>3274</v>
      </c>
      <c r="N1100" s="14" t="s">
        <v>1237</v>
      </c>
      <c r="O1100" s="14" t="s">
        <v>1220</v>
      </c>
    </row>
    <row r="1101" spans="1:15" x14ac:dyDescent="0.25">
      <c r="A1101" s="14">
        <v>6070</v>
      </c>
      <c r="B1101" s="14" t="s">
        <v>3277</v>
      </c>
      <c r="C1101" s="14" t="s">
        <v>3277</v>
      </c>
      <c r="D1101" s="14" t="s">
        <v>3278</v>
      </c>
      <c r="E1101" s="15"/>
      <c r="F1101" s="14"/>
      <c r="G1101" s="15"/>
      <c r="H1101" s="14" t="s">
        <v>1408</v>
      </c>
      <c r="I1101" s="14" t="s">
        <v>1217</v>
      </c>
      <c r="J1101" s="14"/>
      <c r="K1101" s="14"/>
      <c r="L1101" s="14" t="s">
        <v>3279</v>
      </c>
      <c r="M1101" s="14"/>
      <c r="N1101" s="14" t="s">
        <v>1219</v>
      </c>
      <c r="O1101" s="14" t="s">
        <v>1220</v>
      </c>
    </row>
    <row r="1102" spans="1:15" x14ac:dyDescent="0.25">
      <c r="A1102" s="14">
        <v>2167</v>
      </c>
      <c r="B1102" s="14" t="s">
        <v>883</v>
      </c>
      <c r="C1102" s="14" t="s">
        <v>883</v>
      </c>
      <c r="D1102" s="14" t="s">
        <v>3280</v>
      </c>
      <c r="E1102" s="16">
        <v>100</v>
      </c>
      <c r="F1102" s="14" t="s">
        <v>3281</v>
      </c>
      <c r="G1102" s="16">
        <v>200</v>
      </c>
      <c r="H1102" s="14" t="s">
        <v>1408</v>
      </c>
      <c r="I1102" s="14" t="s">
        <v>1256</v>
      </c>
      <c r="J1102" s="14" t="s">
        <v>1296</v>
      </c>
      <c r="K1102" s="14" t="s">
        <v>1257</v>
      </c>
      <c r="L1102" s="14" t="s">
        <v>3282</v>
      </c>
      <c r="M1102" s="14" t="s">
        <v>3283</v>
      </c>
      <c r="N1102" s="14" t="s">
        <v>1237</v>
      </c>
      <c r="O1102" s="14" t="s">
        <v>1220</v>
      </c>
    </row>
    <row r="1103" spans="1:15" x14ac:dyDescent="0.25">
      <c r="A1103" s="14" t="s">
        <v>3284</v>
      </c>
      <c r="B1103" s="14" t="s">
        <v>3285</v>
      </c>
      <c r="C1103" s="14" t="s">
        <v>3285</v>
      </c>
      <c r="D1103" s="14" t="s">
        <v>3281</v>
      </c>
      <c r="E1103" s="15"/>
      <c r="F1103" s="14" t="s">
        <v>3281</v>
      </c>
      <c r="G1103" s="15"/>
      <c r="H1103" s="14" t="s">
        <v>1408</v>
      </c>
      <c r="I1103" s="14" t="s">
        <v>1262</v>
      </c>
      <c r="J1103" s="14" t="s">
        <v>1262</v>
      </c>
      <c r="K1103" s="14"/>
      <c r="L1103" s="14" t="s">
        <v>3282</v>
      </c>
      <c r="M1103" s="14" t="s">
        <v>3283</v>
      </c>
      <c r="N1103" s="14" t="s">
        <v>1219</v>
      </c>
      <c r="O1103" s="14" t="s">
        <v>1220</v>
      </c>
    </row>
    <row r="1104" spans="1:15" x14ac:dyDescent="0.25">
      <c r="A1104" s="14" t="s">
        <v>3286</v>
      </c>
      <c r="B1104" s="14" t="s">
        <v>3287</v>
      </c>
      <c r="C1104" s="14" t="s">
        <v>3287</v>
      </c>
      <c r="D1104" s="14" t="s">
        <v>3281</v>
      </c>
      <c r="E1104" s="15"/>
      <c r="F1104" s="14" t="s">
        <v>3281</v>
      </c>
      <c r="G1104" s="15"/>
      <c r="H1104" s="14" t="s">
        <v>1408</v>
      </c>
      <c r="I1104" s="14" t="s">
        <v>1262</v>
      </c>
      <c r="J1104" s="14" t="s">
        <v>1262</v>
      </c>
      <c r="K1104" s="14"/>
      <c r="L1104" s="14" t="s">
        <v>3288</v>
      </c>
      <c r="M1104" s="14" t="s">
        <v>3283</v>
      </c>
      <c r="N1104" s="14" t="s">
        <v>1219</v>
      </c>
      <c r="O1104" s="14" t="s">
        <v>1220</v>
      </c>
    </row>
    <row r="1105" spans="1:15" x14ac:dyDescent="0.25">
      <c r="A1105" s="14">
        <v>2169</v>
      </c>
      <c r="B1105" s="14" t="s">
        <v>885</v>
      </c>
      <c r="C1105" s="14" t="s">
        <v>885</v>
      </c>
      <c r="D1105" s="14" t="s">
        <v>3280</v>
      </c>
      <c r="E1105" s="16">
        <v>50</v>
      </c>
      <c r="F1105" s="14" t="s">
        <v>3281</v>
      </c>
      <c r="G1105" s="16">
        <v>100</v>
      </c>
      <c r="H1105" s="14" t="s">
        <v>1408</v>
      </c>
      <c r="I1105" s="14" t="s">
        <v>1256</v>
      </c>
      <c r="J1105" s="14" t="s">
        <v>1242</v>
      </c>
      <c r="K1105" s="14" t="s">
        <v>1257</v>
      </c>
      <c r="L1105" s="14" t="s">
        <v>3289</v>
      </c>
      <c r="M1105" s="14" t="s">
        <v>3283</v>
      </c>
      <c r="N1105" s="14" t="s">
        <v>1237</v>
      </c>
      <c r="O1105" s="14" t="s">
        <v>1220</v>
      </c>
    </row>
    <row r="1106" spans="1:15" x14ac:dyDescent="0.25">
      <c r="A1106" s="14">
        <v>2170</v>
      </c>
      <c r="B1106" s="14" t="s">
        <v>886</v>
      </c>
      <c r="C1106" s="14" t="s">
        <v>886</v>
      </c>
      <c r="D1106" s="14" t="s">
        <v>3280</v>
      </c>
      <c r="E1106" s="16">
        <v>50</v>
      </c>
      <c r="F1106" s="14" t="s">
        <v>3281</v>
      </c>
      <c r="G1106" s="16">
        <v>100</v>
      </c>
      <c r="H1106" s="14" t="s">
        <v>1408</v>
      </c>
      <c r="I1106" s="14" t="s">
        <v>1256</v>
      </c>
      <c r="J1106" s="14" t="s">
        <v>1242</v>
      </c>
      <c r="K1106" s="14" t="s">
        <v>1257</v>
      </c>
      <c r="L1106" s="14" t="s">
        <v>3290</v>
      </c>
      <c r="M1106" s="14" t="s">
        <v>3283</v>
      </c>
      <c r="N1106" s="14" t="s">
        <v>1237</v>
      </c>
      <c r="O1106" s="14" t="s">
        <v>1220</v>
      </c>
    </row>
    <row r="1107" spans="1:15" x14ac:dyDescent="0.25">
      <c r="A1107" s="14">
        <v>2168</v>
      </c>
      <c r="B1107" s="14" t="s">
        <v>3291</v>
      </c>
      <c r="C1107" s="14" t="s">
        <v>3291</v>
      </c>
      <c r="D1107" s="14" t="s">
        <v>3280</v>
      </c>
      <c r="E1107" s="16">
        <v>50</v>
      </c>
      <c r="F1107" s="14" t="s">
        <v>3281</v>
      </c>
      <c r="G1107" s="16">
        <v>100</v>
      </c>
      <c r="H1107" s="14" t="s">
        <v>1408</v>
      </c>
      <c r="I1107" s="14" t="s">
        <v>1256</v>
      </c>
      <c r="J1107" s="14" t="s">
        <v>1242</v>
      </c>
      <c r="K1107" s="14" t="s">
        <v>1257</v>
      </c>
      <c r="L1107" s="14" t="s">
        <v>3288</v>
      </c>
      <c r="M1107" s="14" t="s">
        <v>3283</v>
      </c>
      <c r="N1107" s="14" t="s">
        <v>1237</v>
      </c>
      <c r="O1107" s="14" t="s">
        <v>1220</v>
      </c>
    </row>
    <row r="1108" spans="1:15" x14ac:dyDescent="0.25">
      <c r="A1108" s="14">
        <v>2311</v>
      </c>
      <c r="B1108" s="14" t="s">
        <v>887</v>
      </c>
      <c r="C1108" s="14" t="s">
        <v>887</v>
      </c>
      <c r="D1108" s="14" t="s">
        <v>3280</v>
      </c>
      <c r="E1108" s="16">
        <v>40</v>
      </c>
      <c r="F1108" s="14" t="s">
        <v>3281</v>
      </c>
      <c r="G1108" s="16">
        <v>80</v>
      </c>
      <c r="H1108" s="14" t="s">
        <v>1408</v>
      </c>
      <c r="I1108" s="14" t="s">
        <v>1256</v>
      </c>
      <c r="J1108" s="14" t="s">
        <v>1242</v>
      </c>
      <c r="K1108" s="14" t="s">
        <v>1257</v>
      </c>
      <c r="L1108" s="14" t="s">
        <v>3292</v>
      </c>
      <c r="M1108" s="14" t="s">
        <v>3283</v>
      </c>
      <c r="N1108" s="14" t="s">
        <v>1237</v>
      </c>
      <c r="O1108" s="14" t="s">
        <v>1220</v>
      </c>
    </row>
    <row r="1109" spans="1:15" x14ac:dyDescent="0.25">
      <c r="A1109" s="14">
        <v>2921</v>
      </c>
      <c r="B1109" s="14" t="s">
        <v>888</v>
      </c>
      <c r="C1109" s="14" t="s">
        <v>888</v>
      </c>
      <c r="D1109" s="14" t="s">
        <v>3293</v>
      </c>
      <c r="E1109" s="17">
        <v>1000</v>
      </c>
      <c r="F1109" s="14" t="s">
        <v>1408</v>
      </c>
      <c r="G1109" s="17">
        <v>1000</v>
      </c>
      <c r="H1109" s="14" t="s">
        <v>1408</v>
      </c>
      <c r="I1109" s="14" t="s">
        <v>1256</v>
      </c>
      <c r="J1109" s="14" t="s">
        <v>1233</v>
      </c>
      <c r="K1109" s="14" t="s">
        <v>1257</v>
      </c>
      <c r="L1109" s="14" t="s">
        <v>3294</v>
      </c>
      <c r="M1109" s="14" t="s">
        <v>3295</v>
      </c>
      <c r="N1109" s="14" t="s">
        <v>1237</v>
      </c>
      <c r="O1109" s="14" t="s">
        <v>1220</v>
      </c>
    </row>
    <row r="1110" spans="1:15" x14ac:dyDescent="0.25">
      <c r="A1110" s="14">
        <v>2922</v>
      </c>
      <c r="B1110" s="14" t="s">
        <v>889</v>
      </c>
      <c r="C1110" s="14" t="s">
        <v>889</v>
      </c>
      <c r="D1110" s="14" t="s">
        <v>3293</v>
      </c>
      <c r="E1110" s="17">
        <v>1000</v>
      </c>
      <c r="F1110" s="14" t="s">
        <v>1408</v>
      </c>
      <c r="G1110" s="17">
        <v>1000</v>
      </c>
      <c r="H1110" s="14" t="s">
        <v>1408</v>
      </c>
      <c r="I1110" s="14" t="s">
        <v>1256</v>
      </c>
      <c r="J1110" s="14" t="s">
        <v>1296</v>
      </c>
      <c r="K1110" s="14" t="s">
        <v>1537</v>
      </c>
      <c r="L1110" s="14" t="s">
        <v>3296</v>
      </c>
      <c r="M1110" s="14" t="s">
        <v>3295</v>
      </c>
      <c r="N1110" s="14" t="s">
        <v>1237</v>
      </c>
      <c r="O1110" s="14" t="s">
        <v>1220</v>
      </c>
    </row>
    <row r="1111" spans="1:15" x14ac:dyDescent="0.25">
      <c r="A1111" s="14">
        <v>3872</v>
      </c>
      <c r="B1111" s="14" t="s">
        <v>890</v>
      </c>
      <c r="C1111" s="14" t="s">
        <v>890</v>
      </c>
      <c r="D1111" s="14" t="s">
        <v>3293</v>
      </c>
      <c r="E1111" s="16">
        <v>500</v>
      </c>
      <c r="F1111" s="14" t="s">
        <v>1408</v>
      </c>
      <c r="G1111" s="16">
        <v>500</v>
      </c>
      <c r="H1111" s="14" t="s">
        <v>1408</v>
      </c>
      <c r="I1111" s="14" t="s">
        <v>1256</v>
      </c>
      <c r="J1111" s="14" t="s">
        <v>1233</v>
      </c>
      <c r="K1111" s="14" t="s">
        <v>1257</v>
      </c>
      <c r="L1111" s="14" t="s">
        <v>3297</v>
      </c>
      <c r="M1111" s="14" t="s">
        <v>3295</v>
      </c>
      <c r="N1111" s="14" t="s">
        <v>1237</v>
      </c>
      <c r="O1111" s="14" t="s">
        <v>1220</v>
      </c>
    </row>
    <row r="1112" spans="1:15" x14ac:dyDescent="0.25">
      <c r="A1112" s="14" t="s">
        <v>3298</v>
      </c>
      <c r="B1112" s="14" t="s">
        <v>3299</v>
      </c>
      <c r="C1112" s="14" t="s">
        <v>3299</v>
      </c>
      <c r="D1112" s="14" t="s">
        <v>3293</v>
      </c>
      <c r="E1112" s="15"/>
      <c r="F1112" s="14" t="s">
        <v>1408</v>
      </c>
      <c r="G1112" s="15"/>
      <c r="H1112" s="14" t="s">
        <v>1408</v>
      </c>
      <c r="I1112" s="14" t="s">
        <v>1262</v>
      </c>
      <c r="J1112" s="14" t="s">
        <v>1262</v>
      </c>
      <c r="K1112" s="14" t="s">
        <v>1257</v>
      </c>
      <c r="L1112" s="14" t="s">
        <v>3300</v>
      </c>
      <c r="M1112" s="14" t="s">
        <v>3295</v>
      </c>
      <c r="N1112" s="14" t="s">
        <v>1219</v>
      </c>
      <c r="O1112" s="14" t="s">
        <v>1220</v>
      </c>
    </row>
    <row r="1113" spans="1:15" x14ac:dyDescent="0.25">
      <c r="A1113" s="14">
        <v>35016</v>
      </c>
      <c r="B1113" s="14" t="s">
        <v>3301</v>
      </c>
      <c r="C1113" s="14" t="s">
        <v>3301</v>
      </c>
      <c r="D1113" s="14" t="s">
        <v>1222</v>
      </c>
      <c r="E1113" s="15"/>
      <c r="F1113" s="14"/>
      <c r="G1113" s="15"/>
      <c r="H1113" s="14" t="s">
        <v>1223</v>
      </c>
      <c r="I1113" s="14"/>
      <c r="J1113" s="14"/>
      <c r="K1113" s="14"/>
      <c r="L1113" s="14"/>
      <c r="M1113" s="14"/>
      <c r="N1113" s="14" t="s">
        <v>1219</v>
      </c>
      <c r="O1113" s="14" t="s">
        <v>1220</v>
      </c>
    </row>
    <row r="1114" spans="1:15" x14ac:dyDescent="0.25">
      <c r="A1114" s="14">
        <v>35020</v>
      </c>
      <c r="B1114" s="14" t="s">
        <v>3302</v>
      </c>
      <c r="C1114" s="14" t="s">
        <v>3302</v>
      </c>
      <c r="D1114" s="14" t="s">
        <v>1222</v>
      </c>
      <c r="E1114" s="15"/>
      <c r="F1114" s="14"/>
      <c r="G1114" s="15"/>
      <c r="H1114" s="14" t="s">
        <v>1223</v>
      </c>
      <c r="I1114" s="14"/>
      <c r="J1114" s="14"/>
      <c r="K1114" s="14"/>
      <c r="L1114" s="14"/>
      <c r="M1114" s="14"/>
      <c r="N1114" s="14" t="s">
        <v>1219</v>
      </c>
      <c r="O1114" s="14" t="s">
        <v>1220</v>
      </c>
    </row>
    <row r="1115" spans="1:15" x14ac:dyDescent="0.25">
      <c r="A1115" s="14" t="s">
        <v>3303</v>
      </c>
      <c r="B1115" s="14" t="s">
        <v>3304</v>
      </c>
      <c r="C1115" s="14" t="s">
        <v>3304</v>
      </c>
      <c r="D1115" s="14" t="s">
        <v>1222</v>
      </c>
      <c r="E1115" s="15"/>
      <c r="F1115" s="14"/>
      <c r="G1115" s="15"/>
      <c r="H1115" s="14" t="s">
        <v>1223</v>
      </c>
      <c r="I1115" s="14"/>
      <c r="J1115" s="14"/>
      <c r="K1115" s="14"/>
      <c r="L1115" s="14"/>
      <c r="M1115" s="14"/>
      <c r="N1115" s="14" t="s">
        <v>1219</v>
      </c>
      <c r="O1115" s="14" t="s">
        <v>1220</v>
      </c>
    </row>
    <row r="1116" spans="1:15" x14ac:dyDescent="0.25">
      <c r="A1116" s="14">
        <v>35012</v>
      </c>
      <c r="B1116" s="14" t="s">
        <v>3305</v>
      </c>
      <c r="C1116" s="14" t="s">
        <v>3305</v>
      </c>
      <c r="D1116" s="14" t="s">
        <v>1222</v>
      </c>
      <c r="E1116" s="15"/>
      <c r="F1116" s="14"/>
      <c r="G1116" s="15"/>
      <c r="H1116" s="14" t="s">
        <v>1223</v>
      </c>
      <c r="I1116" s="14"/>
      <c r="J1116" s="14"/>
      <c r="K1116" s="14"/>
      <c r="L1116" s="14"/>
      <c r="M1116" s="14"/>
      <c r="N1116" s="14" t="s">
        <v>1219</v>
      </c>
      <c r="O1116" s="14" t="s">
        <v>1220</v>
      </c>
    </row>
    <row r="1117" spans="1:15" x14ac:dyDescent="0.25">
      <c r="A1117" s="14">
        <v>35022</v>
      </c>
      <c r="B1117" s="14" t="s">
        <v>3306</v>
      </c>
      <c r="C1117" s="14" t="s">
        <v>3306</v>
      </c>
      <c r="D1117" s="14" t="s">
        <v>1222</v>
      </c>
      <c r="E1117" s="15"/>
      <c r="F1117" s="14"/>
      <c r="G1117" s="15"/>
      <c r="H1117" s="14" t="s">
        <v>1223</v>
      </c>
      <c r="I1117" s="14"/>
      <c r="J1117" s="14"/>
      <c r="K1117" s="14"/>
      <c r="L1117" s="14"/>
      <c r="M1117" s="14"/>
      <c r="N1117" s="14" t="s">
        <v>1219</v>
      </c>
      <c r="O1117" s="14" t="s">
        <v>1220</v>
      </c>
    </row>
    <row r="1118" spans="1:15" x14ac:dyDescent="0.25">
      <c r="A1118" s="14">
        <v>35025</v>
      </c>
      <c r="B1118" s="14" t="s">
        <v>3307</v>
      </c>
      <c r="C1118" s="14" t="s">
        <v>3307</v>
      </c>
      <c r="D1118" s="14" t="s">
        <v>1222</v>
      </c>
      <c r="E1118" s="15"/>
      <c r="F1118" s="14"/>
      <c r="G1118" s="15"/>
      <c r="H1118" s="14" t="s">
        <v>1223</v>
      </c>
      <c r="I1118" s="14"/>
      <c r="J1118" s="14"/>
      <c r="K1118" s="14"/>
      <c r="L1118" s="14"/>
      <c r="M1118" s="14"/>
      <c r="N1118" s="14" t="s">
        <v>1219</v>
      </c>
      <c r="O1118" s="14" t="s">
        <v>1220</v>
      </c>
    </row>
    <row r="1119" spans="1:15" x14ac:dyDescent="0.25">
      <c r="A1119" s="14" t="s">
        <v>3308</v>
      </c>
      <c r="B1119" s="14" t="s">
        <v>3309</v>
      </c>
      <c r="C1119" s="14" t="s">
        <v>3309</v>
      </c>
      <c r="D1119" s="14" t="s">
        <v>1222</v>
      </c>
      <c r="E1119" s="15"/>
      <c r="F1119" s="14"/>
      <c r="G1119" s="15"/>
      <c r="H1119" s="14" t="s">
        <v>1223</v>
      </c>
      <c r="I1119" s="14"/>
      <c r="J1119" s="14"/>
      <c r="K1119" s="14"/>
      <c r="L1119" s="14"/>
      <c r="M1119" s="14"/>
      <c r="N1119" s="14" t="s">
        <v>1219</v>
      </c>
      <c r="O1119" s="14" t="s">
        <v>1220</v>
      </c>
    </row>
    <row r="1120" spans="1:15" x14ac:dyDescent="0.25">
      <c r="A1120" s="14" t="s">
        <v>3303</v>
      </c>
      <c r="B1120" s="14" t="s">
        <v>3310</v>
      </c>
      <c r="C1120" s="14" t="s">
        <v>3310</v>
      </c>
      <c r="D1120" s="14" t="s">
        <v>1222</v>
      </c>
      <c r="E1120" s="15"/>
      <c r="F1120" s="14"/>
      <c r="G1120" s="15"/>
      <c r="H1120" s="14" t="s">
        <v>1223</v>
      </c>
      <c r="I1120" s="14"/>
      <c r="J1120" s="14"/>
      <c r="K1120" s="14"/>
      <c r="L1120" s="14"/>
      <c r="M1120" s="14"/>
      <c r="N1120" s="14" t="s">
        <v>1219</v>
      </c>
      <c r="O1120" s="14" t="s">
        <v>1220</v>
      </c>
    </row>
    <row r="1121" spans="1:15" x14ac:dyDescent="0.25">
      <c r="A1121" s="14" t="s">
        <v>3308</v>
      </c>
      <c r="B1121" s="14" t="s">
        <v>3311</v>
      </c>
      <c r="C1121" s="14" t="s">
        <v>3311</v>
      </c>
      <c r="D1121" s="14" t="s">
        <v>1222</v>
      </c>
      <c r="E1121" s="15"/>
      <c r="F1121" s="14"/>
      <c r="G1121" s="15"/>
      <c r="H1121" s="14" t="s">
        <v>1223</v>
      </c>
      <c r="I1121" s="14"/>
      <c r="J1121" s="14"/>
      <c r="K1121" s="14"/>
      <c r="L1121" s="14"/>
      <c r="M1121" s="14"/>
      <c r="N1121" s="14" t="s">
        <v>1219</v>
      </c>
      <c r="O1121" s="14" t="s">
        <v>1220</v>
      </c>
    </row>
    <row r="1122" spans="1:15" x14ac:dyDescent="0.25">
      <c r="A1122" s="14">
        <v>35250</v>
      </c>
      <c r="B1122" s="14" t="s">
        <v>3312</v>
      </c>
      <c r="C1122" s="14" t="s">
        <v>3312</v>
      </c>
      <c r="D1122" s="14" t="s">
        <v>1222</v>
      </c>
      <c r="E1122" s="15"/>
      <c r="F1122" s="14"/>
      <c r="G1122" s="15"/>
      <c r="H1122" s="14" t="s">
        <v>1223</v>
      </c>
      <c r="I1122" s="14"/>
      <c r="J1122" s="14"/>
      <c r="K1122" s="14"/>
      <c r="L1122" s="14"/>
      <c r="M1122" s="14"/>
      <c r="N1122" s="14" t="s">
        <v>1219</v>
      </c>
      <c r="O1122" s="14" t="s">
        <v>1220</v>
      </c>
    </row>
    <row r="1123" spans="1:15" x14ac:dyDescent="0.25">
      <c r="A1123" s="14" t="s">
        <v>7</v>
      </c>
      <c r="B1123" s="14" t="s">
        <v>1116</v>
      </c>
      <c r="C1123" s="14" t="s">
        <v>1116</v>
      </c>
      <c r="D1123" s="14" t="s">
        <v>3313</v>
      </c>
      <c r="E1123" s="16">
        <v>50</v>
      </c>
      <c r="F1123" s="14" t="s">
        <v>3314</v>
      </c>
      <c r="G1123" s="16">
        <v>50</v>
      </c>
      <c r="H1123" s="14" t="s">
        <v>3315</v>
      </c>
      <c r="I1123" s="14" t="s">
        <v>1232</v>
      </c>
      <c r="J1123" s="14" t="s">
        <v>1296</v>
      </c>
      <c r="K1123" s="14" t="s">
        <v>3316</v>
      </c>
      <c r="L1123" s="14" t="s">
        <v>3317</v>
      </c>
      <c r="M1123" s="14" t="s">
        <v>3318</v>
      </c>
      <c r="N1123" s="14" t="s">
        <v>1237</v>
      </c>
      <c r="O1123" s="14" t="s">
        <v>1220</v>
      </c>
    </row>
    <row r="1124" spans="1:15" x14ac:dyDescent="0.25">
      <c r="A1124" s="14" t="s">
        <v>3319</v>
      </c>
      <c r="B1124" s="14" t="s">
        <v>3320</v>
      </c>
      <c r="C1124" s="14" t="s">
        <v>3320</v>
      </c>
      <c r="D1124" s="14" t="s">
        <v>3321</v>
      </c>
      <c r="E1124" s="16">
        <v>50</v>
      </c>
      <c r="F1124" s="14" t="s">
        <v>3314</v>
      </c>
      <c r="G1124" s="16">
        <v>50</v>
      </c>
      <c r="H1124" s="14" t="s">
        <v>3315</v>
      </c>
      <c r="I1124" s="14" t="s">
        <v>1262</v>
      </c>
      <c r="J1124" s="14" t="s">
        <v>1262</v>
      </c>
      <c r="K1124" s="14" t="s">
        <v>3316</v>
      </c>
      <c r="L1124" s="14" t="s">
        <v>3317</v>
      </c>
      <c r="M1124" s="14" t="s">
        <v>3318</v>
      </c>
      <c r="N1124" s="14" t="s">
        <v>1219</v>
      </c>
      <c r="O1124" s="14" t="s">
        <v>1220</v>
      </c>
    </row>
    <row r="1125" spans="1:15" x14ac:dyDescent="0.25">
      <c r="A1125" s="14" t="s">
        <v>4</v>
      </c>
      <c r="B1125" s="14" t="s">
        <v>1113</v>
      </c>
      <c r="C1125" s="14" t="s">
        <v>1113</v>
      </c>
      <c r="D1125" s="14" t="s">
        <v>3313</v>
      </c>
      <c r="E1125" s="16">
        <v>100</v>
      </c>
      <c r="F1125" s="14" t="s">
        <v>3314</v>
      </c>
      <c r="G1125" s="16">
        <v>100</v>
      </c>
      <c r="H1125" s="14" t="s">
        <v>3315</v>
      </c>
      <c r="I1125" s="14" t="s">
        <v>1232</v>
      </c>
      <c r="J1125" s="14" t="s">
        <v>1296</v>
      </c>
      <c r="K1125" s="14" t="s">
        <v>3316</v>
      </c>
      <c r="L1125" s="14" t="s">
        <v>3322</v>
      </c>
      <c r="M1125" s="14" t="s">
        <v>3318</v>
      </c>
      <c r="N1125" s="14" t="s">
        <v>1237</v>
      </c>
      <c r="O1125" s="14" t="s">
        <v>1220</v>
      </c>
    </row>
    <row r="1126" spans="1:15" x14ac:dyDescent="0.25">
      <c r="A1126" s="14" t="s">
        <v>5</v>
      </c>
      <c r="B1126" s="14" t="s">
        <v>1114</v>
      </c>
      <c r="C1126" s="14" t="s">
        <v>1114</v>
      </c>
      <c r="D1126" s="14" t="s">
        <v>3313</v>
      </c>
      <c r="E1126" s="16">
        <v>100</v>
      </c>
      <c r="F1126" s="14" t="s">
        <v>3314</v>
      </c>
      <c r="G1126" s="16">
        <v>100</v>
      </c>
      <c r="H1126" s="14" t="s">
        <v>3315</v>
      </c>
      <c r="I1126" s="14" t="s">
        <v>1232</v>
      </c>
      <c r="J1126" s="14" t="s">
        <v>1296</v>
      </c>
      <c r="K1126" s="14" t="s">
        <v>3316</v>
      </c>
      <c r="L1126" s="14" t="s">
        <v>3323</v>
      </c>
      <c r="M1126" s="14" t="s">
        <v>3318</v>
      </c>
      <c r="N1126" s="14" t="s">
        <v>1237</v>
      </c>
      <c r="O1126" s="14" t="s">
        <v>1220</v>
      </c>
    </row>
    <row r="1127" spans="1:15" x14ac:dyDescent="0.25">
      <c r="A1127" s="14" t="s">
        <v>6</v>
      </c>
      <c r="B1127" s="14" t="s">
        <v>1115</v>
      </c>
      <c r="C1127" s="14" t="s">
        <v>1115</v>
      </c>
      <c r="D1127" s="14" t="s">
        <v>3313</v>
      </c>
      <c r="E1127" s="16">
        <v>100</v>
      </c>
      <c r="F1127" s="14" t="s">
        <v>3314</v>
      </c>
      <c r="G1127" s="16">
        <v>100</v>
      </c>
      <c r="H1127" s="14" t="s">
        <v>3315</v>
      </c>
      <c r="I1127" s="14" t="s">
        <v>1232</v>
      </c>
      <c r="J1127" s="14" t="s">
        <v>1296</v>
      </c>
      <c r="K1127" s="14" t="s">
        <v>3316</v>
      </c>
      <c r="L1127" s="14" t="s">
        <v>3324</v>
      </c>
      <c r="M1127" s="14" t="s">
        <v>3318</v>
      </c>
      <c r="N1127" s="14" t="s">
        <v>1237</v>
      </c>
      <c r="O1127" s="14" t="s">
        <v>1220</v>
      </c>
    </row>
    <row r="1128" spans="1:15" x14ac:dyDescent="0.25">
      <c r="A1128" s="14" t="s">
        <v>3325</v>
      </c>
      <c r="B1128" s="14" t="s">
        <v>3326</v>
      </c>
      <c r="C1128" s="14" t="s">
        <v>3326</v>
      </c>
      <c r="D1128" s="14" t="s">
        <v>1222</v>
      </c>
      <c r="E1128" s="15"/>
      <c r="F1128" s="14"/>
      <c r="G1128" s="15"/>
      <c r="H1128" s="14" t="s">
        <v>1223</v>
      </c>
      <c r="I1128" s="14"/>
      <c r="J1128" s="14"/>
      <c r="K1128" s="14"/>
      <c r="L1128" s="14"/>
      <c r="M1128" s="14"/>
      <c r="N1128" s="14" t="s">
        <v>1219</v>
      </c>
      <c r="O1128" s="14" t="s">
        <v>1220</v>
      </c>
    </row>
    <row r="1129" spans="1:15" x14ac:dyDescent="0.25">
      <c r="A1129" s="14">
        <v>1200</v>
      </c>
      <c r="B1129" s="14" t="s">
        <v>3327</v>
      </c>
      <c r="C1129" s="14" t="s">
        <v>3328</v>
      </c>
      <c r="D1129" s="14" t="s">
        <v>1349</v>
      </c>
      <c r="E1129" s="15"/>
      <c r="F1129" s="14" t="s">
        <v>1350</v>
      </c>
      <c r="G1129" s="15"/>
      <c r="H1129" s="14" t="s">
        <v>3329</v>
      </c>
      <c r="I1129" s="14" t="s">
        <v>1360</v>
      </c>
      <c r="J1129" s="14" t="s">
        <v>1360</v>
      </c>
      <c r="K1129" s="14" t="s">
        <v>1257</v>
      </c>
      <c r="L1129" s="14" t="s">
        <v>3297</v>
      </c>
      <c r="M1129" s="14" t="s">
        <v>3330</v>
      </c>
      <c r="N1129" s="14" t="s">
        <v>1219</v>
      </c>
      <c r="O1129" s="14" t="s">
        <v>1220</v>
      </c>
    </row>
    <row r="1130" spans="1:15" x14ac:dyDescent="0.25">
      <c r="A1130" s="14">
        <v>1201</v>
      </c>
      <c r="B1130" s="14" t="s">
        <v>3331</v>
      </c>
      <c r="C1130" s="14" t="s">
        <v>3328</v>
      </c>
      <c r="D1130" s="14" t="s">
        <v>1349</v>
      </c>
      <c r="E1130" s="15"/>
      <c r="F1130" s="14" t="s">
        <v>1350</v>
      </c>
      <c r="G1130" s="15"/>
      <c r="H1130" s="14" t="s">
        <v>3329</v>
      </c>
      <c r="I1130" s="14" t="s">
        <v>1360</v>
      </c>
      <c r="J1130" s="14" t="s">
        <v>1360</v>
      </c>
      <c r="K1130" s="14" t="s">
        <v>1257</v>
      </c>
      <c r="L1130" s="14" t="s">
        <v>3297</v>
      </c>
      <c r="M1130" s="14" t="s">
        <v>3330</v>
      </c>
      <c r="N1130" s="14" t="s">
        <v>1219</v>
      </c>
      <c r="O1130" s="14" t="s">
        <v>1220</v>
      </c>
    </row>
    <row r="1131" spans="1:15" x14ac:dyDescent="0.25">
      <c r="A1131" s="14">
        <v>1202</v>
      </c>
      <c r="B1131" s="14" t="s">
        <v>3332</v>
      </c>
      <c r="C1131" s="14" t="s">
        <v>3333</v>
      </c>
      <c r="D1131" s="14" t="s">
        <v>1349</v>
      </c>
      <c r="E1131" s="15"/>
      <c r="F1131" s="14" t="s">
        <v>1350</v>
      </c>
      <c r="G1131" s="15"/>
      <c r="H1131" s="14" t="s">
        <v>3329</v>
      </c>
      <c r="I1131" s="14" t="s">
        <v>1360</v>
      </c>
      <c r="J1131" s="14" t="s">
        <v>1360</v>
      </c>
      <c r="K1131" s="14" t="s">
        <v>1257</v>
      </c>
      <c r="L1131" s="14" t="s">
        <v>3334</v>
      </c>
      <c r="M1131" s="14" t="s">
        <v>3330</v>
      </c>
      <c r="N1131" s="14" t="s">
        <v>1219</v>
      </c>
      <c r="O1131" s="14" t="s">
        <v>1220</v>
      </c>
    </row>
    <row r="1132" spans="1:15" x14ac:dyDescent="0.25">
      <c r="A1132" s="14">
        <v>1308</v>
      </c>
      <c r="B1132" s="14" t="s">
        <v>303</v>
      </c>
      <c r="C1132" s="14" t="s">
        <v>3335</v>
      </c>
      <c r="D1132" s="14" t="s">
        <v>3336</v>
      </c>
      <c r="E1132" s="16">
        <v>100</v>
      </c>
      <c r="F1132" s="14" t="s">
        <v>3337</v>
      </c>
      <c r="G1132" s="17">
        <v>10000</v>
      </c>
      <c r="H1132" s="14" t="s">
        <v>3329</v>
      </c>
      <c r="I1132" s="14" t="s">
        <v>1256</v>
      </c>
      <c r="J1132" s="14" t="s">
        <v>1233</v>
      </c>
      <c r="K1132" s="14" t="s">
        <v>1257</v>
      </c>
      <c r="L1132" s="14" t="s">
        <v>3338</v>
      </c>
      <c r="M1132" s="14" t="s">
        <v>3339</v>
      </c>
      <c r="N1132" s="14" t="s">
        <v>1237</v>
      </c>
      <c r="O1132" s="14" t="s">
        <v>1220</v>
      </c>
    </row>
    <row r="1133" spans="1:15" x14ac:dyDescent="0.25">
      <c r="A1133" s="14">
        <v>1309</v>
      </c>
      <c r="B1133" s="14" t="s">
        <v>304</v>
      </c>
      <c r="C1133" s="14" t="s">
        <v>3335</v>
      </c>
      <c r="D1133" s="14" t="s">
        <v>3336</v>
      </c>
      <c r="E1133" s="16">
        <v>200</v>
      </c>
      <c r="F1133" s="14" t="s">
        <v>3337</v>
      </c>
      <c r="G1133" s="17">
        <v>10000</v>
      </c>
      <c r="H1133" s="14" t="s">
        <v>3329</v>
      </c>
      <c r="I1133" s="14" t="s">
        <v>1256</v>
      </c>
      <c r="J1133" s="14" t="s">
        <v>1233</v>
      </c>
      <c r="K1133" s="14" t="s">
        <v>1257</v>
      </c>
      <c r="L1133" s="14" t="s">
        <v>3334</v>
      </c>
      <c r="M1133" s="14" t="s">
        <v>3339</v>
      </c>
      <c r="N1133" s="14" t="s">
        <v>1237</v>
      </c>
      <c r="O1133" s="14" t="s">
        <v>1220</v>
      </c>
    </row>
    <row r="1134" spans="1:15" x14ac:dyDescent="0.25">
      <c r="A1134" s="14">
        <v>1400</v>
      </c>
      <c r="B1134" s="14" t="s">
        <v>3340</v>
      </c>
      <c r="C1134" s="14" t="s">
        <v>3335</v>
      </c>
      <c r="D1134" s="14" t="s">
        <v>1349</v>
      </c>
      <c r="E1134" s="15"/>
      <c r="F1134" s="14"/>
      <c r="G1134" s="15"/>
      <c r="H1134" s="14" t="s">
        <v>3329</v>
      </c>
      <c r="I1134" s="14" t="s">
        <v>1360</v>
      </c>
      <c r="J1134" s="14" t="s">
        <v>1360</v>
      </c>
      <c r="K1134" s="14"/>
      <c r="L1134" s="14"/>
      <c r="M1134" s="14" t="s">
        <v>3330</v>
      </c>
      <c r="N1134" s="14" t="s">
        <v>1219</v>
      </c>
      <c r="O1134" s="14" t="s">
        <v>1220</v>
      </c>
    </row>
    <row r="1135" spans="1:15" x14ac:dyDescent="0.25">
      <c r="A1135" s="14" t="s">
        <v>3341</v>
      </c>
      <c r="B1135" s="14" t="s">
        <v>3342</v>
      </c>
      <c r="C1135" s="14" t="s">
        <v>3343</v>
      </c>
      <c r="D1135" s="14" t="s">
        <v>3336</v>
      </c>
      <c r="E1135" s="16">
        <v>100</v>
      </c>
      <c r="F1135" s="14" t="s">
        <v>3337</v>
      </c>
      <c r="G1135" s="17">
        <v>10000</v>
      </c>
      <c r="H1135" s="14" t="s">
        <v>3329</v>
      </c>
      <c r="I1135" s="14" t="s">
        <v>1351</v>
      </c>
      <c r="J1135" s="14" t="s">
        <v>1351</v>
      </c>
      <c r="K1135" s="14" t="s">
        <v>1257</v>
      </c>
      <c r="L1135" s="14" t="s">
        <v>3338</v>
      </c>
      <c r="M1135" s="14" t="s">
        <v>3339</v>
      </c>
      <c r="N1135" s="14" t="s">
        <v>1237</v>
      </c>
      <c r="O1135" s="14" t="s">
        <v>1220</v>
      </c>
    </row>
    <row r="1136" spans="1:15" x14ac:dyDescent="0.25">
      <c r="A1136" s="14" t="s">
        <v>3344</v>
      </c>
      <c r="B1136" s="14" t="s">
        <v>3345</v>
      </c>
      <c r="C1136" s="14" t="s">
        <v>3343</v>
      </c>
      <c r="D1136" s="14" t="s">
        <v>3336</v>
      </c>
      <c r="E1136" s="16">
        <v>200</v>
      </c>
      <c r="F1136" s="14" t="s">
        <v>3337</v>
      </c>
      <c r="G1136" s="17">
        <v>10000</v>
      </c>
      <c r="H1136" s="14" t="s">
        <v>3329</v>
      </c>
      <c r="I1136" s="14" t="s">
        <v>1351</v>
      </c>
      <c r="J1136" s="14" t="s">
        <v>1351</v>
      </c>
      <c r="K1136" s="14" t="s">
        <v>1257</v>
      </c>
      <c r="L1136" s="14" t="s">
        <v>3334</v>
      </c>
      <c r="M1136" s="14" t="s">
        <v>3339</v>
      </c>
      <c r="N1136" s="14" t="s">
        <v>1237</v>
      </c>
      <c r="O1136" s="14" t="s">
        <v>1220</v>
      </c>
    </row>
    <row r="1137" spans="1:15" x14ac:dyDescent="0.25">
      <c r="A1137" s="14">
        <v>1302</v>
      </c>
      <c r="B1137" s="14" t="s">
        <v>305</v>
      </c>
      <c r="C1137" s="14" t="s">
        <v>3346</v>
      </c>
      <c r="D1137" s="14" t="s">
        <v>3336</v>
      </c>
      <c r="E1137" s="16">
        <v>100</v>
      </c>
      <c r="F1137" s="14" t="s">
        <v>3337</v>
      </c>
      <c r="G1137" s="17">
        <v>10000</v>
      </c>
      <c r="H1137" s="14" t="s">
        <v>3329</v>
      </c>
      <c r="I1137" s="14" t="s">
        <v>1256</v>
      </c>
      <c r="J1137" s="14" t="s">
        <v>1233</v>
      </c>
      <c r="K1137" s="14" t="s">
        <v>1257</v>
      </c>
      <c r="L1137" s="14" t="s">
        <v>3347</v>
      </c>
      <c r="M1137" s="14" t="s">
        <v>3339</v>
      </c>
      <c r="N1137" s="14" t="s">
        <v>1237</v>
      </c>
      <c r="O1137" s="14" t="s">
        <v>1220</v>
      </c>
    </row>
    <row r="1138" spans="1:15" x14ac:dyDescent="0.25">
      <c r="A1138" s="14">
        <v>1401</v>
      </c>
      <c r="B1138" s="14" t="s">
        <v>3348</v>
      </c>
      <c r="C1138" s="14" t="s">
        <v>3346</v>
      </c>
      <c r="D1138" s="14" t="s">
        <v>1349</v>
      </c>
      <c r="E1138" s="15"/>
      <c r="F1138" s="14"/>
      <c r="G1138" s="15"/>
      <c r="H1138" s="14" t="s">
        <v>3329</v>
      </c>
      <c r="I1138" s="14" t="s">
        <v>1360</v>
      </c>
      <c r="J1138" s="14" t="s">
        <v>1360</v>
      </c>
      <c r="K1138" s="14"/>
      <c r="L1138" s="14"/>
      <c r="M1138" s="14" t="s">
        <v>3330</v>
      </c>
      <c r="N1138" s="14" t="s">
        <v>1219</v>
      </c>
      <c r="O1138" s="14" t="s">
        <v>1220</v>
      </c>
    </row>
    <row r="1139" spans="1:15" x14ac:dyDescent="0.25">
      <c r="A1139" s="14" t="s">
        <v>3349</v>
      </c>
      <c r="B1139" s="14" t="s">
        <v>3350</v>
      </c>
      <c r="C1139" s="14" t="s">
        <v>3351</v>
      </c>
      <c r="D1139" s="14" t="s">
        <v>3336</v>
      </c>
      <c r="E1139" s="16">
        <v>100</v>
      </c>
      <c r="F1139" s="14" t="s">
        <v>3337</v>
      </c>
      <c r="G1139" s="17">
        <v>10000</v>
      </c>
      <c r="H1139" s="14" t="s">
        <v>3329</v>
      </c>
      <c r="I1139" s="14" t="s">
        <v>1351</v>
      </c>
      <c r="J1139" s="14" t="s">
        <v>1351</v>
      </c>
      <c r="K1139" s="14" t="s">
        <v>1257</v>
      </c>
      <c r="L1139" s="14" t="s">
        <v>3347</v>
      </c>
      <c r="M1139" s="14" t="s">
        <v>3339</v>
      </c>
      <c r="N1139" s="14" t="s">
        <v>1237</v>
      </c>
      <c r="O1139" s="14" t="s">
        <v>1220</v>
      </c>
    </row>
    <row r="1140" spans="1:15" x14ac:dyDescent="0.25">
      <c r="A1140" s="14">
        <v>1304</v>
      </c>
      <c r="B1140" s="14" t="s">
        <v>306</v>
      </c>
      <c r="C1140" s="14" t="s">
        <v>3352</v>
      </c>
      <c r="D1140" s="14" t="s">
        <v>3336</v>
      </c>
      <c r="E1140" s="16">
        <v>100</v>
      </c>
      <c r="F1140" s="14" t="s">
        <v>3337</v>
      </c>
      <c r="G1140" s="17">
        <v>1000</v>
      </c>
      <c r="H1140" s="14" t="s">
        <v>3329</v>
      </c>
      <c r="I1140" s="14" t="s">
        <v>1256</v>
      </c>
      <c r="J1140" s="14" t="s">
        <v>1233</v>
      </c>
      <c r="K1140" s="14" t="s">
        <v>1257</v>
      </c>
      <c r="L1140" s="14" t="s">
        <v>3353</v>
      </c>
      <c r="M1140" s="14" t="s">
        <v>3339</v>
      </c>
      <c r="N1140" s="14" t="s">
        <v>1237</v>
      </c>
      <c r="O1140" s="14" t="s">
        <v>1220</v>
      </c>
    </row>
    <row r="1141" spans="1:15" x14ac:dyDescent="0.25">
      <c r="A1141" s="14">
        <v>1696</v>
      </c>
      <c r="B1141" s="14" t="s">
        <v>3354</v>
      </c>
      <c r="C1141" s="14" t="s">
        <v>3352</v>
      </c>
      <c r="D1141" s="14" t="s">
        <v>3336</v>
      </c>
      <c r="E1141" s="15"/>
      <c r="F1141" s="14" t="s">
        <v>1350</v>
      </c>
      <c r="G1141" s="15"/>
      <c r="H1141" s="14" t="s">
        <v>3329</v>
      </c>
      <c r="I1141" s="14" t="s">
        <v>1360</v>
      </c>
      <c r="J1141" s="14" t="s">
        <v>1385</v>
      </c>
      <c r="K1141" s="14" t="s">
        <v>1257</v>
      </c>
      <c r="L1141" s="14" t="s">
        <v>3353</v>
      </c>
      <c r="M1141" s="14" t="s">
        <v>3330</v>
      </c>
      <c r="N1141" s="14" t="s">
        <v>1219</v>
      </c>
      <c r="O1141" s="14" t="s">
        <v>1220</v>
      </c>
    </row>
    <row r="1142" spans="1:15" x14ac:dyDescent="0.25">
      <c r="A1142" s="14" t="s">
        <v>3355</v>
      </c>
      <c r="B1142" s="14" t="s">
        <v>3356</v>
      </c>
      <c r="C1142" s="14" t="s">
        <v>3357</v>
      </c>
      <c r="D1142" s="14" t="s">
        <v>3336</v>
      </c>
      <c r="E1142" s="16">
        <v>100</v>
      </c>
      <c r="F1142" s="14" t="s">
        <v>3337</v>
      </c>
      <c r="G1142" s="17">
        <v>1000</v>
      </c>
      <c r="H1142" s="14" t="s">
        <v>3329</v>
      </c>
      <c r="I1142" s="14" t="s">
        <v>1351</v>
      </c>
      <c r="J1142" s="14" t="s">
        <v>1385</v>
      </c>
      <c r="K1142" s="14" t="s">
        <v>1257</v>
      </c>
      <c r="L1142" s="14" t="s">
        <v>3353</v>
      </c>
      <c r="M1142" s="14" t="s">
        <v>3339</v>
      </c>
      <c r="N1142" s="14" t="s">
        <v>1237</v>
      </c>
      <c r="O1142" s="14" t="s">
        <v>1220</v>
      </c>
    </row>
    <row r="1143" spans="1:15" x14ac:dyDescent="0.25">
      <c r="A1143" s="14">
        <v>1313</v>
      </c>
      <c r="B1143" s="14" t="s">
        <v>3358</v>
      </c>
      <c r="C1143" s="14" t="s">
        <v>3359</v>
      </c>
      <c r="D1143" s="14" t="s">
        <v>3336</v>
      </c>
      <c r="E1143" s="15"/>
      <c r="F1143" s="14" t="s">
        <v>1350</v>
      </c>
      <c r="G1143" s="15"/>
      <c r="H1143" s="14" t="s">
        <v>3329</v>
      </c>
      <c r="I1143" s="14" t="s">
        <v>1360</v>
      </c>
      <c r="J1143" s="14" t="s">
        <v>1385</v>
      </c>
      <c r="K1143" s="14" t="s">
        <v>1257</v>
      </c>
      <c r="L1143" s="14" t="s">
        <v>3353</v>
      </c>
      <c r="M1143" s="14" t="s">
        <v>3339</v>
      </c>
      <c r="N1143" s="14" t="s">
        <v>1219</v>
      </c>
      <c r="O1143" s="14" t="s">
        <v>1220</v>
      </c>
    </row>
    <row r="1144" spans="1:15" x14ac:dyDescent="0.25">
      <c r="A1144" s="14">
        <v>1404</v>
      </c>
      <c r="B1144" s="14" t="s">
        <v>3360</v>
      </c>
      <c r="C1144" s="14" t="s">
        <v>3359</v>
      </c>
      <c r="D1144" s="14" t="s">
        <v>3336</v>
      </c>
      <c r="E1144" s="15"/>
      <c r="F1144" s="14" t="s">
        <v>1350</v>
      </c>
      <c r="G1144" s="15"/>
      <c r="H1144" s="14" t="s">
        <v>3329</v>
      </c>
      <c r="I1144" s="14" t="s">
        <v>1360</v>
      </c>
      <c r="J1144" s="14" t="s">
        <v>1385</v>
      </c>
      <c r="K1144" s="14" t="s">
        <v>1257</v>
      </c>
      <c r="L1144" s="14" t="s">
        <v>3353</v>
      </c>
      <c r="M1144" s="14" t="s">
        <v>3330</v>
      </c>
      <c r="N1144" s="14" t="s">
        <v>1219</v>
      </c>
      <c r="O1144" s="14" t="s">
        <v>1220</v>
      </c>
    </row>
    <row r="1145" spans="1:15" x14ac:dyDescent="0.25">
      <c r="A1145" s="14">
        <v>1000535650</v>
      </c>
      <c r="B1145" s="14" t="s">
        <v>3361</v>
      </c>
      <c r="C1145" s="14" t="s">
        <v>3362</v>
      </c>
      <c r="D1145" s="14" t="s">
        <v>1222</v>
      </c>
      <c r="E1145" s="15"/>
      <c r="F1145" s="14"/>
      <c r="G1145" s="15"/>
      <c r="H1145" s="14" t="s">
        <v>1223</v>
      </c>
      <c r="I1145" s="14"/>
      <c r="J1145" s="14"/>
      <c r="K1145" s="14"/>
      <c r="L1145" s="14"/>
      <c r="M1145" s="14"/>
      <c r="N1145" s="14" t="s">
        <v>1219</v>
      </c>
      <c r="O1145" s="14" t="s">
        <v>1220</v>
      </c>
    </row>
    <row r="1146" spans="1:15" x14ac:dyDescent="0.25">
      <c r="A1146" s="14" t="s">
        <v>3363</v>
      </c>
      <c r="B1146" s="14" t="s">
        <v>3364</v>
      </c>
      <c r="C1146" s="14" t="s">
        <v>3364</v>
      </c>
      <c r="D1146" s="14" t="s">
        <v>1283</v>
      </c>
      <c r="E1146" s="15"/>
      <c r="F1146" s="14" t="s">
        <v>3365</v>
      </c>
      <c r="G1146" s="15"/>
      <c r="H1146" s="14" t="s">
        <v>1255</v>
      </c>
      <c r="I1146" s="14" t="s">
        <v>1217</v>
      </c>
      <c r="J1146" s="14" t="s">
        <v>1242</v>
      </c>
      <c r="K1146" s="14"/>
      <c r="L1146" s="14"/>
      <c r="M1146" s="14" t="s">
        <v>1259</v>
      </c>
      <c r="N1146" s="14" t="s">
        <v>1219</v>
      </c>
      <c r="O1146" s="14" t="s">
        <v>1220</v>
      </c>
    </row>
    <row r="1147" spans="1:15" x14ac:dyDescent="0.25">
      <c r="A1147" s="14" t="s">
        <v>3366</v>
      </c>
      <c r="B1147" s="14" t="s">
        <v>3367</v>
      </c>
      <c r="C1147" s="14" t="s">
        <v>3367</v>
      </c>
      <c r="D1147" s="14" t="s">
        <v>1283</v>
      </c>
      <c r="E1147" s="15"/>
      <c r="F1147" s="14" t="s">
        <v>3365</v>
      </c>
      <c r="G1147" s="15"/>
      <c r="H1147" s="14" t="s">
        <v>1255</v>
      </c>
      <c r="I1147" s="14" t="s">
        <v>1217</v>
      </c>
      <c r="J1147" s="14" t="s">
        <v>1242</v>
      </c>
      <c r="K1147" s="14"/>
      <c r="L1147" s="14"/>
      <c r="M1147" s="14" t="s">
        <v>1259</v>
      </c>
      <c r="N1147" s="14" t="s">
        <v>1219</v>
      </c>
      <c r="O1147" s="14" t="s">
        <v>1220</v>
      </c>
    </row>
    <row r="1148" spans="1:15" x14ac:dyDescent="0.25">
      <c r="A1148" s="14">
        <v>3486</v>
      </c>
      <c r="B1148" s="14" t="s">
        <v>407</v>
      </c>
      <c r="C1148" s="14" t="s">
        <v>407</v>
      </c>
      <c r="D1148" s="14" t="s">
        <v>3368</v>
      </c>
      <c r="E1148" s="16">
        <v>600</v>
      </c>
      <c r="F1148" s="14" t="s">
        <v>3365</v>
      </c>
      <c r="G1148" s="17">
        <v>3500</v>
      </c>
      <c r="H1148" s="14" t="s">
        <v>1255</v>
      </c>
      <c r="I1148" s="14" t="s">
        <v>1256</v>
      </c>
      <c r="J1148" s="14" t="s">
        <v>1242</v>
      </c>
      <c r="K1148" s="14" t="s">
        <v>1257</v>
      </c>
      <c r="L1148" s="14" t="s">
        <v>3369</v>
      </c>
      <c r="M1148" s="14" t="s">
        <v>1259</v>
      </c>
      <c r="N1148" s="14" t="s">
        <v>1237</v>
      </c>
      <c r="O1148" s="14" t="s">
        <v>1220</v>
      </c>
    </row>
    <row r="1149" spans="1:15" x14ac:dyDescent="0.25">
      <c r="A1149" s="14" t="s">
        <v>3370</v>
      </c>
      <c r="B1149" s="14" t="s">
        <v>3371</v>
      </c>
      <c r="C1149" s="14" t="s">
        <v>3371</v>
      </c>
      <c r="D1149" s="14" t="s">
        <v>3368</v>
      </c>
      <c r="E1149" s="15"/>
      <c r="F1149" s="14" t="s">
        <v>3365</v>
      </c>
      <c r="G1149" s="15"/>
      <c r="H1149" s="14" t="s">
        <v>1255</v>
      </c>
      <c r="I1149" s="14" t="s">
        <v>1262</v>
      </c>
      <c r="J1149" s="14" t="s">
        <v>1262</v>
      </c>
      <c r="K1149" s="14"/>
      <c r="L1149" s="14" t="s">
        <v>3369</v>
      </c>
      <c r="M1149" s="14" t="s">
        <v>1259</v>
      </c>
      <c r="N1149" s="14" t="s">
        <v>1219</v>
      </c>
      <c r="O1149" s="14" t="s">
        <v>1220</v>
      </c>
    </row>
    <row r="1150" spans="1:15" x14ac:dyDescent="0.25">
      <c r="A1150" s="14">
        <v>3487</v>
      </c>
      <c r="B1150" s="14" t="s">
        <v>408</v>
      </c>
      <c r="C1150" s="14" t="s">
        <v>408</v>
      </c>
      <c r="D1150" s="14" t="s">
        <v>3368</v>
      </c>
      <c r="E1150" s="16">
        <v>400</v>
      </c>
      <c r="F1150" s="14" t="s">
        <v>3365</v>
      </c>
      <c r="G1150" s="17">
        <v>4000</v>
      </c>
      <c r="H1150" s="14" t="s">
        <v>1255</v>
      </c>
      <c r="I1150" s="14" t="s">
        <v>1256</v>
      </c>
      <c r="J1150" s="14" t="s">
        <v>1242</v>
      </c>
      <c r="K1150" s="14" t="s">
        <v>1257</v>
      </c>
      <c r="L1150" s="14" t="s">
        <v>3372</v>
      </c>
      <c r="M1150" s="14" t="s">
        <v>1259</v>
      </c>
      <c r="N1150" s="14" t="s">
        <v>1237</v>
      </c>
      <c r="O1150" s="14" t="s">
        <v>1220</v>
      </c>
    </row>
    <row r="1151" spans="1:15" x14ac:dyDescent="0.25">
      <c r="A1151" s="14" t="s">
        <v>3373</v>
      </c>
      <c r="B1151" s="14" t="s">
        <v>3374</v>
      </c>
      <c r="C1151" s="14" t="s">
        <v>3374</v>
      </c>
      <c r="D1151" s="14" t="s">
        <v>3368</v>
      </c>
      <c r="E1151" s="15"/>
      <c r="F1151" s="14" t="s">
        <v>3365</v>
      </c>
      <c r="G1151" s="15"/>
      <c r="H1151" s="14" t="s">
        <v>1255</v>
      </c>
      <c r="I1151" s="14" t="s">
        <v>1262</v>
      </c>
      <c r="J1151" s="14" t="s">
        <v>1262</v>
      </c>
      <c r="K1151" s="14"/>
      <c r="L1151" s="14" t="s">
        <v>3372</v>
      </c>
      <c r="M1151" s="14" t="s">
        <v>1259</v>
      </c>
      <c r="N1151" s="14" t="s">
        <v>1219</v>
      </c>
      <c r="O1151" s="14" t="s">
        <v>1220</v>
      </c>
    </row>
    <row r="1152" spans="1:15" x14ac:dyDescent="0.25">
      <c r="A1152" s="14">
        <v>3488</v>
      </c>
      <c r="B1152" s="14" t="s">
        <v>409</v>
      </c>
      <c r="C1152" s="14" t="s">
        <v>409</v>
      </c>
      <c r="D1152" s="14" t="s">
        <v>3368</v>
      </c>
      <c r="E1152" s="16">
        <v>200</v>
      </c>
      <c r="F1152" s="14" t="s">
        <v>1255</v>
      </c>
      <c r="G1152" s="17">
        <v>2400</v>
      </c>
      <c r="H1152" s="14" t="s">
        <v>1255</v>
      </c>
      <c r="I1152" s="14" t="s">
        <v>1256</v>
      </c>
      <c r="J1152" s="14" t="s">
        <v>1242</v>
      </c>
      <c r="K1152" s="14" t="s">
        <v>1257</v>
      </c>
      <c r="L1152" s="14" t="s">
        <v>3375</v>
      </c>
      <c r="M1152" s="14" t="s">
        <v>1259</v>
      </c>
      <c r="N1152" s="14" t="s">
        <v>1237</v>
      </c>
      <c r="O1152" s="14" t="s">
        <v>1220</v>
      </c>
    </row>
    <row r="1153" spans="1:15" x14ac:dyDescent="0.25">
      <c r="A1153" s="14" t="s">
        <v>3376</v>
      </c>
      <c r="B1153" s="14" t="s">
        <v>3377</v>
      </c>
      <c r="C1153" s="14" t="s">
        <v>3377</v>
      </c>
      <c r="D1153" s="14" t="s">
        <v>3368</v>
      </c>
      <c r="E1153" s="15"/>
      <c r="F1153" s="14" t="s">
        <v>1255</v>
      </c>
      <c r="G1153" s="15"/>
      <c r="H1153" s="14" t="s">
        <v>1255</v>
      </c>
      <c r="I1153" s="14" t="s">
        <v>1262</v>
      </c>
      <c r="J1153" s="14" t="s">
        <v>1262</v>
      </c>
      <c r="K1153" s="14"/>
      <c r="L1153" s="14" t="s">
        <v>3375</v>
      </c>
      <c r="M1153" s="14" t="s">
        <v>1259</v>
      </c>
      <c r="N1153" s="14" t="s">
        <v>1219</v>
      </c>
      <c r="O1153" s="14" t="s">
        <v>1220</v>
      </c>
    </row>
    <row r="1154" spans="1:15" x14ac:dyDescent="0.25">
      <c r="A1154" s="14">
        <v>3489</v>
      </c>
      <c r="B1154" s="14" t="s">
        <v>410</v>
      </c>
      <c r="C1154" s="14" t="s">
        <v>410</v>
      </c>
      <c r="D1154" s="14" t="s">
        <v>3368</v>
      </c>
      <c r="E1154" s="16">
        <v>120</v>
      </c>
      <c r="F1154" s="14" t="s">
        <v>1255</v>
      </c>
      <c r="G1154" s="17">
        <v>1200</v>
      </c>
      <c r="H1154" s="14" t="s">
        <v>1255</v>
      </c>
      <c r="I1154" s="14" t="s">
        <v>1256</v>
      </c>
      <c r="J1154" s="14" t="s">
        <v>1296</v>
      </c>
      <c r="K1154" s="14" t="s">
        <v>1257</v>
      </c>
      <c r="L1154" s="14" t="s">
        <v>3378</v>
      </c>
      <c r="M1154" s="14" t="s">
        <v>1259</v>
      </c>
      <c r="N1154" s="14" t="s">
        <v>1237</v>
      </c>
      <c r="O1154" s="14" t="s">
        <v>1220</v>
      </c>
    </row>
    <row r="1155" spans="1:15" x14ac:dyDescent="0.25">
      <c r="A1155" s="14">
        <v>3490</v>
      </c>
      <c r="B1155" s="14" t="s">
        <v>411</v>
      </c>
      <c r="C1155" s="14" t="s">
        <v>411</v>
      </c>
      <c r="D1155" s="14" t="s">
        <v>3368</v>
      </c>
      <c r="E1155" s="16">
        <v>70</v>
      </c>
      <c r="F1155" s="14" t="s">
        <v>1255</v>
      </c>
      <c r="G1155" s="16">
        <v>700</v>
      </c>
      <c r="H1155" s="14" t="s">
        <v>1255</v>
      </c>
      <c r="I1155" s="14" t="s">
        <v>1256</v>
      </c>
      <c r="J1155" s="14" t="s">
        <v>1296</v>
      </c>
      <c r="K1155" s="14" t="s">
        <v>1257</v>
      </c>
      <c r="L1155" s="14" t="s">
        <v>3379</v>
      </c>
      <c r="M1155" s="14" t="s">
        <v>1259</v>
      </c>
      <c r="N1155" s="14" t="s">
        <v>1237</v>
      </c>
      <c r="O1155" s="14" t="s">
        <v>1220</v>
      </c>
    </row>
    <row r="1156" spans="1:15" x14ac:dyDescent="0.25">
      <c r="A1156" s="14">
        <v>3491</v>
      </c>
      <c r="B1156" s="14" t="s">
        <v>412</v>
      </c>
      <c r="C1156" s="14" t="s">
        <v>412</v>
      </c>
      <c r="D1156" s="14" t="s">
        <v>3368</v>
      </c>
      <c r="E1156" s="16">
        <v>40</v>
      </c>
      <c r="F1156" s="14" t="s">
        <v>1255</v>
      </c>
      <c r="G1156" s="16">
        <v>200</v>
      </c>
      <c r="H1156" s="14" t="s">
        <v>1255</v>
      </c>
      <c r="I1156" s="14" t="s">
        <v>1256</v>
      </c>
      <c r="J1156" s="14" t="s">
        <v>1296</v>
      </c>
      <c r="K1156" s="14" t="s">
        <v>1257</v>
      </c>
      <c r="L1156" s="14" t="s">
        <v>3380</v>
      </c>
      <c r="M1156" s="14" t="s">
        <v>1259</v>
      </c>
      <c r="N1156" s="14" t="s">
        <v>1237</v>
      </c>
      <c r="O1156" s="14" t="s">
        <v>1220</v>
      </c>
    </row>
    <row r="1157" spans="1:15" x14ac:dyDescent="0.25">
      <c r="A1157" s="14">
        <v>3492</v>
      </c>
      <c r="B1157" s="14" t="s">
        <v>413</v>
      </c>
      <c r="C1157" s="14" t="s">
        <v>413</v>
      </c>
      <c r="D1157" s="14" t="s">
        <v>3368</v>
      </c>
      <c r="E1157" s="16">
        <v>25</v>
      </c>
      <c r="F1157" s="14" t="s">
        <v>1255</v>
      </c>
      <c r="G1157" s="16">
        <v>270</v>
      </c>
      <c r="H1157" s="14" t="s">
        <v>1255</v>
      </c>
      <c r="I1157" s="14" t="s">
        <v>1256</v>
      </c>
      <c r="J1157" s="14" t="s">
        <v>1296</v>
      </c>
      <c r="K1157" s="14" t="s">
        <v>1257</v>
      </c>
      <c r="L1157" s="14" t="s">
        <v>3381</v>
      </c>
      <c r="M1157" s="14" t="s">
        <v>1259</v>
      </c>
      <c r="N1157" s="14" t="s">
        <v>1237</v>
      </c>
      <c r="O1157" s="14" t="s">
        <v>1220</v>
      </c>
    </row>
    <row r="1158" spans="1:15" x14ac:dyDescent="0.25">
      <c r="A1158" s="14">
        <v>3493</v>
      </c>
      <c r="B1158" s="14" t="s">
        <v>414</v>
      </c>
      <c r="C1158" s="14" t="s">
        <v>414</v>
      </c>
      <c r="D1158" s="14" t="s">
        <v>3368</v>
      </c>
      <c r="E1158" s="16">
        <v>20</v>
      </c>
      <c r="F1158" s="14" t="s">
        <v>1255</v>
      </c>
      <c r="G1158" s="16">
        <v>200</v>
      </c>
      <c r="H1158" s="14" t="s">
        <v>1255</v>
      </c>
      <c r="I1158" s="14" t="s">
        <v>1256</v>
      </c>
      <c r="J1158" s="14" t="s">
        <v>1296</v>
      </c>
      <c r="K1158" s="14" t="s">
        <v>1257</v>
      </c>
      <c r="L1158" s="14" t="s">
        <v>3382</v>
      </c>
      <c r="M1158" s="14" t="s">
        <v>1259</v>
      </c>
      <c r="N1158" s="14" t="s">
        <v>1237</v>
      </c>
      <c r="O1158" s="14" t="s">
        <v>1220</v>
      </c>
    </row>
    <row r="1159" spans="1:15" x14ac:dyDescent="0.25">
      <c r="A1159" s="14" t="s">
        <v>3383</v>
      </c>
      <c r="B1159" s="14" t="s">
        <v>3384</v>
      </c>
      <c r="C1159" s="14" t="s">
        <v>3384</v>
      </c>
      <c r="D1159" s="14" t="s">
        <v>1349</v>
      </c>
      <c r="E1159" s="15"/>
      <c r="F1159" s="14"/>
      <c r="G1159" s="15"/>
      <c r="H1159" s="14" t="s">
        <v>1380</v>
      </c>
      <c r="I1159" s="14" t="s">
        <v>1360</v>
      </c>
      <c r="J1159" s="14" t="s">
        <v>1360</v>
      </c>
      <c r="K1159" s="14"/>
      <c r="L1159" s="14"/>
      <c r="M1159" s="14" t="s">
        <v>1324</v>
      </c>
      <c r="N1159" s="14" t="s">
        <v>1219</v>
      </c>
      <c r="O1159" s="14" t="s">
        <v>1220</v>
      </c>
    </row>
    <row r="1160" spans="1:15" x14ac:dyDescent="0.25">
      <c r="A1160" s="14" t="s">
        <v>3385</v>
      </c>
      <c r="B1160" s="14" t="s">
        <v>3386</v>
      </c>
      <c r="C1160" s="14" t="s">
        <v>3386</v>
      </c>
      <c r="D1160" s="14" t="s">
        <v>3368</v>
      </c>
      <c r="E1160" s="15"/>
      <c r="F1160" s="14" t="s">
        <v>1350</v>
      </c>
      <c r="G1160" s="15"/>
      <c r="H1160" s="14" t="s">
        <v>1380</v>
      </c>
      <c r="I1160" s="14" t="s">
        <v>1360</v>
      </c>
      <c r="J1160" s="14" t="s">
        <v>1385</v>
      </c>
      <c r="K1160" s="14" t="s">
        <v>1257</v>
      </c>
      <c r="L1160" s="14" t="s">
        <v>3382</v>
      </c>
      <c r="M1160" s="14" t="s">
        <v>1324</v>
      </c>
      <c r="N1160" s="14" t="s">
        <v>1219</v>
      </c>
      <c r="O1160" s="14" t="s">
        <v>1220</v>
      </c>
    </row>
    <row r="1161" spans="1:15" x14ac:dyDescent="0.25">
      <c r="A1161" s="14">
        <v>2360</v>
      </c>
      <c r="B1161" s="14" t="s">
        <v>608</v>
      </c>
      <c r="C1161" s="14" t="s">
        <v>3387</v>
      </c>
      <c r="D1161" s="14" t="s">
        <v>3368</v>
      </c>
      <c r="E1161" s="16">
        <v>40</v>
      </c>
      <c r="F1161" s="14" t="s">
        <v>1321</v>
      </c>
      <c r="G1161" s="16">
        <v>480</v>
      </c>
      <c r="H1161" s="14" t="s">
        <v>1322</v>
      </c>
      <c r="I1161" s="14" t="s">
        <v>1256</v>
      </c>
      <c r="J1161" s="14" t="s">
        <v>1296</v>
      </c>
      <c r="K1161" s="14" t="s">
        <v>1257</v>
      </c>
      <c r="L1161" s="14" t="s">
        <v>3388</v>
      </c>
      <c r="M1161" s="14" t="s">
        <v>1324</v>
      </c>
      <c r="N1161" s="14" t="s">
        <v>1237</v>
      </c>
      <c r="O1161" s="14" t="s">
        <v>1220</v>
      </c>
    </row>
    <row r="1162" spans="1:15" x14ac:dyDescent="0.25">
      <c r="A1162" s="14" t="s">
        <v>3389</v>
      </c>
      <c r="B1162" s="14" t="s">
        <v>3390</v>
      </c>
      <c r="C1162" s="14" t="s">
        <v>3390</v>
      </c>
      <c r="D1162" s="14" t="s">
        <v>1349</v>
      </c>
      <c r="E1162" s="15"/>
      <c r="F1162" s="14"/>
      <c r="G1162" s="15"/>
      <c r="H1162" s="14" t="s">
        <v>1380</v>
      </c>
      <c r="I1162" s="14" t="s">
        <v>1360</v>
      </c>
      <c r="J1162" s="14" t="s">
        <v>1360</v>
      </c>
      <c r="K1162" s="14"/>
      <c r="L1162" s="14"/>
      <c r="M1162" s="14" t="s">
        <v>1324</v>
      </c>
      <c r="N1162" s="14" t="s">
        <v>1219</v>
      </c>
      <c r="O1162" s="14" t="s">
        <v>1220</v>
      </c>
    </row>
    <row r="1163" spans="1:15" x14ac:dyDescent="0.25">
      <c r="A1163" s="14">
        <v>2532</v>
      </c>
      <c r="B1163" s="14" t="s">
        <v>609</v>
      </c>
      <c r="C1163" s="14" t="s">
        <v>3391</v>
      </c>
      <c r="D1163" s="14" t="s">
        <v>3368</v>
      </c>
      <c r="E1163" s="16">
        <v>50</v>
      </c>
      <c r="F1163" s="14" t="s">
        <v>1321</v>
      </c>
      <c r="G1163" s="16">
        <v>850</v>
      </c>
      <c r="H1163" s="14" t="s">
        <v>1322</v>
      </c>
      <c r="I1163" s="14" t="s">
        <v>1256</v>
      </c>
      <c r="J1163" s="14" t="s">
        <v>1242</v>
      </c>
      <c r="K1163" s="14" t="s">
        <v>1257</v>
      </c>
      <c r="L1163" s="14" t="s">
        <v>3392</v>
      </c>
      <c r="M1163" s="14" t="s">
        <v>1324</v>
      </c>
      <c r="N1163" s="14" t="s">
        <v>1237</v>
      </c>
      <c r="O1163" s="14" t="s">
        <v>1220</v>
      </c>
    </row>
    <row r="1164" spans="1:15" x14ac:dyDescent="0.25">
      <c r="A1164" s="14" t="s">
        <v>3393</v>
      </c>
      <c r="B1164" s="14" t="s">
        <v>3394</v>
      </c>
      <c r="C1164" s="14" t="s">
        <v>3395</v>
      </c>
      <c r="D1164" s="14" t="s">
        <v>3368</v>
      </c>
      <c r="E1164" s="15"/>
      <c r="F1164" s="14" t="s">
        <v>1321</v>
      </c>
      <c r="G1164" s="15"/>
      <c r="H1164" s="14" t="s">
        <v>1322</v>
      </c>
      <c r="I1164" s="14" t="s">
        <v>1262</v>
      </c>
      <c r="J1164" s="14" t="s">
        <v>1262</v>
      </c>
      <c r="K1164" s="14"/>
      <c r="L1164" s="14" t="s">
        <v>3392</v>
      </c>
      <c r="M1164" s="14" t="s">
        <v>1324</v>
      </c>
      <c r="N1164" s="14" t="s">
        <v>1219</v>
      </c>
      <c r="O1164" s="14" t="s">
        <v>1220</v>
      </c>
    </row>
    <row r="1165" spans="1:15" x14ac:dyDescent="0.25">
      <c r="A1165" s="14" t="s">
        <v>3396</v>
      </c>
      <c r="B1165" s="14" t="s">
        <v>3397</v>
      </c>
      <c r="C1165" s="14" t="s">
        <v>3397</v>
      </c>
      <c r="D1165" s="14" t="s">
        <v>1349</v>
      </c>
      <c r="E1165" s="15"/>
      <c r="F1165" s="14"/>
      <c r="G1165" s="15"/>
      <c r="H1165" s="14" t="s">
        <v>1380</v>
      </c>
      <c r="I1165" s="14" t="s">
        <v>1360</v>
      </c>
      <c r="J1165" s="14" t="s">
        <v>1360</v>
      </c>
      <c r="K1165" s="14"/>
      <c r="L1165" s="14"/>
      <c r="M1165" s="14" t="s">
        <v>1324</v>
      </c>
      <c r="N1165" s="14" t="s">
        <v>1219</v>
      </c>
      <c r="O1165" s="14" t="s">
        <v>1220</v>
      </c>
    </row>
    <row r="1166" spans="1:15" x14ac:dyDescent="0.25">
      <c r="A1166" s="14">
        <v>2529</v>
      </c>
      <c r="B1166" s="14" t="s">
        <v>605</v>
      </c>
      <c r="C1166" s="14" t="s">
        <v>3398</v>
      </c>
      <c r="D1166" s="14" t="s">
        <v>3368</v>
      </c>
      <c r="E1166" s="16">
        <v>300</v>
      </c>
      <c r="F1166" s="14" t="s">
        <v>1321</v>
      </c>
      <c r="G1166" s="17">
        <v>12900</v>
      </c>
      <c r="H1166" s="14" t="s">
        <v>1322</v>
      </c>
      <c r="I1166" s="14" t="s">
        <v>1256</v>
      </c>
      <c r="J1166" s="14" t="s">
        <v>1233</v>
      </c>
      <c r="K1166" s="14" t="s">
        <v>1257</v>
      </c>
      <c r="L1166" s="14" t="s">
        <v>3399</v>
      </c>
      <c r="M1166" s="14" t="s">
        <v>1324</v>
      </c>
      <c r="N1166" s="14" t="s">
        <v>1237</v>
      </c>
      <c r="O1166" s="14" t="s">
        <v>1220</v>
      </c>
    </row>
    <row r="1167" spans="1:15" x14ac:dyDescent="0.25">
      <c r="A1167" s="14" t="s">
        <v>3400</v>
      </c>
      <c r="B1167" s="14" t="s">
        <v>3401</v>
      </c>
      <c r="C1167" s="14" t="s">
        <v>3402</v>
      </c>
      <c r="D1167" s="14" t="s">
        <v>3368</v>
      </c>
      <c r="E1167" s="15"/>
      <c r="F1167" s="14" t="s">
        <v>1321</v>
      </c>
      <c r="G1167" s="15"/>
      <c r="H1167" s="14" t="s">
        <v>1322</v>
      </c>
      <c r="I1167" s="14" t="s">
        <v>1262</v>
      </c>
      <c r="J1167" s="14" t="s">
        <v>1262</v>
      </c>
      <c r="K1167" s="14"/>
      <c r="L1167" s="14" t="s">
        <v>3399</v>
      </c>
      <c r="M1167" s="14" t="s">
        <v>1324</v>
      </c>
      <c r="N1167" s="14" t="s">
        <v>1219</v>
      </c>
      <c r="O1167" s="14" t="s">
        <v>1220</v>
      </c>
    </row>
    <row r="1168" spans="1:15" x14ac:dyDescent="0.25">
      <c r="A1168" s="14">
        <v>3494</v>
      </c>
      <c r="B1168" s="14" t="s">
        <v>415</v>
      </c>
      <c r="C1168" s="14" t="s">
        <v>415</v>
      </c>
      <c r="D1168" s="14" t="s">
        <v>3368</v>
      </c>
      <c r="E1168" s="16">
        <v>10</v>
      </c>
      <c r="F1168" s="14" t="s">
        <v>1255</v>
      </c>
      <c r="G1168" s="16">
        <v>100</v>
      </c>
      <c r="H1168" s="14" t="s">
        <v>1255</v>
      </c>
      <c r="I1168" s="14" t="s">
        <v>1256</v>
      </c>
      <c r="J1168" s="14" t="s">
        <v>1296</v>
      </c>
      <c r="K1168" s="14" t="s">
        <v>1257</v>
      </c>
      <c r="L1168" s="14" t="s">
        <v>3403</v>
      </c>
      <c r="M1168" s="14" t="s">
        <v>1259</v>
      </c>
      <c r="N1168" s="14" t="s">
        <v>1237</v>
      </c>
      <c r="O1168" s="14" t="s">
        <v>1220</v>
      </c>
    </row>
    <row r="1169" spans="1:15" x14ac:dyDescent="0.25">
      <c r="A1169" s="14">
        <v>2531</v>
      </c>
      <c r="B1169" s="14" t="s">
        <v>607</v>
      </c>
      <c r="C1169" s="14" t="s">
        <v>3404</v>
      </c>
      <c r="D1169" s="14" t="s">
        <v>3368</v>
      </c>
      <c r="E1169" s="16">
        <v>100</v>
      </c>
      <c r="F1169" s="14" t="s">
        <v>1321</v>
      </c>
      <c r="G1169" s="17">
        <v>2600</v>
      </c>
      <c r="H1169" s="14" t="s">
        <v>1322</v>
      </c>
      <c r="I1169" s="14" t="s">
        <v>1256</v>
      </c>
      <c r="J1169" s="14" t="s">
        <v>1233</v>
      </c>
      <c r="K1169" s="14" t="s">
        <v>1257</v>
      </c>
      <c r="L1169" s="14" t="s">
        <v>3405</v>
      </c>
      <c r="M1169" s="14" t="s">
        <v>1324</v>
      </c>
      <c r="N1169" s="14" t="s">
        <v>1237</v>
      </c>
      <c r="O1169" s="14" t="s">
        <v>1220</v>
      </c>
    </row>
    <row r="1170" spans="1:15" x14ac:dyDescent="0.25">
      <c r="A1170" s="14" t="s">
        <v>3406</v>
      </c>
      <c r="B1170" s="14" t="s">
        <v>3407</v>
      </c>
      <c r="C1170" s="14" t="s">
        <v>3408</v>
      </c>
      <c r="D1170" s="14" t="s">
        <v>3368</v>
      </c>
      <c r="E1170" s="15"/>
      <c r="F1170" s="14" t="s">
        <v>1321</v>
      </c>
      <c r="G1170" s="15"/>
      <c r="H1170" s="14" t="s">
        <v>1322</v>
      </c>
      <c r="I1170" s="14" t="s">
        <v>1262</v>
      </c>
      <c r="J1170" s="14" t="s">
        <v>1262</v>
      </c>
      <c r="K1170" s="14"/>
      <c r="L1170" s="14" t="s">
        <v>3405</v>
      </c>
      <c r="M1170" s="14" t="s">
        <v>1324</v>
      </c>
      <c r="N1170" s="14" t="s">
        <v>1219</v>
      </c>
      <c r="O1170" s="14" t="s">
        <v>1220</v>
      </c>
    </row>
    <row r="1171" spans="1:15" x14ac:dyDescent="0.25">
      <c r="A1171" s="14">
        <v>4754</v>
      </c>
      <c r="B1171" s="14" t="s">
        <v>3409</v>
      </c>
      <c r="C1171" s="14" t="s">
        <v>3409</v>
      </c>
      <c r="D1171" s="14" t="s">
        <v>1349</v>
      </c>
      <c r="E1171" s="15"/>
      <c r="F1171" s="14"/>
      <c r="G1171" s="15"/>
      <c r="H1171" s="14" t="s">
        <v>1255</v>
      </c>
      <c r="I1171" s="14" t="s">
        <v>1360</v>
      </c>
      <c r="J1171" s="14" t="s">
        <v>1360</v>
      </c>
      <c r="K1171" s="14"/>
      <c r="L1171" s="14"/>
      <c r="M1171" s="14" t="s">
        <v>1259</v>
      </c>
      <c r="N1171" s="14" t="s">
        <v>1219</v>
      </c>
      <c r="O1171" s="14" t="s">
        <v>1220</v>
      </c>
    </row>
    <row r="1172" spans="1:15" x14ac:dyDescent="0.25">
      <c r="A1172" s="14">
        <v>4755</v>
      </c>
      <c r="B1172" s="14" t="s">
        <v>3410</v>
      </c>
      <c r="C1172" s="14" t="s">
        <v>3410</v>
      </c>
      <c r="D1172" s="14" t="s">
        <v>1349</v>
      </c>
      <c r="E1172" s="15"/>
      <c r="F1172" s="14"/>
      <c r="G1172" s="15"/>
      <c r="H1172" s="14" t="s">
        <v>1255</v>
      </c>
      <c r="I1172" s="14" t="s">
        <v>1360</v>
      </c>
      <c r="J1172" s="14" t="s">
        <v>1360</v>
      </c>
      <c r="K1172" s="14"/>
      <c r="L1172" s="14"/>
      <c r="M1172" s="14" t="s">
        <v>1259</v>
      </c>
      <c r="N1172" s="14" t="s">
        <v>1219</v>
      </c>
      <c r="O1172" s="14" t="s">
        <v>1220</v>
      </c>
    </row>
    <row r="1173" spans="1:15" x14ac:dyDescent="0.25">
      <c r="A1173" s="14">
        <v>4481</v>
      </c>
      <c r="B1173" s="14" t="s">
        <v>610</v>
      </c>
      <c r="C1173" s="14" t="s">
        <v>3411</v>
      </c>
      <c r="D1173" s="14" t="s">
        <v>3368</v>
      </c>
      <c r="E1173" s="16">
        <v>25</v>
      </c>
      <c r="F1173" s="14" t="s">
        <v>1321</v>
      </c>
      <c r="G1173" s="16">
        <v>475</v>
      </c>
      <c r="H1173" s="14" t="s">
        <v>1322</v>
      </c>
      <c r="I1173" s="14" t="s">
        <v>1256</v>
      </c>
      <c r="J1173" s="14" t="s">
        <v>1242</v>
      </c>
      <c r="K1173" s="14" t="s">
        <v>1257</v>
      </c>
      <c r="L1173" s="14" t="s">
        <v>3412</v>
      </c>
      <c r="M1173" s="14" t="s">
        <v>1324</v>
      </c>
      <c r="N1173" s="14" t="s">
        <v>1237</v>
      </c>
      <c r="O1173" s="14" t="s">
        <v>1220</v>
      </c>
    </row>
    <row r="1174" spans="1:15" x14ac:dyDescent="0.25">
      <c r="A1174" s="14" t="s">
        <v>3413</v>
      </c>
      <c r="B1174" s="14" t="s">
        <v>3414</v>
      </c>
      <c r="C1174" s="14" t="s">
        <v>3414</v>
      </c>
      <c r="D1174" s="14" t="s">
        <v>1349</v>
      </c>
      <c r="E1174" s="15"/>
      <c r="F1174" s="14"/>
      <c r="G1174" s="15"/>
      <c r="H1174" s="14" t="s">
        <v>1380</v>
      </c>
      <c r="I1174" s="14" t="s">
        <v>1360</v>
      </c>
      <c r="J1174" s="14" t="s">
        <v>1360</v>
      </c>
      <c r="K1174" s="14"/>
      <c r="L1174" s="14"/>
      <c r="M1174" s="14" t="s">
        <v>1324</v>
      </c>
      <c r="N1174" s="14" t="s">
        <v>1219</v>
      </c>
      <c r="O1174" s="14" t="s">
        <v>1220</v>
      </c>
    </row>
    <row r="1175" spans="1:15" x14ac:dyDescent="0.25">
      <c r="A1175" s="14">
        <v>2530</v>
      </c>
      <c r="B1175" s="14" t="s">
        <v>606</v>
      </c>
      <c r="C1175" s="14" t="s">
        <v>3415</v>
      </c>
      <c r="D1175" s="14" t="s">
        <v>3368</v>
      </c>
      <c r="E1175" s="16">
        <v>150</v>
      </c>
      <c r="F1175" s="14" t="s">
        <v>1321</v>
      </c>
      <c r="G1175" s="17">
        <v>4950</v>
      </c>
      <c r="H1175" s="14" t="s">
        <v>1322</v>
      </c>
      <c r="I1175" s="14" t="s">
        <v>1256</v>
      </c>
      <c r="J1175" s="14" t="s">
        <v>1233</v>
      </c>
      <c r="K1175" s="14" t="s">
        <v>1257</v>
      </c>
      <c r="L1175" s="14" t="s">
        <v>3416</v>
      </c>
      <c r="M1175" s="14" t="s">
        <v>1324</v>
      </c>
      <c r="N1175" s="14" t="s">
        <v>1237</v>
      </c>
      <c r="O1175" s="14" t="s">
        <v>1220</v>
      </c>
    </row>
    <row r="1176" spans="1:15" x14ac:dyDescent="0.25">
      <c r="A1176" s="14" t="s">
        <v>3417</v>
      </c>
      <c r="B1176" s="14" t="s">
        <v>3418</v>
      </c>
      <c r="C1176" s="14" t="s">
        <v>3419</v>
      </c>
      <c r="D1176" s="14" t="s">
        <v>3368</v>
      </c>
      <c r="E1176" s="15"/>
      <c r="F1176" s="14" t="s">
        <v>1321</v>
      </c>
      <c r="G1176" s="15"/>
      <c r="H1176" s="14" t="s">
        <v>1322</v>
      </c>
      <c r="I1176" s="14" t="s">
        <v>1262</v>
      </c>
      <c r="J1176" s="14" t="s">
        <v>1262</v>
      </c>
      <c r="K1176" s="14"/>
      <c r="L1176" s="14" t="s">
        <v>3416</v>
      </c>
      <c r="M1176" s="14" t="s">
        <v>1324</v>
      </c>
      <c r="N1176" s="14" t="s">
        <v>1219</v>
      </c>
      <c r="O1176" s="14" t="s">
        <v>1220</v>
      </c>
    </row>
    <row r="1177" spans="1:15" x14ac:dyDescent="0.25">
      <c r="A1177" s="14" t="s">
        <v>3420</v>
      </c>
      <c r="B1177" s="14" t="s">
        <v>3421</v>
      </c>
      <c r="C1177" s="14" t="s">
        <v>3421</v>
      </c>
      <c r="D1177" s="14" t="s">
        <v>1283</v>
      </c>
      <c r="E1177" s="15"/>
      <c r="F1177" s="14" t="s">
        <v>1742</v>
      </c>
      <c r="G1177" s="15"/>
      <c r="H1177" s="14" t="s">
        <v>1255</v>
      </c>
      <c r="I1177" s="14" t="s">
        <v>1217</v>
      </c>
      <c r="J1177" s="14" t="s">
        <v>1242</v>
      </c>
      <c r="K1177" s="14"/>
      <c r="L1177" s="14"/>
      <c r="M1177" s="14" t="s">
        <v>1259</v>
      </c>
      <c r="N1177" s="14" t="s">
        <v>1219</v>
      </c>
      <c r="O1177" s="14" t="s">
        <v>1220</v>
      </c>
    </row>
    <row r="1178" spans="1:15" x14ac:dyDescent="0.25">
      <c r="A1178" s="14" t="s">
        <v>3422</v>
      </c>
      <c r="B1178" s="14" t="s">
        <v>3423</v>
      </c>
      <c r="C1178" s="14" t="s">
        <v>3423</v>
      </c>
      <c r="D1178" s="14" t="s">
        <v>1283</v>
      </c>
      <c r="E1178" s="15"/>
      <c r="F1178" s="14" t="s">
        <v>1742</v>
      </c>
      <c r="G1178" s="15"/>
      <c r="H1178" s="14" t="s">
        <v>1255</v>
      </c>
      <c r="I1178" s="14" t="s">
        <v>1217</v>
      </c>
      <c r="J1178" s="14" t="s">
        <v>1296</v>
      </c>
      <c r="K1178" s="14"/>
      <c r="L1178" s="14"/>
      <c r="M1178" s="14" t="s">
        <v>1259</v>
      </c>
      <c r="N1178" s="14" t="s">
        <v>1219</v>
      </c>
      <c r="O1178" s="14" t="s">
        <v>1220</v>
      </c>
    </row>
    <row r="1179" spans="1:15" x14ac:dyDescent="0.25">
      <c r="A1179" s="14" t="s">
        <v>3424</v>
      </c>
      <c r="B1179" s="14" t="s">
        <v>3425</v>
      </c>
      <c r="C1179" s="14" t="s">
        <v>3425</v>
      </c>
      <c r="D1179" s="14" t="s">
        <v>1283</v>
      </c>
      <c r="E1179" s="15"/>
      <c r="F1179" s="14" t="s">
        <v>1742</v>
      </c>
      <c r="G1179" s="15"/>
      <c r="H1179" s="14" t="s">
        <v>1255</v>
      </c>
      <c r="I1179" s="14" t="s">
        <v>1217</v>
      </c>
      <c r="J1179" s="14" t="s">
        <v>1296</v>
      </c>
      <c r="K1179" s="14"/>
      <c r="L1179" s="14"/>
      <c r="M1179" s="14" t="s">
        <v>1259</v>
      </c>
      <c r="N1179" s="14" t="s">
        <v>1219</v>
      </c>
      <c r="O1179" s="14" t="s">
        <v>1220</v>
      </c>
    </row>
    <row r="1180" spans="1:15" x14ac:dyDescent="0.25">
      <c r="A1180" s="14" t="s">
        <v>3426</v>
      </c>
      <c r="B1180" s="14" t="s">
        <v>3427</v>
      </c>
      <c r="C1180" s="14" t="s">
        <v>3427</v>
      </c>
      <c r="D1180" s="14" t="s">
        <v>1283</v>
      </c>
      <c r="E1180" s="15"/>
      <c r="F1180" s="14" t="s">
        <v>1742</v>
      </c>
      <c r="G1180" s="15"/>
      <c r="H1180" s="14" t="s">
        <v>1255</v>
      </c>
      <c r="I1180" s="14" t="s">
        <v>1217</v>
      </c>
      <c r="J1180" s="14" t="s">
        <v>1296</v>
      </c>
      <c r="K1180" s="14"/>
      <c r="L1180" s="14"/>
      <c r="M1180" s="14" t="s">
        <v>1259</v>
      </c>
      <c r="N1180" s="14" t="s">
        <v>1219</v>
      </c>
      <c r="O1180" s="14" t="s">
        <v>1220</v>
      </c>
    </row>
    <row r="1181" spans="1:15" x14ac:dyDescent="0.25">
      <c r="A1181" s="14">
        <v>1005</v>
      </c>
      <c r="B1181" s="14" t="s">
        <v>3428</v>
      </c>
      <c r="C1181" s="14" t="s">
        <v>3428</v>
      </c>
      <c r="D1181" s="14" t="s">
        <v>3429</v>
      </c>
      <c r="E1181" s="16">
        <v>140</v>
      </c>
      <c r="F1181" s="14" t="s">
        <v>1321</v>
      </c>
      <c r="G1181" s="16">
        <v>100</v>
      </c>
      <c r="H1181" s="14" t="s">
        <v>1578</v>
      </c>
      <c r="I1181" s="14"/>
      <c r="J1181" s="14" t="s">
        <v>1296</v>
      </c>
      <c r="K1181" s="14" t="s">
        <v>1579</v>
      </c>
      <c r="L1181" s="14" t="s">
        <v>3430</v>
      </c>
      <c r="M1181" s="14" t="s">
        <v>1324</v>
      </c>
      <c r="N1181" s="14" t="s">
        <v>1219</v>
      </c>
      <c r="O1181" s="14" t="s">
        <v>1220</v>
      </c>
    </row>
    <row r="1182" spans="1:15" x14ac:dyDescent="0.25">
      <c r="A1182" s="14">
        <v>1009</v>
      </c>
      <c r="B1182" s="14" t="s">
        <v>3431</v>
      </c>
      <c r="C1182" s="14" t="s">
        <v>3431</v>
      </c>
      <c r="D1182" s="14" t="s">
        <v>3429</v>
      </c>
      <c r="E1182" s="16">
        <v>140</v>
      </c>
      <c r="F1182" s="14" t="s">
        <v>1321</v>
      </c>
      <c r="G1182" s="16">
        <v>100</v>
      </c>
      <c r="H1182" s="14" t="s">
        <v>1578</v>
      </c>
      <c r="I1182" s="14"/>
      <c r="J1182" s="14" t="s">
        <v>1296</v>
      </c>
      <c r="K1182" s="14" t="s">
        <v>1579</v>
      </c>
      <c r="L1182" s="14" t="s">
        <v>3432</v>
      </c>
      <c r="M1182" s="14" t="s">
        <v>1324</v>
      </c>
      <c r="N1182" s="14" t="s">
        <v>1219</v>
      </c>
      <c r="O1182" s="14" t="s">
        <v>1220</v>
      </c>
    </row>
    <row r="1183" spans="1:15" x14ac:dyDescent="0.25">
      <c r="A1183" s="14">
        <v>1006</v>
      </c>
      <c r="B1183" s="14" t="s">
        <v>3433</v>
      </c>
      <c r="C1183" s="14" t="s">
        <v>3433</v>
      </c>
      <c r="D1183" s="14" t="s">
        <v>3429</v>
      </c>
      <c r="E1183" s="16">
        <v>140</v>
      </c>
      <c r="F1183" s="14" t="s">
        <v>1321</v>
      </c>
      <c r="G1183" s="16">
        <v>100</v>
      </c>
      <c r="H1183" s="14" t="s">
        <v>1578</v>
      </c>
      <c r="I1183" s="14"/>
      <c r="J1183" s="14" t="s">
        <v>1296</v>
      </c>
      <c r="K1183" s="14" t="s">
        <v>1579</v>
      </c>
      <c r="L1183" s="14" t="s">
        <v>3434</v>
      </c>
      <c r="M1183" s="14" t="s">
        <v>1324</v>
      </c>
      <c r="N1183" s="14" t="s">
        <v>1219</v>
      </c>
      <c r="O1183" s="14" t="s">
        <v>1220</v>
      </c>
    </row>
    <row r="1184" spans="1:15" x14ac:dyDescent="0.25">
      <c r="A1184" s="14">
        <v>1010</v>
      </c>
      <c r="B1184" s="14" t="s">
        <v>3435</v>
      </c>
      <c r="C1184" s="14" t="s">
        <v>3435</v>
      </c>
      <c r="D1184" s="14" t="s">
        <v>3429</v>
      </c>
      <c r="E1184" s="16">
        <v>140</v>
      </c>
      <c r="F1184" s="14" t="s">
        <v>1321</v>
      </c>
      <c r="G1184" s="16">
        <v>100</v>
      </c>
      <c r="H1184" s="14" t="s">
        <v>1578</v>
      </c>
      <c r="I1184" s="14"/>
      <c r="J1184" s="14" t="s">
        <v>1296</v>
      </c>
      <c r="K1184" s="14" t="s">
        <v>1579</v>
      </c>
      <c r="L1184" s="14" t="s">
        <v>3436</v>
      </c>
      <c r="M1184" s="14" t="s">
        <v>1324</v>
      </c>
      <c r="N1184" s="14" t="s">
        <v>1219</v>
      </c>
      <c r="O1184" s="14" t="s">
        <v>1220</v>
      </c>
    </row>
    <row r="1185" spans="1:15" x14ac:dyDescent="0.25">
      <c r="A1185" s="14">
        <v>1002</v>
      </c>
      <c r="B1185" s="14" t="s">
        <v>3437</v>
      </c>
      <c r="C1185" s="14" t="s">
        <v>3437</v>
      </c>
      <c r="D1185" s="14" t="s">
        <v>3429</v>
      </c>
      <c r="E1185" s="16">
        <v>140</v>
      </c>
      <c r="F1185" s="14" t="s">
        <v>1321</v>
      </c>
      <c r="G1185" s="16">
        <v>100</v>
      </c>
      <c r="H1185" s="14" t="s">
        <v>1578</v>
      </c>
      <c r="I1185" s="14"/>
      <c r="J1185" s="14" t="s">
        <v>1296</v>
      </c>
      <c r="K1185" s="14" t="s">
        <v>1579</v>
      </c>
      <c r="L1185" s="14" t="s">
        <v>3438</v>
      </c>
      <c r="M1185" s="14" t="s">
        <v>1324</v>
      </c>
      <c r="N1185" s="14" t="s">
        <v>1219</v>
      </c>
      <c r="O1185" s="14" t="s">
        <v>1220</v>
      </c>
    </row>
    <row r="1186" spans="1:15" x14ac:dyDescent="0.25">
      <c r="A1186" s="14">
        <v>1004</v>
      </c>
      <c r="B1186" s="14" t="s">
        <v>3439</v>
      </c>
      <c r="C1186" s="14" t="s">
        <v>3439</v>
      </c>
      <c r="D1186" s="14" t="s">
        <v>3429</v>
      </c>
      <c r="E1186" s="16">
        <v>140</v>
      </c>
      <c r="F1186" s="14" t="s">
        <v>1321</v>
      </c>
      <c r="G1186" s="16">
        <v>100</v>
      </c>
      <c r="H1186" s="14" t="s">
        <v>1578</v>
      </c>
      <c r="I1186" s="14"/>
      <c r="J1186" s="14" t="s">
        <v>1296</v>
      </c>
      <c r="K1186" s="14" t="s">
        <v>1579</v>
      </c>
      <c r="L1186" s="14" t="s">
        <v>3440</v>
      </c>
      <c r="M1186" s="14" t="s">
        <v>1324</v>
      </c>
      <c r="N1186" s="14" t="s">
        <v>1219</v>
      </c>
      <c r="O1186" s="14" t="s">
        <v>1220</v>
      </c>
    </row>
    <row r="1187" spans="1:15" x14ac:dyDescent="0.25">
      <c r="A1187" s="14">
        <v>1007</v>
      </c>
      <c r="B1187" s="14" t="s">
        <v>3441</v>
      </c>
      <c r="C1187" s="14" t="s">
        <v>3441</v>
      </c>
      <c r="D1187" s="14" t="s">
        <v>3429</v>
      </c>
      <c r="E1187" s="16">
        <v>140</v>
      </c>
      <c r="F1187" s="14" t="s">
        <v>1321</v>
      </c>
      <c r="G1187" s="16">
        <v>100</v>
      </c>
      <c r="H1187" s="14" t="s">
        <v>1578</v>
      </c>
      <c r="I1187" s="14"/>
      <c r="J1187" s="14" t="s">
        <v>1296</v>
      </c>
      <c r="K1187" s="14" t="s">
        <v>1579</v>
      </c>
      <c r="L1187" s="14" t="s">
        <v>3442</v>
      </c>
      <c r="M1187" s="14" t="s">
        <v>1324</v>
      </c>
      <c r="N1187" s="14" t="s">
        <v>1219</v>
      </c>
      <c r="O1187" s="14" t="s">
        <v>1220</v>
      </c>
    </row>
    <row r="1188" spans="1:15" x14ac:dyDescent="0.25">
      <c r="A1188" s="14">
        <v>1011</v>
      </c>
      <c r="B1188" s="14" t="s">
        <v>3443</v>
      </c>
      <c r="C1188" s="14" t="s">
        <v>3443</v>
      </c>
      <c r="D1188" s="14" t="s">
        <v>3429</v>
      </c>
      <c r="E1188" s="16">
        <v>140</v>
      </c>
      <c r="F1188" s="14" t="s">
        <v>1321</v>
      </c>
      <c r="G1188" s="16">
        <v>100</v>
      </c>
      <c r="H1188" s="14" t="s">
        <v>1578</v>
      </c>
      <c r="I1188" s="14"/>
      <c r="J1188" s="14" t="s">
        <v>1296</v>
      </c>
      <c r="K1188" s="14" t="s">
        <v>1579</v>
      </c>
      <c r="L1188" s="14" t="s">
        <v>3444</v>
      </c>
      <c r="M1188" s="14" t="s">
        <v>1324</v>
      </c>
      <c r="N1188" s="14" t="s">
        <v>1219</v>
      </c>
      <c r="O1188" s="14" t="s">
        <v>1220</v>
      </c>
    </row>
    <row r="1189" spans="1:15" x14ac:dyDescent="0.25">
      <c r="A1189" s="14">
        <v>1008</v>
      </c>
      <c r="B1189" s="14" t="s">
        <v>3445</v>
      </c>
      <c r="C1189" s="14" t="s">
        <v>3445</v>
      </c>
      <c r="D1189" s="14" t="s">
        <v>3429</v>
      </c>
      <c r="E1189" s="16">
        <v>140</v>
      </c>
      <c r="F1189" s="14" t="s">
        <v>1321</v>
      </c>
      <c r="G1189" s="16">
        <v>100</v>
      </c>
      <c r="H1189" s="14" t="s">
        <v>1578</v>
      </c>
      <c r="I1189" s="14"/>
      <c r="J1189" s="14" t="s">
        <v>1296</v>
      </c>
      <c r="K1189" s="14" t="s">
        <v>1579</v>
      </c>
      <c r="L1189" s="14" t="s">
        <v>3446</v>
      </c>
      <c r="M1189" s="14" t="s">
        <v>1324</v>
      </c>
      <c r="N1189" s="14" t="s">
        <v>1219</v>
      </c>
      <c r="O1189" s="14" t="s">
        <v>1220</v>
      </c>
    </row>
    <row r="1190" spans="1:15" x14ac:dyDescent="0.25">
      <c r="A1190" s="14">
        <v>1012</v>
      </c>
      <c r="B1190" s="14" t="s">
        <v>3447</v>
      </c>
      <c r="C1190" s="14" t="s">
        <v>3447</v>
      </c>
      <c r="D1190" s="14" t="s">
        <v>3429</v>
      </c>
      <c r="E1190" s="16">
        <v>140</v>
      </c>
      <c r="F1190" s="14" t="s">
        <v>1321</v>
      </c>
      <c r="G1190" s="16">
        <v>100</v>
      </c>
      <c r="H1190" s="14" t="s">
        <v>1578</v>
      </c>
      <c r="I1190" s="14"/>
      <c r="J1190" s="14" t="s">
        <v>1296</v>
      </c>
      <c r="K1190" s="14" t="s">
        <v>1579</v>
      </c>
      <c r="L1190" s="14" t="s">
        <v>3448</v>
      </c>
      <c r="M1190" s="14" t="s">
        <v>1324</v>
      </c>
      <c r="N1190" s="14" t="s">
        <v>1219</v>
      </c>
      <c r="O1190" s="14" t="s">
        <v>1220</v>
      </c>
    </row>
    <row r="1191" spans="1:15" x14ac:dyDescent="0.25">
      <c r="A1191" s="14">
        <v>1003</v>
      </c>
      <c r="B1191" s="14" t="s">
        <v>3449</v>
      </c>
      <c r="C1191" s="14" t="s">
        <v>3449</v>
      </c>
      <c r="D1191" s="14" t="s">
        <v>3429</v>
      </c>
      <c r="E1191" s="16">
        <v>140</v>
      </c>
      <c r="F1191" s="14" t="s">
        <v>1321</v>
      </c>
      <c r="G1191" s="16">
        <v>100</v>
      </c>
      <c r="H1191" s="14" t="s">
        <v>1578</v>
      </c>
      <c r="I1191" s="14"/>
      <c r="J1191" s="14" t="s">
        <v>1296</v>
      </c>
      <c r="K1191" s="14" t="s">
        <v>1579</v>
      </c>
      <c r="L1191" s="14" t="s">
        <v>3450</v>
      </c>
      <c r="M1191" s="14" t="s">
        <v>1324</v>
      </c>
      <c r="N1191" s="14" t="s">
        <v>1219</v>
      </c>
      <c r="O1191" s="14" t="s">
        <v>1220</v>
      </c>
    </row>
    <row r="1192" spans="1:15" x14ac:dyDescent="0.25">
      <c r="A1192" s="14">
        <v>1013</v>
      </c>
      <c r="B1192" s="14" t="s">
        <v>3451</v>
      </c>
      <c r="C1192" s="14" t="s">
        <v>3451</v>
      </c>
      <c r="D1192" s="14" t="s">
        <v>3429</v>
      </c>
      <c r="E1192" s="16">
        <v>140</v>
      </c>
      <c r="F1192" s="14" t="s">
        <v>1321</v>
      </c>
      <c r="G1192" s="16">
        <v>100</v>
      </c>
      <c r="H1192" s="14" t="s">
        <v>1578</v>
      </c>
      <c r="I1192" s="14"/>
      <c r="J1192" s="14" t="s">
        <v>1296</v>
      </c>
      <c r="K1192" s="14" t="s">
        <v>1579</v>
      </c>
      <c r="L1192" s="14" t="s">
        <v>3452</v>
      </c>
      <c r="M1192" s="14" t="s">
        <v>1324</v>
      </c>
      <c r="N1192" s="14" t="s">
        <v>1219</v>
      </c>
      <c r="O1192" s="14" t="s">
        <v>1220</v>
      </c>
    </row>
    <row r="1193" spans="1:15" x14ac:dyDescent="0.25">
      <c r="A1193" s="14">
        <v>1014</v>
      </c>
      <c r="B1193" s="14" t="s">
        <v>3453</v>
      </c>
      <c r="C1193" s="14" t="s">
        <v>3453</v>
      </c>
      <c r="D1193" s="14" t="s">
        <v>3429</v>
      </c>
      <c r="E1193" s="16">
        <v>140</v>
      </c>
      <c r="F1193" s="14" t="s">
        <v>1321</v>
      </c>
      <c r="G1193" s="16">
        <v>100</v>
      </c>
      <c r="H1193" s="14" t="s">
        <v>1578</v>
      </c>
      <c r="I1193" s="14"/>
      <c r="J1193" s="14" t="s">
        <v>1296</v>
      </c>
      <c r="K1193" s="14" t="s">
        <v>1579</v>
      </c>
      <c r="L1193" s="14" t="s">
        <v>3454</v>
      </c>
      <c r="M1193" s="14" t="s">
        <v>1324</v>
      </c>
      <c r="N1193" s="14" t="s">
        <v>1219</v>
      </c>
      <c r="O1193" s="14" t="s">
        <v>1220</v>
      </c>
    </row>
    <row r="1194" spans="1:15" x14ac:dyDescent="0.25">
      <c r="A1194" s="14">
        <v>1015</v>
      </c>
      <c r="B1194" s="14" t="s">
        <v>3455</v>
      </c>
      <c r="C1194" s="14" t="s">
        <v>3455</v>
      </c>
      <c r="D1194" s="14" t="s">
        <v>3429</v>
      </c>
      <c r="E1194" s="16">
        <v>140</v>
      </c>
      <c r="F1194" s="14" t="s">
        <v>1321</v>
      </c>
      <c r="G1194" s="16">
        <v>100</v>
      </c>
      <c r="H1194" s="14" t="s">
        <v>1578</v>
      </c>
      <c r="I1194" s="14"/>
      <c r="J1194" s="14" t="s">
        <v>1296</v>
      </c>
      <c r="K1194" s="14" t="s">
        <v>1579</v>
      </c>
      <c r="L1194" s="14" t="s">
        <v>3456</v>
      </c>
      <c r="M1194" s="14" t="s">
        <v>1324</v>
      </c>
      <c r="N1194" s="14" t="s">
        <v>1219</v>
      </c>
      <c r="O1194" s="14" t="s">
        <v>1220</v>
      </c>
    </row>
    <row r="1195" spans="1:15" x14ac:dyDescent="0.25">
      <c r="A1195" s="14">
        <v>1016</v>
      </c>
      <c r="B1195" s="14" t="s">
        <v>3457</v>
      </c>
      <c r="C1195" s="14" t="s">
        <v>3457</v>
      </c>
      <c r="D1195" s="14" t="s">
        <v>3429</v>
      </c>
      <c r="E1195" s="16">
        <v>140</v>
      </c>
      <c r="F1195" s="14" t="s">
        <v>1321</v>
      </c>
      <c r="G1195" s="16">
        <v>100</v>
      </c>
      <c r="H1195" s="14" t="s">
        <v>1578</v>
      </c>
      <c r="I1195" s="14"/>
      <c r="J1195" s="14" t="s">
        <v>1296</v>
      </c>
      <c r="K1195" s="14" t="s">
        <v>1579</v>
      </c>
      <c r="L1195" s="14" t="s">
        <v>3458</v>
      </c>
      <c r="M1195" s="14" t="s">
        <v>1324</v>
      </c>
      <c r="N1195" s="14" t="s">
        <v>1219</v>
      </c>
      <c r="O1195" s="14" t="s">
        <v>1220</v>
      </c>
    </row>
    <row r="1196" spans="1:15" x14ac:dyDescent="0.25">
      <c r="A1196" s="14">
        <v>57116</v>
      </c>
      <c r="B1196" s="14" t="s">
        <v>3459</v>
      </c>
      <c r="C1196" s="14" t="s">
        <v>3459</v>
      </c>
      <c r="D1196" s="14" t="s">
        <v>1222</v>
      </c>
      <c r="E1196" s="15"/>
      <c r="F1196" s="14"/>
      <c r="G1196" s="15"/>
      <c r="H1196" s="14" t="s">
        <v>1223</v>
      </c>
      <c r="I1196" s="14"/>
      <c r="J1196" s="14"/>
      <c r="K1196" s="14"/>
      <c r="L1196" s="14"/>
      <c r="M1196" s="14"/>
      <c r="N1196" s="14" t="s">
        <v>1219</v>
      </c>
      <c r="O1196" s="14" t="s">
        <v>1220</v>
      </c>
    </row>
    <row r="1197" spans="1:15" x14ac:dyDescent="0.25">
      <c r="A1197" s="14">
        <v>6005</v>
      </c>
      <c r="B1197" s="14" t="s">
        <v>3460</v>
      </c>
      <c r="C1197" s="14" t="s">
        <v>3460</v>
      </c>
      <c r="D1197" s="14" t="s">
        <v>3278</v>
      </c>
      <c r="E1197" s="17">
        <v>1600</v>
      </c>
      <c r="F1197" s="14" t="s">
        <v>3365</v>
      </c>
      <c r="G1197" s="17">
        <v>1600</v>
      </c>
      <c r="H1197" s="14" t="s">
        <v>1255</v>
      </c>
      <c r="I1197" s="14" t="s">
        <v>1217</v>
      </c>
      <c r="J1197" s="14"/>
      <c r="K1197" s="14"/>
      <c r="L1197" s="14" t="s">
        <v>3461</v>
      </c>
      <c r="M1197" s="14"/>
      <c r="N1197" s="14" t="s">
        <v>1219</v>
      </c>
      <c r="O1197" s="14" t="s">
        <v>1220</v>
      </c>
    </row>
    <row r="1198" spans="1:15" x14ac:dyDescent="0.25">
      <c r="A1198" s="14">
        <v>6006</v>
      </c>
      <c r="B1198" s="14" t="s">
        <v>3462</v>
      </c>
      <c r="C1198" s="14" t="s">
        <v>3462</v>
      </c>
      <c r="D1198" s="14" t="s">
        <v>3278</v>
      </c>
      <c r="E1198" s="17">
        <v>1000</v>
      </c>
      <c r="F1198" s="14" t="s">
        <v>3365</v>
      </c>
      <c r="G1198" s="17">
        <v>1000</v>
      </c>
      <c r="H1198" s="14" t="s">
        <v>1255</v>
      </c>
      <c r="I1198" s="14" t="s">
        <v>1217</v>
      </c>
      <c r="J1198" s="14"/>
      <c r="K1198" s="14"/>
      <c r="L1198" s="14" t="s">
        <v>3463</v>
      </c>
      <c r="M1198" s="14"/>
      <c r="N1198" s="14" t="s">
        <v>1219</v>
      </c>
      <c r="O1198" s="14" t="s">
        <v>1220</v>
      </c>
    </row>
    <row r="1199" spans="1:15" x14ac:dyDescent="0.25">
      <c r="A1199" s="14">
        <v>6007</v>
      </c>
      <c r="B1199" s="14" t="s">
        <v>3464</v>
      </c>
      <c r="C1199" s="14" t="s">
        <v>3464</v>
      </c>
      <c r="D1199" s="14" t="s">
        <v>1807</v>
      </c>
      <c r="E1199" s="15"/>
      <c r="F1199" s="14"/>
      <c r="G1199" s="15"/>
      <c r="H1199" s="14" t="s">
        <v>1255</v>
      </c>
      <c r="I1199" s="14" t="s">
        <v>1217</v>
      </c>
      <c r="J1199" s="14"/>
      <c r="K1199" s="14"/>
      <c r="L1199" s="14"/>
      <c r="M1199" s="14"/>
      <c r="N1199" s="14" t="s">
        <v>1219</v>
      </c>
      <c r="O1199" s="14" t="s">
        <v>1220</v>
      </c>
    </row>
    <row r="1200" spans="1:15" x14ac:dyDescent="0.25">
      <c r="A1200" s="14">
        <v>6008</v>
      </c>
      <c r="B1200" s="14" t="s">
        <v>3465</v>
      </c>
      <c r="C1200" s="14" t="s">
        <v>3465</v>
      </c>
      <c r="D1200" s="14" t="s">
        <v>1807</v>
      </c>
      <c r="E1200" s="15"/>
      <c r="F1200" s="14"/>
      <c r="G1200" s="15"/>
      <c r="H1200" s="14" t="s">
        <v>1255</v>
      </c>
      <c r="I1200" s="14" t="s">
        <v>1217</v>
      </c>
      <c r="J1200" s="14"/>
      <c r="K1200" s="14"/>
      <c r="L1200" s="14"/>
      <c r="M1200" s="14"/>
      <c r="N1200" s="14" t="s">
        <v>1219</v>
      </c>
      <c r="O1200" s="14" t="s">
        <v>1220</v>
      </c>
    </row>
    <row r="1201" spans="1:15" x14ac:dyDescent="0.25">
      <c r="A1201" s="14">
        <v>6009</v>
      </c>
      <c r="B1201" s="14" t="s">
        <v>3466</v>
      </c>
      <c r="C1201" s="14" t="s">
        <v>3466</v>
      </c>
      <c r="D1201" s="14" t="s">
        <v>1807</v>
      </c>
      <c r="E1201" s="15"/>
      <c r="F1201" s="14"/>
      <c r="G1201" s="15"/>
      <c r="H1201" s="14" t="s">
        <v>1255</v>
      </c>
      <c r="I1201" s="14" t="s">
        <v>1217</v>
      </c>
      <c r="J1201" s="14"/>
      <c r="K1201" s="14"/>
      <c r="L1201" s="14"/>
      <c r="M1201" s="14"/>
      <c r="N1201" s="14" t="s">
        <v>1219</v>
      </c>
      <c r="O1201" s="14" t="s">
        <v>1220</v>
      </c>
    </row>
    <row r="1202" spans="1:15" x14ac:dyDescent="0.25">
      <c r="A1202" s="14">
        <v>6063</v>
      </c>
      <c r="B1202" s="14" t="s">
        <v>3467</v>
      </c>
      <c r="C1202" s="14" t="s">
        <v>3467</v>
      </c>
      <c r="D1202" s="14" t="s">
        <v>1807</v>
      </c>
      <c r="E1202" s="15"/>
      <c r="F1202" s="14"/>
      <c r="G1202" s="15"/>
      <c r="H1202" s="14" t="s">
        <v>1255</v>
      </c>
      <c r="I1202" s="14" t="s">
        <v>1217</v>
      </c>
      <c r="J1202" s="14"/>
      <c r="K1202" s="14"/>
      <c r="L1202" s="14"/>
      <c r="M1202" s="14"/>
      <c r="N1202" s="14" t="s">
        <v>1219</v>
      </c>
      <c r="O1202" s="14" t="s">
        <v>1220</v>
      </c>
    </row>
    <row r="1203" spans="1:15" x14ac:dyDescent="0.25">
      <c r="A1203" s="14" t="s">
        <v>3468</v>
      </c>
      <c r="B1203" s="14" t="s">
        <v>3469</v>
      </c>
      <c r="C1203" s="14" t="s">
        <v>3469</v>
      </c>
      <c r="D1203" s="14" t="s">
        <v>1283</v>
      </c>
      <c r="E1203" s="16">
        <v>80</v>
      </c>
      <c r="F1203" s="14" t="s">
        <v>1255</v>
      </c>
      <c r="G1203" s="16">
        <v>400</v>
      </c>
      <c r="H1203" s="14" t="s">
        <v>1255</v>
      </c>
      <c r="I1203" s="14" t="s">
        <v>1217</v>
      </c>
      <c r="J1203" s="14" t="s">
        <v>1242</v>
      </c>
      <c r="K1203" s="14" t="s">
        <v>3470</v>
      </c>
      <c r="L1203" s="14" t="s">
        <v>3471</v>
      </c>
      <c r="M1203" s="14" t="s">
        <v>1259</v>
      </c>
      <c r="N1203" s="14" t="s">
        <v>1219</v>
      </c>
      <c r="O1203" s="14" t="s">
        <v>1220</v>
      </c>
    </row>
    <row r="1204" spans="1:15" x14ac:dyDescent="0.25">
      <c r="A1204" s="14" t="s">
        <v>3472</v>
      </c>
      <c r="B1204" s="14" t="s">
        <v>3473</v>
      </c>
      <c r="C1204" s="14" t="s">
        <v>3473</v>
      </c>
      <c r="D1204" s="14" t="s">
        <v>1283</v>
      </c>
      <c r="E1204" s="16">
        <v>60</v>
      </c>
      <c r="F1204" s="14" t="s">
        <v>1255</v>
      </c>
      <c r="G1204" s="16">
        <v>600</v>
      </c>
      <c r="H1204" s="14" t="s">
        <v>1255</v>
      </c>
      <c r="I1204" s="14" t="s">
        <v>1217</v>
      </c>
      <c r="J1204" s="14" t="s">
        <v>1242</v>
      </c>
      <c r="K1204" s="14"/>
      <c r="L1204" s="14" t="s">
        <v>3474</v>
      </c>
      <c r="M1204" s="14" t="s">
        <v>1259</v>
      </c>
      <c r="N1204" s="14" t="s">
        <v>1219</v>
      </c>
      <c r="O1204" s="14" t="s">
        <v>1220</v>
      </c>
    </row>
    <row r="1205" spans="1:15" x14ac:dyDescent="0.25">
      <c r="A1205" s="14">
        <v>3572</v>
      </c>
      <c r="B1205" s="14" t="s">
        <v>416</v>
      </c>
      <c r="C1205" s="14" t="s">
        <v>416</v>
      </c>
      <c r="D1205" s="14" t="s">
        <v>3368</v>
      </c>
      <c r="E1205" s="16">
        <v>200</v>
      </c>
      <c r="F1205" s="14" t="s">
        <v>1255</v>
      </c>
      <c r="G1205" s="16">
        <v>200</v>
      </c>
      <c r="H1205" s="14" t="s">
        <v>1255</v>
      </c>
      <c r="I1205" s="14" t="s">
        <v>1256</v>
      </c>
      <c r="J1205" s="14" t="s">
        <v>1233</v>
      </c>
      <c r="K1205" s="14" t="s">
        <v>1257</v>
      </c>
      <c r="L1205" s="14" t="s">
        <v>3475</v>
      </c>
      <c r="M1205" s="14" t="s">
        <v>1259</v>
      </c>
      <c r="N1205" s="14" t="s">
        <v>1237</v>
      </c>
      <c r="O1205" s="14" t="s">
        <v>1220</v>
      </c>
    </row>
    <row r="1206" spans="1:15" x14ac:dyDescent="0.25">
      <c r="A1206" s="14" t="s">
        <v>3476</v>
      </c>
      <c r="B1206" s="14" t="s">
        <v>3477</v>
      </c>
      <c r="C1206" s="14" t="s">
        <v>3477</v>
      </c>
      <c r="D1206" s="14" t="s">
        <v>3478</v>
      </c>
      <c r="E1206" s="15"/>
      <c r="F1206" s="14" t="s">
        <v>1255</v>
      </c>
      <c r="G1206" s="15"/>
      <c r="H1206" s="14" t="s">
        <v>1255</v>
      </c>
      <c r="I1206" s="14" t="s">
        <v>1262</v>
      </c>
      <c r="J1206" s="14" t="s">
        <v>1262</v>
      </c>
      <c r="K1206" s="14"/>
      <c r="L1206" s="14" t="s">
        <v>3475</v>
      </c>
      <c r="M1206" s="14" t="s">
        <v>1259</v>
      </c>
      <c r="N1206" s="14" t="s">
        <v>1219</v>
      </c>
      <c r="O1206" s="14" t="s">
        <v>1220</v>
      </c>
    </row>
    <row r="1207" spans="1:15" x14ac:dyDescent="0.25">
      <c r="A1207" s="14">
        <v>3585</v>
      </c>
      <c r="B1207" s="14" t="s">
        <v>417</v>
      </c>
      <c r="C1207" s="14" t="s">
        <v>417</v>
      </c>
      <c r="D1207" s="14" t="s">
        <v>3368</v>
      </c>
      <c r="E1207" s="16">
        <v>150</v>
      </c>
      <c r="F1207" s="14" t="s">
        <v>1255</v>
      </c>
      <c r="G1207" s="17">
        <v>1800</v>
      </c>
      <c r="H1207" s="14" t="s">
        <v>1255</v>
      </c>
      <c r="I1207" s="14" t="s">
        <v>1256</v>
      </c>
      <c r="J1207" s="14" t="s">
        <v>1233</v>
      </c>
      <c r="K1207" s="14" t="s">
        <v>1257</v>
      </c>
      <c r="L1207" s="14" t="s">
        <v>3479</v>
      </c>
      <c r="M1207" s="14" t="s">
        <v>1259</v>
      </c>
      <c r="N1207" s="14" t="s">
        <v>1237</v>
      </c>
      <c r="O1207" s="14" t="s">
        <v>1220</v>
      </c>
    </row>
    <row r="1208" spans="1:15" x14ac:dyDescent="0.25">
      <c r="A1208" s="14" t="s">
        <v>3480</v>
      </c>
      <c r="B1208" s="14" t="s">
        <v>3481</v>
      </c>
      <c r="C1208" s="14" t="s">
        <v>3481</v>
      </c>
      <c r="D1208" s="14" t="s">
        <v>3478</v>
      </c>
      <c r="E1208" s="15"/>
      <c r="F1208" s="14" t="s">
        <v>1255</v>
      </c>
      <c r="G1208" s="15"/>
      <c r="H1208" s="14" t="s">
        <v>1255</v>
      </c>
      <c r="I1208" s="14" t="s">
        <v>1262</v>
      </c>
      <c r="J1208" s="14" t="s">
        <v>1262</v>
      </c>
      <c r="K1208" s="14"/>
      <c r="L1208" s="14" t="s">
        <v>3479</v>
      </c>
      <c r="M1208" s="14" t="s">
        <v>1259</v>
      </c>
      <c r="N1208" s="14" t="s">
        <v>1219</v>
      </c>
      <c r="O1208" s="14" t="s">
        <v>1220</v>
      </c>
    </row>
    <row r="1209" spans="1:15" x14ac:dyDescent="0.25">
      <c r="A1209" s="14">
        <v>3573</v>
      </c>
      <c r="B1209" s="14" t="s">
        <v>418</v>
      </c>
      <c r="C1209" s="14" t="s">
        <v>418</v>
      </c>
      <c r="D1209" s="14" t="s">
        <v>3368</v>
      </c>
      <c r="E1209" s="16">
        <v>150</v>
      </c>
      <c r="F1209" s="14" t="s">
        <v>1255</v>
      </c>
      <c r="G1209" s="17">
        <v>1400</v>
      </c>
      <c r="H1209" s="14" t="s">
        <v>1255</v>
      </c>
      <c r="I1209" s="14" t="s">
        <v>1256</v>
      </c>
      <c r="J1209" s="14" t="s">
        <v>1296</v>
      </c>
      <c r="K1209" s="14" t="s">
        <v>1257</v>
      </c>
      <c r="L1209" s="14" t="s">
        <v>3482</v>
      </c>
      <c r="M1209" s="14" t="s">
        <v>1259</v>
      </c>
      <c r="N1209" s="14" t="s">
        <v>1237</v>
      </c>
      <c r="O1209" s="14" t="s">
        <v>1220</v>
      </c>
    </row>
    <row r="1210" spans="1:15" x14ac:dyDescent="0.25">
      <c r="A1210" s="14" t="s">
        <v>3483</v>
      </c>
      <c r="B1210" s="14" t="s">
        <v>3484</v>
      </c>
      <c r="C1210" s="14" t="s">
        <v>3484</v>
      </c>
      <c r="D1210" s="14" t="s">
        <v>3478</v>
      </c>
      <c r="E1210" s="15"/>
      <c r="F1210" s="14" t="s">
        <v>1255</v>
      </c>
      <c r="G1210" s="15"/>
      <c r="H1210" s="14" t="s">
        <v>1255</v>
      </c>
      <c r="I1210" s="14" t="s">
        <v>1262</v>
      </c>
      <c r="J1210" s="14" t="s">
        <v>1262</v>
      </c>
      <c r="K1210" s="14"/>
      <c r="L1210" s="14" t="s">
        <v>3482</v>
      </c>
      <c r="M1210" s="14" t="s">
        <v>1259</v>
      </c>
      <c r="N1210" s="14" t="s">
        <v>1219</v>
      </c>
      <c r="O1210" s="14" t="s">
        <v>1220</v>
      </c>
    </row>
    <row r="1211" spans="1:15" x14ac:dyDescent="0.25">
      <c r="A1211" s="14">
        <v>3586</v>
      </c>
      <c r="B1211" s="14" t="s">
        <v>419</v>
      </c>
      <c r="C1211" s="14" t="s">
        <v>419</v>
      </c>
      <c r="D1211" s="14" t="s">
        <v>3368</v>
      </c>
      <c r="E1211" s="16">
        <v>100</v>
      </c>
      <c r="F1211" s="14" t="s">
        <v>1255</v>
      </c>
      <c r="G1211" s="16">
        <v>100</v>
      </c>
      <c r="H1211" s="14" t="s">
        <v>1255</v>
      </c>
      <c r="I1211" s="14" t="s">
        <v>1256</v>
      </c>
      <c r="J1211" s="14" t="s">
        <v>1242</v>
      </c>
      <c r="K1211" s="14" t="s">
        <v>1257</v>
      </c>
      <c r="L1211" s="14" t="s">
        <v>3485</v>
      </c>
      <c r="M1211" s="14" t="s">
        <v>1259</v>
      </c>
      <c r="N1211" s="14" t="s">
        <v>1237</v>
      </c>
      <c r="O1211" s="14" t="s">
        <v>1220</v>
      </c>
    </row>
    <row r="1212" spans="1:15" x14ac:dyDescent="0.25">
      <c r="A1212" s="14" t="s">
        <v>3486</v>
      </c>
      <c r="B1212" s="14" t="s">
        <v>3487</v>
      </c>
      <c r="C1212" s="14" t="s">
        <v>3487</v>
      </c>
      <c r="D1212" s="14" t="s">
        <v>3478</v>
      </c>
      <c r="E1212" s="15"/>
      <c r="F1212" s="14" t="s">
        <v>1255</v>
      </c>
      <c r="G1212" s="15"/>
      <c r="H1212" s="14" t="s">
        <v>1255</v>
      </c>
      <c r="I1212" s="14" t="s">
        <v>1262</v>
      </c>
      <c r="J1212" s="14" t="s">
        <v>1262</v>
      </c>
      <c r="K1212" s="14"/>
      <c r="L1212" s="14" t="s">
        <v>3485</v>
      </c>
      <c r="M1212" s="14" t="s">
        <v>1259</v>
      </c>
      <c r="N1212" s="14" t="s">
        <v>1219</v>
      </c>
      <c r="O1212" s="14" t="s">
        <v>1220</v>
      </c>
    </row>
    <row r="1213" spans="1:15" x14ac:dyDescent="0.25">
      <c r="A1213" s="14">
        <v>3889</v>
      </c>
      <c r="B1213" s="14" t="s">
        <v>420</v>
      </c>
      <c r="C1213" s="14" t="s">
        <v>420</v>
      </c>
      <c r="D1213" s="14" t="s">
        <v>3368</v>
      </c>
      <c r="E1213" s="16">
        <v>80</v>
      </c>
      <c r="F1213" s="14" t="s">
        <v>1255</v>
      </c>
      <c r="G1213" s="16">
        <v>400</v>
      </c>
      <c r="H1213" s="14" t="s">
        <v>1255</v>
      </c>
      <c r="I1213" s="14" t="s">
        <v>1256</v>
      </c>
      <c r="J1213" s="14" t="s">
        <v>1242</v>
      </c>
      <c r="K1213" s="14" t="s">
        <v>1257</v>
      </c>
      <c r="L1213" s="14" t="s">
        <v>3471</v>
      </c>
      <c r="M1213" s="14" t="s">
        <v>1259</v>
      </c>
      <c r="N1213" s="14" t="s">
        <v>1237</v>
      </c>
      <c r="O1213" s="14" t="s">
        <v>1220</v>
      </c>
    </row>
    <row r="1214" spans="1:15" x14ac:dyDescent="0.25">
      <c r="A1214" s="14">
        <v>3891</v>
      </c>
      <c r="B1214" s="14" t="s">
        <v>421</v>
      </c>
      <c r="C1214" s="14" t="s">
        <v>421</v>
      </c>
      <c r="D1214" s="14" t="s">
        <v>3368</v>
      </c>
      <c r="E1214" s="16">
        <v>60</v>
      </c>
      <c r="F1214" s="14" t="s">
        <v>1255</v>
      </c>
      <c r="G1214" s="16">
        <v>600</v>
      </c>
      <c r="H1214" s="14" t="s">
        <v>1255</v>
      </c>
      <c r="I1214" s="14" t="s">
        <v>1256</v>
      </c>
      <c r="J1214" s="14" t="s">
        <v>1242</v>
      </c>
      <c r="K1214" s="14" t="s">
        <v>1257</v>
      </c>
      <c r="L1214" s="14" t="s">
        <v>3474</v>
      </c>
      <c r="M1214" s="14" t="s">
        <v>1259</v>
      </c>
      <c r="N1214" s="14" t="s">
        <v>1237</v>
      </c>
      <c r="O1214" s="14" t="s">
        <v>1220</v>
      </c>
    </row>
    <row r="1215" spans="1:15" x14ac:dyDescent="0.25">
      <c r="A1215" s="14">
        <v>3574</v>
      </c>
      <c r="B1215" s="14" t="s">
        <v>422</v>
      </c>
      <c r="C1215" s="14" t="s">
        <v>422</v>
      </c>
      <c r="D1215" s="14" t="s">
        <v>3368</v>
      </c>
      <c r="E1215" s="16">
        <v>150</v>
      </c>
      <c r="F1215" s="14" t="s">
        <v>1255</v>
      </c>
      <c r="G1215" s="17">
        <v>2100</v>
      </c>
      <c r="H1215" s="14" t="s">
        <v>1255</v>
      </c>
      <c r="I1215" s="14" t="s">
        <v>1256</v>
      </c>
      <c r="J1215" s="14" t="s">
        <v>1296</v>
      </c>
      <c r="K1215" s="14" t="s">
        <v>1257</v>
      </c>
      <c r="L1215" s="14" t="s">
        <v>3488</v>
      </c>
      <c r="M1215" s="14" t="s">
        <v>1259</v>
      </c>
      <c r="N1215" s="14" t="s">
        <v>1237</v>
      </c>
      <c r="O1215" s="14" t="s">
        <v>1220</v>
      </c>
    </row>
    <row r="1216" spans="1:15" x14ac:dyDescent="0.25">
      <c r="A1216" s="14" t="s">
        <v>3489</v>
      </c>
      <c r="B1216" s="14" t="s">
        <v>3490</v>
      </c>
      <c r="C1216" s="14" t="s">
        <v>3490</v>
      </c>
      <c r="D1216" s="14" t="s">
        <v>3478</v>
      </c>
      <c r="E1216" s="15"/>
      <c r="F1216" s="14" t="s">
        <v>1255</v>
      </c>
      <c r="G1216" s="15"/>
      <c r="H1216" s="14" t="s">
        <v>1255</v>
      </c>
      <c r="I1216" s="14" t="s">
        <v>1262</v>
      </c>
      <c r="J1216" s="14" t="s">
        <v>1262</v>
      </c>
      <c r="K1216" s="14"/>
      <c r="L1216" s="14" t="s">
        <v>3488</v>
      </c>
      <c r="M1216" s="14" t="s">
        <v>1259</v>
      </c>
      <c r="N1216" s="14" t="s">
        <v>1219</v>
      </c>
      <c r="O1216" s="14" t="s">
        <v>1220</v>
      </c>
    </row>
    <row r="1217" spans="1:15" x14ac:dyDescent="0.25">
      <c r="A1217" s="14">
        <v>3587</v>
      </c>
      <c r="B1217" s="14" t="s">
        <v>423</v>
      </c>
      <c r="C1217" s="14" t="s">
        <v>423</v>
      </c>
      <c r="D1217" s="14" t="s">
        <v>3368</v>
      </c>
      <c r="E1217" s="16">
        <v>140</v>
      </c>
      <c r="F1217" s="14" t="s">
        <v>1255</v>
      </c>
      <c r="G1217" s="16">
        <v>700</v>
      </c>
      <c r="H1217" s="14" t="s">
        <v>1255</v>
      </c>
      <c r="I1217" s="14" t="s">
        <v>1256</v>
      </c>
      <c r="J1217" s="14" t="s">
        <v>1242</v>
      </c>
      <c r="K1217" s="14" t="s">
        <v>1257</v>
      </c>
      <c r="L1217" s="14" t="s">
        <v>3491</v>
      </c>
      <c r="M1217" s="14" t="s">
        <v>1259</v>
      </c>
      <c r="N1217" s="14" t="s">
        <v>1237</v>
      </c>
      <c r="O1217" s="14" t="s">
        <v>1220</v>
      </c>
    </row>
    <row r="1218" spans="1:15" x14ac:dyDescent="0.25">
      <c r="A1218" s="14" t="s">
        <v>3492</v>
      </c>
      <c r="B1218" s="14" t="s">
        <v>3493</v>
      </c>
      <c r="C1218" s="14" t="s">
        <v>3493</v>
      </c>
      <c r="D1218" s="14" t="s">
        <v>3478</v>
      </c>
      <c r="E1218" s="15"/>
      <c r="F1218" s="14" t="s">
        <v>1255</v>
      </c>
      <c r="G1218" s="15"/>
      <c r="H1218" s="14" t="s">
        <v>1255</v>
      </c>
      <c r="I1218" s="14" t="s">
        <v>1262</v>
      </c>
      <c r="J1218" s="14" t="s">
        <v>1262</v>
      </c>
      <c r="K1218" s="14"/>
      <c r="L1218" s="14" t="s">
        <v>3491</v>
      </c>
      <c r="M1218" s="14" t="s">
        <v>1259</v>
      </c>
      <c r="N1218" s="14" t="s">
        <v>1219</v>
      </c>
      <c r="O1218" s="14" t="s">
        <v>1220</v>
      </c>
    </row>
    <row r="1219" spans="1:15" x14ac:dyDescent="0.25">
      <c r="A1219" s="14">
        <v>6018</v>
      </c>
      <c r="B1219" s="14" t="s">
        <v>3494</v>
      </c>
      <c r="C1219" s="14" t="s">
        <v>3494</v>
      </c>
      <c r="D1219" s="14" t="s">
        <v>1807</v>
      </c>
      <c r="E1219" s="15"/>
      <c r="F1219" s="14" t="s">
        <v>1350</v>
      </c>
      <c r="G1219" s="15"/>
      <c r="H1219" s="14" t="s">
        <v>1588</v>
      </c>
      <c r="I1219" s="14" t="s">
        <v>1217</v>
      </c>
      <c r="J1219" s="14" t="s">
        <v>1351</v>
      </c>
      <c r="K1219" s="14"/>
      <c r="L1219" s="14"/>
      <c r="M1219" s="14"/>
      <c r="N1219" s="14" t="s">
        <v>1219</v>
      </c>
      <c r="O1219" s="14" t="s">
        <v>1220</v>
      </c>
    </row>
    <row r="1220" spans="1:15" x14ac:dyDescent="0.25">
      <c r="A1220" s="14">
        <v>3575</v>
      </c>
      <c r="B1220" s="14" t="s">
        <v>424</v>
      </c>
      <c r="C1220" s="14" t="s">
        <v>424</v>
      </c>
      <c r="D1220" s="14" t="s">
        <v>3368</v>
      </c>
      <c r="E1220" s="16">
        <v>120</v>
      </c>
      <c r="F1220" s="14" t="s">
        <v>1255</v>
      </c>
      <c r="G1220" s="17">
        <v>1200</v>
      </c>
      <c r="H1220" s="14" t="s">
        <v>1255</v>
      </c>
      <c r="I1220" s="14" t="s">
        <v>1256</v>
      </c>
      <c r="J1220" s="14" t="s">
        <v>1242</v>
      </c>
      <c r="K1220" s="14" t="s">
        <v>1257</v>
      </c>
      <c r="L1220" s="14" t="s">
        <v>3495</v>
      </c>
      <c r="M1220" s="14" t="s">
        <v>1259</v>
      </c>
      <c r="N1220" s="14" t="s">
        <v>1237</v>
      </c>
      <c r="O1220" s="14" t="s">
        <v>1220</v>
      </c>
    </row>
    <row r="1221" spans="1:15" x14ac:dyDescent="0.25">
      <c r="A1221" s="14" t="s">
        <v>3496</v>
      </c>
      <c r="B1221" s="14" t="s">
        <v>3497</v>
      </c>
      <c r="C1221" s="14" t="s">
        <v>3497</v>
      </c>
      <c r="D1221" s="14" t="s">
        <v>3478</v>
      </c>
      <c r="E1221" s="15"/>
      <c r="F1221" s="14" t="s">
        <v>1255</v>
      </c>
      <c r="G1221" s="15"/>
      <c r="H1221" s="14" t="s">
        <v>1255</v>
      </c>
      <c r="I1221" s="14" t="s">
        <v>1262</v>
      </c>
      <c r="J1221" s="14" t="s">
        <v>1262</v>
      </c>
      <c r="K1221" s="14"/>
      <c r="L1221" s="14" t="s">
        <v>3495</v>
      </c>
      <c r="M1221" s="14" t="s">
        <v>1259</v>
      </c>
      <c r="N1221" s="14" t="s">
        <v>1219</v>
      </c>
      <c r="O1221" s="14" t="s">
        <v>1220</v>
      </c>
    </row>
    <row r="1222" spans="1:15" x14ac:dyDescent="0.25">
      <c r="A1222" s="14">
        <v>3588</v>
      </c>
      <c r="B1222" s="14" t="s">
        <v>425</v>
      </c>
      <c r="C1222" s="14" t="s">
        <v>425</v>
      </c>
      <c r="D1222" s="14" t="s">
        <v>3368</v>
      </c>
      <c r="E1222" s="16">
        <v>100</v>
      </c>
      <c r="F1222" s="14" t="s">
        <v>1255</v>
      </c>
      <c r="G1222" s="16">
        <v>500</v>
      </c>
      <c r="H1222" s="14" t="s">
        <v>1255</v>
      </c>
      <c r="I1222" s="14" t="s">
        <v>1256</v>
      </c>
      <c r="J1222" s="14" t="s">
        <v>1233</v>
      </c>
      <c r="K1222" s="14" t="s">
        <v>1257</v>
      </c>
      <c r="L1222" s="14" t="s">
        <v>3498</v>
      </c>
      <c r="M1222" s="14" t="s">
        <v>1259</v>
      </c>
      <c r="N1222" s="14" t="s">
        <v>1237</v>
      </c>
      <c r="O1222" s="14" t="s">
        <v>1220</v>
      </c>
    </row>
    <row r="1223" spans="1:15" x14ac:dyDescent="0.25">
      <c r="A1223" s="14" t="s">
        <v>3499</v>
      </c>
      <c r="B1223" s="14" t="s">
        <v>3500</v>
      </c>
      <c r="C1223" s="14" t="s">
        <v>3500</v>
      </c>
      <c r="D1223" s="14" t="s">
        <v>3478</v>
      </c>
      <c r="E1223" s="15"/>
      <c r="F1223" s="14" t="s">
        <v>1255</v>
      </c>
      <c r="G1223" s="15"/>
      <c r="H1223" s="14" t="s">
        <v>1255</v>
      </c>
      <c r="I1223" s="14" t="s">
        <v>1262</v>
      </c>
      <c r="J1223" s="14" t="s">
        <v>1262</v>
      </c>
      <c r="K1223" s="14"/>
      <c r="L1223" s="14" t="s">
        <v>3498</v>
      </c>
      <c r="M1223" s="14" t="s">
        <v>1259</v>
      </c>
      <c r="N1223" s="14" t="s">
        <v>1219</v>
      </c>
      <c r="O1223" s="14" t="s">
        <v>1220</v>
      </c>
    </row>
    <row r="1224" spans="1:15" x14ac:dyDescent="0.25">
      <c r="A1224" s="14">
        <v>3577</v>
      </c>
      <c r="B1224" s="14" t="s">
        <v>426</v>
      </c>
      <c r="C1224" s="14" t="s">
        <v>426</v>
      </c>
      <c r="D1224" s="14" t="s">
        <v>3368</v>
      </c>
      <c r="E1224" s="16">
        <v>80</v>
      </c>
      <c r="F1224" s="14" t="s">
        <v>1255</v>
      </c>
      <c r="G1224" s="16">
        <v>800</v>
      </c>
      <c r="H1224" s="14" t="s">
        <v>1255</v>
      </c>
      <c r="I1224" s="14" t="s">
        <v>1256</v>
      </c>
      <c r="J1224" s="14" t="s">
        <v>1242</v>
      </c>
      <c r="K1224" s="14" t="s">
        <v>1257</v>
      </c>
      <c r="L1224" s="14" t="s">
        <v>3501</v>
      </c>
      <c r="M1224" s="14" t="s">
        <v>1259</v>
      </c>
      <c r="N1224" s="14" t="s">
        <v>1237</v>
      </c>
      <c r="O1224" s="14" t="s">
        <v>1220</v>
      </c>
    </row>
    <row r="1225" spans="1:15" x14ac:dyDescent="0.25">
      <c r="A1225" s="14" t="s">
        <v>3502</v>
      </c>
      <c r="B1225" s="14" t="s">
        <v>3503</v>
      </c>
      <c r="C1225" s="14" t="s">
        <v>3503</v>
      </c>
      <c r="D1225" s="14" t="s">
        <v>3478</v>
      </c>
      <c r="E1225" s="15"/>
      <c r="F1225" s="14" t="s">
        <v>1255</v>
      </c>
      <c r="G1225" s="15"/>
      <c r="H1225" s="14" t="s">
        <v>1255</v>
      </c>
      <c r="I1225" s="14" t="s">
        <v>1262</v>
      </c>
      <c r="J1225" s="14" t="s">
        <v>1262</v>
      </c>
      <c r="K1225" s="14"/>
      <c r="L1225" s="14" t="s">
        <v>3501</v>
      </c>
      <c r="M1225" s="14" t="s">
        <v>1259</v>
      </c>
      <c r="N1225" s="14" t="s">
        <v>1219</v>
      </c>
      <c r="O1225" s="14" t="s">
        <v>1220</v>
      </c>
    </row>
    <row r="1226" spans="1:15" x14ac:dyDescent="0.25">
      <c r="A1226" s="14">
        <v>3590</v>
      </c>
      <c r="B1226" s="14" t="s">
        <v>427</v>
      </c>
      <c r="C1226" s="14" t="s">
        <v>427</v>
      </c>
      <c r="D1226" s="14" t="s">
        <v>3368</v>
      </c>
      <c r="E1226" s="16">
        <v>60</v>
      </c>
      <c r="F1226" s="14" t="s">
        <v>1255</v>
      </c>
      <c r="G1226" s="16">
        <v>600</v>
      </c>
      <c r="H1226" s="14" t="s">
        <v>1255</v>
      </c>
      <c r="I1226" s="14" t="s">
        <v>1256</v>
      </c>
      <c r="J1226" s="14" t="s">
        <v>1242</v>
      </c>
      <c r="K1226" s="14" t="s">
        <v>1257</v>
      </c>
      <c r="L1226" s="14" t="s">
        <v>3504</v>
      </c>
      <c r="M1226" s="14" t="s">
        <v>1259</v>
      </c>
      <c r="N1226" s="14" t="s">
        <v>1237</v>
      </c>
      <c r="O1226" s="14" t="s">
        <v>1220</v>
      </c>
    </row>
    <row r="1227" spans="1:15" x14ac:dyDescent="0.25">
      <c r="A1227" s="14" t="s">
        <v>3505</v>
      </c>
      <c r="B1227" s="14" t="s">
        <v>3506</v>
      </c>
      <c r="C1227" s="14" t="s">
        <v>3506</v>
      </c>
      <c r="D1227" s="14" t="s">
        <v>3478</v>
      </c>
      <c r="E1227" s="15"/>
      <c r="F1227" s="14" t="s">
        <v>1255</v>
      </c>
      <c r="G1227" s="15"/>
      <c r="H1227" s="14" t="s">
        <v>1255</v>
      </c>
      <c r="I1227" s="14" t="s">
        <v>1262</v>
      </c>
      <c r="J1227" s="14" t="s">
        <v>1262</v>
      </c>
      <c r="K1227" s="14"/>
      <c r="L1227" s="14" t="s">
        <v>3504</v>
      </c>
      <c r="M1227" s="14" t="s">
        <v>1259</v>
      </c>
      <c r="N1227" s="14" t="s">
        <v>1219</v>
      </c>
      <c r="O1227" s="14" t="s">
        <v>1220</v>
      </c>
    </row>
    <row r="1228" spans="1:15" x14ac:dyDescent="0.25">
      <c r="A1228" s="14">
        <v>3890</v>
      </c>
      <c r="B1228" s="14" t="s">
        <v>428</v>
      </c>
      <c r="C1228" s="14" t="s">
        <v>428</v>
      </c>
      <c r="D1228" s="14" t="s">
        <v>3368</v>
      </c>
      <c r="E1228" s="16">
        <v>120</v>
      </c>
      <c r="F1228" s="14" t="s">
        <v>1255</v>
      </c>
      <c r="G1228" s="16">
        <v>600</v>
      </c>
      <c r="H1228" s="14" t="s">
        <v>1255</v>
      </c>
      <c r="I1228" s="14" t="s">
        <v>1256</v>
      </c>
      <c r="J1228" s="14" t="s">
        <v>1296</v>
      </c>
      <c r="K1228" s="14" t="s">
        <v>1257</v>
      </c>
      <c r="L1228" s="14" t="s">
        <v>3507</v>
      </c>
      <c r="M1228" s="14" t="s">
        <v>1259</v>
      </c>
      <c r="N1228" s="14" t="s">
        <v>1237</v>
      </c>
      <c r="O1228" s="14" t="s">
        <v>1220</v>
      </c>
    </row>
    <row r="1229" spans="1:15" x14ac:dyDescent="0.25">
      <c r="A1229" s="14" t="s">
        <v>3508</v>
      </c>
      <c r="B1229" s="14" t="s">
        <v>3509</v>
      </c>
      <c r="C1229" s="14" t="s">
        <v>3509</v>
      </c>
      <c r="D1229" s="14" t="s">
        <v>3478</v>
      </c>
      <c r="E1229" s="15"/>
      <c r="F1229" s="14" t="s">
        <v>1255</v>
      </c>
      <c r="G1229" s="15"/>
      <c r="H1229" s="14" t="s">
        <v>1255</v>
      </c>
      <c r="I1229" s="14" t="s">
        <v>1262</v>
      </c>
      <c r="J1229" s="14" t="s">
        <v>1262</v>
      </c>
      <c r="K1229" s="14"/>
      <c r="L1229" s="14" t="s">
        <v>3507</v>
      </c>
      <c r="M1229" s="14" t="s">
        <v>1259</v>
      </c>
      <c r="N1229" s="14" t="s">
        <v>1219</v>
      </c>
      <c r="O1229" s="14" t="s">
        <v>1220</v>
      </c>
    </row>
    <row r="1230" spans="1:15" x14ac:dyDescent="0.25">
      <c r="A1230" s="14">
        <v>3892</v>
      </c>
      <c r="B1230" s="14" t="s">
        <v>429</v>
      </c>
      <c r="C1230" s="14" t="s">
        <v>429</v>
      </c>
      <c r="D1230" s="14" t="s">
        <v>3368</v>
      </c>
      <c r="E1230" s="16">
        <v>100</v>
      </c>
      <c r="F1230" s="14" t="s">
        <v>1255</v>
      </c>
      <c r="G1230" s="17">
        <v>1000</v>
      </c>
      <c r="H1230" s="14" t="s">
        <v>1255</v>
      </c>
      <c r="I1230" s="14" t="s">
        <v>1256</v>
      </c>
      <c r="J1230" s="14" t="s">
        <v>1296</v>
      </c>
      <c r="K1230" s="14" t="s">
        <v>1257</v>
      </c>
      <c r="L1230" s="14" t="s">
        <v>3510</v>
      </c>
      <c r="M1230" s="14" t="s">
        <v>1259</v>
      </c>
      <c r="N1230" s="14" t="s">
        <v>1237</v>
      </c>
      <c r="O1230" s="14" t="s">
        <v>1220</v>
      </c>
    </row>
    <row r="1231" spans="1:15" x14ac:dyDescent="0.25">
      <c r="A1231" s="14" t="s">
        <v>3511</v>
      </c>
      <c r="B1231" s="14" t="s">
        <v>3512</v>
      </c>
      <c r="C1231" s="14" t="s">
        <v>3512</v>
      </c>
      <c r="D1231" s="14" t="s">
        <v>3478</v>
      </c>
      <c r="E1231" s="15"/>
      <c r="F1231" s="14" t="s">
        <v>1255</v>
      </c>
      <c r="G1231" s="15"/>
      <c r="H1231" s="14" t="s">
        <v>1255</v>
      </c>
      <c r="I1231" s="14" t="s">
        <v>1262</v>
      </c>
      <c r="J1231" s="14" t="s">
        <v>1262</v>
      </c>
      <c r="K1231" s="14"/>
      <c r="L1231" s="14" t="s">
        <v>3510</v>
      </c>
      <c r="M1231" s="14" t="s">
        <v>1259</v>
      </c>
      <c r="N1231" s="14" t="s">
        <v>1219</v>
      </c>
      <c r="O1231" s="14" t="s">
        <v>1220</v>
      </c>
    </row>
    <row r="1232" spans="1:15" x14ac:dyDescent="0.25">
      <c r="A1232" s="14">
        <v>3576</v>
      </c>
      <c r="B1232" s="14" t="s">
        <v>430</v>
      </c>
      <c r="C1232" s="14" t="s">
        <v>430</v>
      </c>
      <c r="D1232" s="14" t="s">
        <v>3368</v>
      </c>
      <c r="E1232" s="16">
        <v>100</v>
      </c>
      <c r="F1232" s="14" t="s">
        <v>1255</v>
      </c>
      <c r="G1232" s="16">
        <v>500</v>
      </c>
      <c r="H1232" s="14" t="s">
        <v>1255</v>
      </c>
      <c r="I1232" s="14" t="s">
        <v>1256</v>
      </c>
      <c r="J1232" s="14" t="s">
        <v>1296</v>
      </c>
      <c r="K1232" s="14" t="s">
        <v>1257</v>
      </c>
      <c r="L1232" s="14" t="s">
        <v>3513</v>
      </c>
      <c r="M1232" s="14" t="s">
        <v>1259</v>
      </c>
      <c r="N1232" s="14" t="s">
        <v>1237</v>
      </c>
      <c r="O1232" s="14" t="s">
        <v>1220</v>
      </c>
    </row>
    <row r="1233" spans="1:15" x14ac:dyDescent="0.25">
      <c r="A1233" s="14" t="s">
        <v>3514</v>
      </c>
      <c r="B1233" s="14" t="s">
        <v>3515</v>
      </c>
      <c r="C1233" s="14" t="s">
        <v>3515</v>
      </c>
      <c r="D1233" s="14" t="s">
        <v>3478</v>
      </c>
      <c r="E1233" s="15"/>
      <c r="F1233" s="14" t="s">
        <v>1255</v>
      </c>
      <c r="G1233" s="15"/>
      <c r="H1233" s="14" t="s">
        <v>1255</v>
      </c>
      <c r="I1233" s="14" t="s">
        <v>1262</v>
      </c>
      <c r="J1233" s="14" t="s">
        <v>1262</v>
      </c>
      <c r="K1233" s="14"/>
      <c r="L1233" s="14" t="s">
        <v>3513</v>
      </c>
      <c r="M1233" s="14" t="s">
        <v>1259</v>
      </c>
      <c r="N1233" s="14" t="s">
        <v>1219</v>
      </c>
      <c r="O1233" s="14" t="s">
        <v>1220</v>
      </c>
    </row>
    <row r="1234" spans="1:15" x14ac:dyDescent="0.25">
      <c r="A1234" s="14">
        <v>3589</v>
      </c>
      <c r="B1234" s="14" t="s">
        <v>431</v>
      </c>
      <c r="C1234" s="14" t="s">
        <v>431</v>
      </c>
      <c r="D1234" s="14" t="s">
        <v>3368</v>
      </c>
      <c r="E1234" s="16">
        <v>90</v>
      </c>
      <c r="F1234" s="14" t="s">
        <v>1255</v>
      </c>
      <c r="G1234" s="16">
        <v>450</v>
      </c>
      <c r="H1234" s="14" t="s">
        <v>1255</v>
      </c>
      <c r="I1234" s="14" t="s">
        <v>1256</v>
      </c>
      <c r="J1234" s="14" t="s">
        <v>1242</v>
      </c>
      <c r="K1234" s="14" t="s">
        <v>1257</v>
      </c>
      <c r="L1234" s="14" t="s">
        <v>3516</v>
      </c>
      <c r="M1234" s="14" t="s">
        <v>1259</v>
      </c>
      <c r="N1234" s="14" t="s">
        <v>1237</v>
      </c>
      <c r="O1234" s="14" t="s">
        <v>1220</v>
      </c>
    </row>
    <row r="1235" spans="1:15" x14ac:dyDescent="0.25">
      <c r="A1235" s="14" t="s">
        <v>3517</v>
      </c>
      <c r="B1235" s="14" t="s">
        <v>3518</v>
      </c>
      <c r="C1235" s="14" t="s">
        <v>3518</v>
      </c>
      <c r="D1235" s="14" t="s">
        <v>3478</v>
      </c>
      <c r="E1235" s="15"/>
      <c r="F1235" s="14" t="s">
        <v>1255</v>
      </c>
      <c r="G1235" s="15"/>
      <c r="H1235" s="14" t="s">
        <v>1255</v>
      </c>
      <c r="I1235" s="14" t="s">
        <v>1262</v>
      </c>
      <c r="J1235" s="14" t="s">
        <v>1262</v>
      </c>
      <c r="K1235" s="14"/>
      <c r="L1235" s="14" t="s">
        <v>3516</v>
      </c>
      <c r="M1235" s="14" t="s">
        <v>1259</v>
      </c>
      <c r="N1235" s="14" t="s">
        <v>1219</v>
      </c>
      <c r="O1235" s="14" t="s">
        <v>1220</v>
      </c>
    </row>
    <row r="1236" spans="1:15" x14ac:dyDescent="0.25">
      <c r="A1236" s="14" t="s">
        <v>3519</v>
      </c>
      <c r="B1236" s="14" t="s">
        <v>3520</v>
      </c>
      <c r="C1236" s="14" t="s">
        <v>3520</v>
      </c>
      <c r="D1236" s="14" t="s">
        <v>1349</v>
      </c>
      <c r="E1236" s="15"/>
      <c r="F1236" s="14" t="s">
        <v>1350</v>
      </c>
      <c r="G1236" s="15"/>
      <c r="H1236" s="14" t="s">
        <v>1255</v>
      </c>
      <c r="I1236" s="14" t="s">
        <v>1360</v>
      </c>
      <c r="J1236" s="14" t="s">
        <v>1360</v>
      </c>
      <c r="K1236" s="14" t="s">
        <v>1257</v>
      </c>
      <c r="L1236" s="14" t="s">
        <v>3516</v>
      </c>
      <c r="M1236" s="14" t="s">
        <v>1259</v>
      </c>
      <c r="N1236" s="14" t="s">
        <v>1219</v>
      </c>
      <c r="O1236" s="14" t="s">
        <v>1220</v>
      </c>
    </row>
    <row r="1237" spans="1:15" x14ac:dyDescent="0.25">
      <c r="A1237" s="14" t="s">
        <v>3521</v>
      </c>
      <c r="B1237" s="14" t="s">
        <v>3522</v>
      </c>
      <c r="C1237" s="14" t="s">
        <v>3522</v>
      </c>
      <c r="D1237" s="14" t="s">
        <v>1349</v>
      </c>
      <c r="E1237" s="15"/>
      <c r="F1237" s="14" t="s">
        <v>1350</v>
      </c>
      <c r="G1237" s="15"/>
      <c r="H1237" s="14" t="s">
        <v>1255</v>
      </c>
      <c r="I1237" s="14" t="s">
        <v>1360</v>
      </c>
      <c r="J1237" s="14" t="s">
        <v>1360</v>
      </c>
      <c r="K1237" s="14" t="s">
        <v>1257</v>
      </c>
      <c r="L1237" s="14" t="s">
        <v>3516</v>
      </c>
      <c r="M1237" s="14" t="s">
        <v>1259</v>
      </c>
      <c r="N1237" s="14" t="s">
        <v>1219</v>
      </c>
      <c r="O1237" s="14" t="s">
        <v>1220</v>
      </c>
    </row>
    <row r="1238" spans="1:15" x14ac:dyDescent="0.25">
      <c r="A1238" s="14">
        <v>3780</v>
      </c>
      <c r="B1238" s="14" t="s">
        <v>1086</v>
      </c>
      <c r="C1238" s="14" t="s">
        <v>1086</v>
      </c>
      <c r="D1238" s="14" t="s">
        <v>3368</v>
      </c>
      <c r="E1238" s="16">
        <v>35</v>
      </c>
      <c r="F1238" s="14" t="s">
        <v>1255</v>
      </c>
      <c r="G1238" s="16">
        <v>500</v>
      </c>
      <c r="H1238" s="14" t="s">
        <v>1255</v>
      </c>
      <c r="I1238" s="14" t="s">
        <v>1232</v>
      </c>
      <c r="J1238" s="14" t="s">
        <v>1296</v>
      </c>
      <c r="K1238" s="14" t="s">
        <v>1271</v>
      </c>
      <c r="L1238" s="14" t="s">
        <v>3523</v>
      </c>
      <c r="M1238" s="14" t="s">
        <v>1259</v>
      </c>
      <c r="N1238" s="14" t="s">
        <v>1237</v>
      </c>
      <c r="O1238" s="14" t="s">
        <v>1220</v>
      </c>
    </row>
    <row r="1239" spans="1:15" x14ac:dyDescent="0.25">
      <c r="A1239" s="14">
        <v>3781</v>
      </c>
      <c r="B1239" s="14" t="s">
        <v>1087</v>
      </c>
      <c r="C1239" s="14" t="s">
        <v>1087</v>
      </c>
      <c r="D1239" s="14" t="s">
        <v>3368</v>
      </c>
      <c r="E1239" s="16">
        <v>30</v>
      </c>
      <c r="F1239" s="14" t="s">
        <v>1255</v>
      </c>
      <c r="G1239" s="16">
        <v>500</v>
      </c>
      <c r="H1239" s="14" t="s">
        <v>1255</v>
      </c>
      <c r="I1239" s="14" t="s">
        <v>1232</v>
      </c>
      <c r="J1239" s="14" t="s">
        <v>1296</v>
      </c>
      <c r="K1239" s="14" t="s">
        <v>1271</v>
      </c>
      <c r="L1239" s="14" t="s">
        <v>3524</v>
      </c>
      <c r="M1239" s="14" t="s">
        <v>1259</v>
      </c>
      <c r="N1239" s="14" t="s">
        <v>1237</v>
      </c>
      <c r="O1239" s="14" t="s">
        <v>1220</v>
      </c>
    </row>
    <row r="1240" spans="1:15" x14ac:dyDescent="0.25">
      <c r="A1240" s="14">
        <v>3578</v>
      </c>
      <c r="B1240" s="14" t="s">
        <v>432</v>
      </c>
      <c r="C1240" s="14" t="s">
        <v>432</v>
      </c>
      <c r="D1240" s="14" t="s">
        <v>3368</v>
      </c>
      <c r="E1240" s="16">
        <v>50</v>
      </c>
      <c r="F1240" s="14" t="s">
        <v>1255</v>
      </c>
      <c r="G1240" s="16">
        <v>250</v>
      </c>
      <c r="H1240" s="14" t="s">
        <v>1255</v>
      </c>
      <c r="I1240" s="14" t="s">
        <v>1256</v>
      </c>
      <c r="J1240" s="14" t="s">
        <v>1296</v>
      </c>
      <c r="K1240" s="14" t="s">
        <v>1257</v>
      </c>
      <c r="L1240" s="14" t="s">
        <v>3525</v>
      </c>
      <c r="M1240" s="14" t="s">
        <v>1259</v>
      </c>
      <c r="N1240" s="14" t="s">
        <v>1237</v>
      </c>
      <c r="O1240" s="14" t="s">
        <v>1220</v>
      </c>
    </row>
    <row r="1241" spans="1:15" x14ac:dyDescent="0.25">
      <c r="A1241" s="14">
        <v>3591</v>
      </c>
      <c r="B1241" s="14" t="s">
        <v>433</v>
      </c>
      <c r="C1241" s="14" t="s">
        <v>433</v>
      </c>
      <c r="D1241" s="14" t="s">
        <v>3368</v>
      </c>
      <c r="E1241" s="16">
        <v>40</v>
      </c>
      <c r="F1241" s="14" t="s">
        <v>1255</v>
      </c>
      <c r="G1241" s="16">
        <v>200</v>
      </c>
      <c r="H1241" s="14" t="s">
        <v>1255</v>
      </c>
      <c r="I1241" s="14" t="s">
        <v>1256</v>
      </c>
      <c r="J1241" s="14" t="s">
        <v>1296</v>
      </c>
      <c r="K1241" s="14" t="s">
        <v>1257</v>
      </c>
      <c r="L1241" s="14" t="s">
        <v>3526</v>
      </c>
      <c r="M1241" s="14" t="s">
        <v>1259</v>
      </c>
      <c r="N1241" s="14" t="s">
        <v>1237</v>
      </c>
      <c r="O1241" s="14" t="s">
        <v>1220</v>
      </c>
    </row>
    <row r="1242" spans="1:15" x14ac:dyDescent="0.25">
      <c r="A1242" s="14">
        <v>3778</v>
      </c>
      <c r="B1242" s="14" t="s">
        <v>1088</v>
      </c>
      <c r="C1242" s="14" t="s">
        <v>1088</v>
      </c>
      <c r="D1242" s="14" t="s">
        <v>3368</v>
      </c>
      <c r="E1242" s="16">
        <v>80</v>
      </c>
      <c r="F1242" s="14" t="s">
        <v>1255</v>
      </c>
      <c r="G1242" s="16">
        <v>500</v>
      </c>
      <c r="H1242" s="14" t="s">
        <v>1255</v>
      </c>
      <c r="I1242" s="14" t="s">
        <v>1232</v>
      </c>
      <c r="J1242" s="14" t="s">
        <v>1296</v>
      </c>
      <c r="K1242" s="14" t="s">
        <v>1271</v>
      </c>
      <c r="L1242" s="14" t="s">
        <v>3527</v>
      </c>
      <c r="M1242" s="14" t="s">
        <v>1259</v>
      </c>
      <c r="N1242" s="14" t="s">
        <v>1237</v>
      </c>
      <c r="O1242" s="14" t="s">
        <v>1220</v>
      </c>
    </row>
    <row r="1243" spans="1:15" x14ac:dyDescent="0.25">
      <c r="A1243" s="14">
        <v>3779</v>
      </c>
      <c r="B1243" s="14" t="s">
        <v>1089</v>
      </c>
      <c r="C1243" s="14" t="s">
        <v>1089</v>
      </c>
      <c r="D1243" s="14" t="s">
        <v>3368</v>
      </c>
      <c r="E1243" s="16">
        <v>70</v>
      </c>
      <c r="F1243" s="14" t="s">
        <v>1255</v>
      </c>
      <c r="G1243" s="16">
        <v>500</v>
      </c>
      <c r="H1243" s="14" t="s">
        <v>1255</v>
      </c>
      <c r="I1243" s="14" t="s">
        <v>1232</v>
      </c>
      <c r="J1243" s="14" t="s">
        <v>1296</v>
      </c>
      <c r="K1243" s="14" t="s">
        <v>1271</v>
      </c>
      <c r="L1243" s="14" t="s">
        <v>3528</v>
      </c>
      <c r="M1243" s="14" t="s">
        <v>1259</v>
      </c>
      <c r="N1243" s="14" t="s">
        <v>1237</v>
      </c>
      <c r="O1243" s="14" t="s">
        <v>1220</v>
      </c>
    </row>
    <row r="1244" spans="1:15" x14ac:dyDescent="0.25">
      <c r="A1244" s="14">
        <v>3579</v>
      </c>
      <c r="B1244" s="14" t="s">
        <v>434</v>
      </c>
      <c r="C1244" s="14" t="s">
        <v>434</v>
      </c>
      <c r="D1244" s="14" t="s">
        <v>3368</v>
      </c>
      <c r="E1244" s="16">
        <v>35</v>
      </c>
      <c r="F1244" s="14" t="s">
        <v>1255</v>
      </c>
      <c r="G1244" s="16">
        <v>350</v>
      </c>
      <c r="H1244" s="14" t="s">
        <v>1255</v>
      </c>
      <c r="I1244" s="14" t="s">
        <v>1256</v>
      </c>
      <c r="J1244" s="14" t="s">
        <v>1242</v>
      </c>
      <c r="K1244" s="14" t="s">
        <v>1257</v>
      </c>
      <c r="L1244" s="14" t="s">
        <v>3529</v>
      </c>
      <c r="M1244" s="14" t="s">
        <v>1259</v>
      </c>
      <c r="N1244" s="14" t="s">
        <v>1237</v>
      </c>
      <c r="O1244" s="14" t="s">
        <v>1220</v>
      </c>
    </row>
    <row r="1245" spans="1:15" x14ac:dyDescent="0.25">
      <c r="A1245" s="14">
        <v>3592</v>
      </c>
      <c r="B1245" s="14" t="s">
        <v>435</v>
      </c>
      <c r="C1245" s="14" t="s">
        <v>435</v>
      </c>
      <c r="D1245" s="14" t="s">
        <v>3368</v>
      </c>
      <c r="E1245" s="16">
        <v>30</v>
      </c>
      <c r="F1245" s="14" t="s">
        <v>1255</v>
      </c>
      <c r="G1245" s="16">
        <v>30</v>
      </c>
      <c r="H1245" s="14" t="s">
        <v>1255</v>
      </c>
      <c r="I1245" s="14" t="s">
        <v>1256</v>
      </c>
      <c r="J1245" s="14" t="s">
        <v>1242</v>
      </c>
      <c r="K1245" s="14" t="s">
        <v>1257</v>
      </c>
      <c r="L1245" s="14" t="s">
        <v>3530</v>
      </c>
      <c r="M1245" s="14" t="s">
        <v>1259</v>
      </c>
      <c r="N1245" s="14" t="s">
        <v>1237</v>
      </c>
      <c r="O1245" s="14" t="s">
        <v>1220</v>
      </c>
    </row>
    <row r="1246" spans="1:15" x14ac:dyDescent="0.25">
      <c r="A1246" s="14">
        <v>3580</v>
      </c>
      <c r="B1246" s="14" t="s">
        <v>436</v>
      </c>
      <c r="C1246" s="14" t="s">
        <v>436</v>
      </c>
      <c r="D1246" s="14" t="s">
        <v>3368</v>
      </c>
      <c r="E1246" s="16">
        <v>25</v>
      </c>
      <c r="F1246" s="14" t="s">
        <v>1255</v>
      </c>
      <c r="G1246" s="16">
        <v>125</v>
      </c>
      <c r="H1246" s="14" t="s">
        <v>1255</v>
      </c>
      <c r="I1246" s="14" t="s">
        <v>1256</v>
      </c>
      <c r="J1246" s="14" t="s">
        <v>1296</v>
      </c>
      <c r="K1246" s="14" t="s">
        <v>1257</v>
      </c>
      <c r="L1246" s="14" t="s">
        <v>3531</v>
      </c>
      <c r="M1246" s="14" t="s">
        <v>1259</v>
      </c>
      <c r="N1246" s="14" t="s">
        <v>1237</v>
      </c>
      <c r="O1246" s="14" t="s">
        <v>1220</v>
      </c>
    </row>
    <row r="1247" spans="1:15" x14ac:dyDescent="0.25">
      <c r="A1247" s="14">
        <v>3593</v>
      </c>
      <c r="B1247" s="14" t="s">
        <v>437</v>
      </c>
      <c r="C1247" s="14" t="s">
        <v>437</v>
      </c>
      <c r="D1247" s="14" t="s">
        <v>3368</v>
      </c>
      <c r="E1247" s="16">
        <v>25</v>
      </c>
      <c r="F1247" s="14" t="s">
        <v>1255</v>
      </c>
      <c r="G1247" s="16">
        <v>100</v>
      </c>
      <c r="H1247" s="14" t="s">
        <v>1255</v>
      </c>
      <c r="I1247" s="14" t="s">
        <v>1256</v>
      </c>
      <c r="J1247" s="14" t="s">
        <v>1296</v>
      </c>
      <c r="K1247" s="14" t="s">
        <v>1257</v>
      </c>
      <c r="L1247" s="14" t="s">
        <v>3532</v>
      </c>
      <c r="M1247" s="14" t="s">
        <v>1259</v>
      </c>
      <c r="N1247" s="14" t="s">
        <v>1237</v>
      </c>
      <c r="O1247" s="14" t="s">
        <v>1220</v>
      </c>
    </row>
    <row r="1248" spans="1:15" x14ac:dyDescent="0.25">
      <c r="A1248" s="14">
        <v>3581</v>
      </c>
      <c r="B1248" s="14" t="s">
        <v>438</v>
      </c>
      <c r="C1248" s="14" t="s">
        <v>438</v>
      </c>
      <c r="D1248" s="14" t="s">
        <v>3368</v>
      </c>
      <c r="E1248" s="16">
        <v>16</v>
      </c>
      <c r="F1248" s="14" t="s">
        <v>1255</v>
      </c>
      <c r="G1248" s="16">
        <v>80</v>
      </c>
      <c r="H1248" s="14" t="s">
        <v>1255</v>
      </c>
      <c r="I1248" s="14" t="s">
        <v>1256</v>
      </c>
      <c r="J1248" s="14" t="s">
        <v>1296</v>
      </c>
      <c r="K1248" s="14" t="s">
        <v>1257</v>
      </c>
      <c r="L1248" s="14" t="s">
        <v>3533</v>
      </c>
      <c r="M1248" s="14" t="s">
        <v>1259</v>
      </c>
      <c r="N1248" s="14" t="s">
        <v>1237</v>
      </c>
      <c r="O1248" s="14" t="s">
        <v>1220</v>
      </c>
    </row>
    <row r="1249" spans="1:15" x14ac:dyDescent="0.25">
      <c r="A1249" s="14">
        <v>3594</v>
      </c>
      <c r="B1249" s="14" t="s">
        <v>439</v>
      </c>
      <c r="C1249" s="14" t="s">
        <v>439</v>
      </c>
      <c r="D1249" s="14" t="s">
        <v>3368</v>
      </c>
      <c r="E1249" s="16">
        <v>10</v>
      </c>
      <c r="F1249" s="14" t="s">
        <v>1255</v>
      </c>
      <c r="G1249" s="16">
        <v>50</v>
      </c>
      <c r="H1249" s="14" t="s">
        <v>1255</v>
      </c>
      <c r="I1249" s="14" t="s">
        <v>1256</v>
      </c>
      <c r="J1249" s="14" t="s">
        <v>1296</v>
      </c>
      <c r="K1249" s="14" t="s">
        <v>1257</v>
      </c>
      <c r="L1249" s="14" t="s">
        <v>3534</v>
      </c>
      <c r="M1249" s="14" t="s">
        <v>1259</v>
      </c>
      <c r="N1249" s="14" t="s">
        <v>1237</v>
      </c>
      <c r="O1249" s="14" t="s">
        <v>1220</v>
      </c>
    </row>
    <row r="1250" spans="1:15" x14ac:dyDescent="0.25">
      <c r="A1250" s="14">
        <v>3582</v>
      </c>
      <c r="B1250" s="14" t="s">
        <v>3535</v>
      </c>
      <c r="C1250" s="14" t="s">
        <v>3535</v>
      </c>
      <c r="D1250" s="14" t="s">
        <v>1349</v>
      </c>
      <c r="E1250" s="15"/>
      <c r="F1250" s="14" t="s">
        <v>1350</v>
      </c>
      <c r="G1250" s="15"/>
      <c r="H1250" s="14" t="s">
        <v>1255</v>
      </c>
      <c r="I1250" s="14" t="s">
        <v>1360</v>
      </c>
      <c r="J1250" s="14" t="s">
        <v>1360</v>
      </c>
      <c r="K1250" s="14" t="s">
        <v>1257</v>
      </c>
      <c r="L1250" s="14" t="s">
        <v>3534</v>
      </c>
      <c r="M1250" s="14" t="s">
        <v>1259</v>
      </c>
      <c r="N1250" s="14" t="s">
        <v>1219</v>
      </c>
      <c r="O1250" s="14" t="s">
        <v>1220</v>
      </c>
    </row>
    <row r="1251" spans="1:15" x14ac:dyDescent="0.25">
      <c r="A1251" s="14">
        <v>3595</v>
      </c>
      <c r="B1251" s="14" t="s">
        <v>3536</v>
      </c>
      <c r="C1251" s="14" t="s">
        <v>3536</v>
      </c>
      <c r="D1251" s="14" t="s">
        <v>1349</v>
      </c>
      <c r="E1251" s="15"/>
      <c r="F1251" s="14" t="s">
        <v>1350</v>
      </c>
      <c r="G1251" s="15"/>
      <c r="H1251" s="14" t="s">
        <v>1255</v>
      </c>
      <c r="I1251" s="14" t="s">
        <v>1360</v>
      </c>
      <c r="J1251" s="14" t="s">
        <v>1360</v>
      </c>
      <c r="K1251" s="14" t="s">
        <v>1257</v>
      </c>
      <c r="L1251" s="14" t="s">
        <v>3534</v>
      </c>
      <c r="M1251" s="14" t="s">
        <v>1259</v>
      </c>
      <c r="N1251" s="14" t="s">
        <v>1219</v>
      </c>
      <c r="O1251" s="14" t="s">
        <v>1220</v>
      </c>
    </row>
    <row r="1252" spans="1:15" x14ac:dyDescent="0.25">
      <c r="A1252" s="14">
        <v>3583</v>
      </c>
      <c r="B1252" s="14" t="s">
        <v>3537</v>
      </c>
      <c r="C1252" s="14" t="s">
        <v>3537</v>
      </c>
      <c r="D1252" s="14" t="s">
        <v>3368</v>
      </c>
      <c r="E1252" s="16">
        <v>7</v>
      </c>
      <c r="F1252" s="14" t="s">
        <v>1350</v>
      </c>
      <c r="G1252" s="16">
        <v>35</v>
      </c>
      <c r="H1252" s="14" t="s">
        <v>1255</v>
      </c>
      <c r="I1252" s="14" t="s">
        <v>1360</v>
      </c>
      <c r="J1252" s="14" t="s">
        <v>1385</v>
      </c>
      <c r="K1252" s="14" t="s">
        <v>1257</v>
      </c>
      <c r="L1252" s="14" t="s">
        <v>3534</v>
      </c>
      <c r="M1252" s="14" t="s">
        <v>1259</v>
      </c>
      <c r="N1252" s="14" t="s">
        <v>1219</v>
      </c>
      <c r="O1252" s="14" t="s">
        <v>1220</v>
      </c>
    </row>
    <row r="1253" spans="1:15" x14ac:dyDescent="0.25">
      <c r="A1253" s="14">
        <v>3596</v>
      </c>
      <c r="B1253" s="14" t="s">
        <v>3538</v>
      </c>
      <c r="C1253" s="14" t="s">
        <v>3538</v>
      </c>
      <c r="D1253" s="14" t="s">
        <v>3368</v>
      </c>
      <c r="E1253" s="15"/>
      <c r="F1253" s="14" t="s">
        <v>1350</v>
      </c>
      <c r="G1253" s="15"/>
      <c r="H1253" s="14" t="s">
        <v>1255</v>
      </c>
      <c r="I1253" s="14" t="s">
        <v>1360</v>
      </c>
      <c r="J1253" s="14" t="s">
        <v>1385</v>
      </c>
      <c r="K1253" s="14" t="s">
        <v>1257</v>
      </c>
      <c r="L1253" s="14" t="s">
        <v>3534</v>
      </c>
      <c r="M1253" s="14" t="s">
        <v>1259</v>
      </c>
      <c r="N1253" s="14" t="s">
        <v>1219</v>
      </c>
      <c r="O1253" s="14" t="s">
        <v>1220</v>
      </c>
    </row>
    <row r="1254" spans="1:15" x14ac:dyDescent="0.25">
      <c r="A1254" s="14">
        <v>3584</v>
      </c>
      <c r="B1254" s="14" t="s">
        <v>3539</v>
      </c>
      <c r="C1254" s="14" t="s">
        <v>3539</v>
      </c>
      <c r="D1254" s="14" t="s">
        <v>3368</v>
      </c>
      <c r="E1254" s="15"/>
      <c r="F1254" s="14" t="s">
        <v>1350</v>
      </c>
      <c r="G1254" s="15"/>
      <c r="H1254" s="14" t="s">
        <v>1255</v>
      </c>
      <c r="I1254" s="14" t="s">
        <v>1360</v>
      </c>
      <c r="J1254" s="14" t="s">
        <v>1385</v>
      </c>
      <c r="K1254" s="14" t="s">
        <v>1257</v>
      </c>
      <c r="L1254" s="14" t="s">
        <v>3534</v>
      </c>
      <c r="M1254" s="14" t="s">
        <v>1259</v>
      </c>
      <c r="N1254" s="14" t="s">
        <v>1219</v>
      </c>
      <c r="O1254" s="14" t="s">
        <v>1220</v>
      </c>
    </row>
    <row r="1255" spans="1:15" x14ac:dyDescent="0.25">
      <c r="A1255" s="14">
        <v>3597</v>
      </c>
      <c r="B1255" s="14" t="s">
        <v>3540</v>
      </c>
      <c r="C1255" s="14" t="s">
        <v>3540</v>
      </c>
      <c r="D1255" s="14" t="s">
        <v>3368</v>
      </c>
      <c r="E1255" s="15"/>
      <c r="F1255" s="14" t="s">
        <v>1350</v>
      </c>
      <c r="G1255" s="15"/>
      <c r="H1255" s="14" t="s">
        <v>1255</v>
      </c>
      <c r="I1255" s="14" t="s">
        <v>1360</v>
      </c>
      <c r="J1255" s="14" t="s">
        <v>1385</v>
      </c>
      <c r="K1255" s="14" t="s">
        <v>1257</v>
      </c>
      <c r="L1255" s="14" t="s">
        <v>3534</v>
      </c>
      <c r="M1255" s="14" t="s">
        <v>1259</v>
      </c>
      <c r="N1255" s="14" t="s">
        <v>1219</v>
      </c>
      <c r="O1255" s="14" t="s">
        <v>1220</v>
      </c>
    </row>
    <row r="1256" spans="1:15" x14ac:dyDescent="0.25">
      <c r="A1256" s="14" t="s">
        <v>3541</v>
      </c>
      <c r="B1256" s="14" t="s">
        <v>3542</v>
      </c>
      <c r="C1256" s="14" t="s">
        <v>3542</v>
      </c>
      <c r="D1256" s="14" t="s">
        <v>1283</v>
      </c>
      <c r="E1256" s="15"/>
      <c r="F1256" s="14" t="s">
        <v>1742</v>
      </c>
      <c r="G1256" s="15"/>
      <c r="H1256" s="14" t="s">
        <v>1255</v>
      </c>
      <c r="I1256" s="14" t="s">
        <v>1217</v>
      </c>
      <c r="J1256" s="14" t="s">
        <v>1296</v>
      </c>
      <c r="K1256" s="14"/>
      <c r="L1256" s="14"/>
      <c r="M1256" s="14" t="s">
        <v>1259</v>
      </c>
      <c r="N1256" s="14" t="s">
        <v>1219</v>
      </c>
      <c r="O1256" s="14" t="s">
        <v>1220</v>
      </c>
    </row>
    <row r="1257" spans="1:15" x14ac:dyDescent="0.25">
      <c r="A1257" s="14" t="s">
        <v>3543</v>
      </c>
      <c r="B1257" s="14" t="s">
        <v>3544</v>
      </c>
      <c r="C1257" s="14" t="s">
        <v>3544</v>
      </c>
      <c r="D1257" s="14" t="s">
        <v>1283</v>
      </c>
      <c r="E1257" s="15"/>
      <c r="F1257" s="14" t="s">
        <v>1742</v>
      </c>
      <c r="G1257" s="15"/>
      <c r="H1257" s="14" t="s">
        <v>1255</v>
      </c>
      <c r="I1257" s="14" t="s">
        <v>1217</v>
      </c>
      <c r="J1257" s="14" t="s">
        <v>1296</v>
      </c>
      <c r="K1257" s="14"/>
      <c r="L1257" s="14"/>
      <c r="M1257" s="14" t="s">
        <v>1259</v>
      </c>
      <c r="N1257" s="14" t="s">
        <v>1219</v>
      </c>
      <c r="O1257" s="14" t="s">
        <v>1220</v>
      </c>
    </row>
    <row r="1258" spans="1:15" x14ac:dyDescent="0.25">
      <c r="A1258" s="14" t="s">
        <v>3545</v>
      </c>
      <c r="B1258" s="14" t="s">
        <v>3546</v>
      </c>
      <c r="C1258" s="14" t="s">
        <v>3546</v>
      </c>
      <c r="D1258" s="14" t="s">
        <v>1283</v>
      </c>
      <c r="E1258" s="15"/>
      <c r="F1258" s="14" t="s">
        <v>1742</v>
      </c>
      <c r="G1258" s="15"/>
      <c r="H1258" s="14" t="s">
        <v>1255</v>
      </c>
      <c r="I1258" s="14" t="s">
        <v>1217</v>
      </c>
      <c r="J1258" s="14" t="s">
        <v>1242</v>
      </c>
      <c r="K1258" s="14"/>
      <c r="L1258" s="14"/>
      <c r="M1258" s="14" t="s">
        <v>1259</v>
      </c>
      <c r="N1258" s="14" t="s">
        <v>1219</v>
      </c>
      <c r="O1258" s="14" t="s">
        <v>1220</v>
      </c>
    </row>
    <row r="1259" spans="1:15" x14ac:dyDescent="0.25">
      <c r="A1259" s="14" t="s">
        <v>3547</v>
      </c>
      <c r="B1259" s="14" t="s">
        <v>3548</v>
      </c>
      <c r="C1259" s="14" t="s">
        <v>3548</v>
      </c>
      <c r="D1259" s="14" t="s">
        <v>1283</v>
      </c>
      <c r="E1259" s="15"/>
      <c r="F1259" s="14" t="s">
        <v>1742</v>
      </c>
      <c r="G1259" s="15"/>
      <c r="H1259" s="14" t="s">
        <v>1255</v>
      </c>
      <c r="I1259" s="14" t="s">
        <v>1217</v>
      </c>
      <c r="J1259" s="14" t="s">
        <v>1242</v>
      </c>
      <c r="K1259" s="14"/>
      <c r="L1259" s="14"/>
      <c r="M1259" s="14" t="s">
        <v>1259</v>
      </c>
      <c r="N1259" s="14" t="s">
        <v>1219</v>
      </c>
      <c r="O1259" s="14" t="s">
        <v>1220</v>
      </c>
    </row>
    <row r="1260" spans="1:15" x14ac:dyDescent="0.25">
      <c r="A1260" s="14" t="s">
        <v>3549</v>
      </c>
      <c r="B1260" s="14" t="s">
        <v>3550</v>
      </c>
      <c r="C1260" s="14" t="s">
        <v>3550</v>
      </c>
      <c r="D1260" s="14" t="s">
        <v>1283</v>
      </c>
      <c r="E1260" s="15"/>
      <c r="F1260" s="14" t="s">
        <v>1742</v>
      </c>
      <c r="G1260" s="15"/>
      <c r="H1260" s="14" t="s">
        <v>1255</v>
      </c>
      <c r="I1260" s="14" t="s">
        <v>1217</v>
      </c>
      <c r="J1260" s="14" t="s">
        <v>1296</v>
      </c>
      <c r="K1260" s="14"/>
      <c r="L1260" s="14"/>
      <c r="M1260" s="14" t="s">
        <v>1259</v>
      </c>
      <c r="N1260" s="14" t="s">
        <v>1219</v>
      </c>
      <c r="O1260" s="14" t="s">
        <v>1220</v>
      </c>
    </row>
    <row r="1261" spans="1:15" x14ac:dyDescent="0.25">
      <c r="A1261" s="14" t="s">
        <v>3551</v>
      </c>
      <c r="B1261" s="14" t="s">
        <v>3552</v>
      </c>
      <c r="C1261" s="14" t="s">
        <v>3552</v>
      </c>
      <c r="D1261" s="14" t="s">
        <v>1283</v>
      </c>
      <c r="E1261" s="15"/>
      <c r="F1261" s="14" t="s">
        <v>1742</v>
      </c>
      <c r="G1261" s="15"/>
      <c r="H1261" s="14" t="s">
        <v>1255</v>
      </c>
      <c r="I1261" s="14" t="s">
        <v>1217</v>
      </c>
      <c r="J1261" s="14" t="s">
        <v>1296</v>
      </c>
      <c r="K1261" s="14"/>
      <c r="L1261" s="14"/>
      <c r="M1261" s="14" t="s">
        <v>1259</v>
      </c>
      <c r="N1261" s="14" t="s">
        <v>1219</v>
      </c>
      <c r="O1261" s="14" t="s">
        <v>1220</v>
      </c>
    </row>
    <row r="1262" spans="1:15" x14ac:dyDescent="0.25">
      <c r="A1262" s="14" t="s">
        <v>3553</v>
      </c>
      <c r="B1262" s="14" t="s">
        <v>3554</v>
      </c>
      <c r="C1262" s="14" t="s">
        <v>3554</v>
      </c>
      <c r="D1262" s="14" t="s">
        <v>1283</v>
      </c>
      <c r="E1262" s="15"/>
      <c r="F1262" s="14" t="s">
        <v>1742</v>
      </c>
      <c r="G1262" s="15"/>
      <c r="H1262" s="14" t="s">
        <v>1255</v>
      </c>
      <c r="I1262" s="14" t="s">
        <v>1217</v>
      </c>
      <c r="J1262" s="14" t="s">
        <v>1296</v>
      </c>
      <c r="K1262" s="14"/>
      <c r="L1262" s="14"/>
      <c r="M1262" s="14" t="s">
        <v>1259</v>
      </c>
      <c r="N1262" s="14" t="s">
        <v>1219</v>
      </c>
      <c r="O1262" s="14" t="s">
        <v>1220</v>
      </c>
    </row>
    <row r="1263" spans="1:15" x14ac:dyDescent="0.25">
      <c r="A1263" s="14" t="s">
        <v>3555</v>
      </c>
      <c r="B1263" s="14" t="s">
        <v>3556</v>
      </c>
      <c r="C1263" s="14" t="s">
        <v>3556</v>
      </c>
      <c r="D1263" s="14" t="s">
        <v>1283</v>
      </c>
      <c r="E1263" s="15"/>
      <c r="F1263" s="14" t="s">
        <v>1742</v>
      </c>
      <c r="G1263" s="15"/>
      <c r="H1263" s="14" t="s">
        <v>1255</v>
      </c>
      <c r="I1263" s="14" t="s">
        <v>1217</v>
      </c>
      <c r="J1263" s="14" t="s">
        <v>1296</v>
      </c>
      <c r="K1263" s="14"/>
      <c r="L1263" s="14"/>
      <c r="M1263" s="14" t="s">
        <v>1259</v>
      </c>
      <c r="N1263" s="14" t="s">
        <v>1219</v>
      </c>
      <c r="O1263" s="14" t="s">
        <v>1220</v>
      </c>
    </row>
    <row r="1264" spans="1:15" x14ac:dyDescent="0.25">
      <c r="A1264" s="14" t="s">
        <v>3557</v>
      </c>
      <c r="B1264" s="14" t="s">
        <v>3558</v>
      </c>
      <c r="C1264" s="14" t="s">
        <v>3558</v>
      </c>
      <c r="D1264" s="14" t="s">
        <v>1283</v>
      </c>
      <c r="E1264" s="15"/>
      <c r="F1264" s="14" t="s">
        <v>1742</v>
      </c>
      <c r="G1264" s="15"/>
      <c r="H1264" s="14" t="s">
        <v>1255</v>
      </c>
      <c r="I1264" s="14" t="s">
        <v>1217</v>
      </c>
      <c r="J1264" s="14" t="s">
        <v>1233</v>
      </c>
      <c r="K1264" s="14"/>
      <c r="L1264" s="14"/>
      <c r="M1264" s="14" t="s">
        <v>1259</v>
      </c>
      <c r="N1264" s="14" t="s">
        <v>1219</v>
      </c>
      <c r="O1264" s="14" t="s">
        <v>1220</v>
      </c>
    </row>
    <row r="1265" spans="1:15" x14ac:dyDescent="0.25">
      <c r="A1265" s="14" t="s">
        <v>3559</v>
      </c>
      <c r="B1265" s="14" t="s">
        <v>3560</v>
      </c>
      <c r="C1265" s="14" t="s">
        <v>3560</v>
      </c>
      <c r="D1265" s="14" t="s">
        <v>1283</v>
      </c>
      <c r="E1265" s="15"/>
      <c r="F1265" s="14" t="s">
        <v>1742</v>
      </c>
      <c r="G1265" s="15"/>
      <c r="H1265" s="14" t="s">
        <v>1255</v>
      </c>
      <c r="I1265" s="14" t="s">
        <v>1217</v>
      </c>
      <c r="J1265" s="14" t="s">
        <v>1233</v>
      </c>
      <c r="K1265" s="14"/>
      <c r="L1265" s="14"/>
      <c r="M1265" s="14" t="s">
        <v>1259</v>
      </c>
      <c r="N1265" s="14" t="s">
        <v>1219</v>
      </c>
      <c r="O1265" s="14" t="s">
        <v>1220</v>
      </c>
    </row>
    <row r="1266" spans="1:15" x14ac:dyDescent="0.25">
      <c r="A1266" s="14" t="s">
        <v>3561</v>
      </c>
      <c r="B1266" s="14" t="s">
        <v>3562</v>
      </c>
      <c r="C1266" s="14" t="s">
        <v>3562</v>
      </c>
      <c r="D1266" s="14" t="s">
        <v>1283</v>
      </c>
      <c r="E1266" s="15"/>
      <c r="F1266" s="14" t="s">
        <v>1742</v>
      </c>
      <c r="G1266" s="15"/>
      <c r="H1266" s="14" t="s">
        <v>1255</v>
      </c>
      <c r="I1266" s="14" t="s">
        <v>1217</v>
      </c>
      <c r="J1266" s="14" t="s">
        <v>1296</v>
      </c>
      <c r="K1266" s="14"/>
      <c r="L1266" s="14"/>
      <c r="M1266" s="14" t="s">
        <v>1259</v>
      </c>
      <c r="N1266" s="14" t="s">
        <v>1219</v>
      </c>
      <c r="O1266" s="14" t="s">
        <v>1220</v>
      </c>
    </row>
    <row r="1267" spans="1:15" x14ac:dyDescent="0.25">
      <c r="A1267" s="14" t="s">
        <v>3563</v>
      </c>
      <c r="B1267" s="14" t="s">
        <v>3564</v>
      </c>
      <c r="C1267" s="14" t="s">
        <v>3564</v>
      </c>
      <c r="D1267" s="14" t="s">
        <v>1283</v>
      </c>
      <c r="E1267" s="15"/>
      <c r="F1267" s="14" t="s">
        <v>1742</v>
      </c>
      <c r="G1267" s="15"/>
      <c r="H1267" s="14" t="s">
        <v>1255</v>
      </c>
      <c r="I1267" s="14" t="s">
        <v>1217</v>
      </c>
      <c r="J1267" s="14" t="s">
        <v>1242</v>
      </c>
      <c r="K1267" s="14"/>
      <c r="L1267" s="14"/>
      <c r="M1267" s="14" t="s">
        <v>1259</v>
      </c>
      <c r="N1267" s="14" t="s">
        <v>1219</v>
      </c>
      <c r="O1267" s="14" t="s">
        <v>1220</v>
      </c>
    </row>
    <row r="1268" spans="1:15" x14ac:dyDescent="0.25">
      <c r="A1268" s="14" t="s">
        <v>3565</v>
      </c>
      <c r="B1268" s="14" t="s">
        <v>3566</v>
      </c>
      <c r="C1268" s="14" t="s">
        <v>3566</v>
      </c>
      <c r="D1268" s="14" t="s">
        <v>1283</v>
      </c>
      <c r="E1268" s="15"/>
      <c r="F1268" s="14" t="s">
        <v>1742</v>
      </c>
      <c r="G1268" s="15"/>
      <c r="H1268" s="14" t="s">
        <v>1255</v>
      </c>
      <c r="I1268" s="14" t="s">
        <v>1217</v>
      </c>
      <c r="J1268" s="14" t="s">
        <v>1296</v>
      </c>
      <c r="K1268" s="14"/>
      <c r="L1268" s="14"/>
      <c r="M1268" s="14" t="s">
        <v>1259</v>
      </c>
      <c r="N1268" s="14" t="s">
        <v>1219</v>
      </c>
      <c r="O1268" s="14" t="s">
        <v>1220</v>
      </c>
    </row>
    <row r="1269" spans="1:15" x14ac:dyDescent="0.25">
      <c r="A1269" s="14" t="s">
        <v>3567</v>
      </c>
      <c r="B1269" s="14" t="s">
        <v>3568</v>
      </c>
      <c r="C1269" s="14" t="s">
        <v>3568</v>
      </c>
      <c r="D1269" s="14" t="s">
        <v>1283</v>
      </c>
      <c r="E1269" s="15"/>
      <c r="F1269" s="14" t="s">
        <v>1742</v>
      </c>
      <c r="G1269" s="15"/>
      <c r="H1269" s="14" t="s">
        <v>1255</v>
      </c>
      <c r="I1269" s="14" t="s">
        <v>1217</v>
      </c>
      <c r="J1269" s="14" t="s">
        <v>1242</v>
      </c>
      <c r="K1269" s="14"/>
      <c r="L1269" s="14"/>
      <c r="M1269" s="14" t="s">
        <v>1259</v>
      </c>
      <c r="N1269" s="14" t="s">
        <v>1219</v>
      </c>
      <c r="O1269" s="14" t="s">
        <v>1220</v>
      </c>
    </row>
    <row r="1270" spans="1:15" x14ac:dyDescent="0.25">
      <c r="A1270" s="14" t="s">
        <v>3569</v>
      </c>
      <c r="B1270" s="14" t="s">
        <v>3570</v>
      </c>
      <c r="C1270" s="14" t="s">
        <v>3570</v>
      </c>
      <c r="D1270" s="14" t="s">
        <v>1283</v>
      </c>
      <c r="E1270" s="15"/>
      <c r="F1270" s="14" t="s">
        <v>1742</v>
      </c>
      <c r="G1270" s="15"/>
      <c r="H1270" s="14" t="s">
        <v>1255</v>
      </c>
      <c r="I1270" s="14" t="s">
        <v>1217</v>
      </c>
      <c r="J1270" s="14" t="s">
        <v>1242</v>
      </c>
      <c r="K1270" s="14"/>
      <c r="L1270" s="14"/>
      <c r="M1270" s="14" t="s">
        <v>1259</v>
      </c>
      <c r="N1270" s="14" t="s">
        <v>1219</v>
      </c>
      <c r="O1270" s="14" t="s">
        <v>1220</v>
      </c>
    </row>
    <row r="1271" spans="1:15" x14ac:dyDescent="0.25">
      <c r="A1271" s="14" t="s">
        <v>3571</v>
      </c>
      <c r="B1271" s="14" t="s">
        <v>3572</v>
      </c>
      <c r="C1271" s="14" t="s">
        <v>3572</v>
      </c>
      <c r="D1271" s="14" t="s">
        <v>1283</v>
      </c>
      <c r="E1271" s="15"/>
      <c r="F1271" s="14" t="s">
        <v>1742</v>
      </c>
      <c r="G1271" s="15"/>
      <c r="H1271" s="14" t="s">
        <v>1255</v>
      </c>
      <c r="I1271" s="14" t="s">
        <v>1217</v>
      </c>
      <c r="J1271" s="14" t="s">
        <v>1242</v>
      </c>
      <c r="K1271" s="14"/>
      <c r="L1271" s="14"/>
      <c r="M1271" s="14" t="s">
        <v>1259</v>
      </c>
      <c r="N1271" s="14" t="s">
        <v>1219</v>
      </c>
      <c r="O1271" s="14" t="s">
        <v>1220</v>
      </c>
    </row>
    <row r="1272" spans="1:15" x14ac:dyDescent="0.25">
      <c r="A1272" s="14" t="s">
        <v>3573</v>
      </c>
      <c r="B1272" s="14" t="s">
        <v>3574</v>
      </c>
      <c r="C1272" s="14" t="s">
        <v>3574</v>
      </c>
      <c r="D1272" s="14" t="s">
        <v>1283</v>
      </c>
      <c r="E1272" s="15"/>
      <c r="F1272" s="14" t="s">
        <v>1742</v>
      </c>
      <c r="G1272" s="15"/>
      <c r="H1272" s="14" t="s">
        <v>1255</v>
      </c>
      <c r="I1272" s="14" t="s">
        <v>1217</v>
      </c>
      <c r="J1272" s="14" t="s">
        <v>1242</v>
      </c>
      <c r="K1272" s="14"/>
      <c r="L1272" s="14"/>
      <c r="M1272" s="14" t="s">
        <v>1259</v>
      </c>
      <c r="N1272" s="14" t="s">
        <v>1219</v>
      </c>
      <c r="O1272" s="14" t="s">
        <v>1220</v>
      </c>
    </row>
    <row r="1273" spans="1:15" x14ac:dyDescent="0.25">
      <c r="A1273" s="14" t="s">
        <v>3575</v>
      </c>
      <c r="B1273" s="14" t="s">
        <v>3576</v>
      </c>
      <c r="C1273" s="14" t="s">
        <v>3576</v>
      </c>
      <c r="D1273" s="14" t="s">
        <v>1283</v>
      </c>
      <c r="E1273" s="15"/>
      <c r="F1273" s="14" t="s">
        <v>1742</v>
      </c>
      <c r="G1273" s="15"/>
      <c r="H1273" s="14" t="s">
        <v>1255</v>
      </c>
      <c r="I1273" s="14" t="s">
        <v>1217</v>
      </c>
      <c r="J1273" s="14" t="s">
        <v>1242</v>
      </c>
      <c r="K1273" s="14"/>
      <c r="L1273" s="14"/>
      <c r="M1273" s="14" t="s">
        <v>1259</v>
      </c>
      <c r="N1273" s="14" t="s">
        <v>1219</v>
      </c>
      <c r="O1273" s="14" t="s">
        <v>1220</v>
      </c>
    </row>
    <row r="1274" spans="1:15" x14ac:dyDescent="0.25">
      <c r="A1274" s="14" t="s">
        <v>3577</v>
      </c>
      <c r="B1274" s="14" t="s">
        <v>3578</v>
      </c>
      <c r="C1274" s="14" t="s">
        <v>3578</v>
      </c>
      <c r="D1274" s="14" t="s">
        <v>1283</v>
      </c>
      <c r="E1274" s="15"/>
      <c r="F1274" s="14" t="s">
        <v>1255</v>
      </c>
      <c r="G1274" s="15"/>
      <c r="H1274" s="14" t="s">
        <v>1255</v>
      </c>
      <c r="I1274" s="14" t="s">
        <v>1217</v>
      </c>
      <c r="J1274" s="14" t="s">
        <v>1296</v>
      </c>
      <c r="K1274" s="14"/>
      <c r="L1274" s="14"/>
      <c r="M1274" s="14" t="s">
        <v>1259</v>
      </c>
      <c r="N1274" s="14" t="s">
        <v>1219</v>
      </c>
      <c r="O1274" s="14" t="s">
        <v>1220</v>
      </c>
    </row>
    <row r="1275" spans="1:15" x14ac:dyDescent="0.25">
      <c r="A1275" s="14" t="s">
        <v>3579</v>
      </c>
      <c r="B1275" s="14" t="s">
        <v>3580</v>
      </c>
      <c r="C1275" s="14" t="s">
        <v>3580</v>
      </c>
      <c r="D1275" s="14" t="s">
        <v>1283</v>
      </c>
      <c r="E1275" s="15"/>
      <c r="F1275" s="14" t="s">
        <v>1255</v>
      </c>
      <c r="G1275" s="15"/>
      <c r="H1275" s="14" t="s">
        <v>1255</v>
      </c>
      <c r="I1275" s="14" t="s">
        <v>1217</v>
      </c>
      <c r="J1275" s="14" t="s">
        <v>1296</v>
      </c>
      <c r="K1275" s="14"/>
      <c r="L1275" s="14"/>
      <c r="M1275" s="14" t="s">
        <v>1259</v>
      </c>
      <c r="N1275" s="14" t="s">
        <v>1219</v>
      </c>
      <c r="O1275" s="14" t="s">
        <v>1220</v>
      </c>
    </row>
    <row r="1276" spans="1:15" x14ac:dyDescent="0.25">
      <c r="A1276" s="14" t="s">
        <v>3581</v>
      </c>
      <c r="B1276" s="14" t="s">
        <v>3582</v>
      </c>
      <c r="C1276" s="14" t="s">
        <v>3582</v>
      </c>
      <c r="D1276" s="14" t="s">
        <v>1283</v>
      </c>
      <c r="E1276" s="15"/>
      <c r="F1276" s="14" t="s">
        <v>1742</v>
      </c>
      <c r="G1276" s="15"/>
      <c r="H1276" s="14" t="s">
        <v>1255</v>
      </c>
      <c r="I1276" s="14" t="s">
        <v>1217</v>
      </c>
      <c r="J1276" s="14" t="s">
        <v>1296</v>
      </c>
      <c r="K1276" s="14"/>
      <c r="L1276" s="14"/>
      <c r="M1276" s="14" t="s">
        <v>1259</v>
      </c>
      <c r="N1276" s="14" t="s">
        <v>1219</v>
      </c>
      <c r="O1276" s="14" t="s">
        <v>1220</v>
      </c>
    </row>
    <row r="1277" spans="1:15" x14ac:dyDescent="0.25">
      <c r="A1277" s="14" t="s">
        <v>3583</v>
      </c>
      <c r="B1277" s="14" t="s">
        <v>3584</v>
      </c>
      <c r="C1277" s="14" t="s">
        <v>3584</v>
      </c>
      <c r="D1277" s="14" t="s">
        <v>1283</v>
      </c>
      <c r="E1277" s="15"/>
      <c r="F1277" s="14" t="s">
        <v>1742</v>
      </c>
      <c r="G1277" s="15"/>
      <c r="H1277" s="14" t="s">
        <v>1255</v>
      </c>
      <c r="I1277" s="14" t="s">
        <v>1217</v>
      </c>
      <c r="J1277" s="14" t="s">
        <v>1242</v>
      </c>
      <c r="K1277" s="14"/>
      <c r="L1277" s="14"/>
      <c r="M1277" s="14" t="s">
        <v>1259</v>
      </c>
      <c r="N1277" s="14" t="s">
        <v>1219</v>
      </c>
      <c r="O1277" s="14" t="s">
        <v>1220</v>
      </c>
    </row>
    <row r="1278" spans="1:15" x14ac:dyDescent="0.25">
      <c r="A1278" s="14">
        <v>6119</v>
      </c>
      <c r="B1278" s="14" t="s">
        <v>3585</v>
      </c>
      <c r="C1278" s="14" t="s">
        <v>3585</v>
      </c>
      <c r="D1278" s="14" t="s">
        <v>1807</v>
      </c>
      <c r="E1278" s="15"/>
      <c r="F1278" s="14"/>
      <c r="G1278" s="15"/>
      <c r="H1278" s="14" t="s">
        <v>1255</v>
      </c>
      <c r="I1278" s="14" t="s">
        <v>1217</v>
      </c>
      <c r="J1278" s="14"/>
      <c r="K1278" s="14"/>
      <c r="L1278" s="14"/>
      <c r="M1278" s="14"/>
      <c r="N1278" s="14" t="s">
        <v>1219</v>
      </c>
      <c r="O1278" s="14" t="s">
        <v>1220</v>
      </c>
    </row>
    <row r="1279" spans="1:15" x14ac:dyDescent="0.25">
      <c r="A1279" s="14">
        <v>6066</v>
      </c>
      <c r="B1279" s="14" t="s">
        <v>3586</v>
      </c>
      <c r="C1279" s="14" t="s">
        <v>3586</v>
      </c>
      <c r="D1279" s="14" t="s">
        <v>1807</v>
      </c>
      <c r="E1279" s="15"/>
      <c r="F1279" s="14"/>
      <c r="G1279" s="15"/>
      <c r="H1279" s="14" t="s">
        <v>1255</v>
      </c>
      <c r="I1279" s="14" t="s">
        <v>1217</v>
      </c>
      <c r="J1279" s="14"/>
      <c r="K1279" s="14"/>
      <c r="L1279" s="14"/>
      <c r="M1279" s="14"/>
      <c r="N1279" s="14" t="s">
        <v>1219</v>
      </c>
      <c r="O1279" s="14" t="s">
        <v>1220</v>
      </c>
    </row>
    <row r="1280" spans="1:15" x14ac:dyDescent="0.25">
      <c r="A1280" s="14">
        <v>6068</v>
      </c>
      <c r="B1280" s="14" t="s">
        <v>3587</v>
      </c>
      <c r="C1280" s="14" t="s">
        <v>3587</v>
      </c>
      <c r="D1280" s="14" t="s">
        <v>1807</v>
      </c>
      <c r="E1280" s="15"/>
      <c r="F1280" s="14"/>
      <c r="G1280" s="15"/>
      <c r="H1280" s="14" t="s">
        <v>1255</v>
      </c>
      <c r="I1280" s="14" t="s">
        <v>1217</v>
      </c>
      <c r="J1280" s="14"/>
      <c r="K1280" s="14"/>
      <c r="L1280" s="14"/>
      <c r="M1280" s="14"/>
      <c r="N1280" s="14" t="s">
        <v>1219</v>
      </c>
      <c r="O1280" s="14" t="s">
        <v>1220</v>
      </c>
    </row>
    <row r="1281" spans="1:15" x14ac:dyDescent="0.25">
      <c r="A1281" s="14">
        <v>6022</v>
      </c>
      <c r="B1281" s="14" t="s">
        <v>3588</v>
      </c>
      <c r="C1281" s="14" t="s">
        <v>3588</v>
      </c>
      <c r="D1281" s="14" t="s">
        <v>1807</v>
      </c>
      <c r="E1281" s="15"/>
      <c r="F1281" s="14"/>
      <c r="G1281" s="15"/>
      <c r="H1281" s="14" t="s">
        <v>1255</v>
      </c>
      <c r="I1281" s="14" t="s">
        <v>1217</v>
      </c>
      <c r="J1281" s="14"/>
      <c r="K1281" s="14"/>
      <c r="L1281" s="14"/>
      <c r="M1281" s="14"/>
      <c r="N1281" s="14" t="s">
        <v>1219</v>
      </c>
      <c r="O1281" s="14" t="s">
        <v>1220</v>
      </c>
    </row>
    <row r="1282" spans="1:15" x14ac:dyDescent="0.25">
      <c r="A1282" s="14">
        <v>6120</v>
      </c>
      <c r="B1282" s="14" t="s">
        <v>3589</v>
      </c>
      <c r="C1282" s="14" t="s">
        <v>3589</v>
      </c>
      <c r="D1282" s="14" t="s">
        <v>1807</v>
      </c>
      <c r="E1282" s="15"/>
      <c r="F1282" s="14"/>
      <c r="G1282" s="15"/>
      <c r="H1282" s="14" t="s">
        <v>1255</v>
      </c>
      <c r="I1282" s="14" t="s">
        <v>1217</v>
      </c>
      <c r="J1282" s="14"/>
      <c r="K1282" s="14"/>
      <c r="L1282" s="14"/>
      <c r="M1282" s="14"/>
      <c r="N1282" s="14" t="s">
        <v>1219</v>
      </c>
      <c r="O1282" s="14" t="s">
        <v>1220</v>
      </c>
    </row>
    <row r="1283" spans="1:15" x14ac:dyDescent="0.25">
      <c r="A1283" s="14">
        <v>6080</v>
      </c>
      <c r="B1283" s="14" t="s">
        <v>3590</v>
      </c>
      <c r="C1283" s="14" t="s">
        <v>3590</v>
      </c>
      <c r="D1283" s="14" t="s">
        <v>1807</v>
      </c>
      <c r="E1283" s="15"/>
      <c r="F1283" s="14"/>
      <c r="G1283" s="15"/>
      <c r="H1283" s="14" t="s">
        <v>1255</v>
      </c>
      <c r="I1283" s="14" t="s">
        <v>1217</v>
      </c>
      <c r="J1283" s="14"/>
      <c r="K1283" s="14"/>
      <c r="L1283" s="14"/>
      <c r="M1283" s="14"/>
      <c r="N1283" s="14" t="s">
        <v>1219</v>
      </c>
      <c r="O1283" s="14" t="s">
        <v>1220</v>
      </c>
    </row>
    <row r="1284" spans="1:15" x14ac:dyDescent="0.25">
      <c r="A1284" s="14">
        <v>6121</v>
      </c>
      <c r="B1284" s="14" t="s">
        <v>3591</v>
      </c>
      <c r="C1284" s="14" t="s">
        <v>3591</v>
      </c>
      <c r="D1284" s="14" t="s">
        <v>1807</v>
      </c>
      <c r="E1284" s="15"/>
      <c r="F1284" s="14"/>
      <c r="G1284" s="15"/>
      <c r="H1284" s="14" t="s">
        <v>1255</v>
      </c>
      <c r="I1284" s="14" t="s">
        <v>1217</v>
      </c>
      <c r="J1284" s="14"/>
      <c r="K1284" s="14"/>
      <c r="L1284" s="14"/>
      <c r="M1284" s="14"/>
      <c r="N1284" s="14" t="s">
        <v>1219</v>
      </c>
      <c r="O1284" s="14" t="s">
        <v>1220</v>
      </c>
    </row>
    <row r="1285" spans="1:15" x14ac:dyDescent="0.25">
      <c r="A1285" s="14">
        <v>6122</v>
      </c>
      <c r="B1285" s="14" t="s">
        <v>3592</v>
      </c>
      <c r="C1285" s="14" t="s">
        <v>3592</v>
      </c>
      <c r="D1285" s="14" t="s">
        <v>1807</v>
      </c>
      <c r="E1285" s="15"/>
      <c r="F1285" s="14"/>
      <c r="G1285" s="15"/>
      <c r="H1285" s="14" t="s">
        <v>1255</v>
      </c>
      <c r="I1285" s="14" t="s">
        <v>1217</v>
      </c>
      <c r="J1285" s="14"/>
      <c r="K1285" s="14"/>
      <c r="L1285" s="14"/>
      <c r="M1285" s="14"/>
      <c r="N1285" s="14" t="s">
        <v>1219</v>
      </c>
      <c r="O1285" s="14" t="s">
        <v>1220</v>
      </c>
    </row>
    <row r="1286" spans="1:15" x14ac:dyDescent="0.25">
      <c r="A1286" s="14">
        <v>6083</v>
      </c>
      <c r="B1286" s="14" t="s">
        <v>3593</v>
      </c>
      <c r="C1286" s="14" t="s">
        <v>3593</v>
      </c>
      <c r="D1286" s="14" t="s">
        <v>1807</v>
      </c>
      <c r="E1286" s="15"/>
      <c r="F1286" s="14"/>
      <c r="G1286" s="15"/>
      <c r="H1286" s="14" t="s">
        <v>1255</v>
      </c>
      <c r="I1286" s="14" t="s">
        <v>1217</v>
      </c>
      <c r="J1286" s="14"/>
      <c r="K1286" s="14"/>
      <c r="L1286" s="14"/>
      <c r="M1286" s="14"/>
      <c r="N1286" s="14" t="s">
        <v>1219</v>
      </c>
      <c r="O1286" s="14" t="s">
        <v>1220</v>
      </c>
    </row>
    <row r="1287" spans="1:15" x14ac:dyDescent="0.25">
      <c r="A1287" s="14">
        <v>6085</v>
      </c>
      <c r="B1287" s="14" t="s">
        <v>3594</v>
      </c>
      <c r="C1287" s="14" t="s">
        <v>3594</v>
      </c>
      <c r="D1287" s="14" t="s">
        <v>1807</v>
      </c>
      <c r="E1287" s="15"/>
      <c r="F1287" s="14"/>
      <c r="G1287" s="15"/>
      <c r="H1287" s="14" t="s">
        <v>1255</v>
      </c>
      <c r="I1287" s="14" t="s">
        <v>1217</v>
      </c>
      <c r="J1287" s="14"/>
      <c r="K1287" s="14"/>
      <c r="L1287" s="14"/>
      <c r="M1287" s="14"/>
      <c r="N1287" s="14" t="s">
        <v>1219</v>
      </c>
      <c r="O1287" s="14" t="s">
        <v>1220</v>
      </c>
    </row>
    <row r="1288" spans="1:15" x14ac:dyDescent="0.25">
      <c r="A1288" s="14">
        <v>6065</v>
      </c>
      <c r="B1288" s="14" t="s">
        <v>3595</v>
      </c>
      <c r="C1288" s="14" t="s">
        <v>3595</v>
      </c>
      <c r="D1288" s="14" t="s">
        <v>1807</v>
      </c>
      <c r="E1288" s="15"/>
      <c r="F1288" s="14"/>
      <c r="G1288" s="15"/>
      <c r="H1288" s="14" t="s">
        <v>1255</v>
      </c>
      <c r="I1288" s="14" t="s">
        <v>1217</v>
      </c>
      <c r="J1288" s="14"/>
      <c r="K1288" s="14"/>
      <c r="L1288" s="14"/>
      <c r="M1288" s="14"/>
      <c r="N1288" s="14" t="s">
        <v>1219</v>
      </c>
      <c r="O1288" s="14" t="s">
        <v>1220</v>
      </c>
    </row>
    <row r="1289" spans="1:15" x14ac:dyDescent="0.25">
      <c r="A1289" s="14">
        <v>6067</v>
      </c>
      <c r="B1289" s="14" t="s">
        <v>3596</v>
      </c>
      <c r="C1289" s="14" t="s">
        <v>3596</v>
      </c>
      <c r="D1289" s="14" t="s">
        <v>1807</v>
      </c>
      <c r="E1289" s="15"/>
      <c r="F1289" s="14"/>
      <c r="G1289" s="15"/>
      <c r="H1289" s="14" t="s">
        <v>1255</v>
      </c>
      <c r="I1289" s="14" t="s">
        <v>1217</v>
      </c>
      <c r="J1289" s="14"/>
      <c r="K1289" s="14"/>
      <c r="L1289" s="14"/>
      <c r="M1289" s="14"/>
      <c r="N1289" s="14" t="s">
        <v>1219</v>
      </c>
      <c r="O1289" s="14" t="s">
        <v>1220</v>
      </c>
    </row>
    <row r="1290" spans="1:15" x14ac:dyDescent="0.25">
      <c r="A1290" s="14">
        <v>6069</v>
      </c>
      <c r="B1290" s="14" t="s">
        <v>3597</v>
      </c>
      <c r="C1290" s="14" t="s">
        <v>3597</v>
      </c>
      <c r="D1290" s="14" t="s">
        <v>1807</v>
      </c>
      <c r="E1290" s="15"/>
      <c r="F1290" s="14"/>
      <c r="G1290" s="15"/>
      <c r="H1290" s="14" t="s">
        <v>1255</v>
      </c>
      <c r="I1290" s="14" t="s">
        <v>1217</v>
      </c>
      <c r="J1290" s="14"/>
      <c r="K1290" s="14"/>
      <c r="L1290" s="14"/>
      <c r="M1290" s="14"/>
      <c r="N1290" s="14" t="s">
        <v>1219</v>
      </c>
      <c r="O1290" s="14" t="s">
        <v>1220</v>
      </c>
    </row>
    <row r="1291" spans="1:15" x14ac:dyDescent="0.25">
      <c r="A1291" s="14">
        <v>6076</v>
      </c>
      <c r="B1291" s="14" t="s">
        <v>3598</v>
      </c>
      <c r="C1291" s="14" t="s">
        <v>3598</v>
      </c>
      <c r="D1291" s="14" t="s">
        <v>1807</v>
      </c>
      <c r="E1291" s="15"/>
      <c r="F1291" s="14"/>
      <c r="G1291" s="15"/>
      <c r="H1291" s="14" t="s">
        <v>1255</v>
      </c>
      <c r="I1291" s="14" t="s">
        <v>1217</v>
      </c>
      <c r="J1291" s="14"/>
      <c r="K1291" s="14"/>
      <c r="L1291" s="14"/>
      <c r="M1291" s="14"/>
      <c r="N1291" s="14" t="s">
        <v>1219</v>
      </c>
      <c r="O1291" s="14" t="s">
        <v>1220</v>
      </c>
    </row>
    <row r="1292" spans="1:15" x14ac:dyDescent="0.25">
      <c r="A1292" s="14">
        <v>6123</v>
      </c>
      <c r="B1292" s="14" t="s">
        <v>3599</v>
      </c>
      <c r="C1292" s="14" t="s">
        <v>3599</v>
      </c>
      <c r="D1292" s="14" t="s">
        <v>1807</v>
      </c>
      <c r="E1292" s="15"/>
      <c r="F1292" s="14"/>
      <c r="G1292" s="15"/>
      <c r="H1292" s="14" t="s">
        <v>1255</v>
      </c>
      <c r="I1292" s="14" t="s">
        <v>1217</v>
      </c>
      <c r="J1292" s="14"/>
      <c r="K1292" s="14"/>
      <c r="L1292" s="14"/>
      <c r="M1292" s="14"/>
      <c r="N1292" s="14" t="s">
        <v>1219</v>
      </c>
      <c r="O1292" s="14" t="s">
        <v>1220</v>
      </c>
    </row>
    <row r="1293" spans="1:15" x14ac:dyDescent="0.25">
      <c r="A1293" s="14">
        <v>6081</v>
      </c>
      <c r="B1293" s="14" t="s">
        <v>3600</v>
      </c>
      <c r="C1293" s="14" t="s">
        <v>3600</v>
      </c>
      <c r="D1293" s="14" t="s">
        <v>1807</v>
      </c>
      <c r="E1293" s="15"/>
      <c r="F1293" s="14"/>
      <c r="G1293" s="15"/>
      <c r="H1293" s="14" t="s">
        <v>1255</v>
      </c>
      <c r="I1293" s="14" t="s">
        <v>1217</v>
      </c>
      <c r="J1293" s="14"/>
      <c r="K1293" s="14"/>
      <c r="L1293" s="14"/>
      <c r="M1293" s="14"/>
      <c r="N1293" s="14" t="s">
        <v>1219</v>
      </c>
      <c r="O1293" s="14" t="s">
        <v>1220</v>
      </c>
    </row>
    <row r="1294" spans="1:15" x14ac:dyDescent="0.25">
      <c r="A1294" s="14">
        <v>6077</v>
      </c>
      <c r="B1294" s="14" t="s">
        <v>3601</v>
      </c>
      <c r="C1294" s="14" t="s">
        <v>3601</v>
      </c>
      <c r="D1294" s="14" t="s">
        <v>1807</v>
      </c>
      <c r="E1294" s="15"/>
      <c r="F1294" s="14"/>
      <c r="G1294" s="15"/>
      <c r="H1294" s="14" t="s">
        <v>1255</v>
      </c>
      <c r="I1294" s="14" t="s">
        <v>1217</v>
      </c>
      <c r="J1294" s="14"/>
      <c r="K1294" s="14"/>
      <c r="L1294" s="14"/>
      <c r="M1294" s="14"/>
      <c r="N1294" s="14" t="s">
        <v>1219</v>
      </c>
      <c r="O1294" s="14" t="s">
        <v>1220</v>
      </c>
    </row>
    <row r="1295" spans="1:15" x14ac:dyDescent="0.25">
      <c r="A1295" s="14">
        <v>6082</v>
      </c>
      <c r="B1295" s="14" t="s">
        <v>3602</v>
      </c>
      <c r="C1295" s="14" t="s">
        <v>3602</v>
      </c>
      <c r="D1295" s="14" t="s">
        <v>1807</v>
      </c>
      <c r="E1295" s="15"/>
      <c r="F1295" s="14"/>
      <c r="G1295" s="15"/>
      <c r="H1295" s="14" t="s">
        <v>1255</v>
      </c>
      <c r="I1295" s="14" t="s">
        <v>1217</v>
      </c>
      <c r="J1295" s="14"/>
      <c r="K1295" s="14"/>
      <c r="L1295" s="14"/>
      <c r="M1295" s="14"/>
      <c r="N1295" s="14" t="s">
        <v>1219</v>
      </c>
      <c r="O1295" s="14" t="s">
        <v>1220</v>
      </c>
    </row>
    <row r="1296" spans="1:15" x14ac:dyDescent="0.25">
      <c r="A1296" s="14">
        <v>6084</v>
      </c>
      <c r="B1296" s="14" t="s">
        <v>3603</v>
      </c>
      <c r="C1296" s="14" t="s">
        <v>3603</v>
      </c>
      <c r="D1296" s="14" t="s">
        <v>1807</v>
      </c>
      <c r="E1296" s="15"/>
      <c r="F1296" s="14"/>
      <c r="G1296" s="15"/>
      <c r="H1296" s="14" t="s">
        <v>1255</v>
      </c>
      <c r="I1296" s="14" t="s">
        <v>1217</v>
      </c>
      <c r="J1296" s="14"/>
      <c r="K1296" s="14"/>
      <c r="L1296" s="14"/>
      <c r="M1296" s="14"/>
      <c r="N1296" s="14" t="s">
        <v>1219</v>
      </c>
      <c r="O1296" s="14" t="s">
        <v>1220</v>
      </c>
    </row>
    <row r="1297" spans="1:15" x14ac:dyDescent="0.25">
      <c r="A1297" s="14">
        <v>6086</v>
      </c>
      <c r="B1297" s="14" t="s">
        <v>3604</v>
      </c>
      <c r="C1297" s="14" t="s">
        <v>3604</v>
      </c>
      <c r="D1297" s="14" t="s">
        <v>1807</v>
      </c>
      <c r="E1297" s="15"/>
      <c r="F1297" s="14"/>
      <c r="G1297" s="15"/>
      <c r="H1297" s="14" t="s">
        <v>1255</v>
      </c>
      <c r="I1297" s="14" t="s">
        <v>1217</v>
      </c>
      <c r="J1297" s="14"/>
      <c r="K1297" s="14"/>
      <c r="L1297" s="14"/>
      <c r="M1297" s="14"/>
      <c r="N1297" s="14" t="s">
        <v>1219</v>
      </c>
      <c r="O1297" s="14" t="s">
        <v>1220</v>
      </c>
    </row>
    <row r="1298" spans="1:15" x14ac:dyDescent="0.25">
      <c r="A1298" s="14" t="s">
        <v>3605</v>
      </c>
      <c r="B1298" s="14" t="s">
        <v>3606</v>
      </c>
      <c r="C1298" s="14" t="s">
        <v>3606</v>
      </c>
      <c r="D1298" s="14" t="s">
        <v>1283</v>
      </c>
      <c r="E1298" s="15"/>
      <c r="F1298" s="14" t="s">
        <v>1742</v>
      </c>
      <c r="G1298" s="15"/>
      <c r="H1298" s="14" t="s">
        <v>1255</v>
      </c>
      <c r="I1298" s="14" t="s">
        <v>1217</v>
      </c>
      <c r="J1298" s="14" t="s">
        <v>1296</v>
      </c>
      <c r="K1298" s="14"/>
      <c r="L1298" s="14"/>
      <c r="M1298" s="14" t="s">
        <v>1259</v>
      </c>
      <c r="N1298" s="14" t="s">
        <v>1219</v>
      </c>
      <c r="O1298" s="14" t="s">
        <v>1220</v>
      </c>
    </row>
    <row r="1299" spans="1:15" x14ac:dyDescent="0.25">
      <c r="A1299" s="14" t="s">
        <v>3607</v>
      </c>
      <c r="B1299" s="14" t="s">
        <v>3608</v>
      </c>
      <c r="C1299" s="14" t="s">
        <v>3608</v>
      </c>
      <c r="D1299" s="14" t="s">
        <v>1283</v>
      </c>
      <c r="E1299" s="15"/>
      <c r="F1299" s="14" t="s">
        <v>1742</v>
      </c>
      <c r="G1299" s="15"/>
      <c r="H1299" s="14" t="s">
        <v>1255</v>
      </c>
      <c r="I1299" s="14" t="s">
        <v>1217</v>
      </c>
      <c r="J1299" s="14" t="s">
        <v>1296</v>
      </c>
      <c r="K1299" s="14"/>
      <c r="L1299" s="14"/>
      <c r="M1299" s="14" t="s">
        <v>1259</v>
      </c>
      <c r="N1299" s="14" t="s">
        <v>1219</v>
      </c>
      <c r="O1299" s="14" t="s">
        <v>1220</v>
      </c>
    </row>
    <row r="1300" spans="1:15" x14ac:dyDescent="0.25">
      <c r="A1300" s="14" t="s">
        <v>3609</v>
      </c>
      <c r="B1300" s="14" t="s">
        <v>3610</v>
      </c>
      <c r="C1300" s="14" t="s">
        <v>3610</v>
      </c>
      <c r="D1300" s="14" t="s">
        <v>1283</v>
      </c>
      <c r="E1300" s="15"/>
      <c r="F1300" s="14" t="s">
        <v>1742</v>
      </c>
      <c r="G1300" s="15"/>
      <c r="H1300" s="14" t="s">
        <v>1255</v>
      </c>
      <c r="I1300" s="14" t="s">
        <v>1217</v>
      </c>
      <c r="J1300" s="14" t="s">
        <v>1296</v>
      </c>
      <c r="K1300" s="14"/>
      <c r="L1300" s="14"/>
      <c r="M1300" s="14" t="s">
        <v>1259</v>
      </c>
      <c r="N1300" s="14" t="s">
        <v>1219</v>
      </c>
      <c r="O1300" s="14" t="s">
        <v>1220</v>
      </c>
    </row>
    <row r="1301" spans="1:15" x14ac:dyDescent="0.25">
      <c r="A1301" s="14" t="s">
        <v>3611</v>
      </c>
      <c r="B1301" s="14" t="s">
        <v>3612</v>
      </c>
      <c r="C1301" s="14" t="s">
        <v>3612</v>
      </c>
      <c r="D1301" s="14" t="s">
        <v>1283</v>
      </c>
      <c r="E1301" s="15"/>
      <c r="F1301" s="14" t="s">
        <v>1742</v>
      </c>
      <c r="G1301" s="15"/>
      <c r="H1301" s="14" t="s">
        <v>1255</v>
      </c>
      <c r="I1301" s="14" t="s">
        <v>1217</v>
      </c>
      <c r="J1301" s="14" t="s">
        <v>1296</v>
      </c>
      <c r="K1301" s="14"/>
      <c r="L1301" s="14"/>
      <c r="M1301" s="14" t="s">
        <v>1259</v>
      </c>
      <c r="N1301" s="14" t="s">
        <v>1219</v>
      </c>
      <c r="O1301" s="14" t="s">
        <v>1220</v>
      </c>
    </row>
    <row r="1302" spans="1:15" x14ac:dyDescent="0.25">
      <c r="A1302" s="14" t="s">
        <v>3613</v>
      </c>
      <c r="B1302" s="14" t="s">
        <v>3614</v>
      </c>
      <c r="C1302" s="14" t="s">
        <v>3614</v>
      </c>
      <c r="D1302" s="14" t="s">
        <v>1283</v>
      </c>
      <c r="E1302" s="15"/>
      <c r="F1302" s="14" t="s">
        <v>1742</v>
      </c>
      <c r="G1302" s="15"/>
      <c r="H1302" s="14" t="s">
        <v>1255</v>
      </c>
      <c r="I1302" s="14" t="s">
        <v>1217</v>
      </c>
      <c r="J1302" s="14" t="s">
        <v>1296</v>
      </c>
      <c r="K1302" s="14"/>
      <c r="L1302" s="14"/>
      <c r="M1302" s="14" t="s">
        <v>1259</v>
      </c>
      <c r="N1302" s="14" t="s">
        <v>1219</v>
      </c>
      <c r="O1302" s="14" t="s">
        <v>1220</v>
      </c>
    </row>
    <row r="1303" spans="1:15" x14ac:dyDescent="0.25">
      <c r="A1303" s="14" t="s">
        <v>3615</v>
      </c>
      <c r="B1303" s="14" t="s">
        <v>3616</v>
      </c>
      <c r="C1303" s="14" t="s">
        <v>3616</v>
      </c>
      <c r="D1303" s="14" t="s">
        <v>1283</v>
      </c>
      <c r="E1303" s="15"/>
      <c r="F1303" s="14" t="s">
        <v>1742</v>
      </c>
      <c r="G1303" s="15"/>
      <c r="H1303" s="14" t="s">
        <v>1255</v>
      </c>
      <c r="I1303" s="14" t="s">
        <v>1217</v>
      </c>
      <c r="J1303" s="14" t="s">
        <v>1296</v>
      </c>
      <c r="K1303" s="14"/>
      <c r="L1303" s="14"/>
      <c r="M1303" s="14" t="s">
        <v>1259</v>
      </c>
      <c r="N1303" s="14" t="s">
        <v>1219</v>
      </c>
      <c r="O1303" s="14" t="s">
        <v>1220</v>
      </c>
    </row>
    <row r="1304" spans="1:15" x14ac:dyDescent="0.25">
      <c r="A1304" s="14" t="s">
        <v>3617</v>
      </c>
      <c r="B1304" s="14" t="s">
        <v>3618</v>
      </c>
      <c r="C1304" s="14" t="s">
        <v>3618</v>
      </c>
      <c r="D1304" s="14" t="s">
        <v>1349</v>
      </c>
      <c r="E1304" s="15"/>
      <c r="F1304" s="14"/>
      <c r="G1304" s="15"/>
      <c r="H1304" s="14" t="s">
        <v>1380</v>
      </c>
      <c r="I1304" s="14" t="s">
        <v>1360</v>
      </c>
      <c r="J1304" s="14" t="s">
        <v>1360</v>
      </c>
      <c r="K1304" s="14"/>
      <c r="L1304" s="14"/>
      <c r="M1304" s="14" t="s">
        <v>1324</v>
      </c>
      <c r="N1304" s="14" t="s">
        <v>1219</v>
      </c>
      <c r="O1304" s="14" t="s">
        <v>1220</v>
      </c>
    </row>
    <row r="1305" spans="1:15" x14ac:dyDescent="0.25">
      <c r="A1305" s="14" t="s">
        <v>3619</v>
      </c>
      <c r="B1305" s="14" t="s">
        <v>3620</v>
      </c>
      <c r="C1305" s="14" t="s">
        <v>3620</v>
      </c>
      <c r="D1305" s="14" t="s">
        <v>1349</v>
      </c>
      <c r="E1305" s="15"/>
      <c r="F1305" s="14" t="s">
        <v>1350</v>
      </c>
      <c r="G1305" s="15"/>
      <c r="H1305" s="14" t="s">
        <v>1380</v>
      </c>
      <c r="I1305" s="14" t="s">
        <v>1360</v>
      </c>
      <c r="J1305" s="14" t="s">
        <v>1360</v>
      </c>
      <c r="K1305" s="14" t="s">
        <v>1257</v>
      </c>
      <c r="L1305" s="14" t="s">
        <v>3621</v>
      </c>
      <c r="M1305" s="14" t="s">
        <v>1324</v>
      </c>
      <c r="N1305" s="14" t="s">
        <v>1219</v>
      </c>
      <c r="O1305" s="14" t="s">
        <v>1220</v>
      </c>
    </row>
    <row r="1306" spans="1:15" x14ac:dyDescent="0.25">
      <c r="A1306" s="14" t="s">
        <v>3622</v>
      </c>
      <c r="B1306" s="14" t="s">
        <v>3623</v>
      </c>
      <c r="C1306" s="14" t="s">
        <v>3623</v>
      </c>
      <c r="D1306" s="14" t="s">
        <v>1349</v>
      </c>
      <c r="E1306" s="15"/>
      <c r="F1306" s="14"/>
      <c r="G1306" s="15"/>
      <c r="H1306" s="14" t="s">
        <v>1380</v>
      </c>
      <c r="I1306" s="14" t="s">
        <v>1360</v>
      </c>
      <c r="J1306" s="14" t="s">
        <v>1360</v>
      </c>
      <c r="K1306" s="14"/>
      <c r="L1306" s="14"/>
      <c r="M1306" s="14" t="s">
        <v>1324</v>
      </c>
      <c r="N1306" s="14" t="s">
        <v>1219</v>
      </c>
      <c r="O1306" s="14" t="s">
        <v>1220</v>
      </c>
    </row>
    <row r="1307" spans="1:15" x14ac:dyDescent="0.25">
      <c r="A1307" s="14">
        <v>4490</v>
      </c>
      <c r="B1307" s="14" t="s">
        <v>617</v>
      </c>
      <c r="C1307" s="14" t="s">
        <v>617</v>
      </c>
      <c r="D1307" s="14" t="s">
        <v>3368</v>
      </c>
      <c r="E1307" s="16">
        <v>40</v>
      </c>
      <c r="F1307" s="14" t="s">
        <v>1321</v>
      </c>
      <c r="G1307" s="16">
        <v>440</v>
      </c>
      <c r="H1307" s="14" t="s">
        <v>1322</v>
      </c>
      <c r="I1307" s="14" t="s">
        <v>1256</v>
      </c>
      <c r="J1307" s="14" t="s">
        <v>1296</v>
      </c>
      <c r="K1307" s="14" t="s">
        <v>1257</v>
      </c>
      <c r="L1307" s="14" t="s">
        <v>3624</v>
      </c>
      <c r="M1307" s="14" t="s">
        <v>1324</v>
      </c>
      <c r="N1307" s="14" t="s">
        <v>1237</v>
      </c>
      <c r="O1307" s="14" t="s">
        <v>1220</v>
      </c>
    </row>
    <row r="1308" spans="1:15" x14ac:dyDescent="0.25">
      <c r="A1308" s="14" t="s">
        <v>3625</v>
      </c>
      <c r="B1308" s="14" t="s">
        <v>3626</v>
      </c>
      <c r="C1308" s="14" t="s">
        <v>3626</v>
      </c>
      <c r="D1308" s="14" t="s">
        <v>1349</v>
      </c>
      <c r="E1308" s="15"/>
      <c r="F1308" s="14"/>
      <c r="G1308" s="15"/>
      <c r="H1308" s="14" t="s">
        <v>1380</v>
      </c>
      <c r="I1308" s="14" t="s">
        <v>1360</v>
      </c>
      <c r="J1308" s="14" t="s">
        <v>1360</v>
      </c>
      <c r="K1308" s="14"/>
      <c r="L1308" s="14"/>
      <c r="M1308" s="14" t="s">
        <v>1324</v>
      </c>
      <c r="N1308" s="14" t="s">
        <v>1219</v>
      </c>
      <c r="O1308" s="14" t="s">
        <v>1220</v>
      </c>
    </row>
    <row r="1309" spans="1:15" x14ac:dyDescent="0.25">
      <c r="A1309" s="14" t="s">
        <v>3627</v>
      </c>
      <c r="B1309" s="14" t="s">
        <v>3628</v>
      </c>
      <c r="C1309" s="14" t="s">
        <v>3628</v>
      </c>
      <c r="D1309" s="14" t="s">
        <v>1349</v>
      </c>
      <c r="E1309" s="15"/>
      <c r="F1309" s="14"/>
      <c r="G1309" s="15"/>
      <c r="H1309" s="14" t="s">
        <v>1380</v>
      </c>
      <c r="I1309" s="14" t="s">
        <v>1360</v>
      </c>
      <c r="J1309" s="14" t="s">
        <v>1360</v>
      </c>
      <c r="K1309" s="14"/>
      <c r="L1309" s="14"/>
      <c r="M1309" s="14" t="s">
        <v>1324</v>
      </c>
      <c r="N1309" s="14" t="s">
        <v>1219</v>
      </c>
      <c r="O1309" s="14" t="s">
        <v>1220</v>
      </c>
    </row>
    <row r="1310" spans="1:15" x14ac:dyDescent="0.25">
      <c r="A1310" s="14">
        <v>2366</v>
      </c>
      <c r="B1310" s="14" t="s">
        <v>618</v>
      </c>
      <c r="C1310" s="14" t="s">
        <v>618</v>
      </c>
      <c r="D1310" s="14" t="s">
        <v>3368</v>
      </c>
      <c r="E1310" s="16">
        <v>40</v>
      </c>
      <c r="F1310" s="14" t="s">
        <v>1321</v>
      </c>
      <c r="G1310" s="17">
        <v>1360</v>
      </c>
      <c r="H1310" s="14" t="s">
        <v>1322</v>
      </c>
      <c r="I1310" s="14" t="s">
        <v>1256</v>
      </c>
      <c r="J1310" s="14" t="s">
        <v>1242</v>
      </c>
      <c r="K1310" s="14" t="s">
        <v>1257</v>
      </c>
      <c r="L1310" s="14" t="s">
        <v>3629</v>
      </c>
      <c r="M1310" s="14" t="s">
        <v>1324</v>
      </c>
      <c r="N1310" s="14" t="s">
        <v>1237</v>
      </c>
      <c r="O1310" s="14" t="s">
        <v>1220</v>
      </c>
    </row>
    <row r="1311" spans="1:15" x14ac:dyDescent="0.25">
      <c r="A1311" s="14" t="s">
        <v>3630</v>
      </c>
      <c r="B1311" s="14" t="s">
        <v>3631</v>
      </c>
      <c r="C1311" s="14" t="s">
        <v>3631</v>
      </c>
      <c r="D1311" s="14" t="s">
        <v>3368</v>
      </c>
      <c r="E1311" s="16">
        <v>40</v>
      </c>
      <c r="F1311" s="14" t="s">
        <v>1321</v>
      </c>
      <c r="G1311" s="17">
        <v>1360</v>
      </c>
      <c r="H1311" s="14" t="s">
        <v>1322</v>
      </c>
      <c r="I1311" s="14" t="s">
        <v>1262</v>
      </c>
      <c r="J1311" s="14" t="s">
        <v>1262</v>
      </c>
      <c r="K1311" s="14" t="s">
        <v>1257</v>
      </c>
      <c r="L1311" s="14" t="s">
        <v>3629</v>
      </c>
      <c r="M1311" s="14" t="s">
        <v>1324</v>
      </c>
      <c r="N1311" s="14" t="s">
        <v>1219</v>
      </c>
      <c r="O1311" s="14" t="s">
        <v>1220</v>
      </c>
    </row>
    <row r="1312" spans="1:15" x14ac:dyDescent="0.25">
      <c r="A1312" s="14">
        <v>4489</v>
      </c>
      <c r="B1312" s="14" t="s">
        <v>619</v>
      </c>
      <c r="C1312" s="14" t="s">
        <v>619</v>
      </c>
      <c r="D1312" s="14" t="s">
        <v>3368</v>
      </c>
      <c r="E1312" s="16">
        <v>40</v>
      </c>
      <c r="F1312" s="14" t="s">
        <v>1321</v>
      </c>
      <c r="G1312" s="16">
        <v>520</v>
      </c>
      <c r="H1312" s="14" t="s">
        <v>1322</v>
      </c>
      <c r="I1312" s="14" t="s">
        <v>1256</v>
      </c>
      <c r="J1312" s="14" t="s">
        <v>1242</v>
      </c>
      <c r="K1312" s="14" t="s">
        <v>1257</v>
      </c>
      <c r="L1312" s="14" t="s">
        <v>3632</v>
      </c>
      <c r="M1312" s="14" t="s">
        <v>1324</v>
      </c>
      <c r="N1312" s="14" t="s">
        <v>1237</v>
      </c>
      <c r="O1312" s="14" t="s">
        <v>1220</v>
      </c>
    </row>
    <row r="1313" spans="1:15" x14ac:dyDescent="0.25">
      <c r="A1313" s="14" t="s">
        <v>3633</v>
      </c>
      <c r="B1313" s="14" t="s">
        <v>3634</v>
      </c>
      <c r="C1313" s="14" t="s">
        <v>3634</v>
      </c>
      <c r="D1313" s="14" t="s">
        <v>3368</v>
      </c>
      <c r="E1313" s="16">
        <v>40</v>
      </c>
      <c r="F1313" s="14" t="s">
        <v>1321</v>
      </c>
      <c r="G1313" s="16">
        <v>520</v>
      </c>
      <c r="H1313" s="14" t="s">
        <v>1322</v>
      </c>
      <c r="I1313" s="14" t="s">
        <v>1262</v>
      </c>
      <c r="J1313" s="14" t="s">
        <v>1262</v>
      </c>
      <c r="K1313" s="14" t="s">
        <v>1257</v>
      </c>
      <c r="L1313" s="14" t="s">
        <v>3632</v>
      </c>
      <c r="M1313" s="14" t="s">
        <v>1324</v>
      </c>
      <c r="N1313" s="14" t="s">
        <v>1219</v>
      </c>
      <c r="O1313" s="14" t="s">
        <v>1220</v>
      </c>
    </row>
    <row r="1314" spans="1:15" x14ac:dyDescent="0.25">
      <c r="A1314" s="14" t="s">
        <v>3635</v>
      </c>
      <c r="B1314" s="14" t="s">
        <v>3636</v>
      </c>
      <c r="C1314" s="14" t="s">
        <v>3636</v>
      </c>
      <c r="D1314" s="14" t="s">
        <v>1349</v>
      </c>
      <c r="E1314" s="15"/>
      <c r="F1314" s="14"/>
      <c r="G1314" s="15"/>
      <c r="H1314" s="14" t="s">
        <v>1380</v>
      </c>
      <c r="I1314" s="14" t="s">
        <v>1360</v>
      </c>
      <c r="J1314" s="14" t="s">
        <v>1360</v>
      </c>
      <c r="K1314" s="14"/>
      <c r="L1314" s="14"/>
      <c r="M1314" s="14" t="s">
        <v>1324</v>
      </c>
      <c r="N1314" s="14" t="s">
        <v>1219</v>
      </c>
      <c r="O1314" s="14" t="s">
        <v>1220</v>
      </c>
    </row>
    <row r="1315" spans="1:15" x14ac:dyDescent="0.25">
      <c r="A1315" s="14" t="s">
        <v>3637</v>
      </c>
      <c r="B1315" s="14" t="s">
        <v>3638</v>
      </c>
      <c r="C1315" s="14" t="s">
        <v>3638</v>
      </c>
      <c r="D1315" s="14" t="s">
        <v>1349</v>
      </c>
      <c r="E1315" s="15"/>
      <c r="F1315" s="14"/>
      <c r="G1315" s="15"/>
      <c r="H1315" s="14" t="s">
        <v>1380</v>
      </c>
      <c r="I1315" s="14" t="s">
        <v>1360</v>
      </c>
      <c r="J1315" s="14" t="s">
        <v>1360</v>
      </c>
      <c r="K1315" s="14"/>
      <c r="L1315" s="14"/>
      <c r="M1315" s="14" t="s">
        <v>1324</v>
      </c>
      <c r="N1315" s="14" t="s">
        <v>1219</v>
      </c>
      <c r="O1315" s="14" t="s">
        <v>1220</v>
      </c>
    </row>
    <row r="1316" spans="1:15" x14ac:dyDescent="0.25">
      <c r="A1316" s="14" t="s">
        <v>3639</v>
      </c>
      <c r="B1316" s="14" t="s">
        <v>3640</v>
      </c>
      <c r="C1316" s="14" t="s">
        <v>3640</v>
      </c>
      <c r="D1316" s="14" t="s">
        <v>1349</v>
      </c>
      <c r="E1316" s="15"/>
      <c r="F1316" s="14"/>
      <c r="G1316" s="15"/>
      <c r="H1316" s="14" t="s">
        <v>1380</v>
      </c>
      <c r="I1316" s="14" t="s">
        <v>1360</v>
      </c>
      <c r="J1316" s="14" t="s">
        <v>1360</v>
      </c>
      <c r="K1316" s="14"/>
      <c r="L1316" s="14"/>
      <c r="M1316" s="14" t="s">
        <v>1324</v>
      </c>
      <c r="N1316" s="14" t="s">
        <v>1219</v>
      </c>
      <c r="O1316" s="14" t="s">
        <v>1220</v>
      </c>
    </row>
    <row r="1317" spans="1:15" x14ac:dyDescent="0.25">
      <c r="A1317" s="14">
        <v>2541</v>
      </c>
      <c r="B1317" s="14" t="s">
        <v>613</v>
      </c>
      <c r="C1317" s="14" t="s">
        <v>3641</v>
      </c>
      <c r="D1317" s="14" t="s">
        <v>3368</v>
      </c>
      <c r="E1317" s="16">
        <v>150</v>
      </c>
      <c r="F1317" s="14" t="s">
        <v>1321</v>
      </c>
      <c r="G1317" s="17">
        <v>4800</v>
      </c>
      <c r="H1317" s="14" t="s">
        <v>1322</v>
      </c>
      <c r="I1317" s="14" t="s">
        <v>1256</v>
      </c>
      <c r="J1317" s="14" t="s">
        <v>1242</v>
      </c>
      <c r="K1317" s="14" t="s">
        <v>1257</v>
      </c>
      <c r="L1317" s="14" t="s">
        <v>3642</v>
      </c>
      <c r="M1317" s="14" t="s">
        <v>1324</v>
      </c>
      <c r="N1317" s="14" t="s">
        <v>1237</v>
      </c>
      <c r="O1317" s="14" t="s">
        <v>1220</v>
      </c>
    </row>
    <row r="1318" spans="1:15" x14ac:dyDescent="0.25">
      <c r="A1318" s="14" t="s">
        <v>3643</v>
      </c>
      <c r="B1318" s="14" t="s">
        <v>3644</v>
      </c>
      <c r="C1318" s="14" t="s">
        <v>3645</v>
      </c>
      <c r="D1318" s="14" t="s">
        <v>3368</v>
      </c>
      <c r="E1318" s="15"/>
      <c r="F1318" s="14" t="s">
        <v>1321</v>
      </c>
      <c r="G1318" s="15"/>
      <c r="H1318" s="14" t="s">
        <v>1322</v>
      </c>
      <c r="I1318" s="14" t="s">
        <v>1262</v>
      </c>
      <c r="J1318" s="14" t="s">
        <v>1262</v>
      </c>
      <c r="K1318" s="14"/>
      <c r="L1318" s="14" t="s">
        <v>3642</v>
      </c>
      <c r="M1318" s="14" t="s">
        <v>1324</v>
      </c>
      <c r="N1318" s="14" t="s">
        <v>1219</v>
      </c>
      <c r="O1318" s="14" t="s">
        <v>1220</v>
      </c>
    </row>
    <row r="1319" spans="1:15" x14ac:dyDescent="0.25">
      <c r="A1319" s="14">
        <v>2540</v>
      </c>
      <c r="B1319" s="14" t="s">
        <v>612</v>
      </c>
      <c r="C1319" s="14" t="s">
        <v>3646</v>
      </c>
      <c r="D1319" s="14" t="s">
        <v>3368</v>
      </c>
      <c r="E1319" s="16">
        <v>200</v>
      </c>
      <c r="F1319" s="14" t="s">
        <v>1321</v>
      </c>
      <c r="G1319" s="17">
        <v>5200</v>
      </c>
      <c r="H1319" s="14" t="s">
        <v>1322</v>
      </c>
      <c r="I1319" s="14" t="s">
        <v>1256</v>
      </c>
      <c r="J1319" s="14" t="s">
        <v>1233</v>
      </c>
      <c r="K1319" s="14" t="s">
        <v>1257</v>
      </c>
      <c r="L1319" s="14" t="s">
        <v>3647</v>
      </c>
      <c r="M1319" s="14" t="s">
        <v>1324</v>
      </c>
      <c r="N1319" s="14" t="s">
        <v>1237</v>
      </c>
      <c r="O1319" s="14" t="s">
        <v>1220</v>
      </c>
    </row>
    <row r="1320" spans="1:15" x14ac:dyDescent="0.25">
      <c r="A1320" s="14" t="s">
        <v>3648</v>
      </c>
      <c r="B1320" s="14" t="s">
        <v>3649</v>
      </c>
      <c r="C1320" s="14" t="s">
        <v>3650</v>
      </c>
      <c r="D1320" s="14" t="s">
        <v>3368</v>
      </c>
      <c r="E1320" s="15"/>
      <c r="F1320" s="14" t="s">
        <v>1321</v>
      </c>
      <c r="G1320" s="15"/>
      <c r="H1320" s="14" t="s">
        <v>1322</v>
      </c>
      <c r="I1320" s="14" t="s">
        <v>1262</v>
      </c>
      <c r="J1320" s="14" t="s">
        <v>1262</v>
      </c>
      <c r="K1320" s="14"/>
      <c r="L1320" s="14" t="s">
        <v>3647</v>
      </c>
      <c r="M1320" s="14" t="s">
        <v>1324</v>
      </c>
      <c r="N1320" s="14" t="s">
        <v>1219</v>
      </c>
      <c r="O1320" s="14" t="s">
        <v>1220</v>
      </c>
    </row>
    <row r="1321" spans="1:15" x14ac:dyDescent="0.25">
      <c r="A1321" s="14">
        <v>2546</v>
      </c>
      <c r="B1321" s="14" t="s">
        <v>620</v>
      </c>
      <c r="C1321" s="14" t="s">
        <v>3651</v>
      </c>
      <c r="D1321" s="14" t="s">
        <v>3368</v>
      </c>
      <c r="E1321" s="16">
        <v>50</v>
      </c>
      <c r="F1321" s="14" t="s">
        <v>1321</v>
      </c>
      <c r="G1321" s="17">
        <v>1550</v>
      </c>
      <c r="H1321" s="14" t="s">
        <v>1322</v>
      </c>
      <c r="I1321" s="14" t="s">
        <v>1256</v>
      </c>
      <c r="J1321" s="14" t="s">
        <v>1242</v>
      </c>
      <c r="K1321" s="14" t="s">
        <v>1257</v>
      </c>
      <c r="L1321" s="14" t="s">
        <v>3652</v>
      </c>
      <c r="M1321" s="14" t="s">
        <v>1324</v>
      </c>
      <c r="N1321" s="14" t="s">
        <v>1237</v>
      </c>
      <c r="O1321" s="14" t="s">
        <v>1220</v>
      </c>
    </row>
    <row r="1322" spans="1:15" x14ac:dyDescent="0.25">
      <c r="A1322" s="14" t="s">
        <v>3653</v>
      </c>
      <c r="B1322" s="14" t="s">
        <v>3654</v>
      </c>
      <c r="C1322" s="14" t="s">
        <v>3655</v>
      </c>
      <c r="D1322" s="14" t="s">
        <v>3368</v>
      </c>
      <c r="E1322" s="15"/>
      <c r="F1322" s="14" t="s">
        <v>1321</v>
      </c>
      <c r="G1322" s="15"/>
      <c r="H1322" s="14" t="s">
        <v>1322</v>
      </c>
      <c r="I1322" s="14" t="s">
        <v>1262</v>
      </c>
      <c r="J1322" s="14" t="s">
        <v>1262</v>
      </c>
      <c r="K1322" s="14"/>
      <c r="L1322" s="14" t="s">
        <v>3652</v>
      </c>
      <c r="M1322" s="14" t="s">
        <v>1324</v>
      </c>
      <c r="N1322" s="14" t="s">
        <v>1219</v>
      </c>
      <c r="O1322" s="14" t="s">
        <v>1220</v>
      </c>
    </row>
    <row r="1323" spans="1:15" x14ac:dyDescent="0.25">
      <c r="A1323" s="14">
        <v>2543</v>
      </c>
      <c r="B1323" s="14" t="s">
        <v>621</v>
      </c>
      <c r="C1323" s="14" t="s">
        <v>3656</v>
      </c>
      <c r="D1323" s="14" t="s">
        <v>3368</v>
      </c>
      <c r="E1323" s="16">
        <v>80</v>
      </c>
      <c r="F1323" s="14" t="s">
        <v>1321</v>
      </c>
      <c r="G1323" s="17">
        <v>1680</v>
      </c>
      <c r="H1323" s="14" t="s">
        <v>1322</v>
      </c>
      <c r="I1323" s="14" t="s">
        <v>1256</v>
      </c>
      <c r="J1323" s="14" t="s">
        <v>1242</v>
      </c>
      <c r="K1323" s="14" t="s">
        <v>1257</v>
      </c>
      <c r="L1323" s="14" t="s">
        <v>3657</v>
      </c>
      <c r="M1323" s="14" t="s">
        <v>1324</v>
      </c>
      <c r="N1323" s="14" t="s">
        <v>1237</v>
      </c>
      <c r="O1323" s="14" t="s">
        <v>1220</v>
      </c>
    </row>
    <row r="1324" spans="1:15" x14ac:dyDescent="0.25">
      <c r="A1324" s="14" t="s">
        <v>3658</v>
      </c>
      <c r="B1324" s="14" t="s">
        <v>3659</v>
      </c>
      <c r="C1324" s="14" t="s">
        <v>3660</v>
      </c>
      <c r="D1324" s="14" t="s">
        <v>3368</v>
      </c>
      <c r="E1324" s="15"/>
      <c r="F1324" s="14" t="s">
        <v>1321</v>
      </c>
      <c r="G1324" s="15"/>
      <c r="H1324" s="14" t="s">
        <v>1322</v>
      </c>
      <c r="I1324" s="14" t="s">
        <v>1262</v>
      </c>
      <c r="J1324" s="14" t="s">
        <v>1262</v>
      </c>
      <c r="K1324" s="14"/>
      <c r="L1324" s="14" t="s">
        <v>3657</v>
      </c>
      <c r="M1324" s="14" t="s">
        <v>1324</v>
      </c>
      <c r="N1324" s="14" t="s">
        <v>1219</v>
      </c>
      <c r="O1324" s="14" t="s">
        <v>1220</v>
      </c>
    </row>
    <row r="1325" spans="1:15" x14ac:dyDescent="0.25">
      <c r="A1325" s="14">
        <v>4488</v>
      </c>
      <c r="B1325" s="14" t="s">
        <v>622</v>
      </c>
      <c r="C1325" s="14" t="s">
        <v>3661</v>
      </c>
      <c r="D1325" s="14" t="s">
        <v>3368</v>
      </c>
      <c r="E1325" s="16">
        <v>40</v>
      </c>
      <c r="F1325" s="14" t="s">
        <v>1321</v>
      </c>
      <c r="G1325" s="16">
        <v>480</v>
      </c>
      <c r="H1325" s="14" t="s">
        <v>1322</v>
      </c>
      <c r="I1325" s="14" t="s">
        <v>1256</v>
      </c>
      <c r="J1325" s="14" t="s">
        <v>1296</v>
      </c>
      <c r="K1325" s="14" t="s">
        <v>1257</v>
      </c>
      <c r="L1325" s="14" t="s">
        <v>3662</v>
      </c>
      <c r="M1325" s="14" t="s">
        <v>1324</v>
      </c>
      <c r="N1325" s="14" t="s">
        <v>1237</v>
      </c>
      <c r="O1325" s="14" t="s">
        <v>1220</v>
      </c>
    </row>
    <row r="1326" spans="1:15" x14ac:dyDescent="0.25">
      <c r="A1326" s="14">
        <v>3517</v>
      </c>
      <c r="B1326" s="14" t="s">
        <v>440</v>
      </c>
      <c r="C1326" s="14" t="s">
        <v>440</v>
      </c>
      <c r="D1326" s="14" t="s">
        <v>3368</v>
      </c>
      <c r="E1326" s="16">
        <v>400</v>
      </c>
      <c r="F1326" s="14" t="s">
        <v>1255</v>
      </c>
      <c r="G1326" s="17">
        <v>5000</v>
      </c>
      <c r="H1326" s="14" t="s">
        <v>1255</v>
      </c>
      <c r="I1326" s="14" t="s">
        <v>1256</v>
      </c>
      <c r="J1326" s="14" t="s">
        <v>1296</v>
      </c>
      <c r="K1326" s="14" t="s">
        <v>1257</v>
      </c>
      <c r="L1326" s="14" t="s">
        <v>3663</v>
      </c>
      <c r="M1326" s="14" t="s">
        <v>1259</v>
      </c>
      <c r="N1326" s="14" t="s">
        <v>1237</v>
      </c>
      <c r="O1326" s="14" t="s">
        <v>1220</v>
      </c>
    </row>
    <row r="1327" spans="1:15" x14ac:dyDescent="0.25">
      <c r="A1327" s="14" t="s">
        <v>3664</v>
      </c>
      <c r="B1327" s="14" t="s">
        <v>3665</v>
      </c>
      <c r="C1327" s="14" t="s">
        <v>3665</v>
      </c>
      <c r="D1327" s="14" t="s">
        <v>3368</v>
      </c>
      <c r="E1327" s="15"/>
      <c r="F1327" s="14" t="s">
        <v>1255</v>
      </c>
      <c r="G1327" s="15"/>
      <c r="H1327" s="14" t="s">
        <v>1255</v>
      </c>
      <c r="I1327" s="14" t="s">
        <v>1262</v>
      </c>
      <c r="J1327" s="14" t="s">
        <v>1262</v>
      </c>
      <c r="K1327" s="14"/>
      <c r="L1327" s="14" t="s">
        <v>3663</v>
      </c>
      <c r="M1327" s="14" t="s">
        <v>1259</v>
      </c>
      <c r="N1327" s="14" t="s">
        <v>1219</v>
      </c>
      <c r="O1327" s="14" t="s">
        <v>1220</v>
      </c>
    </row>
    <row r="1328" spans="1:15" x14ac:dyDescent="0.25">
      <c r="A1328" s="14" t="s">
        <v>3666</v>
      </c>
      <c r="B1328" s="14" t="s">
        <v>3667</v>
      </c>
      <c r="C1328" s="14" t="s">
        <v>3667</v>
      </c>
      <c r="D1328" s="14" t="s">
        <v>1349</v>
      </c>
      <c r="E1328" s="15"/>
      <c r="F1328" s="14" t="s">
        <v>1350</v>
      </c>
      <c r="G1328" s="15"/>
      <c r="H1328" s="14" t="s">
        <v>1380</v>
      </c>
      <c r="I1328" s="14" t="s">
        <v>1360</v>
      </c>
      <c r="J1328" s="14" t="s">
        <v>1360</v>
      </c>
      <c r="K1328" s="14" t="s">
        <v>1257</v>
      </c>
      <c r="L1328" s="14" t="s">
        <v>3663</v>
      </c>
      <c r="M1328" s="14" t="s">
        <v>1324</v>
      </c>
      <c r="N1328" s="14" t="s">
        <v>1219</v>
      </c>
      <c r="O1328" s="14" t="s">
        <v>1220</v>
      </c>
    </row>
    <row r="1329" spans="1:15" x14ac:dyDescent="0.25">
      <c r="A1329" s="14" t="s">
        <v>3668</v>
      </c>
      <c r="B1329" s="14" t="s">
        <v>3669</v>
      </c>
      <c r="C1329" s="14" t="s">
        <v>3669</v>
      </c>
      <c r="D1329" s="14" t="s">
        <v>1349</v>
      </c>
      <c r="E1329" s="15"/>
      <c r="F1329" s="14"/>
      <c r="G1329" s="15"/>
      <c r="H1329" s="14" t="s">
        <v>1380</v>
      </c>
      <c r="I1329" s="14" t="s">
        <v>1360</v>
      </c>
      <c r="J1329" s="14" t="s">
        <v>1360</v>
      </c>
      <c r="K1329" s="14"/>
      <c r="L1329" s="14"/>
      <c r="M1329" s="14" t="s">
        <v>1324</v>
      </c>
      <c r="N1329" s="14" t="s">
        <v>1219</v>
      </c>
      <c r="O1329" s="14" t="s">
        <v>1220</v>
      </c>
    </row>
    <row r="1330" spans="1:15" x14ac:dyDescent="0.25">
      <c r="A1330" s="14" t="s">
        <v>3670</v>
      </c>
      <c r="B1330" s="14" t="s">
        <v>3671</v>
      </c>
      <c r="C1330" s="14" t="s">
        <v>3671</v>
      </c>
      <c r="D1330" s="14" t="s">
        <v>1349</v>
      </c>
      <c r="E1330" s="15"/>
      <c r="F1330" s="14"/>
      <c r="G1330" s="15"/>
      <c r="H1330" s="14" t="s">
        <v>1380</v>
      </c>
      <c r="I1330" s="14" t="s">
        <v>1360</v>
      </c>
      <c r="J1330" s="14" t="s">
        <v>1360</v>
      </c>
      <c r="K1330" s="14"/>
      <c r="L1330" s="14"/>
      <c r="M1330" s="14" t="s">
        <v>1324</v>
      </c>
      <c r="N1330" s="14" t="s">
        <v>1219</v>
      </c>
      <c r="O1330" s="14" t="s">
        <v>1220</v>
      </c>
    </row>
    <row r="1331" spans="1:15" x14ac:dyDescent="0.25">
      <c r="A1331" s="14" t="s">
        <v>3672</v>
      </c>
      <c r="B1331" s="14" t="s">
        <v>3673</v>
      </c>
      <c r="C1331" s="14" t="s">
        <v>3673</v>
      </c>
      <c r="D1331" s="14" t="s">
        <v>1349</v>
      </c>
      <c r="E1331" s="15"/>
      <c r="F1331" s="14"/>
      <c r="G1331" s="15"/>
      <c r="H1331" s="14" t="s">
        <v>1380</v>
      </c>
      <c r="I1331" s="14" t="s">
        <v>1360</v>
      </c>
      <c r="J1331" s="14" t="s">
        <v>1360</v>
      </c>
      <c r="K1331" s="14"/>
      <c r="L1331" s="14"/>
      <c r="M1331" s="14" t="s">
        <v>1324</v>
      </c>
      <c r="N1331" s="14" t="s">
        <v>1219</v>
      </c>
      <c r="O1331" s="14" t="s">
        <v>1220</v>
      </c>
    </row>
    <row r="1332" spans="1:15" x14ac:dyDescent="0.25">
      <c r="A1332" s="14">
        <v>2545</v>
      </c>
      <c r="B1332" s="14" t="s">
        <v>614</v>
      </c>
      <c r="C1332" s="14" t="s">
        <v>3674</v>
      </c>
      <c r="D1332" s="14" t="s">
        <v>3368</v>
      </c>
      <c r="E1332" s="16">
        <v>60</v>
      </c>
      <c r="F1332" s="14" t="s">
        <v>1321</v>
      </c>
      <c r="G1332" s="16">
        <v>600</v>
      </c>
      <c r="H1332" s="14" t="s">
        <v>1322</v>
      </c>
      <c r="I1332" s="14" t="s">
        <v>1256</v>
      </c>
      <c r="J1332" s="14" t="s">
        <v>1296</v>
      </c>
      <c r="K1332" s="14" t="s">
        <v>1257</v>
      </c>
      <c r="L1332" s="14" t="s">
        <v>3675</v>
      </c>
      <c r="M1332" s="14" t="s">
        <v>1324</v>
      </c>
      <c r="N1332" s="14" t="s">
        <v>1237</v>
      </c>
      <c r="O1332" s="14" t="s">
        <v>1220</v>
      </c>
    </row>
    <row r="1333" spans="1:15" x14ac:dyDescent="0.25">
      <c r="A1333" s="14">
        <v>2542</v>
      </c>
      <c r="B1333" s="14" t="s">
        <v>615</v>
      </c>
      <c r="C1333" s="14" t="s">
        <v>3676</v>
      </c>
      <c r="D1333" s="14" t="s">
        <v>3368</v>
      </c>
      <c r="E1333" s="16">
        <v>80</v>
      </c>
      <c r="F1333" s="14" t="s">
        <v>1321</v>
      </c>
      <c r="G1333" s="16">
        <v>800</v>
      </c>
      <c r="H1333" s="14" t="s">
        <v>1322</v>
      </c>
      <c r="I1333" s="14" t="s">
        <v>1256</v>
      </c>
      <c r="J1333" s="14" t="s">
        <v>1296</v>
      </c>
      <c r="K1333" s="14" t="s">
        <v>1257</v>
      </c>
      <c r="L1333" s="14" t="s">
        <v>3677</v>
      </c>
      <c r="M1333" s="14" t="s">
        <v>1324</v>
      </c>
      <c r="N1333" s="14" t="s">
        <v>1237</v>
      </c>
      <c r="O1333" s="14" t="s">
        <v>1220</v>
      </c>
    </row>
    <row r="1334" spans="1:15" x14ac:dyDescent="0.25">
      <c r="A1334" s="14" t="s">
        <v>3678</v>
      </c>
      <c r="B1334" s="14" t="s">
        <v>3679</v>
      </c>
      <c r="C1334" s="14" t="s">
        <v>3680</v>
      </c>
      <c r="D1334" s="14" t="s">
        <v>3368</v>
      </c>
      <c r="E1334" s="15"/>
      <c r="F1334" s="14" t="s">
        <v>1321</v>
      </c>
      <c r="G1334" s="15"/>
      <c r="H1334" s="14" t="s">
        <v>1322</v>
      </c>
      <c r="I1334" s="14" t="s">
        <v>1262</v>
      </c>
      <c r="J1334" s="14" t="s">
        <v>1262</v>
      </c>
      <c r="K1334" s="14"/>
      <c r="L1334" s="14" t="s">
        <v>3677</v>
      </c>
      <c r="M1334" s="14" t="s">
        <v>1324</v>
      </c>
      <c r="N1334" s="14" t="s">
        <v>1219</v>
      </c>
      <c r="O1334" s="14" t="s">
        <v>1220</v>
      </c>
    </row>
    <row r="1335" spans="1:15" x14ac:dyDescent="0.25">
      <c r="A1335" s="14">
        <v>2544</v>
      </c>
      <c r="B1335" s="14" t="s">
        <v>616</v>
      </c>
      <c r="C1335" s="14" t="s">
        <v>3681</v>
      </c>
      <c r="D1335" s="14" t="s">
        <v>3368</v>
      </c>
      <c r="E1335" s="16">
        <v>120</v>
      </c>
      <c r="F1335" s="14" t="s">
        <v>1321</v>
      </c>
      <c r="G1335" s="17">
        <v>2760</v>
      </c>
      <c r="H1335" s="14" t="s">
        <v>1322</v>
      </c>
      <c r="I1335" s="14" t="s">
        <v>1256</v>
      </c>
      <c r="J1335" s="14" t="s">
        <v>1233</v>
      </c>
      <c r="K1335" s="14" t="s">
        <v>1257</v>
      </c>
      <c r="L1335" s="14" t="s">
        <v>3621</v>
      </c>
      <c r="M1335" s="14" t="s">
        <v>1324</v>
      </c>
      <c r="N1335" s="14" t="s">
        <v>1237</v>
      </c>
      <c r="O1335" s="14" t="s">
        <v>1220</v>
      </c>
    </row>
    <row r="1336" spans="1:15" x14ac:dyDescent="0.25">
      <c r="A1336" s="14" t="s">
        <v>3682</v>
      </c>
      <c r="B1336" s="14" t="s">
        <v>3683</v>
      </c>
      <c r="C1336" s="14" t="s">
        <v>3684</v>
      </c>
      <c r="D1336" s="14" t="s">
        <v>3368</v>
      </c>
      <c r="E1336" s="15"/>
      <c r="F1336" s="14" t="s">
        <v>1321</v>
      </c>
      <c r="G1336" s="15"/>
      <c r="H1336" s="14" t="s">
        <v>1322</v>
      </c>
      <c r="I1336" s="14" t="s">
        <v>1262</v>
      </c>
      <c r="J1336" s="14" t="s">
        <v>1262</v>
      </c>
      <c r="K1336" s="14"/>
      <c r="L1336" s="14" t="s">
        <v>3621</v>
      </c>
      <c r="M1336" s="14" t="s">
        <v>1324</v>
      </c>
      <c r="N1336" s="14" t="s">
        <v>1219</v>
      </c>
      <c r="O1336" s="14" t="s">
        <v>1220</v>
      </c>
    </row>
    <row r="1337" spans="1:15" x14ac:dyDescent="0.25">
      <c r="A1337" s="14" t="s">
        <v>3685</v>
      </c>
      <c r="B1337" s="14" t="s">
        <v>3686</v>
      </c>
      <c r="C1337" s="14" t="s">
        <v>3686</v>
      </c>
      <c r="D1337" s="14" t="s">
        <v>3368</v>
      </c>
      <c r="E1337" s="15"/>
      <c r="F1337" s="14" t="s">
        <v>1350</v>
      </c>
      <c r="G1337" s="15"/>
      <c r="H1337" s="14" t="s">
        <v>1380</v>
      </c>
      <c r="I1337" s="14" t="s">
        <v>1360</v>
      </c>
      <c r="J1337" s="14" t="s">
        <v>1385</v>
      </c>
      <c r="K1337" s="14" t="s">
        <v>1257</v>
      </c>
      <c r="L1337" s="14" t="s">
        <v>3663</v>
      </c>
      <c r="M1337" s="14" t="s">
        <v>1324</v>
      </c>
      <c r="N1337" s="14" t="s">
        <v>1219</v>
      </c>
      <c r="O1337" s="14" t="s">
        <v>1220</v>
      </c>
    </row>
    <row r="1338" spans="1:15" x14ac:dyDescent="0.25">
      <c r="A1338" s="14">
        <v>2539</v>
      </c>
      <c r="B1338" s="14" t="s">
        <v>611</v>
      </c>
      <c r="C1338" s="14" t="s">
        <v>3687</v>
      </c>
      <c r="D1338" s="14" t="s">
        <v>3368</v>
      </c>
      <c r="E1338" s="16">
        <v>300</v>
      </c>
      <c r="F1338" s="14" t="s">
        <v>1321</v>
      </c>
      <c r="G1338" s="17">
        <v>1200</v>
      </c>
      <c r="H1338" s="14" t="s">
        <v>1322</v>
      </c>
      <c r="I1338" s="14" t="s">
        <v>1256</v>
      </c>
      <c r="J1338" s="14" t="s">
        <v>1296</v>
      </c>
      <c r="K1338" s="14" t="s">
        <v>1257</v>
      </c>
      <c r="L1338" s="14" t="s">
        <v>3688</v>
      </c>
      <c r="M1338" s="14" t="s">
        <v>1324</v>
      </c>
      <c r="N1338" s="14" t="s">
        <v>1237</v>
      </c>
      <c r="O1338" s="14" t="s">
        <v>1220</v>
      </c>
    </row>
    <row r="1339" spans="1:15" x14ac:dyDescent="0.25">
      <c r="A1339" s="14" t="s">
        <v>3689</v>
      </c>
      <c r="B1339" s="14" t="s">
        <v>3690</v>
      </c>
      <c r="C1339" s="14" t="s">
        <v>3691</v>
      </c>
      <c r="D1339" s="14" t="s">
        <v>3368</v>
      </c>
      <c r="E1339" s="15"/>
      <c r="F1339" s="14" t="s">
        <v>1321</v>
      </c>
      <c r="G1339" s="15"/>
      <c r="H1339" s="14" t="s">
        <v>1322</v>
      </c>
      <c r="I1339" s="14" t="s">
        <v>1262</v>
      </c>
      <c r="J1339" s="14" t="s">
        <v>1262</v>
      </c>
      <c r="K1339" s="14"/>
      <c r="L1339" s="14" t="s">
        <v>3688</v>
      </c>
      <c r="M1339" s="14" t="s">
        <v>1324</v>
      </c>
      <c r="N1339" s="14" t="s">
        <v>1219</v>
      </c>
      <c r="O1339" s="14" t="s">
        <v>1220</v>
      </c>
    </row>
    <row r="1340" spans="1:15" x14ac:dyDescent="0.25">
      <c r="A1340" s="14">
        <v>3518</v>
      </c>
      <c r="B1340" s="14" t="s">
        <v>441</v>
      </c>
      <c r="C1340" s="14" t="s">
        <v>441</v>
      </c>
      <c r="D1340" s="14" t="s">
        <v>3368</v>
      </c>
      <c r="E1340" s="16">
        <v>300</v>
      </c>
      <c r="F1340" s="14" t="s">
        <v>1255</v>
      </c>
      <c r="G1340" s="17">
        <v>3200</v>
      </c>
      <c r="H1340" s="14" t="s">
        <v>1255</v>
      </c>
      <c r="I1340" s="14" t="s">
        <v>1256</v>
      </c>
      <c r="J1340" s="14" t="s">
        <v>1296</v>
      </c>
      <c r="K1340" s="14" t="s">
        <v>1257</v>
      </c>
      <c r="L1340" s="14" t="s">
        <v>3692</v>
      </c>
      <c r="M1340" s="14" t="s">
        <v>1259</v>
      </c>
      <c r="N1340" s="14" t="s">
        <v>1237</v>
      </c>
      <c r="O1340" s="14" t="s">
        <v>1220</v>
      </c>
    </row>
    <row r="1341" spans="1:15" x14ac:dyDescent="0.25">
      <c r="A1341" s="14" t="s">
        <v>3693</v>
      </c>
      <c r="B1341" s="14" t="s">
        <v>3694</v>
      </c>
      <c r="C1341" s="14" t="s">
        <v>3694</v>
      </c>
      <c r="D1341" s="14" t="s">
        <v>3368</v>
      </c>
      <c r="E1341" s="15"/>
      <c r="F1341" s="14" t="s">
        <v>1255</v>
      </c>
      <c r="G1341" s="15"/>
      <c r="H1341" s="14" t="s">
        <v>1255</v>
      </c>
      <c r="I1341" s="14" t="s">
        <v>1262</v>
      </c>
      <c r="J1341" s="14" t="s">
        <v>1262</v>
      </c>
      <c r="K1341" s="14"/>
      <c r="L1341" s="14" t="s">
        <v>3692</v>
      </c>
      <c r="M1341" s="14" t="s">
        <v>1259</v>
      </c>
      <c r="N1341" s="14" t="s">
        <v>1219</v>
      </c>
      <c r="O1341" s="14" t="s">
        <v>1220</v>
      </c>
    </row>
    <row r="1342" spans="1:15" x14ac:dyDescent="0.25">
      <c r="A1342" s="14">
        <v>3519</v>
      </c>
      <c r="B1342" s="14" t="s">
        <v>442</v>
      </c>
      <c r="C1342" s="14" t="s">
        <v>442</v>
      </c>
      <c r="D1342" s="14" t="s">
        <v>3368</v>
      </c>
      <c r="E1342" s="16">
        <v>240</v>
      </c>
      <c r="F1342" s="14" t="s">
        <v>1255</v>
      </c>
      <c r="G1342" s="17">
        <v>2800</v>
      </c>
      <c r="H1342" s="14" t="s">
        <v>1255</v>
      </c>
      <c r="I1342" s="14" t="s">
        <v>1256</v>
      </c>
      <c r="J1342" s="14" t="s">
        <v>1296</v>
      </c>
      <c r="K1342" s="14" t="s">
        <v>1257</v>
      </c>
      <c r="L1342" s="14" t="s">
        <v>3695</v>
      </c>
      <c r="M1342" s="14" t="s">
        <v>1259</v>
      </c>
      <c r="N1342" s="14" t="s">
        <v>1237</v>
      </c>
      <c r="O1342" s="14" t="s">
        <v>1220</v>
      </c>
    </row>
    <row r="1343" spans="1:15" x14ac:dyDescent="0.25">
      <c r="A1343" s="14" t="s">
        <v>3696</v>
      </c>
      <c r="B1343" s="14" t="s">
        <v>3697</v>
      </c>
      <c r="C1343" s="14" t="s">
        <v>3697</v>
      </c>
      <c r="D1343" s="14" t="s">
        <v>3368</v>
      </c>
      <c r="E1343" s="15"/>
      <c r="F1343" s="14" t="s">
        <v>1255</v>
      </c>
      <c r="G1343" s="15"/>
      <c r="H1343" s="14" t="s">
        <v>1255</v>
      </c>
      <c r="I1343" s="14" t="s">
        <v>1262</v>
      </c>
      <c r="J1343" s="14" t="s">
        <v>1262</v>
      </c>
      <c r="K1343" s="14"/>
      <c r="L1343" s="14" t="s">
        <v>3695</v>
      </c>
      <c r="M1343" s="14" t="s">
        <v>1259</v>
      </c>
      <c r="N1343" s="14" t="s">
        <v>1219</v>
      </c>
      <c r="O1343" s="14" t="s">
        <v>1220</v>
      </c>
    </row>
    <row r="1344" spans="1:15" x14ac:dyDescent="0.25">
      <c r="A1344" s="14">
        <v>3520</v>
      </c>
      <c r="B1344" s="14" t="s">
        <v>443</v>
      </c>
      <c r="C1344" s="14" t="s">
        <v>443</v>
      </c>
      <c r="D1344" s="14" t="s">
        <v>3368</v>
      </c>
      <c r="E1344" s="16">
        <v>175</v>
      </c>
      <c r="F1344" s="14" t="s">
        <v>1255</v>
      </c>
      <c r="G1344" s="16">
        <v>800</v>
      </c>
      <c r="H1344" s="14" t="s">
        <v>1255</v>
      </c>
      <c r="I1344" s="14" t="s">
        <v>1256</v>
      </c>
      <c r="J1344" s="14" t="s">
        <v>1296</v>
      </c>
      <c r="K1344" s="14" t="s">
        <v>1257</v>
      </c>
      <c r="L1344" s="14" t="s">
        <v>3698</v>
      </c>
      <c r="M1344" s="14" t="s">
        <v>1259</v>
      </c>
      <c r="N1344" s="14" t="s">
        <v>1237</v>
      </c>
      <c r="O1344" s="14" t="s">
        <v>1220</v>
      </c>
    </row>
    <row r="1345" spans="1:15" x14ac:dyDescent="0.25">
      <c r="A1345" s="14" t="s">
        <v>3699</v>
      </c>
      <c r="B1345" s="14" t="s">
        <v>3700</v>
      </c>
      <c r="C1345" s="14" t="s">
        <v>3700</v>
      </c>
      <c r="D1345" s="14" t="s">
        <v>3368</v>
      </c>
      <c r="E1345" s="16">
        <v>175</v>
      </c>
      <c r="F1345" s="14" t="s">
        <v>1255</v>
      </c>
      <c r="G1345" s="16">
        <v>800</v>
      </c>
      <c r="H1345" s="14" t="s">
        <v>1255</v>
      </c>
      <c r="I1345" s="14" t="s">
        <v>1262</v>
      </c>
      <c r="J1345" s="14" t="s">
        <v>1262</v>
      </c>
      <c r="K1345" s="14" t="s">
        <v>1257</v>
      </c>
      <c r="L1345" s="14" t="s">
        <v>3698</v>
      </c>
      <c r="M1345" s="14" t="s">
        <v>1259</v>
      </c>
      <c r="N1345" s="14" t="s">
        <v>1219</v>
      </c>
      <c r="O1345" s="14" t="s">
        <v>1220</v>
      </c>
    </row>
    <row r="1346" spans="1:15" x14ac:dyDescent="0.25">
      <c r="A1346" s="14">
        <v>3521</v>
      </c>
      <c r="B1346" s="14" t="s">
        <v>444</v>
      </c>
      <c r="C1346" s="14" t="s">
        <v>444</v>
      </c>
      <c r="D1346" s="14" t="s">
        <v>3368</v>
      </c>
      <c r="E1346" s="16">
        <v>150</v>
      </c>
      <c r="F1346" s="14" t="s">
        <v>1255</v>
      </c>
      <c r="G1346" s="16">
        <v>900</v>
      </c>
      <c r="H1346" s="14" t="s">
        <v>1255</v>
      </c>
      <c r="I1346" s="14" t="s">
        <v>1256</v>
      </c>
      <c r="J1346" s="14" t="s">
        <v>1296</v>
      </c>
      <c r="K1346" s="14" t="s">
        <v>1257</v>
      </c>
      <c r="L1346" s="14" t="s">
        <v>3701</v>
      </c>
      <c r="M1346" s="14" t="s">
        <v>1259</v>
      </c>
      <c r="N1346" s="14" t="s">
        <v>1237</v>
      </c>
      <c r="O1346" s="14" t="s">
        <v>1220</v>
      </c>
    </row>
    <row r="1347" spans="1:15" x14ac:dyDescent="0.25">
      <c r="A1347" s="14" t="s">
        <v>3702</v>
      </c>
      <c r="B1347" s="14" t="s">
        <v>3703</v>
      </c>
      <c r="C1347" s="14" t="s">
        <v>3703</v>
      </c>
      <c r="D1347" s="14" t="s">
        <v>3368</v>
      </c>
      <c r="E1347" s="16">
        <v>150</v>
      </c>
      <c r="F1347" s="14" t="s">
        <v>1255</v>
      </c>
      <c r="G1347" s="16">
        <v>900</v>
      </c>
      <c r="H1347" s="14" t="s">
        <v>1255</v>
      </c>
      <c r="I1347" s="14" t="s">
        <v>1262</v>
      </c>
      <c r="J1347" s="14" t="s">
        <v>1262</v>
      </c>
      <c r="K1347" s="14" t="s">
        <v>1257</v>
      </c>
      <c r="L1347" s="14" t="s">
        <v>3701</v>
      </c>
      <c r="M1347" s="14" t="s">
        <v>1259</v>
      </c>
      <c r="N1347" s="14" t="s">
        <v>1237</v>
      </c>
      <c r="O1347" s="14" t="s">
        <v>1220</v>
      </c>
    </row>
    <row r="1348" spans="1:15" x14ac:dyDescent="0.25">
      <c r="A1348" s="14">
        <v>3522</v>
      </c>
      <c r="B1348" s="14" t="s">
        <v>445</v>
      </c>
      <c r="C1348" s="14" t="s">
        <v>445</v>
      </c>
      <c r="D1348" s="14" t="s">
        <v>3368</v>
      </c>
      <c r="E1348" s="16">
        <v>125</v>
      </c>
      <c r="F1348" s="14" t="s">
        <v>1255</v>
      </c>
      <c r="G1348" s="17">
        <v>1250</v>
      </c>
      <c r="H1348" s="14" t="s">
        <v>1255</v>
      </c>
      <c r="I1348" s="14" t="s">
        <v>1256</v>
      </c>
      <c r="J1348" s="14" t="s">
        <v>1296</v>
      </c>
      <c r="K1348" s="14" t="s">
        <v>1257</v>
      </c>
      <c r="L1348" s="14" t="s">
        <v>3704</v>
      </c>
      <c r="M1348" s="14" t="s">
        <v>1259</v>
      </c>
      <c r="N1348" s="14" t="s">
        <v>1237</v>
      </c>
      <c r="O1348" s="14" t="s">
        <v>1220</v>
      </c>
    </row>
    <row r="1349" spans="1:15" x14ac:dyDescent="0.25">
      <c r="A1349" s="14">
        <v>3523</v>
      </c>
      <c r="B1349" s="14" t="s">
        <v>446</v>
      </c>
      <c r="C1349" s="14" t="s">
        <v>446</v>
      </c>
      <c r="D1349" s="14" t="s">
        <v>3368</v>
      </c>
      <c r="E1349" s="16">
        <v>100</v>
      </c>
      <c r="F1349" s="14" t="s">
        <v>1255</v>
      </c>
      <c r="G1349" s="16">
        <v>500</v>
      </c>
      <c r="H1349" s="14" t="s">
        <v>1255</v>
      </c>
      <c r="I1349" s="14" t="s">
        <v>1256</v>
      </c>
      <c r="J1349" s="14" t="s">
        <v>1296</v>
      </c>
      <c r="K1349" s="14" t="s">
        <v>1257</v>
      </c>
      <c r="L1349" s="14" t="s">
        <v>3705</v>
      </c>
      <c r="M1349" s="14" t="s">
        <v>1259</v>
      </c>
      <c r="N1349" s="14" t="s">
        <v>1237</v>
      </c>
      <c r="O1349" s="14" t="s">
        <v>1220</v>
      </c>
    </row>
    <row r="1350" spans="1:15" x14ac:dyDescent="0.25">
      <c r="A1350" s="14">
        <v>3524</v>
      </c>
      <c r="B1350" s="14" t="s">
        <v>447</v>
      </c>
      <c r="C1350" s="14" t="s">
        <v>447</v>
      </c>
      <c r="D1350" s="14" t="s">
        <v>3368</v>
      </c>
      <c r="E1350" s="16">
        <v>80</v>
      </c>
      <c r="F1350" s="14" t="s">
        <v>1255</v>
      </c>
      <c r="G1350" s="16">
        <v>500</v>
      </c>
      <c r="H1350" s="14" t="s">
        <v>1255</v>
      </c>
      <c r="I1350" s="14" t="s">
        <v>1256</v>
      </c>
      <c r="J1350" s="14" t="s">
        <v>1296</v>
      </c>
      <c r="K1350" s="14" t="s">
        <v>1257</v>
      </c>
      <c r="L1350" s="14" t="s">
        <v>3706</v>
      </c>
      <c r="M1350" s="14" t="s">
        <v>1259</v>
      </c>
      <c r="N1350" s="14" t="s">
        <v>1237</v>
      </c>
      <c r="O1350" s="14" t="s">
        <v>1220</v>
      </c>
    </row>
    <row r="1351" spans="1:15" x14ac:dyDescent="0.25">
      <c r="A1351" s="14" t="s">
        <v>3707</v>
      </c>
      <c r="B1351" s="14" t="s">
        <v>3708</v>
      </c>
      <c r="C1351" s="14" t="s">
        <v>3708</v>
      </c>
      <c r="D1351" s="14" t="s">
        <v>3368</v>
      </c>
      <c r="E1351" s="16">
        <v>80</v>
      </c>
      <c r="F1351" s="14" t="s">
        <v>1255</v>
      </c>
      <c r="G1351" s="16">
        <v>500</v>
      </c>
      <c r="H1351" s="14" t="s">
        <v>1255</v>
      </c>
      <c r="I1351" s="14" t="s">
        <v>1262</v>
      </c>
      <c r="J1351" s="14" t="s">
        <v>1262</v>
      </c>
      <c r="K1351" s="14" t="s">
        <v>1257</v>
      </c>
      <c r="L1351" s="14" t="s">
        <v>3706</v>
      </c>
      <c r="M1351" s="14" t="s">
        <v>1259</v>
      </c>
      <c r="N1351" s="14" t="s">
        <v>1219</v>
      </c>
      <c r="O1351" s="14" t="s">
        <v>1220</v>
      </c>
    </row>
    <row r="1352" spans="1:15" x14ac:dyDescent="0.25">
      <c r="A1352" s="14">
        <v>3525</v>
      </c>
      <c r="B1352" s="14" t="s">
        <v>448</v>
      </c>
      <c r="C1352" s="14" t="s">
        <v>448</v>
      </c>
      <c r="D1352" s="14" t="s">
        <v>3368</v>
      </c>
      <c r="E1352" s="16">
        <v>80</v>
      </c>
      <c r="F1352" s="14" t="s">
        <v>1255</v>
      </c>
      <c r="G1352" s="16">
        <v>400</v>
      </c>
      <c r="H1352" s="14" t="s">
        <v>1255</v>
      </c>
      <c r="I1352" s="14" t="s">
        <v>1256</v>
      </c>
      <c r="J1352" s="14" t="s">
        <v>1296</v>
      </c>
      <c r="K1352" s="14" t="s">
        <v>1257</v>
      </c>
      <c r="L1352" s="14" t="s">
        <v>3709</v>
      </c>
      <c r="M1352" s="14" t="s">
        <v>1259</v>
      </c>
      <c r="N1352" s="14" t="s">
        <v>1237</v>
      </c>
      <c r="O1352" s="14" t="s">
        <v>1220</v>
      </c>
    </row>
    <row r="1353" spans="1:15" x14ac:dyDescent="0.25">
      <c r="A1353" s="14">
        <v>1250</v>
      </c>
      <c r="B1353" s="14" t="s">
        <v>3710</v>
      </c>
      <c r="C1353" s="14" t="s">
        <v>3710</v>
      </c>
      <c r="D1353" s="14" t="s">
        <v>1349</v>
      </c>
      <c r="E1353" s="15"/>
      <c r="F1353" s="14"/>
      <c r="G1353" s="15"/>
      <c r="H1353" s="14" t="s">
        <v>1255</v>
      </c>
      <c r="I1353" s="14" t="s">
        <v>1360</v>
      </c>
      <c r="J1353" s="14" t="s">
        <v>1360</v>
      </c>
      <c r="K1353" s="14"/>
      <c r="L1353" s="14"/>
      <c r="M1353" s="14" t="s">
        <v>1259</v>
      </c>
      <c r="N1353" s="14" t="s">
        <v>1219</v>
      </c>
      <c r="O1353" s="14" t="s">
        <v>1220</v>
      </c>
    </row>
    <row r="1354" spans="1:15" x14ac:dyDescent="0.25">
      <c r="A1354" s="14">
        <v>3526</v>
      </c>
      <c r="B1354" s="14" t="s">
        <v>449</v>
      </c>
      <c r="C1354" s="14" t="s">
        <v>449</v>
      </c>
      <c r="D1354" s="14" t="s">
        <v>3368</v>
      </c>
      <c r="E1354" s="16">
        <v>70</v>
      </c>
      <c r="F1354" s="14" t="s">
        <v>1255</v>
      </c>
      <c r="G1354" s="16">
        <v>300</v>
      </c>
      <c r="H1354" s="14" t="s">
        <v>1255</v>
      </c>
      <c r="I1354" s="14" t="s">
        <v>1256</v>
      </c>
      <c r="J1354" s="14" t="s">
        <v>1296</v>
      </c>
      <c r="K1354" s="14" t="s">
        <v>1257</v>
      </c>
      <c r="L1354" s="14" t="s">
        <v>3711</v>
      </c>
      <c r="M1354" s="14" t="s">
        <v>1259</v>
      </c>
      <c r="N1354" s="14" t="s">
        <v>1237</v>
      </c>
      <c r="O1354" s="14" t="s">
        <v>1220</v>
      </c>
    </row>
    <row r="1355" spans="1:15" x14ac:dyDescent="0.25">
      <c r="A1355" s="14">
        <v>3527</v>
      </c>
      <c r="B1355" s="14" t="s">
        <v>450</v>
      </c>
      <c r="C1355" s="14" t="s">
        <v>450</v>
      </c>
      <c r="D1355" s="14" t="s">
        <v>3368</v>
      </c>
      <c r="E1355" s="16">
        <v>60</v>
      </c>
      <c r="F1355" s="14" t="s">
        <v>1255</v>
      </c>
      <c r="G1355" s="16">
        <v>300</v>
      </c>
      <c r="H1355" s="14" t="s">
        <v>1255</v>
      </c>
      <c r="I1355" s="14" t="s">
        <v>1256</v>
      </c>
      <c r="J1355" s="14" t="s">
        <v>1296</v>
      </c>
      <c r="K1355" s="14" t="s">
        <v>1257</v>
      </c>
      <c r="L1355" s="14" t="s">
        <v>3712</v>
      </c>
      <c r="M1355" s="14" t="s">
        <v>1259</v>
      </c>
      <c r="N1355" s="14" t="s">
        <v>1237</v>
      </c>
      <c r="O1355" s="14" t="s">
        <v>1220</v>
      </c>
    </row>
    <row r="1356" spans="1:15" x14ac:dyDescent="0.25">
      <c r="A1356" s="14">
        <v>3528</v>
      </c>
      <c r="B1356" s="14" t="s">
        <v>451</v>
      </c>
      <c r="C1356" s="14" t="s">
        <v>451</v>
      </c>
      <c r="D1356" s="14" t="s">
        <v>3368</v>
      </c>
      <c r="E1356" s="16">
        <v>50</v>
      </c>
      <c r="F1356" s="14" t="s">
        <v>1255</v>
      </c>
      <c r="G1356" s="16">
        <v>250</v>
      </c>
      <c r="H1356" s="14" t="s">
        <v>1255</v>
      </c>
      <c r="I1356" s="14" t="s">
        <v>1256</v>
      </c>
      <c r="J1356" s="14" t="s">
        <v>1296</v>
      </c>
      <c r="K1356" s="14" t="s">
        <v>1257</v>
      </c>
      <c r="L1356" s="14" t="s">
        <v>3713</v>
      </c>
      <c r="M1356" s="14" t="s">
        <v>1259</v>
      </c>
      <c r="N1356" s="14" t="s">
        <v>1237</v>
      </c>
      <c r="O1356" s="14" t="s">
        <v>1220</v>
      </c>
    </row>
    <row r="1357" spans="1:15" x14ac:dyDescent="0.25">
      <c r="A1357" s="14" t="s">
        <v>3714</v>
      </c>
      <c r="B1357" s="14" t="s">
        <v>3715</v>
      </c>
      <c r="C1357" s="14" t="s">
        <v>3715</v>
      </c>
      <c r="D1357" s="14" t="s">
        <v>3368</v>
      </c>
      <c r="E1357" s="16">
        <v>50</v>
      </c>
      <c r="F1357" s="14" t="s">
        <v>1255</v>
      </c>
      <c r="G1357" s="16">
        <v>250</v>
      </c>
      <c r="H1357" s="14" t="s">
        <v>1255</v>
      </c>
      <c r="I1357" s="14" t="s">
        <v>1262</v>
      </c>
      <c r="J1357" s="14" t="s">
        <v>1262</v>
      </c>
      <c r="K1357" s="14" t="s">
        <v>1257</v>
      </c>
      <c r="L1357" s="14" t="s">
        <v>3713</v>
      </c>
      <c r="M1357" s="14" t="s">
        <v>1259</v>
      </c>
      <c r="N1357" s="14" t="s">
        <v>1237</v>
      </c>
      <c r="O1357" s="14" t="s">
        <v>1220</v>
      </c>
    </row>
    <row r="1358" spans="1:15" x14ac:dyDescent="0.25">
      <c r="A1358" s="14">
        <v>3529</v>
      </c>
      <c r="B1358" s="14" t="s">
        <v>3716</v>
      </c>
      <c r="C1358" s="14" t="s">
        <v>3716</v>
      </c>
      <c r="D1358" s="14" t="s">
        <v>1349</v>
      </c>
      <c r="E1358" s="15"/>
      <c r="F1358" s="14" t="s">
        <v>1350</v>
      </c>
      <c r="G1358" s="15"/>
      <c r="H1358" s="14" t="s">
        <v>1255</v>
      </c>
      <c r="I1358" s="14" t="s">
        <v>1351</v>
      </c>
      <c r="J1358" s="14" t="s">
        <v>1351</v>
      </c>
      <c r="K1358" s="14" t="s">
        <v>1257</v>
      </c>
      <c r="L1358" s="14" t="s">
        <v>3713</v>
      </c>
      <c r="M1358" s="14" t="s">
        <v>1259</v>
      </c>
      <c r="N1358" s="14" t="s">
        <v>1219</v>
      </c>
      <c r="O1358" s="14" t="s">
        <v>1220</v>
      </c>
    </row>
    <row r="1359" spans="1:15" x14ac:dyDescent="0.25">
      <c r="A1359" s="14">
        <v>3530</v>
      </c>
      <c r="B1359" s="14" t="s">
        <v>3717</v>
      </c>
      <c r="C1359" s="14" t="s">
        <v>3717</v>
      </c>
      <c r="D1359" s="14" t="s">
        <v>3368</v>
      </c>
      <c r="E1359" s="15"/>
      <c r="F1359" s="14" t="s">
        <v>1350</v>
      </c>
      <c r="G1359" s="15"/>
      <c r="H1359" s="14" t="s">
        <v>1255</v>
      </c>
      <c r="I1359" s="14" t="s">
        <v>1351</v>
      </c>
      <c r="J1359" s="14" t="s">
        <v>1385</v>
      </c>
      <c r="K1359" s="14" t="s">
        <v>1257</v>
      </c>
      <c r="L1359" s="14" t="s">
        <v>3713</v>
      </c>
      <c r="M1359" s="14" t="s">
        <v>1259</v>
      </c>
      <c r="N1359" s="14" t="s">
        <v>1219</v>
      </c>
      <c r="O1359" s="14" t="s">
        <v>1220</v>
      </c>
    </row>
    <row r="1360" spans="1:15" x14ac:dyDescent="0.25">
      <c r="A1360" s="14">
        <v>3531</v>
      </c>
      <c r="B1360" s="14" t="s">
        <v>3718</v>
      </c>
      <c r="C1360" s="14" t="s">
        <v>3718</v>
      </c>
      <c r="D1360" s="14" t="s">
        <v>1349</v>
      </c>
      <c r="E1360" s="15"/>
      <c r="F1360" s="14" t="s">
        <v>1350</v>
      </c>
      <c r="G1360" s="15"/>
      <c r="H1360" s="14" t="s">
        <v>1255</v>
      </c>
      <c r="I1360" s="14" t="s">
        <v>1360</v>
      </c>
      <c r="J1360" s="14" t="s">
        <v>1360</v>
      </c>
      <c r="K1360" s="14" t="s">
        <v>1257</v>
      </c>
      <c r="L1360" s="14" t="s">
        <v>3713</v>
      </c>
      <c r="M1360" s="14" t="s">
        <v>1259</v>
      </c>
      <c r="N1360" s="14" t="s">
        <v>1219</v>
      </c>
      <c r="O1360" s="14" t="s">
        <v>1220</v>
      </c>
    </row>
    <row r="1361" spans="1:15" x14ac:dyDescent="0.25">
      <c r="A1361" s="14">
        <v>3532</v>
      </c>
      <c r="B1361" s="14" t="s">
        <v>3719</v>
      </c>
      <c r="C1361" s="14" t="s">
        <v>3719</v>
      </c>
      <c r="D1361" s="14" t="s">
        <v>1349</v>
      </c>
      <c r="E1361" s="15"/>
      <c r="F1361" s="14" t="s">
        <v>1350</v>
      </c>
      <c r="G1361" s="15"/>
      <c r="H1361" s="14" t="s">
        <v>1255</v>
      </c>
      <c r="I1361" s="14" t="s">
        <v>1360</v>
      </c>
      <c r="J1361" s="14" t="s">
        <v>1360</v>
      </c>
      <c r="K1361" s="14" t="s">
        <v>1257</v>
      </c>
      <c r="L1361" s="14" t="s">
        <v>3713</v>
      </c>
      <c r="M1361" s="14" t="s">
        <v>1259</v>
      </c>
      <c r="N1361" s="14" t="s">
        <v>1219</v>
      </c>
      <c r="O1361" s="14" t="s">
        <v>1220</v>
      </c>
    </row>
    <row r="1362" spans="1:15" x14ac:dyDescent="0.25">
      <c r="A1362" s="14">
        <v>3533</v>
      </c>
      <c r="B1362" s="14" t="s">
        <v>3720</v>
      </c>
      <c r="C1362" s="14" t="s">
        <v>3720</v>
      </c>
      <c r="D1362" s="14" t="s">
        <v>1349</v>
      </c>
      <c r="E1362" s="15"/>
      <c r="F1362" s="14"/>
      <c r="G1362" s="15"/>
      <c r="H1362" s="14" t="s">
        <v>1255</v>
      </c>
      <c r="I1362" s="14" t="s">
        <v>1360</v>
      </c>
      <c r="J1362" s="14" t="s">
        <v>1360</v>
      </c>
      <c r="K1362" s="14"/>
      <c r="L1362" s="14"/>
      <c r="M1362" s="14" t="s">
        <v>1259</v>
      </c>
      <c r="N1362" s="14" t="s">
        <v>1219</v>
      </c>
      <c r="O1362" s="14" t="s">
        <v>1220</v>
      </c>
    </row>
    <row r="1363" spans="1:15" x14ac:dyDescent="0.25">
      <c r="A1363" s="14">
        <v>3534</v>
      </c>
      <c r="B1363" s="14" t="s">
        <v>3721</v>
      </c>
      <c r="C1363" s="14" t="s">
        <v>3721</v>
      </c>
      <c r="D1363" s="14" t="s">
        <v>3368</v>
      </c>
      <c r="E1363" s="15"/>
      <c r="F1363" s="14" t="s">
        <v>1350</v>
      </c>
      <c r="G1363" s="15"/>
      <c r="H1363" s="14" t="s">
        <v>1255</v>
      </c>
      <c r="I1363" s="14" t="s">
        <v>1351</v>
      </c>
      <c r="J1363" s="14" t="s">
        <v>1385</v>
      </c>
      <c r="K1363" s="14" t="s">
        <v>1257</v>
      </c>
      <c r="L1363" s="14" t="s">
        <v>3713</v>
      </c>
      <c r="M1363" s="14" t="s">
        <v>1259</v>
      </c>
      <c r="N1363" s="14" t="s">
        <v>1219</v>
      </c>
      <c r="O1363" s="14" t="s">
        <v>1220</v>
      </c>
    </row>
    <row r="1364" spans="1:15" x14ac:dyDescent="0.25">
      <c r="A1364" s="14">
        <v>3535</v>
      </c>
      <c r="B1364" s="14" t="s">
        <v>3722</v>
      </c>
      <c r="C1364" s="14" t="s">
        <v>3722</v>
      </c>
      <c r="D1364" s="14" t="s">
        <v>1349</v>
      </c>
      <c r="E1364" s="15"/>
      <c r="F1364" s="14"/>
      <c r="G1364" s="15"/>
      <c r="H1364" s="14" t="s">
        <v>1255</v>
      </c>
      <c r="I1364" s="14" t="s">
        <v>1360</v>
      </c>
      <c r="J1364" s="14" t="s">
        <v>1360</v>
      </c>
      <c r="K1364" s="14"/>
      <c r="L1364" s="14"/>
      <c r="M1364" s="14" t="s">
        <v>1259</v>
      </c>
      <c r="N1364" s="14" t="s">
        <v>1219</v>
      </c>
      <c r="O1364" s="14" t="s">
        <v>1220</v>
      </c>
    </row>
    <row r="1365" spans="1:15" x14ac:dyDescent="0.25">
      <c r="A1365" s="14">
        <v>3536</v>
      </c>
      <c r="B1365" s="14" t="s">
        <v>3723</v>
      </c>
      <c r="C1365" s="14" t="s">
        <v>3723</v>
      </c>
      <c r="D1365" s="14" t="s">
        <v>1349</v>
      </c>
      <c r="E1365" s="15"/>
      <c r="F1365" s="14"/>
      <c r="G1365" s="15"/>
      <c r="H1365" s="14" t="s">
        <v>1255</v>
      </c>
      <c r="I1365" s="14" t="s">
        <v>1360</v>
      </c>
      <c r="J1365" s="14" t="s">
        <v>1360</v>
      </c>
      <c r="K1365" s="14"/>
      <c r="L1365" s="14"/>
      <c r="M1365" s="14" t="s">
        <v>1259</v>
      </c>
      <c r="N1365" s="14" t="s">
        <v>1219</v>
      </c>
      <c r="O1365" s="14" t="s">
        <v>1220</v>
      </c>
    </row>
    <row r="1366" spans="1:15" x14ac:dyDescent="0.25">
      <c r="A1366" s="14">
        <v>3537</v>
      </c>
      <c r="B1366" s="14" t="s">
        <v>3724</v>
      </c>
      <c r="C1366" s="14" t="s">
        <v>3724</v>
      </c>
      <c r="D1366" s="14" t="s">
        <v>3368</v>
      </c>
      <c r="E1366" s="15"/>
      <c r="F1366" s="14" t="s">
        <v>1350</v>
      </c>
      <c r="G1366" s="15"/>
      <c r="H1366" s="14" t="s">
        <v>1255</v>
      </c>
      <c r="I1366" s="14" t="s">
        <v>1360</v>
      </c>
      <c r="J1366" s="14" t="s">
        <v>1385</v>
      </c>
      <c r="K1366" s="14" t="s">
        <v>1257</v>
      </c>
      <c r="L1366" s="14" t="s">
        <v>3662</v>
      </c>
      <c r="M1366" s="14" t="s">
        <v>1259</v>
      </c>
      <c r="N1366" s="14" t="s">
        <v>1219</v>
      </c>
      <c r="O1366" s="14" t="s">
        <v>1220</v>
      </c>
    </row>
    <row r="1367" spans="1:15" x14ac:dyDescent="0.25">
      <c r="A1367" s="14" t="s">
        <v>3725</v>
      </c>
      <c r="B1367" s="14" t="s">
        <v>3726</v>
      </c>
      <c r="C1367" s="14" t="s">
        <v>3726</v>
      </c>
      <c r="D1367" s="14" t="s">
        <v>1283</v>
      </c>
      <c r="E1367" s="15"/>
      <c r="F1367" s="14" t="s">
        <v>1742</v>
      </c>
      <c r="G1367" s="15"/>
      <c r="H1367" s="14" t="s">
        <v>1255</v>
      </c>
      <c r="I1367" s="14" t="s">
        <v>1217</v>
      </c>
      <c r="J1367" s="14" t="s">
        <v>1296</v>
      </c>
      <c r="K1367" s="14"/>
      <c r="L1367" s="14"/>
      <c r="M1367" s="14" t="s">
        <v>1259</v>
      </c>
      <c r="N1367" s="14" t="s">
        <v>1219</v>
      </c>
      <c r="O1367" s="14" t="s">
        <v>1220</v>
      </c>
    </row>
    <row r="1368" spans="1:15" x14ac:dyDescent="0.25">
      <c r="A1368" s="14">
        <v>4756</v>
      </c>
      <c r="B1368" s="14" t="s">
        <v>3727</v>
      </c>
      <c r="C1368" s="14" t="s">
        <v>3727</v>
      </c>
      <c r="D1368" s="14" t="s">
        <v>1349</v>
      </c>
      <c r="E1368" s="15"/>
      <c r="F1368" s="14"/>
      <c r="G1368" s="15"/>
      <c r="H1368" s="14" t="s">
        <v>1255</v>
      </c>
      <c r="I1368" s="14" t="s">
        <v>1360</v>
      </c>
      <c r="J1368" s="14" t="s">
        <v>1360</v>
      </c>
      <c r="K1368" s="14"/>
      <c r="L1368" s="14"/>
      <c r="M1368" s="14" t="s">
        <v>1259</v>
      </c>
      <c r="N1368" s="14" t="s">
        <v>1219</v>
      </c>
      <c r="O1368" s="14" t="s">
        <v>1220</v>
      </c>
    </row>
    <row r="1369" spans="1:15" x14ac:dyDescent="0.25">
      <c r="A1369" s="14" t="s">
        <v>3728</v>
      </c>
      <c r="B1369" s="14" t="s">
        <v>3729</v>
      </c>
      <c r="C1369" s="14" t="s">
        <v>3729</v>
      </c>
      <c r="D1369" s="14" t="s">
        <v>1283</v>
      </c>
      <c r="E1369" s="15"/>
      <c r="F1369" s="14" t="s">
        <v>1742</v>
      </c>
      <c r="G1369" s="15"/>
      <c r="H1369" s="14" t="s">
        <v>1255</v>
      </c>
      <c r="I1369" s="14" t="s">
        <v>1217</v>
      </c>
      <c r="J1369" s="14" t="s">
        <v>1296</v>
      </c>
      <c r="K1369" s="14"/>
      <c r="L1369" s="14"/>
      <c r="M1369" s="14" t="s">
        <v>1259</v>
      </c>
      <c r="N1369" s="14" t="s">
        <v>1219</v>
      </c>
      <c r="O1369" s="14" t="s">
        <v>1220</v>
      </c>
    </row>
    <row r="1370" spans="1:15" x14ac:dyDescent="0.25">
      <c r="A1370" s="14" t="s">
        <v>3730</v>
      </c>
      <c r="B1370" s="14" t="s">
        <v>3731</v>
      </c>
      <c r="C1370" s="14" t="s">
        <v>3731</v>
      </c>
      <c r="D1370" s="14" t="s">
        <v>1283</v>
      </c>
      <c r="E1370" s="15"/>
      <c r="F1370" s="14" t="s">
        <v>1742</v>
      </c>
      <c r="G1370" s="15"/>
      <c r="H1370" s="14" t="s">
        <v>1255</v>
      </c>
      <c r="I1370" s="14" t="s">
        <v>1217</v>
      </c>
      <c r="J1370" s="14" t="s">
        <v>1296</v>
      </c>
      <c r="K1370" s="14"/>
      <c r="L1370" s="14"/>
      <c r="M1370" s="14" t="s">
        <v>1259</v>
      </c>
      <c r="N1370" s="14" t="s">
        <v>1219</v>
      </c>
      <c r="O1370" s="14" t="s">
        <v>1220</v>
      </c>
    </row>
    <row r="1371" spans="1:15" x14ac:dyDescent="0.25">
      <c r="A1371" s="14" t="s">
        <v>3732</v>
      </c>
      <c r="B1371" s="14" t="s">
        <v>3733</v>
      </c>
      <c r="C1371" s="14" t="s">
        <v>3733</v>
      </c>
      <c r="D1371" s="14" t="s">
        <v>1283</v>
      </c>
      <c r="E1371" s="15"/>
      <c r="F1371" s="14" t="s">
        <v>1742</v>
      </c>
      <c r="G1371" s="15"/>
      <c r="H1371" s="14" t="s">
        <v>1255</v>
      </c>
      <c r="I1371" s="14" t="s">
        <v>1217</v>
      </c>
      <c r="J1371" s="14" t="s">
        <v>1296</v>
      </c>
      <c r="K1371" s="14"/>
      <c r="L1371" s="14"/>
      <c r="M1371" s="14" t="s">
        <v>1259</v>
      </c>
      <c r="N1371" s="14" t="s">
        <v>1219</v>
      </c>
      <c r="O1371" s="14" t="s">
        <v>1220</v>
      </c>
    </row>
    <row r="1372" spans="1:15" x14ac:dyDescent="0.25">
      <c r="A1372" s="14" t="s">
        <v>3734</v>
      </c>
      <c r="B1372" s="14" t="s">
        <v>3735</v>
      </c>
      <c r="C1372" s="14" t="s">
        <v>3735</v>
      </c>
      <c r="D1372" s="14" t="s">
        <v>1283</v>
      </c>
      <c r="E1372" s="15"/>
      <c r="F1372" s="14" t="s">
        <v>1742</v>
      </c>
      <c r="G1372" s="15"/>
      <c r="H1372" s="14" t="s">
        <v>1255</v>
      </c>
      <c r="I1372" s="14" t="s">
        <v>1217</v>
      </c>
      <c r="J1372" s="14" t="s">
        <v>1296</v>
      </c>
      <c r="K1372" s="14"/>
      <c r="L1372" s="14"/>
      <c r="M1372" s="14" t="s">
        <v>1259</v>
      </c>
      <c r="N1372" s="14" t="s">
        <v>1219</v>
      </c>
      <c r="O1372" s="14" t="s">
        <v>1220</v>
      </c>
    </row>
    <row r="1373" spans="1:15" x14ac:dyDescent="0.25">
      <c r="A1373" s="14" t="s">
        <v>3736</v>
      </c>
      <c r="B1373" s="14" t="s">
        <v>3737</v>
      </c>
      <c r="C1373" s="14" t="s">
        <v>3737</v>
      </c>
      <c r="D1373" s="14" t="s">
        <v>1283</v>
      </c>
      <c r="E1373" s="15"/>
      <c r="F1373" s="14" t="s">
        <v>1742</v>
      </c>
      <c r="G1373" s="15"/>
      <c r="H1373" s="14" t="s">
        <v>1255</v>
      </c>
      <c r="I1373" s="14" t="s">
        <v>1217</v>
      </c>
      <c r="J1373" s="14" t="s">
        <v>1296</v>
      </c>
      <c r="K1373" s="14"/>
      <c r="L1373" s="14"/>
      <c r="M1373" s="14" t="s">
        <v>1259</v>
      </c>
      <c r="N1373" s="14" t="s">
        <v>1219</v>
      </c>
      <c r="O1373" s="14" t="s">
        <v>1220</v>
      </c>
    </row>
    <row r="1374" spans="1:15" x14ac:dyDescent="0.25">
      <c r="A1374" s="14">
        <v>6010</v>
      </c>
      <c r="B1374" s="14" t="s">
        <v>3738</v>
      </c>
      <c r="C1374" s="14" t="s">
        <v>3738</v>
      </c>
      <c r="D1374" s="14" t="s">
        <v>1807</v>
      </c>
      <c r="E1374" s="15"/>
      <c r="F1374" s="14"/>
      <c r="G1374" s="15"/>
      <c r="H1374" s="14" t="s">
        <v>1255</v>
      </c>
      <c r="I1374" s="14" t="s">
        <v>1217</v>
      </c>
      <c r="J1374" s="14"/>
      <c r="K1374" s="14"/>
      <c r="L1374" s="14"/>
      <c r="M1374" s="14"/>
      <c r="N1374" s="14" t="s">
        <v>1219</v>
      </c>
      <c r="O1374" s="14" t="s">
        <v>1220</v>
      </c>
    </row>
    <row r="1375" spans="1:15" x14ac:dyDescent="0.25">
      <c r="A1375" s="14">
        <v>6011</v>
      </c>
      <c r="B1375" s="14" t="s">
        <v>3739</v>
      </c>
      <c r="C1375" s="14" t="s">
        <v>3739</v>
      </c>
      <c r="D1375" s="14" t="s">
        <v>1807</v>
      </c>
      <c r="E1375" s="15"/>
      <c r="F1375" s="14"/>
      <c r="G1375" s="15"/>
      <c r="H1375" s="14" t="s">
        <v>1255</v>
      </c>
      <c r="I1375" s="14" t="s">
        <v>1217</v>
      </c>
      <c r="J1375" s="14"/>
      <c r="K1375" s="14"/>
      <c r="L1375" s="14"/>
      <c r="M1375" s="14"/>
      <c r="N1375" s="14" t="s">
        <v>1219</v>
      </c>
      <c r="O1375" s="14" t="s">
        <v>1220</v>
      </c>
    </row>
    <row r="1376" spans="1:15" x14ac:dyDescent="0.25">
      <c r="A1376" s="14">
        <v>6012</v>
      </c>
      <c r="B1376" s="14" t="s">
        <v>3740</v>
      </c>
      <c r="C1376" s="14" t="s">
        <v>3740</v>
      </c>
      <c r="D1376" s="14" t="s">
        <v>1807</v>
      </c>
      <c r="E1376" s="15"/>
      <c r="F1376" s="14"/>
      <c r="G1376" s="15"/>
      <c r="H1376" s="14" t="s">
        <v>1255</v>
      </c>
      <c r="I1376" s="14" t="s">
        <v>1217</v>
      </c>
      <c r="J1376" s="14"/>
      <c r="K1376" s="14"/>
      <c r="L1376" s="14"/>
      <c r="M1376" s="14"/>
      <c r="N1376" s="14" t="s">
        <v>1219</v>
      </c>
      <c r="O1376" s="14" t="s">
        <v>1220</v>
      </c>
    </row>
    <row r="1377" spans="1:15" x14ac:dyDescent="0.25">
      <c r="A1377" s="14">
        <v>6025</v>
      </c>
      <c r="B1377" s="14" t="s">
        <v>3741</v>
      </c>
      <c r="C1377" s="14" t="s">
        <v>3741</v>
      </c>
      <c r="D1377" s="14" t="s">
        <v>1807</v>
      </c>
      <c r="E1377" s="15"/>
      <c r="F1377" s="14"/>
      <c r="G1377" s="15"/>
      <c r="H1377" s="14" t="s">
        <v>1255</v>
      </c>
      <c r="I1377" s="14" t="s">
        <v>1217</v>
      </c>
      <c r="J1377" s="14"/>
      <c r="K1377" s="14"/>
      <c r="L1377" s="14"/>
      <c r="M1377" s="14"/>
      <c r="N1377" s="14" t="s">
        <v>1219</v>
      </c>
      <c r="O1377" s="14" t="s">
        <v>1220</v>
      </c>
    </row>
    <row r="1378" spans="1:15" x14ac:dyDescent="0.25">
      <c r="A1378" s="14">
        <v>6026</v>
      </c>
      <c r="B1378" s="14" t="s">
        <v>3742</v>
      </c>
      <c r="C1378" s="14" t="s">
        <v>3742</v>
      </c>
      <c r="D1378" s="14" t="s">
        <v>1807</v>
      </c>
      <c r="E1378" s="15"/>
      <c r="F1378" s="14"/>
      <c r="G1378" s="15"/>
      <c r="H1378" s="14" t="s">
        <v>1255</v>
      </c>
      <c r="I1378" s="14" t="s">
        <v>1217</v>
      </c>
      <c r="J1378" s="14"/>
      <c r="K1378" s="14"/>
      <c r="L1378" s="14"/>
      <c r="M1378" s="14"/>
      <c r="N1378" s="14" t="s">
        <v>1219</v>
      </c>
      <c r="O1378" s="14" t="s">
        <v>1220</v>
      </c>
    </row>
    <row r="1379" spans="1:15" x14ac:dyDescent="0.25">
      <c r="A1379" s="14">
        <v>6027</v>
      </c>
      <c r="B1379" s="14" t="s">
        <v>3743</v>
      </c>
      <c r="C1379" s="14" t="s">
        <v>3743</v>
      </c>
      <c r="D1379" s="14" t="s">
        <v>1807</v>
      </c>
      <c r="E1379" s="15"/>
      <c r="F1379" s="14"/>
      <c r="G1379" s="15"/>
      <c r="H1379" s="14" t="s">
        <v>1255</v>
      </c>
      <c r="I1379" s="14" t="s">
        <v>1217</v>
      </c>
      <c r="J1379" s="14"/>
      <c r="K1379" s="14"/>
      <c r="L1379" s="14"/>
      <c r="M1379" s="14"/>
      <c r="N1379" s="14" t="s">
        <v>1219</v>
      </c>
      <c r="O1379" s="14" t="s">
        <v>1220</v>
      </c>
    </row>
    <row r="1380" spans="1:15" x14ac:dyDescent="0.25">
      <c r="A1380" s="14">
        <v>6124</v>
      </c>
      <c r="B1380" s="14" t="s">
        <v>3744</v>
      </c>
      <c r="C1380" s="14" t="s">
        <v>3744</v>
      </c>
      <c r="D1380" s="14" t="s">
        <v>1807</v>
      </c>
      <c r="E1380" s="15"/>
      <c r="F1380" s="14"/>
      <c r="G1380" s="15"/>
      <c r="H1380" s="14" t="s">
        <v>1255</v>
      </c>
      <c r="I1380" s="14" t="s">
        <v>1217</v>
      </c>
      <c r="J1380" s="14"/>
      <c r="K1380" s="14"/>
      <c r="L1380" s="14"/>
      <c r="M1380" s="14"/>
      <c r="N1380" s="14" t="s">
        <v>1219</v>
      </c>
      <c r="O1380" s="14" t="s">
        <v>1220</v>
      </c>
    </row>
    <row r="1381" spans="1:15" x14ac:dyDescent="0.25">
      <c r="A1381" s="14">
        <v>6034</v>
      </c>
      <c r="B1381" s="14" t="s">
        <v>3745</v>
      </c>
      <c r="C1381" s="14" t="s">
        <v>3745</v>
      </c>
      <c r="D1381" s="14" t="s">
        <v>1807</v>
      </c>
      <c r="E1381" s="15"/>
      <c r="F1381" s="14"/>
      <c r="G1381" s="15"/>
      <c r="H1381" s="14" t="s">
        <v>1255</v>
      </c>
      <c r="I1381" s="14" t="s">
        <v>1217</v>
      </c>
      <c r="J1381" s="14"/>
      <c r="K1381" s="14"/>
      <c r="L1381" s="14"/>
      <c r="M1381" s="14"/>
      <c r="N1381" s="14" t="s">
        <v>1219</v>
      </c>
      <c r="O1381" s="14" t="s">
        <v>1220</v>
      </c>
    </row>
    <row r="1382" spans="1:15" x14ac:dyDescent="0.25">
      <c r="A1382" s="14">
        <v>6087</v>
      </c>
      <c r="B1382" s="14" t="s">
        <v>3746</v>
      </c>
      <c r="C1382" s="14" t="s">
        <v>3746</v>
      </c>
      <c r="D1382" s="14" t="s">
        <v>1807</v>
      </c>
      <c r="E1382" s="15"/>
      <c r="F1382" s="14"/>
      <c r="G1382" s="15"/>
      <c r="H1382" s="14" t="s">
        <v>1255</v>
      </c>
      <c r="I1382" s="14" t="s">
        <v>1217</v>
      </c>
      <c r="J1382" s="14"/>
      <c r="K1382" s="14"/>
      <c r="L1382" s="14"/>
      <c r="M1382" s="14"/>
      <c r="N1382" s="14" t="s">
        <v>1219</v>
      </c>
      <c r="O1382" s="14" t="s">
        <v>1220</v>
      </c>
    </row>
    <row r="1383" spans="1:15" x14ac:dyDescent="0.25">
      <c r="A1383" s="14">
        <v>6045</v>
      </c>
      <c r="B1383" s="14" t="s">
        <v>3747</v>
      </c>
      <c r="C1383" s="14" t="s">
        <v>3747</v>
      </c>
      <c r="D1383" s="14" t="s">
        <v>1807</v>
      </c>
      <c r="E1383" s="15"/>
      <c r="F1383" s="14"/>
      <c r="G1383" s="15"/>
      <c r="H1383" s="14" t="s">
        <v>1255</v>
      </c>
      <c r="I1383" s="14" t="s">
        <v>1217</v>
      </c>
      <c r="J1383" s="14"/>
      <c r="K1383" s="14"/>
      <c r="L1383" s="14"/>
      <c r="M1383" s="14"/>
      <c r="N1383" s="14" t="s">
        <v>1219</v>
      </c>
      <c r="O1383" s="14" t="s">
        <v>1220</v>
      </c>
    </row>
    <row r="1384" spans="1:15" x14ac:dyDescent="0.25">
      <c r="A1384" s="14">
        <v>6125</v>
      </c>
      <c r="B1384" s="14" t="s">
        <v>3748</v>
      </c>
      <c r="C1384" s="14" t="s">
        <v>3748</v>
      </c>
      <c r="D1384" s="14" t="s">
        <v>1807</v>
      </c>
      <c r="E1384" s="15"/>
      <c r="F1384" s="14"/>
      <c r="G1384" s="15"/>
      <c r="H1384" s="14" t="s">
        <v>1255</v>
      </c>
      <c r="I1384" s="14" t="s">
        <v>1217</v>
      </c>
      <c r="J1384" s="14"/>
      <c r="K1384" s="14"/>
      <c r="L1384" s="14"/>
      <c r="M1384" s="14"/>
      <c r="N1384" s="14" t="s">
        <v>1219</v>
      </c>
      <c r="O1384" s="14" t="s">
        <v>1220</v>
      </c>
    </row>
    <row r="1385" spans="1:15" x14ac:dyDescent="0.25">
      <c r="A1385" s="14">
        <v>6088</v>
      </c>
      <c r="B1385" s="14" t="s">
        <v>3749</v>
      </c>
      <c r="C1385" s="14" t="s">
        <v>3749</v>
      </c>
      <c r="D1385" s="14" t="s">
        <v>1807</v>
      </c>
      <c r="E1385" s="15"/>
      <c r="F1385" s="14"/>
      <c r="G1385" s="15"/>
      <c r="H1385" s="14" t="s">
        <v>1255</v>
      </c>
      <c r="I1385" s="14" t="s">
        <v>1217</v>
      </c>
      <c r="J1385" s="14"/>
      <c r="K1385" s="14"/>
      <c r="L1385" s="14"/>
      <c r="M1385" s="14"/>
      <c r="N1385" s="14" t="s">
        <v>1219</v>
      </c>
      <c r="O1385" s="14" t="s">
        <v>1220</v>
      </c>
    </row>
    <row r="1386" spans="1:15" x14ac:dyDescent="0.25">
      <c r="A1386" s="14">
        <v>3603</v>
      </c>
      <c r="B1386" s="14" t="s">
        <v>452</v>
      </c>
      <c r="C1386" s="14" t="s">
        <v>452</v>
      </c>
      <c r="D1386" s="14" t="s">
        <v>3368</v>
      </c>
      <c r="E1386" s="16">
        <v>200</v>
      </c>
      <c r="F1386" s="14" t="s">
        <v>1255</v>
      </c>
      <c r="G1386" s="17">
        <v>1100</v>
      </c>
      <c r="H1386" s="14" t="s">
        <v>1255</v>
      </c>
      <c r="I1386" s="14" t="s">
        <v>1256</v>
      </c>
      <c r="J1386" s="14" t="s">
        <v>1242</v>
      </c>
      <c r="K1386" s="14" t="s">
        <v>1257</v>
      </c>
      <c r="L1386" s="14" t="s">
        <v>3750</v>
      </c>
      <c r="M1386" s="14" t="s">
        <v>1259</v>
      </c>
      <c r="N1386" s="14" t="s">
        <v>1237</v>
      </c>
      <c r="O1386" s="14" t="s">
        <v>1220</v>
      </c>
    </row>
    <row r="1387" spans="1:15" x14ac:dyDescent="0.25">
      <c r="A1387" s="14" t="s">
        <v>3751</v>
      </c>
      <c r="B1387" s="14" t="s">
        <v>3752</v>
      </c>
      <c r="C1387" s="14" t="s">
        <v>3752</v>
      </c>
      <c r="D1387" s="14" t="s">
        <v>3368</v>
      </c>
      <c r="E1387" s="15"/>
      <c r="F1387" s="14" t="s">
        <v>1255</v>
      </c>
      <c r="G1387" s="15"/>
      <c r="H1387" s="14" t="s">
        <v>1255</v>
      </c>
      <c r="I1387" s="14" t="s">
        <v>1262</v>
      </c>
      <c r="J1387" s="14" t="s">
        <v>1262</v>
      </c>
      <c r="K1387" s="14" t="s">
        <v>1257</v>
      </c>
      <c r="L1387" s="14" t="s">
        <v>3750</v>
      </c>
      <c r="M1387" s="14" t="s">
        <v>1259</v>
      </c>
      <c r="N1387" s="14" t="s">
        <v>1219</v>
      </c>
      <c r="O1387" s="14" t="s">
        <v>1220</v>
      </c>
    </row>
    <row r="1388" spans="1:15" x14ac:dyDescent="0.25">
      <c r="A1388" s="14">
        <v>3604</v>
      </c>
      <c r="B1388" s="14" t="s">
        <v>453</v>
      </c>
      <c r="C1388" s="14" t="s">
        <v>453</v>
      </c>
      <c r="D1388" s="14" t="s">
        <v>3368</v>
      </c>
      <c r="E1388" s="16">
        <v>180</v>
      </c>
      <c r="F1388" s="14" t="s">
        <v>1255</v>
      </c>
      <c r="G1388" s="16">
        <v>640</v>
      </c>
      <c r="H1388" s="14" t="s">
        <v>1255</v>
      </c>
      <c r="I1388" s="14" t="s">
        <v>1256</v>
      </c>
      <c r="J1388" s="14" t="s">
        <v>1296</v>
      </c>
      <c r="K1388" s="14" t="s">
        <v>1257</v>
      </c>
      <c r="L1388" s="14" t="s">
        <v>3753</v>
      </c>
      <c r="M1388" s="14" t="s">
        <v>1259</v>
      </c>
      <c r="N1388" s="14" t="s">
        <v>1237</v>
      </c>
      <c r="O1388" s="14" t="s">
        <v>1220</v>
      </c>
    </row>
    <row r="1389" spans="1:15" x14ac:dyDescent="0.25">
      <c r="A1389" s="14">
        <v>3606</v>
      </c>
      <c r="B1389" s="14" t="s">
        <v>3754</v>
      </c>
      <c r="C1389" s="14" t="s">
        <v>3754</v>
      </c>
      <c r="D1389" s="14" t="s">
        <v>1349</v>
      </c>
      <c r="E1389" s="15"/>
      <c r="F1389" s="14"/>
      <c r="G1389" s="15"/>
      <c r="H1389" s="14" t="s">
        <v>1255</v>
      </c>
      <c r="I1389" s="14" t="s">
        <v>1360</v>
      </c>
      <c r="J1389" s="14" t="s">
        <v>1360</v>
      </c>
      <c r="K1389" s="14"/>
      <c r="L1389" s="14"/>
      <c r="M1389" s="14" t="s">
        <v>1259</v>
      </c>
      <c r="N1389" s="14" t="s">
        <v>1219</v>
      </c>
      <c r="O1389" s="14" t="s">
        <v>1220</v>
      </c>
    </row>
    <row r="1390" spans="1:15" x14ac:dyDescent="0.25">
      <c r="A1390" s="14">
        <v>3605</v>
      </c>
      <c r="B1390" s="14" t="s">
        <v>454</v>
      </c>
      <c r="C1390" s="14" t="s">
        <v>454</v>
      </c>
      <c r="D1390" s="14" t="s">
        <v>3368</v>
      </c>
      <c r="E1390" s="16">
        <v>150</v>
      </c>
      <c r="F1390" s="14" t="s">
        <v>1255</v>
      </c>
      <c r="G1390" s="16">
        <v>700</v>
      </c>
      <c r="H1390" s="14" t="s">
        <v>1255</v>
      </c>
      <c r="I1390" s="14" t="s">
        <v>1256</v>
      </c>
      <c r="J1390" s="14" t="s">
        <v>1296</v>
      </c>
      <c r="K1390" s="14" t="s">
        <v>1257</v>
      </c>
      <c r="L1390" s="14" t="s">
        <v>3755</v>
      </c>
      <c r="M1390" s="14" t="s">
        <v>1259</v>
      </c>
      <c r="N1390" s="14" t="s">
        <v>1237</v>
      </c>
      <c r="O1390" s="14" t="s">
        <v>1220</v>
      </c>
    </row>
    <row r="1391" spans="1:15" x14ac:dyDescent="0.25">
      <c r="A1391" s="14">
        <v>3607</v>
      </c>
      <c r="B1391" s="14" t="s">
        <v>3756</v>
      </c>
      <c r="C1391" s="14" t="s">
        <v>3756</v>
      </c>
      <c r="D1391" s="14" t="s">
        <v>1349</v>
      </c>
      <c r="E1391" s="15"/>
      <c r="F1391" s="14"/>
      <c r="G1391" s="15"/>
      <c r="H1391" s="14" t="s">
        <v>1255</v>
      </c>
      <c r="I1391" s="14" t="s">
        <v>1360</v>
      </c>
      <c r="J1391" s="14" t="s">
        <v>1360</v>
      </c>
      <c r="K1391" s="14"/>
      <c r="L1391" s="14"/>
      <c r="M1391" s="14" t="s">
        <v>1259</v>
      </c>
      <c r="N1391" s="14" t="s">
        <v>1219</v>
      </c>
      <c r="O1391" s="14" t="s">
        <v>1220</v>
      </c>
    </row>
    <row r="1392" spans="1:15" x14ac:dyDescent="0.25">
      <c r="A1392" s="14" t="s">
        <v>3757</v>
      </c>
      <c r="B1392" s="14" t="s">
        <v>3758</v>
      </c>
      <c r="C1392" s="14" t="s">
        <v>3758</v>
      </c>
      <c r="D1392" s="14" t="s">
        <v>1283</v>
      </c>
      <c r="E1392" s="15"/>
      <c r="F1392" s="14" t="s">
        <v>1255</v>
      </c>
      <c r="G1392" s="15"/>
      <c r="H1392" s="14" t="s">
        <v>1255</v>
      </c>
      <c r="I1392" s="14" t="s">
        <v>1217</v>
      </c>
      <c r="J1392" s="14" t="s">
        <v>1296</v>
      </c>
      <c r="K1392" s="14"/>
      <c r="L1392" s="14"/>
      <c r="M1392" s="14" t="s">
        <v>1259</v>
      </c>
      <c r="N1392" s="14" t="s">
        <v>1219</v>
      </c>
      <c r="O1392" s="14" t="s">
        <v>1220</v>
      </c>
    </row>
    <row r="1393" spans="1:15" x14ac:dyDescent="0.25">
      <c r="A1393" s="14" t="s">
        <v>3759</v>
      </c>
      <c r="B1393" s="14" t="s">
        <v>3760</v>
      </c>
      <c r="C1393" s="14" t="s">
        <v>3760</v>
      </c>
      <c r="D1393" s="14" t="s">
        <v>1283</v>
      </c>
      <c r="E1393" s="15"/>
      <c r="F1393" s="14" t="s">
        <v>1255</v>
      </c>
      <c r="G1393" s="15"/>
      <c r="H1393" s="14" t="s">
        <v>1255</v>
      </c>
      <c r="I1393" s="14" t="s">
        <v>1217</v>
      </c>
      <c r="J1393" s="14" t="s">
        <v>1296</v>
      </c>
      <c r="K1393" s="14"/>
      <c r="L1393" s="14"/>
      <c r="M1393" s="14" t="s">
        <v>1259</v>
      </c>
      <c r="N1393" s="14" t="s">
        <v>1219</v>
      </c>
      <c r="O1393" s="14" t="s">
        <v>1220</v>
      </c>
    </row>
    <row r="1394" spans="1:15" x14ac:dyDescent="0.25">
      <c r="A1394" s="14" t="s">
        <v>3761</v>
      </c>
      <c r="B1394" s="14" t="s">
        <v>3762</v>
      </c>
      <c r="C1394" s="14" t="s">
        <v>3762</v>
      </c>
      <c r="D1394" s="14" t="s">
        <v>1283</v>
      </c>
      <c r="E1394" s="15"/>
      <c r="F1394" s="14" t="s">
        <v>1255</v>
      </c>
      <c r="G1394" s="15"/>
      <c r="H1394" s="14" t="s">
        <v>1255</v>
      </c>
      <c r="I1394" s="14" t="s">
        <v>1217</v>
      </c>
      <c r="J1394" s="14" t="s">
        <v>1296</v>
      </c>
      <c r="K1394" s="14"/>
      <c r="L1394" s="14"/>
      <c r="M1394" s="14" t="s">
        <v>1259</v>
      </c>
      <c r="N1394" s="14" t="s">
        <v>1219</v>
      </c>
      <c r="O1394" s="14" t="s">
        <v>1220</v>
      </c>
    </row>
    <row r="1395" spans="1:15" x14ac:dyDescent="0.25">
      <c r="A1395" s="14">
        <v>50220</v>
      </c>
      <c r="B1395" s="14" t="s">
        <v>3763</v>
      </c>
      <c r="C1395" s="14" t="s">
        <v>3763</v>
      </c>
      <c r="D1395" s="14" t="s">
        <v>1222</v>
      </c>
      <c r="E1395" s="15"/>
      <c r="F1395" s="14"/>
      <c r="G1395" s="15"/>
      <c r="H1395" s="14" t="s">
        <v>1223</v>
      </c>
      <c r="I1395" s="14"/>
      <c r="J1395" s="14"/>
      <c r="K1395" s="14"/>
      <c r="L1395" s="14"/>
      <c r="M1395" s="14"/>
      <c r="N1395" s="14" t="s">
        <v>1219</v>
      </c>
      <c r="O1395" s="14" t="s">
        <v>1220</v>
      </c>
    </row>
    <row r="1396" spans="1:15" x14ac:dyDescent="0.25">
      <c r="A1396" s="14">
        <v>50232</v>
      </c>
      <c r="B1396" s="14" t="s">
        <v>3764</v>
      </c>
      <c r="C1396" s="14" t="s">
        <v>3764</v>
      </c>
      <c r="D1396" s="14" t="s">
        <v>1222</v>
      </c>
      <c r="E1396" s="15"/>
      <c r="F1396" s="14"/>
      <c r="G1396" s="15"/>
      <c r="H1396" s="14" t="s">
        <v>1223</v>
      </c>
      <c r="I1396" s="14"/>
      <c r="J1396" s="14"/>
      <c r="K1396" s="14"/>
      <c r="L1396" s="14"/>
      <c r="M1396" s="14"/>
      <c r="N1396" s="14" t="s">
        <v>1219</v>
      </c>
      <c r="O1396" s="14" t="s">
        <v>1220</v>
      </c>
    </row>
    <row r="1397" spans="1:15" x14ac:dyDescent="0.25">
      <c r="A1397" s="14">
        <v>50240</v>
      </c>
      <c r="B1397" s="14" t="s">
        <v>3765</v>
      </c>
      <c r="C1397" s="14" t="s">
        <v>3765</v>
      </c>
      <c r="D1397" s="14" t="s">
        <v>1222</v>
      </c>
      <c r="E1397" s="15"/>
      <c r="F1397" s="14"/>
      <c r="G1397" s="15"/>
      <c r="H1397" s="14" t="s">
        <v>1223</v>
      </c>
      <c r="I1397" s="14"/>
      <c r="J1397" s="14"/>
      <c r="K1397" s="14"/>
      <c r="L1397" s="14"/>
      <c r="M1397" s="14"/>
      <c r="N1397" s="14" t="s">
        <v>1219</v>
      </c>
      <c r="O1397" s="14" t="s">
        <v>1220</v>
      </c>
    </row>
    <row r="1398" spans="1:15" x14ac:dyDescent="0.25">
      <c r="A1398" s="14">
        <v>54920</v>
      </c>
      <c r="B1398" s="14" t="s">
        <v>3766</v>
      </c>
      <c r="C1398" s="14" t="s">
        <v>3766</v>
      </c>
      <c r="D1398" s="14" t="s">
        <v>1222</v>
      </c>
      <c r="E1398" s="15"/>
      <c r="F1398" s="14"/>
      <c r="G1398" s="15"/>
      <c r="H1398" s="14" t="s">
        <v>1223</v>
      </c>
      <c r="I1398" s="14"/>
      <c r="J1398" s="14"/>
      <c r="K1398" s="14"/>
      <c r="L1398" s="14"/>
      <c r="M1398" s="14"/>
      <c r="N1398" s="14" t="s">
        <v>1219</v>
      </c>
      <c r="O1398" s="14" t="s">
        <v>1220</v>
      </c>
    </row>
    <row r="1399" spans="1:15" x14ac:dyDescent="0.25">
      <c r="A1399" s="14">
        <v>54940</v>
      </c>
      <c r="B1399" s="14" t="s">
        <v>3767</v>
      </c>
      <c r="C1399" s="14" t="s">
        <v>3767</v>
      </c>
      <c r="D1399" s="14" t="s">
        <v>1222</v>
      </c>
      <c r="E1399" s="15"/>
      <c r="F1399" s="14"/>
      <c r="G1399" s="15"/>
      <c r="H1399" s="14" t="s">
        <v>1223</v>
      </c>
      <c r="I1399" s="14"/>
      <c r="J1399" s="14"/>
      <c r="K1399" s="14"/>
      <c r="L1399" s="14"/>
      <c r="M1399" s="14"/>
      <c r="N1399" s="14" t="s">
        <v>1219</v>
      </c>
      <c r="O1399" s="14" t="s">
        <v>1220</v>
      </c>
    </row>
    <row r="1400" spans="1:15" x14ac:dyDescent="0.25">
      <c r="A1400" s="14">
        <v>4597</v>
      </c>
      <c r="B1400" s="14" t="s">
        <v>3768</v>
      </c>
      <c r="C1400" s="14" t="s">
        <v>1117</v>
      </c>
      <c r="D1400" s="14" t="s">
        <v>3769</v>
      </c>
      <c r="E1400" s="16">
        <v>10</v>
      </c>
      <c r="F1400" s="14" t="s">
        <v>1886</v>
      </c>
      <c r="G1400" s="16">
        <v>100</v>
      </c>
      <c r="H1400" s="14" t="s">
        <v>1886</v>
      </c>
      <c r="I1400" s="14" t="s">
        <v>1232</v>
      </c>
      <c r="J1400" s="14" t="s">
        <v>1296</v>
      </c>
      <c r="K1400" s="14" t="s">
        <v>3770</v>
      </c>
      <c r="L1400" s="14" t="s">
        <v>3771</v>
      </c>
      <c r="M1400" s="14" t="s">
        <v>3772</v>
      </c>
      <c r="N1400" s="14" t="s">
        <v>1237</v>
      </c>
      <c r="O1400" s="14" t="s">
        <v>1220</v>
      </c>
    </row>
    <row r="1401" spans="1:15" x14ac:dyDescent="0.25">
      <c r="A1401" s="14">
        <v>4593</v>
      </c>
      <c r="B1401" s="14" t="s">
        <v>795</v>
      </c>
      <c r="C1401" s="14" t="s">
        <v>3773</v>
      </c>
      <c r="D1401" s="14" t="s">
        <v>3769</v>
      </c>
      <c r="E1401" s="16">
        <v>10</v>
      </c>
      <c r="F1401" s="14" t="s">
        <v>1886</v>
      </c>
      <c r="G1401" s="16">
        <v>100</v>
      </c>
      <c r="H1401" s="14" t="s">
        <v>1886</v>
      </c>
      <c r="I1401" s="14" t="s">
        <v>1256</v>
      </c>
      <c r="J1401" s="14" t="s">
        <v>1233</v>
      </c>
      <c r="K1401" s="14" t="s">
        <v>1257</v>
      </c>
      <c r="L1401" s="14" t="s">
        <v>3774</v>
      </c>
      <c r="M1401" s="14" t="s">
        <v>3772</v>
      </c>
      <c r="N1401" s="14" t="s">
        <v>1237</v>
      </c>
      <c r="O1401" s="14" t="s">
        <v>1220</v>
      </c>
    </row>
    <row r="1402" spans="1:15" x14ac:dyDescent="0.25">
      <c r="A1402" s="14" t="s">
        <v>3775</v>
      </c>
      <c r="B1402" s="14" t="s">
        <v>3776</v>
      </c>
      <c r="C1402" s="14" t="s">
        <v>3777</v>
      </c>
      <c r="D1402" s="14" t="s">
        <v>3778</v>
      </c>
      <c r="E1402" s="15"/>
      <c r="F1402" s="14" t="s">
        <v>1886</v>
      </c>
      <c r="G1402" s="15"/>
      <c r="H1402" s="14" t="s">
        <v>1886</v>
      </c>
      <c r="I1402" s="14" t="s">
        <v>1262</v>
      </c>
      <c r="J1402" s="14" t="s">
        <v>1262</v>
      </c>
      <c r="K1402" s="14"/>
      <c r="L1402" s="14" t="s">
        <v>3774</v>
      </c>
      <c r="M1402" s="14" t="s">
        <v>3772</v>
      </c>
      <c r="N1402" s="14" t="s">
        <v>1219</v>
      </c>
      <c r="O1402" s="14" t="s">
        <v>1220</v>
      </c>
    </row>
    <row r="1403" spans="1:15" x14ac:dyDescent="0.25">
      <c r="A1403" s="14">
        <v>4594</v>
      </c>
      <c r="B1403" s="14" t="s">
        <v>796</v>
      </c>
      <c r="C1403" s="14" t="s">
        <v>3779</v>
      </c>
      <c r="D1403" s="14" t="s">
        <v>3769</v>
      </c>
      <c r="E1403" s="16">
        <v>10</v>
      </c>
      <c r="F1403" s="14" t="s">
        <v>1886</v>
      </c>
      <c r="G1403" s="16">
        <v>100</v>
      </c>
      <c r="H1403" s="14" t="s">
        <v>1886</v>
      </c>
      <c r="I1403" s="14" t="s">
        <v>1256</v>
      </c>
      <c r="J1403" s="14" t="s">
        <v>1233</v>
      </c>
      <c r="K1403" s="14" t="s">
        <v>1257</v>
      </c>
      <c r="L1403" s="14" t="s">
        <v>3780</v>
      </c>
      <c r="M1403" s="14" t="s">
        <v>3772</v>
      </c>
      <c r="N1403" s="14" t="s">
        <v>1237</v>
      </c>
      <c r="O1403" s="14" t="s">
        <v>1220</v>
      </c>
    </row>
    <row r="1404" spans="1:15" x14ac:dyDescent="0.25">
      <c r="A1404" s="14">
        <v>4595</v>
      </c>
      <c r="B1404" s="14" t="s">
        <v>797</v>
      </c>
      <c r="C1404" s="14" t="s">
        <v>3781</v>
      </c>
      <c r="D1404" s="14" t="s">
        <v>3769</v>
      </c>
      <c r="E1404" s="16">
        <v>5</v>
      </c>
      <c r="F1404" s="14" t="s">
        <v>1886</v>
      </c>
      <c r="G1404" s="16">
        <v>100</v>
      </c>
      <c r="H1404" s="14" t="s">
        <v>1886</v>
      </c>
      <c r="I1404" s="14" t="s">
        <v>1256</v>
      </c>
      <c r="J1404" s="14" t="s">
        <v>1233</v>
      </c>
      <c r="K1404" s="14" t="s">
        <v>1257</v>
      </c>
      <c r="L1404" s="14" t="s">
        <v>3782</v>
      </c>
      <c r="M1404" s="14" t="s">
        <v>3772</v>
      </c>
      <c r="N1404" s="14" t="s">
        <v>1237</v>
      </c>
      <c r="O1404" s="14" t="s">
        <v>1220</v>
      </c>
    </row>
    <row r="1405" spans="1:15" x14ac:dyDescent="0.25">
      <c r="A1405" s="14" t="s">
        <v>3783</v>
      </c>
      <c r="B1405" s="14" t="s">
        <v>3784</v>
      </c>
      <c r="C1405" s="14" t="s">
        <v>3781</v>
      </c>
      <c r="D1405" s="14" t="s">
        <v>1283</v>
      </c>
      <c r="E1405" s="15"/>
      <c r="F1405" s="14" t="s">
        <v>1886</v>
      </c>
      <c r="G1405" s="15"/>
      <c r="H1405" s="14" t="s">
        <v>1886</v>
      </c>
      <c r="I1405" s="14" t="s">
        <v>1217</v>
      </c>
      <c r="J1405" s="14" t="s">
        <v>1233</v>
      </c>
      <c r="K1405" s="14"/>
      <c r="L1405" s="14" t="s">
        <v>3782</v>
      </c>
      <c r="M1405" s="14" t="s">
        <v>3772</v>
      </c>
      <c r="N1405" s="14" t="s">
        <v>1219</v>
      </c>
      <c r="O1405" s="14" t="s">
        <v>1220</v>
      </c>
    </row>
    <row r="1406" spans="1:15" x14ac:dyDescent="0.25">
      <c r="A1406" s="14" t="s">
        <v>3785</v>
      </c>
      <c r="B1406" s="14" t="s">
        <v>3786</v>
      </c>
      <c r="C1406" s="14" t="s">
        <v>3787</v>
      </c>
      <c r="D1406" s="14" t="s">
        <v>3788</v>
      </c>
      <c r="E1406" s="15"/>
      <c r="F1406" s="14" t="s">
        <v>1886</v>
      </c>
      <c r="G1406" s="15"/>
      <c r="H1406" s="14" t="s">
        <v>1886</v>
      </c>
      <c r="I1406" s="14" t="s">
        <v>1262</v>
      </c>
      <c r="J1406" s="14" t="s">
        <v>1262</v>
      </c>
      <c r="K1406" s="14"/>
      <c r="L1406" s="14" t="s">
        <v>3782</v>
      </c>
      <c r="M1406" s="14" t="s">
        <v>3772</v>
      </c>
      <c r="N1406" s="14" t="s">
        <v>1219</v>
      </c>
      <c r="O1406" s="14" t="s">
        <v>1220</v>
      </c>
    </row>
    <row r="1407" spans="1:15" x14ac:dyDescent="0.25">
      <c r="A1407" s="14">
        <v>4596</v>
      </c>
      <c r="B1407" s="14" t="s">
        <v>3789</v>
      </c>
      <c r="C1407" s="14" t="s">
        <v>3790</v>
      </c>
      <c r="D1407" s="14" t="s">
        <v>3769</v>
      </c>
      <c r="E1407" s="16">
        <v>5</v>
      </c>
      <c r="F1407" s="14" t="s">
        <v>1886</v>
      </c>
      <c r="G1407" s="16">
        <v>100</v>
      </c>
      <c r="H1407" s="14" t="s">
        <v>1886</v>
      </c>
      <c r="I1407" s="14" t="s">
        <v>1232</v>
      </c>
      <c r="J1407" s="14" t="s">
        <v>1296</v>
      </c>
      <c r="K1407" s="14" t="s">
        <v>3791</v>
      </c>
      <c r="L1407" s="14" t="s">
        <v>3792</v>
      </c>
      <c r="M1407" s="14" t="s">
        <v>3772</v>
      </c>
      <c r="N1407" s="14" t="s">
        <v>1237</v>
      </c>
      <c r="O1407" s="14" t="s">
        <v>1220</v>
      </c>
    </row>
    <row r="1408" spans="1:15" x14ac:dyDescent="0.25">
      <c r="A1408" s="14">
        <v>3700</v>
      </c>
      <c r="B1408" s="14" t="s">
        <v>3793</v>
      </c>
      <c r="C1408" s="14" t="s">
        <v>3794</v>
      </c>
      <c r="D1408" s="14" t="s">
        <v>1349</v>
      </c>
      <c r="E1408" s="15"/>
      <c r="F1408" s="14"/>
      <c r="G1408" s="15"/>
      <c r="H1408" s="14" t="s">
        <v>1886</v>
      </c>
      <c r="I1408" s="14" t="s">
        <v>1360</v>
      </c>
      <c r="J1408" s="14" t="s">
        <v>1360</v>
      </c>
      <c r="K1408" s="14"/>
      <c r="L1408" s="14"/>
      <c r="M1408" s="14" t="s">
        <v>3772</v>
      </c>
      <c r="N1408" s="14" t="s">
        <v>1219</v>
      </c>
      <c r="O1408" s="14" t="s">
        <v>1220</v>
      </c>
    </row>
    <row r="1409" spans="1:15" x14ac:dyDescent="0.25">
      <c r="A1409" s="14" t="s">
        <v>3795</v>
      </c>
      <c r="B1409" s="14" t="s">
        <v>3796</v>
      </c>
      <c r="C1409" s="14" t="s">
        <v>3797</v>
      </c>
      <c r="D1409" s="14" t="s">
        <v>1283</v>
      </c>
      <c r="E1409" s="15"/>
      <c r="F1409" s="14" t="s">
        <v>1886</v>
      </c>
      <c r="G1409" s="15"/>
      <c r="H1409" s="14" t="s">
        <v>1886</v>
      </c>
      <c r="I1409" s="14" t="s">
        <v>1217</v>
      </c>
      <c r="J1409" s="14" t="s">
        <v>1233</v>
      </c>
      <c r="K1409" s="14"/>
      <c r="L1409" s="14"/>
      <c r="M1409" s="14" t="s">
        <v>3772</v>
      </c>
      <c r="N1409" s="14" t="s">
        <v>1219</v>
      </c>
      <c r="O1409" s="14" t="s">
        <v>1220</v>
      </c>
    </row>
    <row r="1410" spans="1:15" x14ac:dyDescent="0.25">
      <c r="A1410" s="14">
        <v>3701</v>
      </c>
      <c r="B1410" s="14" t="s">
        <v>798</v>
      </c>
      <c r="C1410" s="14" t="s">
        <v>3798</v>
      </c>
      <c r="D1410" s="14" t="s">
        <v>3769</v>
      </c>
      <c r="E1410" s="16">
        <v>5</v>
      </c>
      <c r="F1410" s="14" t="s">
        <v>1886</v>
      </c>
      <c r="G1410" s="16">
        <v>50</v>
      </c>
      <c r="H1410" s="14" t="s">
        <v>1886</v>
      </c>
      <c r="I1410" s="14" t="s">
        <v>1256</v>
      </c>
      <c r="J1410" s="14" t="s">
        <v>1242</v>
      </c>
      <c r="K1410" s="14" t="s">
        <v>1257</v>
      </c>
      <c r="L1410" s="14" t="s">
        <v>3799</v>
      </c>
      <c r="M1410" s="14" t="s">
        <v>3772</v>
      </c>
      <c r="N1410" s="14" t="s">
        <v>1237</v>
      </c>
      <c r="O1410" s="14" t="s">
        <v>1220</v>
      </c>
    </row>
    <row r="1411" spans="1:15" x14ac:dyDescent="0.25">
      <c r="A1411" s="14">
        <v>0</v>
      </c>
      <c r="B1411" s="14" t="s">
        <v>3800</v>
      </c>
      <c r="C1411" s="14" t="s">
        <v>3801</v>
      </c>
      <c r="D1411" s="14" t="s">
        <v>1349</v>
      </c>
      <c r="E1411" s="15"/>
      <c r="F1411" s="14"/>
      <c r="G1411" s="15"/>
      <c r="H1411" s="14" t="s">
        <v>1886</v>
      </c>
      <c r="I1411" s="14" t="s">
        <v>1360</v>
      </c>
      <c r="J1411" s="14" t="s">
        <v>1360</v>
      </c>
      <c r="K1411" s="14"/>
      <c r="L1411" s="14"/>
      <c r="M1411" s="14" t="s">
        <v>3772</v>
      </c>
      <c r="N1411" s="14" t="s">
        <v>1219</v>
      </c>
      <c r="O1411" s="14" t="s">
        <v>1220</v>
      </c>
    </row>
    <row r="1412" spans="1:15" x14ac:dyDescent="0.25">
      <c r="A1412" s="14">
        <v>0</v>
      </c>
      <c r="B1412" s="14" t="s">
        <v>3802</v>
      </c>
      <c r="C1412" s="14" t="s">
        <v>3793</v>
      </c>
      <c r="D1412" s="14" t="s">
        <v>1349</v>
      </c>
      <c r="E1412" s="15"/>
      <c r="F1412" s="14"/>
      <c r="G1412" s="15"/>
      <c r="H1412" s="14" t="s">
        <v>1886</v>
      </c>
      <c r="I1412" s="14" t="s">
        <v>1360</v>
      </c>
      <c r="J1412" s="14" t="s">
        <v>1360</v>
      </c>
      <c r="K1412" s="14"/>
      <c r="L1412" s="14"/>
      <c r="M1412" s="14" t="s">
        <v>3772</v>
      </c>
      <c r="N1412" s="14" t="s">
        <v>1219</v>
      </c>
      <c r="O1412" s="14" t="s">
        <v>1220</v>
      </c>
    </row>
    <row r="1413" spans="1:15" x14ac:dyDescent="0.25">
      <c r="A1413" s="14">
        <v>0</v>
      </c>
      <c r="B1413" s="14" t="s">
        <v>3803</v>
      </c>
      <c r="C1413" s="14" t="s">
        <v>798</v>
      </c>
      <c r="D1413" s="14" t="s">
        <v>1349</v>
      </c>
      <c r="E1413" s="15"/>
      <c r="F1413" s="14"/>
      <c r="G1413" s="15"/>
      <c r="H1413" s="14" t="s">
        <v>1886</v>
      </c>
      <c r="I1413" s="14" t="s">
        <v>1360</v>
      </c>
      <c r="J1413" s="14" t="s">
        <v>1360</v>
      </c>
      <c r="K1413" s="14"/>
      <c r="L1413" s="14"/>
      <c r="M1413" s="14" t="s">
        <v>3772</v>
      </c>
      <c r="N1413" s="14" t="s">
        <v>1219</v>
      </c>
      <c r="O1413" s="14" t="s">
        <v>1220</v>
      </c>
    </row>
    <row r="1414" spans="1:15" x14ac:dyDescent="0.25">
      <c r="A1414" s="14">
        <v>37392</v>
      </c>
      <c r="B1414" s="14" t="s">
        <v>3804</v>
      </c>
      <c r="C1414" s="14" t="s">
        <v>3805</v>
      </c>
      <c r="D1414" s="14" t="s">
        <v>1222</v>
      </c>
      <c r="E1414" s="15"/>
      <c r="F1414" s="14"/>
      <c r="G1414" s="15"/>
      <c r="H1414" s="14" t="s">
        <v>1223</v>
      </c>
      <c r="I1414" s="14"/>
      <c r="J1414" s="14"/>
      <c r="K1414" s="14"/>
      <c r="L1414" s="14"/>
      <c r="M1414" s="14"/>
      <c r="N1414" s="14" t="s">
        <v>1219</v>
      </c>
      <c r="O1414" s="14" t="s">
        <v>1220</v>
      </c>
    </row>
    <row r="1415" spans="1:15" x14ac:dyDescent="0.25">
      <c r="A1415" s="14">
        <v>37390</v>
      </c>
      <c r="B1415" s="14" t="s">
        <v>3806</v>
      </c>
      <c r="C1415" s="14" t="s">
        <v>3807</v>
      </c>
      <c r="D1415" s="14" t="s">
        <v>1222</v>
      </c>
      <c r="E1415" s="15"/>
      <c r="F1415" s="14"/>
      <c r="G1415" s="15"/>
      <c r="H1415" s="14" t="s">
        <v>1223</v>
      </c>
      <c r="I1415" s="14"/>
      <c r="J1415" s="14"/>
      <c r="K1415" s="14"/>
      <c r="L1415" s="14"/>
      <c r="M1415" s="14"/>
      <c r="N1415" s="14" t="s">
        <v>1219</v>
      </c>
      <c r="O1415" s="14" t="s">
        <v>1220</v>
      </c>
    </row>
    <row r="1416" spans="1:15" x14ac:dyDescent="0.25">
      <c r="A1416" s="14">
        <v>1570</v>
      </c>
      <c r="B1416" s="14" t="s">
        <v>1105</v>
      </c>
      <c r="C1416" s="14" t="s">
        <v>1105</v>
      </c>
      <c r="D1416" s="14" t="s">
        <v>3808</v>
      </c>
      <c r="E1416" s="16">
        <v>400</v>
      </c>
      <c r="F1416" s="14" t="s">
        <v>3809</v>
      </c>
      <c r="G1416" s="17">
        <v>1000</v>
      </c>
      <c r="H1416" s="14" t="s">
        <v>3810</v>
      </c>
      <c r="I1416" s="14" t="s">
        <v>1232</v>
      </c>
      <c r="J1416" s="14" t="s">
        <v>1296</v>
      </c>
      <c r="K1416" s="14" t="s">
        <v>3811</v>
      </c>
      <c r="L1416" s="14" t="s">
        <v>3812</v>
      </c>
      <c r="M1416" s="14" t="s">
        <v>3813</v>
      </c>
      <c r="N1416" s="14" t="s">
        <v>1237</v>
      </c>
      <c r="O1416" s="14" t="s">
        <v>1220</v>
      </c>
    </row>
    <row r="1417" spans="1:15" x14ac:dyDescent="0.25">
      <c r="A1417" s="14">
        <v>6169</v>
      </c>
      <c r="B1417" s="14" t="s">
        <v>3814</v>
      </c>
      <c r="C1417" s="14" t="s">
        <v>3814</v>
      </c>
      <c r="D1417" s="14" t="s">
        <v>3278</v>
      </c>
      <c r="E1417" s="17">
        <v>1000</v>
      </c>
      <c r="F1417" s="14" t="s">
        <v>3809</v>
      </c>
      <c r="G1417" s="17">
        <v>1000</v>
      </c>
      <c r="H1417" s="14" t="s">
        <v>3810</v>
      </c>
      <c r="I1417" s="14"/>
      <c r="J1417" s="14" t="s">
        <v>1296</v>
      </c>
      <c r="K1417" s="14" t="s">
        <v>3815</v>
      </c>
      <c r="L1417" s="14" t="s">
        <v>3816</v>
      </c>
      <c r="M1417" s="14"/>
      <c r="N1417" s="14" t="s">
        <v>1219</v>
      </c>
      <c r="O1417" s="14" t="s">
        <v>1220</v>
      </c>
    </row>
    <row r="1418" spans="1:15" x14ac:dyDescent="0.25">
      <c r="A1418" s="14">
        <v>1000537668</v>
      </c>
      <c r="B1418" s="14" t="s">
        <v>3817</v>
      </c>
      <c r="C1418" s="14" t="s">
        <v>3817</v>
      </c>
      <c r="D1418" s="14" t="s">
        <v>1222</v>
      </c>
      <c r="E1418" s="15"/>
      <c r="F1418" s="14"/>
      <c r="G1418" s="15"/>
      <c r="H1418" s="14" t="s">
        <v>1223</v>
      </c>
      <c r="I1418" s="14"/>
      <c r="J1418" s="14"/>
      <c r="K1418" s="14"/>
      <c r="L1418" s="14"/>
      <c r="M1418" s="14"/>
      <c r="N1418" s="14" t="s">
        <v>1219</v>
      </c>
      <c r="O1418" s="14" t="s">
        <v>1220</v>
      </c>
    </row>
    <row r="1419" spans="1:15" x14ac:dyDescent="0.25">
      <c r="A1419" s="14">
        <v>3702</v>
      </c>
      <c r="B1419" s="14" t="s">
        <v>799</v>
      </c>
      <c r="C1419" s="14" t="s">
        <v>3818</v>
      </c>
      <c r="D1419" s="14" t="s">
        <v>3769</v>
      </c>
      <c r="E1419" s="16">
        <v>500</v>
      </c>
      <c r="F1419" s="14" t="s">
        <v>1886</v>
      </c>
      <c r="G1419" s="16">
        <v>500</v>
      </c>
      <c r="H1419" s="14" t="s">
        <v>1886</v>
      </c>
      <c r="I1419" s="14" t="s">
        <v>1256</v>
      </c>
      <c r="J1419" s="14" t="s">
        <v>1296</v>
      </c>
      <c r="K1419" s="14" t="s">
        <v>1257</v>
      </c>
      <c r="L1419" s="14" t="s">
        <v>3819</v>
      </c>
      <c r="M1419" s="14" t="s">
        <v>3118</v>
      </c>
      <c r="N1419" s="14" t="s">
        <v>1237</v>
      </c>
      <c r="O1419" s="14" t="s">
        <v>1220</v>
      </c>
    </row>
    <row r="1420" spans="1:15" x14ac:dyDescent="0.25">
      <c r="A1420" s="14" t="s">
        <v>3820</v>
      </c>
      <c r="B1420" s="14" t="s">
        <v>3821</v>
      </c>
      <c r="C1420" s="14" t="s">
        <v>3822</v>
      </c>
      <c r="D1420" s="14" t="s">
        <v>3788</v>
      </c>
      <c r="E1420" s="15"/>
      <c r="F1420" s="14" t="s">
        <v>1886</v>
      </c>
      <c r="G1420" s="15"/>
      <c r="H1420" s="14" t="s">
        <v>1886</v>
      </c>
      <c r="I1420" s="14" t="s">
        <v>1262</v>
      </c>
      <c r="J1420" s="14" t="s">
        <v>1262</v>
      </c>
      <c r="K1420" s="14" t="s">
        <v>1257</v>
      </c>
      <c r="L1420" s="14" t="s">
        <v>3819</v>
      </c>
      <c r="M1420" s="14" t="s">
        <v>3118</v>
      </c>
      <c r="N1420" s="14" t="s">
        <v>1219</v>
      </c>
      <c r="O1420" s="14" t="s">
        <v>1220</v>
      </c>
    </row>
    <row r="1421" spans="1:15" x14ac:dyDescent="0.25">
      <c r="A1421" s="14">
        <v>3703</v>
      </c>
      <c r="B1421" s="14" t="s">
        <v>800</v>
      </c>
      <c r="C1421" s="14" t="s">
        <v>3823</v>
      </c>
      <c r="D1421" s="14" t="s">
        <v>3769</v>
      </c>
      <c r="E1421" s="16">
        <v>500</v>
      </c>
      <c r="F1421" s="14" t="s">
        <v>1886</v>
      </c>
      <c r="G1421" s="16">
        <v>500</v>
      </c>
      <c r="H1421" s="14" t="s">
        <v>1886</v>
      </c>
      <c r="I1421" s="14" t="s">
        <v>1256</v>
      </c>
      <c r="J1421" s="14" t="s">
        <v>1296</v>
      </c>
      <c r="K1421" s="14" t="s">
        <v>1257</v>
      </c>
      <c r="L1421" s="14" t="s">
        <v>3824</v>
      </c>
      <c r="M1421" s="14" t="s">
        <v>3118</v>
      </c>
      <c r="N1421" s="14" t="s">
        <v>1237</v>
      </c>
      <c r="O1421" s="14" t="s">
        <v>1220</v>
      </c>
    </row>
    <row r="1422" spans="1:15" x14ac:dyDescent="0.25">
      <c r="A1422" s="14" t="s">
        <v>3825</v>
      </c>
      <c r="B1422" s="14" t="s">
        <v>3826</v>
      </c>
      <c r="C1422" s="14" t="s">
        <v>3827</v>
      </c>
      <c r="D1422" s="14" t="s">
        <v>3788</v>
      </c>
      <c r="E1422" s="15"/>
      <c r="F1422" s="14" t="s">
        <v>1886</v>
      </c>
      <c r="G1422" s="15"/>
      <c r="H1422" s="14" t="s">
        <v>1886</v>
      </c>
      <c r="I1422" s="14" t="s">
        <v>1262</v>
      </c>
      <c r="J1422" s="14" t="s">
        <v>1262</v>
      </c>
      <c r="K1422" s="14" t="s">
        <v>1257</v>
      </c>
      <c r="L1422" s="14" t="s">
        <v>3824</v>
      </c>
      <c r="M1422" s="14" t="s">
        <v>3118</v>
      </c>
      <c r="N1422" s="14" t="s">
        <v>1219</v>
      </c>
      <c r="O1422" s="14" t="s">
        <v>1220</v>
      </c>
    </row>
    <row r="1423" spans="1:15" x14ac:dyDescent="0.25">
      <c r="A1423" s="14">
        <v>1939</v>
      </c>
      <c r="B1423" s="14" t="s">
        <v>801</v>
      </c>
      <c r="C1423" s="14" t="s">
        <v>3828</v>
      </c>
      <c r="D1423" s="14" t="s">
        <v>3769</v>
      </c>
      <c r="E1423" s="16">
        <v>300</v>
      </c>
      <c r="F1423" s="14" t="s">
        <v>1886</v>
      </c>
      <c r="G1423" s="16">
        <v>300</v>
      </c>
      <c r="H1423" s="14" t="s">
        <v>1886</v>
      </c>
      <c r="I1423" s="14" t="s">
        <v>1256</v>
      </c>
      <c r="J1423" s="14" t="s">
        <v>1296</v>
      </c>
      <c r="K1423" s="14" t="s">
        <v>1257</v>
      </c>
      <c r="L1423" s="14" t="s">
        <v>3829</v>
      </c>
      <c r="M1423" s="14" t="s">
        <v>3118</v>
      </c>
      <c r="N1423" s="14" t="s">
        <v>1237</v>
      </c>
      <c r="O1423" s="14" t="s">
        <v>1220</v>
      </c>
    </row>
    <row r="1424" spans="1:15" x14ac:dyDescent="0.25">
      <c r="A1424" s="14" t="s">
        <v>3830</v>
      </c>
      <c r="B1424" s="14" t="s">
        <v>3831</v>
      </c>
      <c r="C1424" s="14" t="s">
        <v>3832</v>
      </c>
      <c r="D1424" s="14" t="s">
        <v>3788</v>
      </c>
      <c r="E1424" s="15"/>
      <c r="F1424" s="14" t="s">
        <v>1886</v>
      </c>
      <c r="G1424" s="15"/>
      <c r="H1424" s="14" t="s">
        <v>1886</v>
      </c>
      <c r="I1424" s="14" t="s">
        <v>1262</v>
      </c>
      <c r="J1424" s="14" t="s">
        <v>1262</v>
      </c>
      <c r="K1424" s="14"/>
      <c r="L1424" s="14" t="s">
        <v>3829</v>
      </c>
      <c r="M1424" s="14" t="s">
        <v>3118</v>
      </c>
      <c r="N1424" s="14" t="s">
        <v>1219</v>
      </c>
      <c r="O1424" s="14" t="s">
        <v>1220</v>
      </c>
    </row>
    <row r="1425" spans="1:15" x14ac:dyDescent="0.25">
      <c r="A1425" s="14">
        <v>1940</v>
      </c>
      <c r="B1425" s="14" t="s">
        <v>802</v>
      </c>
      <c r="C1425" s="14" t="s">
        <v>3833</v>
      </c>
      <c r="D1425" s="14" t="s">
        <v>3769</v>
      </c>
      <c r="E1425" s="16">
        <v>250</v>
      </c>
      <c r="F1425" s="14" t="s">
        <v>1886</v>
      </c>
      <c r="G1425" s="16">
        <v>250</v>
      </c>
      <c r="H1425" s="14" t="s">
        <v>1886</v>
      </c>
      <c r="I1425" s="14" t="s">
        <v>1256</v>
      </c>
      <c r="J1425" s="14" t="s">
        <v>1296</v>
      </c>
      <c r="K1425" s="14" t="s">
        <v>1257</v>
      </c>
      <c r="L1425" s="14" t="s">
        <v>3834</v>
      </c>
      <c r="M1425" s="14" t="s">
        <v>3118</v>
      </c>
      <c r="N1425" s="14" t="s">
        <v>1237</v>
      </c>
      <c r="O1425" s="14" t="s">
        <v>1220</v>
      </c>
    </row>
    <row r="1426" spans="1:15" x14ac:dyDescent="0.25">
      <c r="A1426" s="14" t="s">
        <v>3835</v>
      </c>
      <c r="B1426" s="14" t="s">
        <v>3836</v>
      </c>
      <c r="C1426" s="14" t="s">
        <v>3837</v>
      </c>
      <c r="D1426" s="14" t="s">
        <v>3788</v>
      </c>
      <c r="E1426" s="15"/>
      <c r="F1426" s="14" t="s">
        <v>1886</v>
      </c>
      <c r="G1426" s="15"/>
      <c r="H1426" s="14" t="s">
        <v>1886</v>
      </c>
      <c r="I1426" s="14" t="s">
        <v>1262</v>
      </c>
      <c r="J1426" s="14" t="s">
        <v>1262</v>
      </c>
      <c r="K1426" s="14" t="s">
        <v>1257</v>
      </c>
      <c r="L1426" s="14" t="s">
        <v>3834</v>
      </c>
      <c r="M1426" s="14" t="s">
        <v>3118</v>
      </c>
      <c r="N1426" s="14" t="s">
        <v>1219</v>
      </c>
      <c r="O1426" s="14" t="s">
        <v>1220</v>
      </c>
    </row>
    <row r="1427" spans="1:15" x14ac:dyDescent="0.25">
      <c r="A1427" s="14">
        <v>1941</v>
      </c>
      <c r="B1427" s="14" t="s">
        <v>803</v>
      </c>
      <c r="C1427" s="14" t="s">
        <v>3838</v>
      </c>
      <c r="D1427" s="14" t="s">
        <v>3769</v>
      </c>
      <c r="E1427" s="16">
        <v>150</v>
      </c>
      <c r="F1427" s="14" t="s">
        <v>1886</v>
      </c>
      <c r="G1427" s="16">
        <v>150</v>
      </c>
      <c r="H1427" s="14" t="s">
        <v>1886</v>
      </c>
      <c r="I1427" s="14" t="s">
        <v>1256</v>
      </c>
      <c r="J1427" s="14" t="s">
        <v>1296</v>
      </c>
      <c r="K1427" s="14" t="s">
        <v>1257</v>
      </c>
      <c r="L1427" s="14" t="s">
        <v>3839</v>
      </c>
      <c r="M1427" s="14" t="s">
        <v>3118</v>
      </c>
      <c r="N1427" s="14" t="s">
        <v>1237</v>
      </c>
      <c r="O1427" s="14" t="s">
        <v>1220</v>
      </c>
    </row>
    <row r="1428" spans="1:15" x14ac:dyDescent="0.25">
      <c r="A1428" s="14">
        <v>1942</v>
      </c>
      <c r="B1428" s="14" t="s">
        <v>804</v>
      </c>
      <c r="C1428" s="14" t="s">
        <v>3840</v>
      </c>
      <c r="D1428" s="14" t="s">
        <v>3769</v>
      </c>
      <c r="E1428" s="16">
        <v>100</v>
      </c>
      <c r="F1428" s="14" t="s">
        <v>1886</v>
      </c>
      <c r="G1428" s="16">
        <v>100</v>
      </c>
      <c r="H1428" s="14" t="s">
        <v>1886</v>
      </c>
      <c r="I1428" s="14" t="s">
        <v>1256</v>
      </c>
      <c r="J1428" s="14" t="s">
        <v>1296</v>
      </c>
      <c r="K1428" s="14" t="s">
        <v>1257</v>
      </c>
      <c r="L1428" s="14" t="s">
        <v>3841</v>
      </c>
      <c r="M1428" s="14" t="s">
        <v>3118</v>
      </c>
      <c r="N1428" s="14" t="s">
        <v>1237</v>
      </c>
      <c r="O1428" s="14" t="s">
        <v>1220</v>
      </c>
    </row>
    <row r="1429" spans="1:15" x14ac:dyDescent="0.25">
      <c r="A1429" s="14">
        <v>5185</v>
      </c>
      <c r="B1429" s="14" t="s">
        <v>1057</v>
      </c>
      <c r="C1429" s="14" t="s">
        <v>1057</v>
      </c>
      <c r="D1429" s="14" t="s">
        <v>3842</v>
      </c>
      <c r="E1429" s="16">
        <v>6</v>
      </c>
      <c r="F1429" s="14" t="s">
        <v>3843</v>
      </c>
      <c r="G1429" s="16">
        <v>600</v>
      </c>
      <c r="H1429" s="14" t="s">
        <v>3842</v>
      </c>
      <c r="I1429" s="14" t="s">
        <v>1232</v>
      </c>
      <c r="J1429" s="14" t="s">
        <v>1233</v>
      </c>
      <c r="K1429" s="14" t="s">
        <v>1234</v>
      </c>
      <c r="L1429" s="14" t="s">
        <v>3844</v>
      </c>
      <c r="M1429" s="14" t="s">
        <v>3845</v>
      </c>
      <c r="N1429" s="14" t="s">
        <v>1237</v>
      </c>
      <c r="O1429" s="14" t="s">
        <v>1220</v>
      </c>
    </row>
    <row r="1430" spans="1:15" x14ac:dyDescent="0.25">
      <c r="A1430" s="14">
        <v>5186</v>
      </c>
      <c r="B1430" s="14" t="s">
        <v>1058</v>
      </c>
      <c r="C1430" s="14" t="s">
        <v>1058</v>
      </c>
      <c r="D1430" s="14" t="s">
        <v>3842</v>
      </c>
      <c r="E1430" s="16">
        <v>6</v>
      </c>
      <c r="F1430" s="14" t="s">
        <v>3843</v>
      </c>
      <c r="G1430" s="16">
        <v>600</v>
      </c>
      <c r="H1430" s="14" t="s">
        <v>3842</v>
      </c>
      <c r="I1430" s="14" t="s">
        <v>1232</v>
      </c>
      <c r="J1430" s="14" t="s">
        <v>1242</v>
      </c>
      <c r="K1430" s="14" t="s">
        <v>1234</v>
      </c>
      <c r="L1430" s="14" t="s">
        <v>3846</v>
      </c>
      <c r="M1430" s="14" t="s">
        <v>3845</v>
      </c>
      <c r="N1430" s="14" t="s">
        <v>1237</v>
      </c>
      <c r="O1430" s="14" t="s">
        <v>1220</v>
      </c>
    </row>
    <row r="1431" spans="1:15" x14ac:dyDescent="0.25">
      <c r="A1431" s="14">
        <v>5187</v>
      </c>
      <c r="B1431" s="14" t="s">
        <v>1059</v>
      </c>
      <c r="C1431" s="14" t="s">
        <v>1059</v>
      </c>
      <c r="D1431" s="14" t="s">
        <v>3842</v>
      </c>
      <c r="E1431" s="16">
        <v>6</v>
      </c>
      <c r="F1431" s="14" t="s">
        <v>3843</v>
      </c>
      <c r="G1431" s="16">
        <v>480</v>
      </c>
      <c r="H1431" s="14" t="s">
        <v>3842</v>
      </c>
      <c r="I1431" s="14" t="s">
        <v>1232</v>
      </c>
      <c r="J1431" s="14" t="s">
        <v>1296</v>
      </c>
      <c r="K1431" s="14" t="s">
        <v>1234</v>
      </c>
      <c r="L1431" s="14" t="s">
        <v>3847</v>
      </c>
      <c r="M1431" s="14" t="s">
        <v>3845</v>
      </c>
      <c r="N1431" s="14" t="s">
        <v>1237</v>
      </c>
      <c r="O1431" s="14" t="s">
        <v>1220</v>
      </c>
    </row>
    <row r="1432" spans="1:15" x14ac:dyDescent="0.25">
      <c r="A1432" s="14">
        <v>5180</v>
      </c>
      <c r="B1432" s="14" t="s">
        <v>1054</v>
      </c>
      <c r="C1432" s="14" t="s">
        <v>1054</v>
      </c>
      <c r="D1432" s="14" t="s">
        <v>3842</v>
      </c>
      <c r="E1432" s="16">
        <v>6</v>
      </c>
      <c r="F1432" s="14" t="s">
        <v>3843</v>
      </c>
      <c r="G1432" s="16">
        <v>600</v>
      </c>
      <c r="H1432" s="14" t="s">
        <v>3842</v>
      </c>
      <c r="I1432" s="14" t="s">
        <v>1232</v>
      </c>
      <c r="J1432" s="14" t="s">
        <v>1233</v>
      </c>
      <c r="K1432" s="14" t="s">
        <v>1234</v>
      </c>
      <c r="L1432" s="14" t="s">
        <v>3848</v>
      </c>
      <c r="M1432" s="14" t="s">
        <v>3845</v>
      </c>
      <c r="N1432" s="14" t="s">
        <v>1237</v>
      </c>
      <c r="O1432" s="14" t="s">
        <v>1220</v>
      </c>
    </row>
    <row r="1433" spans="1:15" x14ac:dyDescent="0.25">
      <c r="A1433" s="14">
        <v>5181</v>
      </c>
      <c r="B1433" s="14" t="s">
        <v>1055</v>
      </c>
      <c r="C1433" s="14" t="s">
        <v>1055</v>
      </c>
      <c r="D1433" s="14" t="s">
        <v>3842</v>
      </c>
      <c r="E1433" s="16">
        <v>6</v>
      </c>
      <c r="F1433" s="14" t="s">
        <v>3843</v>
      </c>
      <c r="G1433" s="16">
        <v>600</v>
      </c>
      <c r="H1433" s="14" t="s">
        <v>3842</v>
      </c>
      <c r="I1433" s="14" t="s">
        <v>1232</v>
      </c>
      <c r="J1433" s="14" t="s">
        <v>1242</v>
      </c>
      <c r="K1433" s="14" t="s">
        <v>1234</v>
      </c>
      <c r="L1433" s="14" t="s">
        <v>3849</v>
      </c>
      <c r="M1433" s="14" t="s">
        <v>3845</v>
      </c>
      <c r="N1433" s="14" t="s">
        <v>1237</v>
      </c>
      <c r="O1433" s="14" t="s">
        <v>1220</v>
      </c>
    </row>
    <row r="1434" spans="1:15" x14ac:dyDescent="0.25">
      <c r="A1434" s="14">
        <v>5182</v>
      </c>
      <c r="B1434" s="14" t="s">
        <v>1056</v>
      </c>
      <c r="C1434" s="14" t="s">
        <v>1056</v>
      </c>
      <c r="D1434" s="14" t="s">
        <v>3842</v>
      </c>
      <c r="E1434" s="16">
        <v>6</v>
      </c>
      <c r="F1434" s="14" t="s">
        <v>3843</v>
      </c>
      <c r="G1434" s="16">
        <v>480</v>
      </c>
      <c r="H1434" s="14" t="s">
        <v>3842</v>
      </c>
      <c r="I1434" s="14" t="s">
        <v>1232</v>
      </c>
      <c r="J1434" s="14" t="s">
        <v>1242</v>
      </c>
      <c r="K1434" s="14" t="s">
        <v>1234</v>
      </c>
      <c r="L1434" s="14" t="s">
        <v>3850</v>
      </c>
      <c r="M1434" s="14" t="s">
        <v>3845</v>
      </c>
      <c r="N1434" s="14" t="s">
        <v>1237</v>
      </c>
      <c r="O1434" s="14" t="s">
        <v>1220</v>
      </c>
    </row>
    <row r="1435" spans="1:15" x14ac:dyDescent="0.25">
      <c r="A1435" s="14" t="s">
        <v>3851</v>
      </c>
      <c r="B1435" s="14" t="s">
        <v>3852</v>
      </c>
      <c r="C1435" s="14" t="s">
        <v>904</v>
      </c>
      <c r="D1435" s="14" t="s">
        <v>1349</v>
      </c>
      <c r="E1435" s="15"/>
      <c r="F1435" s="14" t="s">
        <v>3853</v>
      </c>
      <c r="G1435" s="15"/>
      <c r="H1435" s="14" t="s">
        <v>3854</v>
      </c>
      <c r="I1435" s="14"/>
      <c r="J1435" s="14" t="s">
        <v>1360</v>
      </c>
      <c r="K1435" s="14"/>
      <c r="L1435" s="14" t="s">
        <v>3855</v>
      </c>
      <c r="M1435" s="14" t="s">
        <v>1236</v>
      </c>
      <c r="N1435" s="14" t="s">
        <v>1219</v>
      </c>
      <c r="O1435" s="14" t="s">
        <v>1220</v>
      </c>
    </row>
    <row r="1436" spans="1:15" x14ac:dyDescent="0.25">
      <c r="A1436" s="14" t="s">
        <v>3856</v>
      </c>
      <c r="B1436" s="14" t="s">
        <v>3857</v>
      </c>
      <c r="C1436" s="14" t="s">
        <v>904</v>
      </c>
      <c r="D1436" s="14" t="s">
        <v>1349</v>
      </c>
      <c r="E1436" s="15"/>
      <c r="F1436" s="14"/>
      <c r="G1436" s="15"/>
      <c r="H1436" s="14" t="s">
        <v>3854</v>
      </c>
      <c r="I1436" s="14" t="s">
        <v>1360</v>
      </c>
      <c r="J1436" s="14"/>
      <c r="K1436" s="14"/>
      <c r="L1436" s="14"/>
      <c r="M1436" s="14" t="s">
        <v>1236</v>
      </c>
      <c r="N1436" s="14" t="s">
        <v>1219</v>
      </c>
      <c r="O1436" s="14" t="s">
        <v>1220</v>
      </c>
    </row>
    <row r="1437" spans="1:15" x14ac:dyDescent="0.25">
      <c r="A1437" s="14">
        <v>4706</v>
      </c>
      <c r="B1437" s="14" t="s">
        <v>904</v>
      </c>
      <c r="C1437" s="14" t="s">
        <v>904</v>
      </c>
      <c r="D1437" s="14" t="s">
        <v>3858</v>
      </c>
      <c r="E1437" s="16">
        <v>8</v>
      </c>
      <c r="F1437" s="14" t="s">
        <v>3853</v>
      </c>
      <c r="G1437" s="16">
        <v>104</v>
      </c>
      <c r="H1437" s="14" t="s">
        <v>3854</v>
      </c>
      <c r="I1437" s="14" t="s">
        <v>1256</v>
      </c>
      <c r="J1437" s="14" t="s">
        <v>1233</v>
      </c>
      <c r="K1437" s="14" t="s">
        <v>1257</v>
      </c>
      <c r="L1437" s="14" t="s">
        <v>3859</v>
      </c>
      <c r="M1437" s="14" t="s">
        <v>3860</v>
      </c>
      <c r="N1437" s="14" t="s">
        <v>1237</v>
      </c>
      <c r="O1437" s="14" t="s">
        <v>1220</v>
      </c>
    </row>
    <row r="1438" spans="1:15" x14ac:dyDescent="0.25">
      <c r="A1438" s="14">
        <v>5151</v>
      </c>
      <c r="B1438" s="14" t="s">
        <v>1070</v>
      </c>
      <c r="C1438" s="14" t="s">
        <v>1070</v>
      </c>
      <c r="D1438" s="14" t="s">
        <v>3861</v>
      </c>
      <c r="E1438" s="16">
        <v>4</v>
      </c>
      <c r="F1438" s="14" t="s">
        <v>3862</v>
      </c>
      <c r="G1438" s="16">
        <v>150</v>
      </c>
      <c r="H1438" s="14" t="s">
        <v>3861</v>
      </c>
      <c r="I1438" s="14" t="s">
        <v>1232</v>
      </c>
      <c r="J1438" s="14" t="s">
        <v>1242</v>
      </c>
      <c r="K1438" s="14" t="s">
        <v>3863</v>
      </c>
      <c r="L1438" s="14" t="s">
        <v>3864</v>
      </c>
      <c r="M1438" s="14" t="s">
        <v>3865</v>
      </c>
      <c r="N1438" s="14" t="s">
        <v>1237</v>
      </c>
      <c r="O1438" s="14" t="s">
        <v>1220</v>
      </c>
    </row>
    <row r="1439" spans="1:15" x14ac:dyDescent="0.25">
      <c r="A1439" s="14">
        <v>5152</v>
      </c>
      <c r="B1439" s="14" t="s">
        <v>3866</v>
      </c>
      <c r="C1439" s="14" t="s">
        <v>3866</v>
      </c>
      <c r="D1439" s="14" t="s">
        <v>3861</v>
      </c>
      <c r="E1439" s="16">
        <v>4</v>
      </c>
      <c r="F1439" s="14" t="s">
        <v>3862</v>
      </c>
      <c r="G1439" s="16">
        <v>150</v>
      </c>
      <c r="H1439" s="14" t="s">
        <v>3861</v>
      </c>
      <c r="I1439" s="14" t="s">
        <v>1232</v>
      </c>
      <c r="J1439" s="14" t="s">
        <v>1296</v>
      </c>
      <c r="K1439" s="14" t="s">
        <v>3863</v>
      </c>
      <c r="L1439" s="14" t="s">
        <v>3867</v>
      </c>
      <c r="M1439" s="14" t="s">
        <v>3865</v>
      </c>
      <c r="N1439" s="14" t="s">
        <v>1237</v>
      </c>
      <c r="O1439" s="14" t="s">
        <v>1220</v>
      </c>
    </row>
    <row r="1440" spans="1:15" x14ac:dyDescent="0.25">
      <c r="A1440" s="14">
        <v>5160</v>
      </c>
      <c r="B1440" s="14" t="s">
        <v>1068</v>
      </c>
      <c r="C1440" s="14" t="s">
        <v>1068</v>
      </c>
      <c r="D1440" s="14" t="s">
        <v>3861</v>
      </c>
      <c r="E1440" s="16">
        <v>4</v>
      </c>
      <c r="F1440" s="14" t="s">
        <v>3862</v>
      </c>
      <c r="G1440" s="16">
        <v>150</v>
      </c>
      <c r="H1440" s="14" t="s">
        <v>3861</v>
      </c>
      <c r="I1440" s="14" t="s">
        <v>1232</v>
      </c>
      <c r="J1440" s="14" t="s">
        <v>1242</v>
      </c>
      <c r="K1440" s="14" t="s">
        <v>3863</v>
      </c>
      <c r="L1440" s="14" t="s">
        <v>3868</v>
      </c>
      <c r="M1440" s="14" t="s">
        <v>3865</v>
      </c>
      <c r="N1440" s="14" t="s">
        <v>1237</v>
      </c>
      <c r="O1440" s="14" t="s">
        <v>1220</v>
      </c>
    </row>
    <row r="1441" spans="1:15" x14ac:dyDescent="0.25">
      <c r="A1441" s="14">
        <v>5162</v>
      </c>
      <c r="B1441" s="14" t="s">
        <v>1067</v>
      </c>
      <c r="C1441" s="14" t="s">
        <v>1067</v>
      </c>
      <c r="D1441" s="14" t="s">
        <v>3861</v>
      </c>
      <c r="E1441" s="16">
        <v>4</v>
      </c>
      <c r="F1441" s="14" t="s">
        <v>3862</v>
      </c>
      <c r="G1441" s="16">
        <v>150</v>
      </c>
      <c r="H1441" s="14" t="s">
        <v>3861</v>
      </c>
      <c r="I1441" s="14" t="s">
        <v>1232</v>
      </c>
      <c r="J1441" s="14" t="s">
        <v>1296</v>
      </c>
      <c r="K1441" s="14" t="s">
        <v>3863</v>
      </c>
      <c r="L1441" s="14" t="s">
        <v>3869</v>
      </c>
      <c r="M1441" s="14" t="s">
        <v>3865</v>
      </c>
      <c r="N1441" s="14" t="s">
        <v>1237</v>
      </c>
      <c r="O1441" s="14" t="s">
        <v>1220</v>
      </c>
    </row>
    <row r="1442" spans="1:15" x14ac:dyDescent="0.25">
      <c r="A1442" s="14">
        <v>5164</v>
      </c>
      <c r="B1442" s="14" t="s">
        <v>1066</v>
      </c>
      <c r="C1442" s="14" t="s">
        <v>1066</v>
      </c>
      <c r="D1442" s="14" t="s">
        <v>3861</v>
      </c>
      <c r="E1442" s="16">
        <v>4</v>
      </c>
      <c r="F1442" s="14" t="s">
        <v>3862</v>
      </c>
      <c r="G1442" s="16">
        <v>150</v>
      </c>
      <c r="H1442" s="14" t="s">
        <v>3861</v>
      </c>
      <c r="I1442" s="14" t="s">
        <v>1232</v>
      </c>
      <c r="J1442" s="14" t="s">
        <v>1296</v>
      </c>
      <c r="K1442" s="14" t="s">
        <v>3863</v>
      </c>
      <c r="L1442" s="14" t="s">
        <v>3870</v>
      </c>
      <c r="M1442" s="14" t="s">
        <v>3865</v>
      </c>
      <c r="N1442" s="14" t="s">
        <v>1237</v>
      </c>
      <c r="O1442" s="14" t="s">
        <v>1220</v>
      </c>
    </row>
    <row r="1443" spans="1:15" x14ac:dyDescent="0.25">
      <c r="A1443" s="14">
        <v>5166</v>
      </c>
      <c r="B1443" s="14" t="s">
        <v>1106</v>
      </c>
      <c r="C1443" s="14" t="s">
        <v>1106</v>
      </c>
      <c r="D1443" s="14" t="s">
        <v>3861</v>
      </c>
      <c r="E1443" s="16">
        <v>4</v>
      </c>
      <c r="F1443" s="14" t="s">
        <v>3862</v>
      </c>
      <c r="G1443" s="16">
        <v>150</v>
      </c>
      <c r="H1443" s="14" t="s">
        <v>3861</v>
      </c>
      <c r="I1443" s="14" t="s">
        <v>1232</v>
      </c>
      <c r="J1443" s="14" t="s">
        <v>1296</v>
      </c>
      <c r="K1443" s="14" t="s">
        <v>3871</v>
      </c>
      <c r="L1443" s="14" t="s">
        <v>3872</v>
      </c>
      <c r="M1443" s="14" t="s">
        <v>3865</v>
      </c>
      <c r="N1443" s="14" t="s">
        <v>1237</v>
      </c>
      <c r="O1443" s="14" t="s">
        <v>1220</v>
      </c>
    </row>
    <row r="1444" spans="1:15" x14ac:dyDescent="0.25">
      <c r="A1444" s="14">
        <v>5168</v>
      </c>
      <c r="B1444" s="14" t="s">
        <v>1107</v>
      </c>
      <c r="C1444" s="14" t="s">
        <v>1107</v>
      </c>
      <c r="D1444" s="14" t="s">
        <v>3861</v>
      </c>
      <c r="E1444" s="16">
        <v>4</v>
      </c>
      <c r="F1444" s="14" t="s">
        <v>3862</v>
      </c>
      <c r="G1444" s="16">
        <v>150</v>
      </c>
      <c r="H1444" s="14" t="s">
        <v>3861</v>
      </c>
      <c r="I1444" s="14" t="s">
        <v>1232</v>
      </c>
      <c r="J1444" s="14" t="s">
        <v>1296</v>
      </c>
      <c r="K1444" s="14" t="s">
        <v>3871</v>
      </c>
      <c r="L1444" s="14" t="s">
        <v>3873</v>
      </c>
      <c r="M1444" s="14" t="s">
        <v>3865</v>
      </c>
      <c r="N1444" s="14" t="s">
        <v>1237</v>
      </c>
      <c r="O1444" s="14" t="s">
        <v>1220</v>
      </c>
    </row>
    <row r="1445" spans="1:15" x14ac:dyDescent="0.25">
      <c r="A1445" s="14">
        <v>4707</v>
      </c>
      <c r="B1445" s="14" t="s">
        <v>905</v>
      </c>
      <c r="C1445" s="14" t="s">
        <v>905</v>
      </c>
      <c r="D1445" s="14" t="s">
        <v>3874</v>
      </c>
      <c r="E1445" s="16">
        <v>8</v>
      </c>
      <c r="F1445" s="14" t="s">
        <v>3853</v>
      </c>
      <c r="G1445" s="16">
        <v>104</v>
      </c>
      <c r="H1445" s="14" t="s">
        <v>3854</v>
      </c>
      <c r="I1445" s="14" t="s">
        <v>1256</v>
      </c>
      <c r="J1445" s="14" t="s">
        <v>1233</v>
      </c>
      <c r="K1445" s="14" t="s">
        <v>1257</v>
      </c>
      <c r="L1445" s="14" t="s">
        <v>3875</v>
      </c>
      <c r="M1445" s="14" t="s">
        <v>3860</v>
      </c>
      <c r="N1445" s="14" t="s">
        <v>1237</v>
      </c>
      <c r="O1445" s="14" t="s">
        <v>1220</v>
      </c>
    </row>
    <row r="1446" spans="1:15" x14ac:dyDescent="0.25">
      <c r="A1446" s="14" t="s">
        <v>3876</v>
      </c>
      <c r="B1446" s="14" t="s">
        <v>3877</v>
      </c>
      <c r="C1446" s="14" t="s">
        <v>906</v>
      </c>
      <c r="D1446" s="14" t="s">
        <v>1349</v>
      </c>
      <c r="E1446" s="15"/>
      <c r="F1446" s="14" t="s">
        <v>3853</v>
      </c>
      <c r="G1446" s="15"/>
      <c r="H1446" s="14" t="s">
        <v>3854</v>
      </c>
      <c r="I1446" s="14"/>
      <c r="J1446" s="14" t="s">
        <v>1360</v>
      </c>
      <c r="K1446" s="14"/>
      <c r="L1446" s="14" t="s">
        <v>3855</v>
      </c>
      <c r="M1446" s="14" t="s">
        <v>3860</v>
      </c>
      <c r="N1446" s="14" t="s">
        <v>1219</v>
      </c>
      <c r="O1446" s="14" t="s">
        <v>1220</v>
      </c>
    </row>
    <row r="1447" spans="1:15" x14ac:dyDescent="0.25">
      <c r="A1447" s="14" t="s">
        <v>3878</v>
      </c>
      <c r="B1447" s="14" t="s">
        <v>3879</v>
      </c>
      <c r="C1447" s="14" t="s">
        <v>906</v>
      </c>
      <c r="D1447" s="14" t="s">
        <v>1349</v>
      </c>
      <c r="E1447" s="16">
        <v>8</v>
      </c>
      <c r="F1447" s="14"/>
      <c r="G1447" s="16">
        <v>100</v>
      </c>
      <c r="H1447" s="14" t="s">
        <v>3854</v>
      </c>
      <c r="I1447" s="14" t="s">
        <v>1360</v>
      </c>
      <c r="J1447" s="14"/>
      <c r="K1447" s="14" t="s">
        <v>1257</v>
      </c>
      <c r="L1447" s="14"/>
      <c r="M1447" s="14" t="s">
        <v>3860</v>
      </c>
      <c r="N1447" s="14" t="s">
        <v>1219</v>
      </c>
      <c r="O1447" s="14" t="s">
        <v>1220</v>
      </c>
    </row>
    <row r="1448" spans="1:15" x14ac:dyDescent="0.25">
      <c r="A1448" s="14">
        <v>4700</v>
      </c>
      <c r="B1448" s="14" t="s">
        <v>906</v>
      </c>
      <c r="C1448" s="14" t="s">
        <v>906</v>
      </c>
      <c r="D1448" s="14" t="s">
        <v>3874</v>
      </c>
      <c r="E1448" s="16">
        <v>8</v>
      </c>
      <c r="F1448" s="14" t="s">
        <v>3853</v>
      </c>
      <c r="G1448" s="16">
        <v>104</v>
      </c>
      <c r="H1448" s="14" t="s">
        <v>3854</v>
      </c>
      <c r="I1448" s="14" t="s">
        <v>1256</v>
      </c>
      <c r="J1448" s="14" t="s">
        <v>1233</v>
      </c>
      <c r="K1448" s="14" t="s">
        <v>1257</v>
      </c>
      <c r="L1448" s="14" t="s">
        <v>3880</v>
      </c>
      <c r="M1448" s="14" t="s">
        <v>3860</v>
      </c>
      <c r="N1448" s="14" t="s">
        <v>1237</v>
      </c>
      <c r="O1448" s="14" t="s">
        <v>1220</v>
      </c>
    </row>
    <row r="1449" spans="1:15" x14ac:dyDescent="0.25">
      <c r="A1449" s="14">
        <v>4708</v>
      </c>
      <c r="B1449" s="14" t="s">
        <v>907</v>
      </c>
      <c r="C1449" s="14" t="s">
        <v>907</v>
      </c>
      <c r="D1449" s="14" t="s">
        <v>3874</v>
      </c>
      <c r="E1449" s="16">
        <v>8</v>
      </c>
      <c r="F1449" s="14" t="s">
        <v>3853</v>
      </c>
      <c r="G1449" s="16">
        <v>104</v>
      </c>
      <c r="H1449" s="14" t="s">
        <v>3854</v>
      </c>
      <c r="I1449" s="14" t="s">
        <v>1256</v>
      </c>
      <c r="J1449" s="14" t="s">
        <v>1233</v>
      </c>
      <c r="K1449" s="14" t="s">
        <v>1257</v>
      </c>
      <c r="L1449" s="14" t="s">
        <v>3881</v>
      </c>
      <c r="M1449" s="14" t="s">
        <v>3860</v>
      </c>
      <c r="N1449" s="14" t="s">
        <v>1237</v>
      </c>
      <c r="O1449" s="14" t="s">
        <v>1220</v>
      </c>
    </row>
    <row r="1450" spans="1:15" x14ac:dyDescent="0.25">
      <c r="A1450" s="14">
        <v>4701</v>
      </c>
      <c r="B1450" s="14" t="s">
        <v>908</v>
      </c>
      <c r="C1450" s="14" t="s">
        <v>908</v>
      </c>
      <c r="D1450" s="14" t="s">
        <v>3874</v>
      </c>
      <c r="E1450" s="16">
        <v>8</v>
      </c>
      <c r="F1450" s="14" t="s">
        <v>3853</v>
      </c>
      <c r="G1450" s="16">
        <v>104</v>
      </c>
      <c r="H1450" s="14" t="s">
        <v>3854</v>
      </c>
      <c r="I1450" s="14" t="s">
        <v>1256</v>
      </c>
      <c r="J1450" s="14" t="s">
        <v>1233</v>
      </c>
      <c r="K1450" s="14" t="s">
        <v>1257</v>
      </c>
      <c r="L1450" s="14" t="s">
        <v>3882</v>
      </c>
      <c r="M1450" s="14" t="s">
        <v>3860</v>
      </c>
      <c r="N1450" s="14" t="s">
        <v>1237</v>
      </c>
      <c r="O1450" s="14" t="s">
        <v>1220</v>
      </c>
    </row>
    <row r="1451" spans="1:15" x14ac:dyDescent="0.25">
      <c r="A1451" s="14">
        <v>4702</v>
      </c>
      <c r="B1451" s="14" t="s">
        <v>909</v>
      </c>
      <c r="C1451" s="14" t="s">
        <v>909</v>
      </c>
      <c r="D1451" s="14" t="s">
        <v>3874</v>
      </c>
      <c r="E1451" s="16">
        <v>4</v>
      </c>
      <c r="F1451" s="14" t="s">
        <v>3853</v>
      </c>
      <c r="G1451" s="16">
        <v>100</v>
      </c>
      <c r="H1451" s="14" t="s">
        <v>3854</v>
      </c>
      <c r="I1451" s="14" t="s">
        <v>1256</v>
      </c>
      <c r="J1451" s="14" t="s">
        <v>1233</v>
      </c>
      <c r="K1451" s="14" t="s">
        <v>1257</v>
      </c>
      <c r="L1451" s="14" t="s">
        <v>3883</v>
      </c>
      <c r="M1451" s="14" t="s">
        <v>3860</v>
      </c>
      <c r="N1451" s="14" t="s">
        <v>1237</v>
      </c>
      <c r="O1451" s="14" t="s">
        <v>1220</v>
      </c>
    </row>
    <row r="1452" spans="1:15" x14ac:dyDescent="0.25">
      <c r="A1452" s="14">
        <v>4703</v>
      </c>
      <c r="B1452" s="14" t="s">
        <v>910</v>
      </c>
      <c r="C1452" s="14" t="s">
        <v>910</v>
      </c>
      <c r="D1452" s="14" t="s">
        <v>3874</v>
      </c>
      <c r="E1452" s="16">
        <v>8</v>
      </c>
      <c r="F1452" s="14" t="s">
        <v>3853</v>
      </c>
      <c r="G1452" s="16">
        <v>104</v>
      </c>
      <c r="H1452" s="14" t="s">
        <v>3854</v>
      </c>
      <c r="I1452" s="14" t="s">
        <v>1256</v>
      </c>
      <c r="J1452" s="14" t="s">
        <v>1233</v>
      </c>
      <c r="K1452" s="14" t="s">
        <v>1257</v>
      </c>
      <c r="L1452" s="14" t="s">
        <v>3884</v>
      </c>
      <c r="M1452" s="14" t="s">
        <v>3860</v>
      </c>
      <c r="N1452" s="14" t="s">
        <v>1237</v>
      </c>
      <c r="O1452" s="14" t="s">
        <v>1220</v>
      </c>
    </row>
    <row r="1453" spans="1:15" x14ac:dyDescent="0.25">
      <c r="A1453" s="14">
        <v>4704</v>
      </c>
      <c r="B1453" s="14" t="s">
        <v>911</v>
      </c>
      <c r="C1453" s="14" t="s">
        <v>911</v>
      </c>
      <c r="D1453" s="14" t="s">
        <v>3874</v>
      </c>
      <c r="E1453" s="16">
        <v>8</v>
      </c>
      <c r="F1453" s="14" t="s">
        <v>3853</v>
      </c>
      <c r="G1453" s="16">
        <v>104</v>
      </c>
      <c r="H1453" s="14" t="s">
        <v>3854</v>
      </c>
      <c r="I1453" s="14" t="s">
        <v>1256</v>
      </c>
      <c r="J1453" s="14" t="s">
        <v>1233</v>
      </c>
      <c r="K1453" s="14" t="s">
        <v>1257</v>
      </c>
      <c r="L1453" s="14" t="s">
        <v>3885</v>
      </c>
      <c r="M1453" s="14" t="s">
        <v>3860</v>
      </c>
      <c r="N1453" s="14" t="s">
        <v>1237</v>
      </c>
      <c r="O1453" s="14" t="s">
        <v>1220</v>
      </c>
    </row>
    <row r="1454" spans="1:15" x14ac:dyDescent="0.25">
      <c r="A1454" s="14">
        <v>4705</v>
      </c>
      <c r="B1454" s="14" t="s">
        <v>912</v>
      </c>
      <c r="C1454" s="14" t="s">
        <v>912</v>
      </c>
      <c r="D1454" s="14" t="s">
        <v>3874</v>
      </c>
      <c r="E1454" s="16">
        <v>4</v>
      </c>
      <c r="F1454" s="14" t="s">
        <v>3853</v>
      </c>
      <c r="G1454" s="16">
        <v>100</v>
      </c>
      <c r="H1454" s="14" t="s">
        <v>3854</v>
      </c>
      <c r="I1454" s="14" t="s">
        <v>1256</v>
      </c>
      <c r="J1454" s="14" t="s">
        <v>1233</v>
      </c>
      <c r="K1454" s="14" t="s">
        <v>1257</v>
      </c>
      <c r="L1454" s="14" t="s">
        <v>3886</v>
      </c>
      <c r="M1454" s="14" t="s">
        <v>3860</v>
      </c>
      <c r="N1454" s="14" t="s">
        <v>1237</v>
      </c>
      <c r="O1454" s="14" t="s">
        <v>1220</v>
      </c>
    </row>
    <row r="1455" spans="1:15" x14ac:dyDescent="0.25">
      <c r="A1455" s="14">
        <v>2730</v>
      </c>
      <c r="B1455" s="14" t="s">
        <v>247</v>
      </c>
      <c r="C1455" s="14" t="s">
        <v>247</v>
      </c>
      <c r="D1455" s="14" t="s">
        <v>3887</v>
      </c>
      <c r="E1455" s="16">
        <v>6</v>
      </c>
      <c r="F1455" s="14" t="s">
        <v>1536</v>
      </c>
      <c r="G1455" s="17">
        <v>1002</v>
      </c>
      <c r="H1455" s="14" t="s">
        <v>2078</v>
      </c>
      <c r="I1455" s="14" t="s">
        <v>1256</v>
      </c>
      <c r="J1455" s="14" t="s">
        <v>1233</v>
      </c>
      <c r="K1455" s="14" t="s">
        <v>2111</v>
      </c>
      <c r="L1455" s="14" t="s">
        <v>3888</v>
      </c>
      <c r="M1455" s="14" t="s">
        <v>1974</v>
      </c>
      <c r="N1455" s="14" t="s">
        <v>1237</v>
      </c>
      <c r="O1455" s="14" t="s">
        <v>1220</v>
      </c>
    </row>
    <row r="1456" spans="1:15" x14ac:dyDescent="0.25">
      <c r="A1456" s="14">
        <v>1</v>
      </c>
      <c r="B1456" s="14" t="s">
        <v>3889</v>
      </c>
      <c r="C1456" s="14" t="s">
        <v>3889</v>
      </c>
      <c r="D1456" s="14" t="s">
        <v>1349</v>
      </c>
      <c r="E1456" s="15"/>
      <c r="F1456" s="14"/>
      <c r="G1456" s="15"/>
      <c r="H1456" s="14" t="s">
        <v>2078</v>
      </c>
      <c r="I1456" s="14" t="s">
        <v>1360</v>
      </c>
      <c r="J1456" s="14" t="s">
        <v>1360</v>
      </c>
      <c r="K1456" s="14"/>
      <c r="L1456" s="14"/>
      <c r="M1456" s="14"/>
      <c r="N1456" s="14" t="s">
        <v>1219</v>
      </c>
      <c r="O1456" s="14" t="s">
        <v>1220</v>
      </c>
    </row>
    <row r="1457" spans="1:15" x14ac:dyDescent="0.25">
      <c r="A1457" s="14">
        <v>2731</v>
      </c>
      <c r="B1457" s="14" t="s">
        <v>1155</v>
      </c>
      <c r="C1457" s="14" t="s">
        <v>1155</v>
      </c>
      <c r="D1457" s="14" t="s">
        <v>3887</v>
      </c>
      <c r="E1457" s="16">
        <v>6</v>
      </c>
      <c r="F1457" s="14" t="s">
        <v>1536</v>
      </c>
      <c r="G1457" s="17">
        <v>1002</v>
      </c>
      <c r="H1457" s="14" t="s">
        <v>2078</v>
      </c>
      <c r="I1457" s="14" t="s">
        <v>1232</v>
      </c>
      <c r="J1457" s="14" t="s">
        <v>1296</v>
      </c>
      <c r="K1457" s="14" t="s">
        <v>2079</v>
      </c>
      <c r="L1457" s="14" t="s">
        <v>3890</v>
      </c>
      <c r="M1457" s="14" t="s">
        <v>1974</v>
      </c>
      <c r="N1457" s="14" t="s">
        <v>1237</v>
      </c>
      <c r="O1457" s="14" t="s">
        <v>1220</v>
      </c>
    </row>
    <row r="1458" spans="1:15" x14ac:dyDescent="0.25">
      <c r="A1458" s="14" t="s">
        <v>3891</v>
      </c>
      <c r="B1458" s="14" t="s">
        <v>3892</v>
      </c>
      <c r="C1458" s="14" t="s">
        <v>3892</v>
      </c>
      <c r="D1458" s="14" t="s">
        <v>3893</v>
      </c>
      <c r="E1458" s="15"/>
      <c r="F1458" s="14"/>
      <c r="G1458" s="15"/>
      <c r="H1458" s="14" t="s">
        <v>1223</v>
      </c>
      <c r="I1458" s="14"/>
      <c r="J1458" s="14"/>
      <c r="K1458" s="14"/>
      <c r="L1458" s="14"/>
      <c r="M1458" s="14"/>
      <c r="N1458" s="14" t="s">
        <v>1219</v>
      </c>
      <c r="O1458" s="14" t="s">
        <v>1220</v>
      </c>
    </row>
    <row r="1459" spans="1:15" x14ac:dyDescent="0.25">
      <c r="A1459" s="14" t="s">
        <v>3894</v>
      </c>
      <c r="B1459" s="14" t="s">
        <v>3895</v>
      </c>
      <c r="C1459" s="14" t="s">
        <v>3895</v>
      </c>
      <c r="D1459" s="14" t="s">
        <v>1222</v>
      </c>
      <c r="E1459" s="15"/>
      <c r="F1459" s="14"/>
      <c r="G1459" s="15"/>
      <c r="H1459" s="14" t="s">
        <v>1223</v>
      </c>
      <c r="I1459" s="14"/>
      <c r="J1459" s="14"/>
      <c r="K1459" s="14"/>
      <c r="L1459" s="14"/>
      <c r="M1459" s="14"/>
      <c r="N1459" s="14" t="s">
        <v>1219</v>
      </c>
      <c r="O1459" s="14" t="s">
        <v>1220</v>
      </c>
    </row>
    <row r="1460" spans="1:15" x14ac:dyDescent="0.25">
      <c r="A1460" s="14" t="s">
        <v>3896</v>
      </c>
      <c r="B1460" s="14" t="s">
        <v>3897</v>
      </c>
      <c r="C1460" s="14" t="s">
        <v>3897</v>
      </c>
      <c r="D1460" s="14" t="s">
        <v>1283</v>
      </c>
      <c r="E1460" s="15"/>
      <c r="F1460" s="14" t="s">
        <v>1742</v>
      </c>
      <c r="G1460" s="15"/>
      <c r="H1460" s="14" t="s">
        <v>1255</v>
      </c>
      <c r="I1460" s="14" t="s">
        <v>1217</v>
      </c>
      <c r="J1460" s="14" t="s">
        <v>1233</v>
      </c>
      <c r="K1460" s="14"/>
      <c r="L1460" s="14"/>
      <c r="M1460" s="14" t="s">
        <v>1259</v>
      </c>
      <c r="N1460" s="14" t="s">
        <v>1219</v>
      </c>
      <c r="O1460" s="14" t="s">
        <v>1220</v>
      </c>
    </row>
    <row r="1461" spans="1:15" x14ac:dyDescent="0.25">
      <c r="A1461" s="14" t="s">
        <v>3898</v>
      </c>
      <c r="B1461" s="14" t="s">
        <v>3899</v>
      </c>
      <c r="C1461" s="14" t="s">
        <v>3899</v>
      </c>
      <c r="D1461" s="14" t="s">
        <v>1283</v>
      </c>
      <c r="E1461" s="15"/>
      <c r="F1461" s="14" t="s">
        <v>1255</v>
      </c>
      <c r="G1461" s="15"/>
      <c r="H1461" s="14" t="s">
        <v>1255</v>
      </c>
      <c r="I1461" s="14" t="s">
        <v>1217</v>
      </c>
      <c r="J1461" s="14" t="s">
        <v>1296</v>
      </c>
      <c r="K1461" s="14"/>
      <c r="L1461" s="14"/>
      <c r="M1461" s="14" t="s">
        <v>1259</v>
      </c>
      <c r="N1461" s="14" t="s">
        <v>1219</v>
      </c>
      <c r="O1461" s="14" t="s">
        <v>1220</v>
      </c>
    </row>
    <row r="1462" spans="1:15" x14ac:dyDescent="0.25">
      <c r="A1462" s="14">
        <v>3546</v>
      </c>
      <c r="B1462" s="14" t="s">
        <v>455</v>
      </c>
      <c r="C1462" s="14" t="s">
        <v>455</v>
      </c>
      <c r="D1462" s="14" t="s">
        <v>1512</v>
      </c>
      <c r="E1462" s="16">
        <v>40</v>
      </c>
      <c r="F1462" s="14" t="s">
        <v>1255</v>
      </c>
      <c r="G1462" s="16">
        <v>200</v>
      </c>
      <c r="H1462" s="14" t="s">
        <v>1255</v>
      </c>
      <c r="I1462" s="14" t="s">
        <v>1256</v>
      </c>
      <c r="J1462" s="14" t="s">
        <v>1233</v>
      </c>
      <c r="K1462" s="14" t="s">
        <v>1257</v>
      </c>
      <c r="L1462" s="14" t="s">
        <v>3900</v>
      </c>
      <c r="M1462" s="14" t="s">
        <v>1259</v>
      </c>
      <c r="N1462" s="14" t="s">
        <v>1237</v>
      </c>
      <c r="O1462" s="14" t="s">
        <v>1220</v>
      </c>
    </row>
    <row r="1463" spans="1:15" x14ac:dyDescent="0.25">
      <c r="A1463" s="14" t="s">
        <v>3901</v>
      </c>
      <c r="B1463" s="14" t="s">
        <v>3902</v>
      </c>
      <c r="C1463" s="14" t="s">
        <v>3902</v>
      </c>
      <c r="D1463" s="14" t="s">
        <v>3903</v>
      </c>
      <c r="E1463" s="15"/>
      <c r="F1463" s="14" t="s">
        <v>1255</v>
      </c>
      <c r="G1463" s="15"/>
      <c r="H1463" s="14" t="s">
        <v>1255</v>
      </c>
      <c r="I1463" s="14" t="s">
        <v>1262</v>
      </c>
      <c r="J1463" s="14" t="s">
        <v>1262</v>
      </c>
      <c r="K1463" s="14"/>
      <c r="L1463" s="14" t="s">
        <v>3900</v>
      </c>
      <c r="M1463" s="14" t="s">
        <v>1259</v>
      </c>
      <c r="N1463" s="14" t="s">
        <v>1219</v>
      </c>
      <c r="O1463" s="14" t="s">
        <v>1220</v>
      </c>
    </row>
    <row r="1464" spans="1:15" x14ac:dyDescent="0.25">
      <c r="A1464" s="14">
        <v>3547</v>
      </c>
      <c r="B1464" s="14" t="s">
        <v>456</v>
      </c>
      <c r="C1464" s="14" t="s">
        <v>456</v>
      </c>
      <c r="D1464" s="14" t="s">
        <v>1512</v>
      </c>
      <c r="E1464" s="16">
        <v>40</v>
      </c>
      <c r="F1464" s="14" t="s">
        <v>1255</v>
      </c>
      <c r="G1464" s="16">
        <v>200</v>
      </c>
      <c r="H1464" s="14" t="s">
        <v>1255</v>
      </c>
      <c r="I1464" s="14" t="s">
        <v>1256</v>
      </c>
      <c r="J1464" s="14" t="s">
        <v>1296</v>
      </c>
      <c r="K1464" s="14" t="s">
        <v>1257</v>
      </c>
      <c r="L1464" s="14" t="s">
        <v>3904</v>
      </c>
      <c r="M1464" s="14" t="s">
        <v>1259</v>
      </c>
      <c r="N1464" s="14" t="s">
        <v>1237</v>
      </c>
      <c r="O1464" s="14" t="s">
        <v>1220</v>
      </c>
    </row>
    <row r="1465" spans="1:15" x14ac:dyDescent="0.25">
      <c r="A1465" s="14">
        <v>6060</v>
      </c>
      <c r="B1465" s="14" t="s">
        <v>3905</v>
      </c>
      <c r="C1465" s="14" t="s">
        <v>3905</v>
      </c>
      <c r="D1465" s="14" t="s">
        <v>1807</v>
      </c>
      <c r="E1465" s="15"/>
      <c r="F1465" s="14"/>
      <c r="G1465" s="15"/>
      <c r="H1465" s="14" t="s">
        <v>1255</v>
      </c>
      <c r="I1465" s="14" t="s">
        <v>1217</v>
      </c>
      <c r="J1465" s="14"/>
      <c r="K1465" s="14"/>
      <c r="L1465" s="14"/>
      <c r="M1465" s="14"/>
      <c r="N1465" s="14" t="s">
        <v>1219</v>
      </c>
      <c r="O1465" s="14" t="s">
        <v>1220</v>
      </c>
    </row>
    <row r="1466" spans="1:15" x14ac:dyDescent="0.25">
      <c r="A1466" s="14" t="s">
        <v>3906</v>
      </c>
      <c r="B1466" s="14" t="s">
        <v>3907</v>
      </c>
      <c r="C1466" s="14" t="s">
        <v>3907</v>
      </c>
      <c r="D1466" s="14" t="s">
        <v>1349</v>
      </c>
      <c r="E1466" s="15"/>
      <c r="F1466" s="14"/>
      <c r="G1466" s="15"/>
      <c r="H1466" s="14" t="s">
        <v>1380</v>
      </c>
      <c r="I1466" s="14" t="s">
        <v>1360</v>
      </c>
      <c r="J1466" s="14" t="s">
        <v>1360</v>
      </c>
      <c r="K1466" s="14"/>
      <c r="L1466" s="14"/>
      <c r="M1466" s="14" t="s">
        <v>1324</v>
      </c>
      <c r="N1466" s="14" t="s">
        <v>1219</v>
      </c>
      <c r="O1466" s="14" t="s">
        <v>1220</v>
      </c>
    </row>
    <row r="1467" spans="1:15" x14ac:dyDescent="0.25">
      <c r="A1467" s="14">
        <v>2524</v>
      </c>
      <c r="B1467" s="14" t="s">
        <v>623</v>
      </c>
      <c r="C1467" s="14" t="s">
        <v>3908</v>
      </c>
      <c r="D1467" s="14" t="s">
        <v>3909</v>
      </c>
      <c r="E1467" s="16">
        <v>400</v>
      </c>
      <c r="F1467" s="14" t="s">
        <v>1321</v>
      </c>
      <c r="G1467" s="17">
        <v>56800</v>
      </c>
      <c r="H1467" s="14" t="s">
        <v>1322</v>
      </c>
      <c r="I1467" s="14" t="s">
        <v>1256</v>
      </c>
      <c r="J1467" s="14" t="s">
        <v>1233</v>
      </c>
      <c r="K1467" s="14" t="s">
        <v>1257</v>
      </c>
      <c r="L1467" s="14" t="s">
        <v>3910</v>
      </c>
      <c r="M1467" s="14" t="s">
        <v>1324</v>
      </c>
      <c r="N1467" s="14" t="s">
        <v>1237</v>
      </c>
      <c r="O1467" s="14" t="s">
        <v>1220</v>
      </c>
    </row>
    <row r="1468" spans="1:15" x14ac:dyDescent="0.25">
      <c r="A1468" s="14" t="s">
        <v>3911</v>
      </c>
      <c r="B1468" s="14" t="s">
        <v>3912</v>
      </c>
      <c r="C1468" s="14" t="s">
        <v>3912</v>
      </c>
      <c r="D1468" s="14" t="s">
        <v>1349</v>
      </c>
      <c r="E1468" s="15"/>
      <c r="F1468" s="14" t="s">
        <v>1350</v>
      </c>
      <c r="G1468" s="15"/>
      <c r="H1468" s="14" t="s">
        <v>1380</v>
      </c>
      <c r="I1468" s="14" t="s">
        <v>1360</v>
      </c>
      <c r="J1468" s="14" t="s">
        <v>1360</v>
      </c>
      <c r="K1468" s="14" t="s">
        <v>1257</v>
      </c>
      <c r="L1468" s="14" t="s">
        <v>3910</v>
      </c>
      <c r="M1468" s="14" t="s">
        <v>1324</v>
      </c>
      <c r="N1468" s="14" t="s">
        <v>1219</v>
      </c>
      <c r="O1468" s="14" t="s">
        <v>1220</v>
      </c>
    </row>
    <row r="1469" spans="1:15" x14ac:dyDescent="0.25">
      <c r="A1469" s="14">
        <v>2525</v>
      </c>
      <c r="B1469" s="14" t="s">
        <v>624</v>
      </c>
      <c r="C1469" s="14" t="s">
        <v>3913</v>
      </c>
      <c r="D1469" s="14" t="s">
        <v>3909</v>
      </c>
      <c r="E1469" s="16">
        <v>250</v>
      </c>
      <c r="F1469" s="14" t="s">
        <v>1321</v>
      </c>
      <c r="G1469" s="17">
        <v>13500</v>
      </c>
      <c r="H1469" s="14" t="s">
        <v>1322</v>
      </c>
      <c r="I1469" s="14" t="s">
        <v>1256</v>
      </c>
      <c r="J1469" s="14" t="s">
        <v>1233</v>
      </c>
      <c r="K1469" s="14" t="s">
        <v>1257</v>
      </c>
      <c r="L1469" s="14" t="s">
        <v>3914</v>
      </c>
      <c r="M1469" s="14" t="s">
        <v>1324</v>
      </c>
      <c r="N1469" s="14" t="s">
        <v>1237</v>
      </c>
      <c r="O1469" s="14" t="s">
        <v>1220</v>
      </c>
    </row>
    <row r="1470" spans="1:15" x14ac:dyDescent="0.25">
      <c r="A1470" s="14" t="s">
        <v>3915</v>
      </c>
      <c r="B1470" s="14" t="s">
        <v>3916</v>
      </c>
      <c r="C1470" s="14" t="s">
        <v>3917</v>
      </c>
      <c r="D1470" s="14" t="s">
        <v>3909</v>
      </c>
      <c r="E1470" s="15"/>
      <c r="F1470" s="14" t="s">
        <v>1321</v>
      </c>
      <c r="G1470" s="15"/>
      <c r="H1470" s="14" t="s">
        <v>1322</v>
      </c>
      <c r="I1470" s="14" t="s">
        <v>1262</v>
      </c>
      <c r="J1470" s="14" t="s">
        <v>1262</v>
      </c>
      <c r="K1470" s="14"/>
      <c r="L1470" s="14" t="s">
        <v>3914</v>
      </c>
      <c r="M1470" s="14" t="s">
        <v>1324</v>
      </c>
      <c r="N1470" s="14" t="s">
        <v>1219</v>
      </c>
      <c r="O1470" s="14" t="s">
        <v>1220</v>
      </c>
    </row>
    <row r="1471" spans="1:15" x14ac:dyDescent="0.25">
      <c r="A1471" s="14" t="s">
        <v>3918</v>
      </c>
      <c r="B1471" s="14" t="s">
        <v>3919</v>
      </c>
      <c r="C1471" s="14" t="s">
        <v>3919</v>
      </c>
      <c r="D1471" s="14" t="s">
        <v>1349</v>
      </c>
      <c r="E1471" s="15"/>
      <c r="F1471" s="14" t="s">
        <v>1350</v>
      </c>
      <c r="G1471" s="15"/>
      <c r="H1471" s="14" t="s">
        <v>1380</v>
      </c>
      <c r="I1471" s="14" t="s">
        <v>1360</v>
      </c>
      <c r="J1471" s="14" t="s">
        <v>1360</v>
      </c>
      <c r="K1471" s="14" t="s">
        <v>1257</v>
      </c>
      <c r="L1471" s="14" t="s">
        <v>3914</v>
      </c>
      <c r="M1471" s="14" t="s">
        <v>1324</v>
      </c>
      <c r="N1471" s="14" t="s">
        <v>1219</v>
      </c>
      <c r="O1471" s="14" t="s">
        <v>1220</v>
      </c>
    </row>
    <row r="1472" spans="1:15" x14ac:dyDescent="0.25">
      <c r="A1472" s="14">
        <v>2528</v>
      </c>
      <c r="B1472" s="14" t="s">
        <v>626</v>
      </c>
      <c r="C1472" s="14" t="s">
        <v>3920</v>
      </c>
      <c r="D1472" s="14" t="s">
        <v>3909</v>
      </c>
      <c r="E1472" s="16">
        <v>40</v>
      </c>
      <c r="F1472" s="14" t="s">
        <v>1321</v>
      </c>
      <c r="G1472" s="17">
        <v>1040</v>
      </c>
      <c r="H1472" s="14" t="s">
        <v>1322</v>
      </c>
      <c r="I1472" s="14" t="s">
        <v>1256</v>
      </c>
      <c r="J1472" s="14" t="s">
        <v>1242</v>
      </c>
      <c r="K1472" s="14" t="s">
        <v>1257</v>
      </c>
      <c r="L1472" s="14" t="s">
        <v>3921</v>
      </c>
      <c r="M1472" s="14" t="s">
        <v>1324</v>
      </c>
      <c r="N1472" s="14" t="s">
        <v>1237</v>
      </c>
      <c r="O1472" s="14" t="s">
        <v>1220</v>
      </c>
    </row>
    <row r="1473" spans="1:15" x14ac:dyDescent="0.25">
      <c r="A1473" s="14" t="s">
        <v>3922</v>
      </c>
      <c r="B1473" s="14" t="s">
        <v>3923</v>
      </c>
      <c r="C1473" s="14" t="s">
        <v>3924</v>
      </c>
      <c r="D1473" s="14" t="s">
        <v>3909</v>
      </c>
      <c r="E1473" s="15"/>
      <c r="F1473" s="14" t="s">
        <v>1321</v>
      </c>
      <c r="G1473" s="15"/>
      <c r="H1473" s="14" t="s">
        <v>1322</v>
      </c>
      <c r="I1473" s="14" t="s">
        <v>1262</v>
      </c>
      <c r="J1473" s="14" t="s">
        <v>1262</v>
      </c>
      <c r="K1473" s="14" t="s">
        <v>1257</v>
      </c>
      <c r="L1473" s="14" t="s">
        <v>3921</v>
      </c>
      <c r="M1473" s="14" t="s">
        <v>1324</v>
      </c>
      <c r="N1473" s="14" t="s">
        <v>1219</v>
      </c>
      <c r="O1473" s="14" t="s">
        <v>1220</v>
      </c>
    </row>
    <row r="1474" spans="1:15" x14ac:dyDescent="0.25">
      <c r="A1474" s="14" t="s">
        <v>3925</v>
      </c>
      <c r="B1474" s="14" t="s">
        <v>3926</v>
      </c>
      <c r="C1474" s="14" t="s">
        <v>3926</v>
      </c>
      <c r="D1474" s="14" t="s">
        <v>1349</v>
      </c>
      <c r="E1474" s="15"/>
      <c r="F1474" s="14"/>
      <c r="G1474" s="15"/>
      <c r="H1474" s="14" t="s">
        <v>1380</v>
      </c>
      <c r="I1474" s="14" t="s">
        <v>1360</v>
      </c>
      <c r="J1474" s="14" t="s">
        <v>1360</v>
      </c>
      <c r="K1474" s="14"/>
      <c r="L1474" s="14"/>
      <c r="M1474" s="14" t="s">
        <v>1324</v>
      </c>
      <c r="N1474" s="14" t="s">
        <v>1219</v>
      </c>
      <c r="O1474" s="14" t="s">
        <v>1220</v>
      </c>
    </row>
    <row r="1475" spans="1:15" x14ac:dyDescent="0.25">
      <c r="A1475" s="14">
        <v>2527</v>
      </c>
      <c r="B1475" s="14" t="s">
        <v>627</v>
      </c>
      <c r="C1475" s="14" t="s">
        <v>3927</v>
      </c>
      <c r="D1475" s="14" t="s">
        <v>3909</v>
      </c>
      <c r="E1475" s="16">
        <v>80</v>
      </c>
      <c r="F1475" s="14" t="s">
        <v>1321</v>
      </c>
      <c r="G1475" s="17">
        <v>1920</v>
      </c>
      <c r="H1475" s="14" t="s">
        <v>1322</v>
      </c>
      <c r="I1475" s="14" t="s">
        <v>1256</v>
      </c>
      <c r="J1475" s="14" t="s">
        <v>1233</v>
      </c>
      <c r="K1475" s="14" t="s">
        <v>1257</v>
      </c>
      <c r="L1475" s="14" t="s">
        <v>3928</v>
      </c>
      <c r="M1475" s="14" t="s">
        <v>1324</v>
      </c>
      <c r="N1475" s="14" t="s">
        <v>1237</v>
      </c>
      <c r="O1475" s="14" t="s">
        <v>1220</v>
      </c>
    </row>
    <row r="1476" spans="1:15" x14ac:dyDescent="0.25">
      <c r="A1476" s="14" t="s">
        <v>3929</v>
      </c>
      <c r="B1476" s="14" t="s">
        <v>3930</v>
      </c>
      <c r="C1476" s="14" t="s">
        <v>3931</v>
      </c>
      <c r="D1476" s="14" t="s">
        <v>3909</v>
      </c>
      <c r="E1476" s="15"/>
      <c r="F1476" s="14" t="s">
        <v>1321</v>
      </c>
      <c r="G1476" s="15"/>
      <c r="H1476" s="14" t="s">
        <v>1322</v>
      </c>
      <c r="I1476" s="14" t="s">
        <v>1262</v>
      </c>
      <c r="J1476" s="14" t="s">
        <v>1262</v>
      </c>
      <c r="K1476" s="14"/>
      <c r="L1476" s="14" t="s">
        <v>3928</v>
      </c>
      <c r="M1476" s="14" t="s">
        <v>1324</v>
      </c>
      <c r="N1476" s="14" t="s">
        <v>1219</v>
      </c>
      <c r="O1476" s="14" t="s">
        <v>1220</v>
      </c>
    </row>
    <row r="1477" spans="1:15" x14ac:dyDescent="0.25">
      <c r="A1477" s="14" t="s">
        <v>3932</v>
      </c>
      <c r="B1477" s="14" t="s">
        <v>3933</v>
      </c>
      <c r="C1477" s="14" t="s">
        <v>3933</v>
      </c>
      <c r="D1477" s="14" t="s">
        <v>1349</v>
      </c>
      <c r="E1477" s="15"/>
      <c r="F1477" s="14"/>
      <c r="G1477" s="15"/>
      <c r="H1477" s="14" t="s">
        <v>1380</v>
      </c>
      <c r="I1477" s="14" t="s">
        <v>1360</v>
      </c>
      <c r="J1477" s="14" t="s">
        <v>1360</v>
      </c>
      <c r="K1477" s="14"/>
      <c r="L1477" s="14"/>
      <c r="M1477" s="14" t="s">
        <v>1324</v>
      </c>
      <c r="N1477" s="14" t="s">
        <v>1219</v>
      </c>
      <c r="O1477" s="14" t="s">
        <v>1220</v>
      </c>
    </row>
    <row r="1478" spans="1:15" x14ac:dyDescent="0.25">
      <c r="A1478" s="14" t="s">
        <v>3934</v>
      </c>
      <c r="B1478" s="14" t="s">
        <v>3935</v>
      </c>
      <c r="C1478" s="14" t="s">
        <v>3936</v>
      </c>
      <c r="D1478" s="14" t="s">
        <v>3909</v>
      </c>
      <c r="E1478" s="15"/>
      <c r="F1478" s="14" t="s">
        <v>1321</v>
      </c>
      <c r="G1478" s="15"/>
      <c r="H1478" s="14" t="s">
        <v>1322</v>
      </c>
      <c r="I1478" s="14" t="s">
        <v>1262</v>
      </c>
      <c r="J1478" s="14" t="s">
        <v>1262</v>
      </c>
      <c r="K1478" s="14"/>
      <c r="L1478" s="14" t="s">
        <v>3910</v>
      </c>
      <c r="M1478" s="14" t="s">
        <v>1324</v>
      </c>
      <c r="N1478" s="14" t="s">
        <v>1219</v>
      </c>
      <c r="O1478" s="14" t="s">
        <v>1220</v>
      </c>
    </row>
    <row r="1479" spans="1:15" x14ac:dyDescent="0.25">
      <c r="A1479" s="14">
        <v>2526</v>
      </c>
      <c r="B1479" s="14" t="s">
        <v>625</v>
      </c>
      <c r="C1479" s="14" t="s">
        <v>3937</v>
      </c>
      <c r="D1479" s="14" t="s">
        <v>3909</v>
      </c>
      <c r="E1479" s="16">
        <v>130</v>
      </c>
      <c r="F1479" s="14" t="s">
        <v>1321</v>
      </c>
      <c r="G1479" s="17">
        <v>10140</v>
      </c>
      <c r="H1479" s="14" t="s">
        <v>1322</v>
      </c>
      <c r="I1479" s="14" t="s">
        <v>1256</v>
      </c>
      <c r="J1479" s="14" t="s">
        <v>1233</v>
      </c>
      <c r="K1479" s="14" t="s">
        <v>1257</v>
      </c>
      <c r="L1479" s="14" t="s">
        <v>3938</v>
      </c>
      <c r="M1479" s="14" t="s">
        <v>1324</v>
      </c>
      <c r="N1479" s="14" t="s">
        <v>1237</v>
      </c>
      <c r="O1479" s="14" t="s">
        <v>1220</v>
      </c>
    </row>
    <row r="1480" spans="1:15" x14ac:dyDescent="0.25">
      <c r="A1480" s="14" t="s">
        <v>3939</v>
      </c>
      <c r="B1480" s="14" t="s">
        <v>3940</v>
      </c>
      <c r="C1480" s="14" t="s">
        <v>3941</v>
      </c>
      <c r="D1480" s="14" t="s">
        <v>3909</v>
      </c>
      <c r="E1480" s="15"/>
      <c r="F1480" s="14" t="s">
        <v>1321</v>
      </c>
      <c r="G1480" s="15"/>
      <c r="H1480" s="14" t="s">
        <v>1322</v>
      </c>
      <c r="I1480" s="14" t="s">
        <v>1262</v>
      </c>
      <c r="J1480" s="14" t="s">
        <v>1262</v>
      </c>
      <c r="K1480" s="14"/>
      <c r="L1480" s="14" t="s">
        <v>3938</v>
      </c>
      <c r="M1480" s="14" t="s">
        <v>1324</v>
      </c>
      <c r="N1480" s="14" t="s">
        <v>1219</v>
      </c>
      <c r="O1480" s="14" t="s">
        <v>1220</v>
      </c>
    </row>
    <row r="1481" spans="1:15" x14ac:dyDescent="0.25">
      <c r="A1481" s="14" t="s">
        <v>3942</v>
      </c>
      <c r="B1481" s="14" t="s">
        <v>3943</v>
      </c>
      <c r="C1481" s="14" t="s">
        <v>3943</v>
      </c>
      <c r="D1481" s="14" t="s">
        <v>1349</v>
      </c>
      <c r="E1481" s="15"/>
      <c r="F1481" s="14"/>
      <c r="G1481" s="15"/>
      <c r="H1481" s="14" t="s">
        <v>1380</v>
      </c>
      <c r="I1481" s="14" t="s">
        <v>1360</v>
      </c>
      <c r="J1481" s="14" t="s">
        <v>1360</v>
      </c>
      <c r="K1481" s="14"/>
      <c r="L1481" s="14"/>
      <c r="M1481" s="14" t="s">
        <v>1324</v>
      </c>
      <c r="N1481" s="14" t="s">
        <v>1219</v>
      </c>
      <c r="O1481" s="14" t="s">
        <v>1220</v>
      </c>
    </row>
    <row r="1482" spans="1:15" x14ac:dyDescent="0.25">
      <c r="A1482" s="14">
        <v>4480</v>
      </c>
      <c r="B1482" s="14" t="s">
        <v>628</v>
      </c>
      <c r="C1482" s="14" t="s">
        <v>3944</v>
      </c>
      <c r="D1482" s="14" t="s">
        <v>3909</v>
      </c>
      <c r="E1482" s="16">
        <v>30</v>
      </c>
      <c r="F1482" s="14" t="s">
        <v>1321</v>
      </c>
      <c r="G1482" s="16">
        <v>720</v>
      </c>
      <c r="H1482" s="14" t="s">
        <v>1322</v>
      </c>
      <c r="I1482" s="14" t="s">
        <v>1256</v>
      </c>
      <c r="J1482" s="14" t="s">
        <v>1242</v>
      </c>
      <c r="K1482" s="14" t="s">
        <v>1257</v>
      </c>
      <c r="L1482" s="14" t="s">
        <v>3945</v>
      </c>
      <c r="M1482" s="14" t="s">
        <v>1324</v>
      </c>
      <c r="N1482" s="14" t="s">
        <v>1237</v>
      </c>
      <c r="O1482" s="14" t="s">
        <v>1220</v>
      </c>
    </row>
    <row r="1483" spans="1:15" x14ac:dyDescent="0.25">
      <c r="A1483" s="14" t="s">
        <v>3946</v>
      </c>
      <c r="B1483" s="14" t="s">
        <v>3947</v>
      </c>
      <c r="C1483" s="14" t="s">
        <v>3948</v>
      </c>
      <c r="D1483" s="14" t="s">
        <v>3949</v>
      </c>
      <c r="E1483" s="15"/>
      <c r="F1483" s="14" t="s">
        <v>1350</v>
      </c>
      <c r="G1483" s="15"/>
      <c r="H1483" s="14" t="s">
        <v>1322</v>
      </c>
      <c r="I1483" s="14" t="s">
        <v>1262</v>
      </c>
      <c r="J1483" s="14" t="s">
        <v>1262</v>
      </c>
      <c r="K1483" s="14" t="s">
        <v>1257</v>
      </c>
      <c r="L1483" s="14" t="s">
        <v>3945</v>
      </c>
      <c r="M1483" s="14" t="s">
        <v>1324</v>
      </c>
      <c r="N1483" s="14" t="s">
        <v>1219</v>
      </c>
      <c r="O1483" s="14" t="s">
        <v>1220</v>
      </c>
    </row>
    <row r="1484" spans="1:15" x14ac:dyDescent="0.25">
      <c r="A1484" s="14" t="s">
        <v>3950</v>
      </c>
      <c r="B1484" s="14" t="s">
        <v>3951</v>
      </c>
      <c r="C1484" s="14" t="s">
        <v>3951</v>
      </c>
      <c r="D1484" s="14" t="s">
        <v>1545</v>
      </c>
      <c r="E1484" s="15"/>
      <c r="F1484" s="14" t="s">
        <v>1545</v>
      </c>
      <c r="G1484" s="15"/>
      <c r="H1484" s="14" t="s">
        <v>1545</v>
      </c>
      <c r="I1484" s="14" t="s">
        <v>1262</v>
      </c>
      <c r="J1484" s="14" t="s">
        <v>1262</v>
      </c>
      <c r="K1484" s="14"/>
      <c r="L1484" s="14" t="s">
        <v>3952</v>
      </c>
      <c r="M1484" s="14" t="s">
        <v>1801</v>
      </c>
      <c r="N1484" s="14" t="s">
        <v>1219</v>
      </c>
      <c r="O1484" s="14" t="s">
        <v>1220</v>
      </c>
    </row>
    <row r="1485" spans="1:15" x14ac:dyDescent="0.25">
      <c r="A1485" s="14">
        <v>4591</v>
      </c>
      <c r="B1485" s="14" t="s">
        <v>271</v>
      </c>
      <c r="C1485" s="14" t="s">
        <v>3953</v>
      </c>
      <c r="D1485" s="14" t="s">
        <v>1543</v>
      </c>
      <c r="E1485" s="16">
        <v>200</v>
      </c>
      <c r="F1485" s="14" t="s">
        <v>1545</v>
      </c>
      <c r="G1485" s="17">
        <v>2000</v>
      </c>
      <c r="H1485" s="14" t="s">
        <v>1545</v>
      </c>
      <c r="I1485" s="14" t="s">
        <v>1256</v>
      </c>
      <c r="J1485" s="14" t="s">
        <v>1242</v>
      </c>
      <c r="K1485" s="14" t="s">
        <v>1257</v>
      </c>
      <c r="L1485" s="14" t="s">
        <v>3952</v>
      </c>
      <c r="M1485" s="14" t="s">
        <v>1801</v>
      </c>
      <c r="N1485" s="14" t="s">
        <v>1237</v>
      </c>
      <c r="O1485" s="14" t="s">
        <v>1220</v>
      </c>
    </row>
    <row r="1486" spans="1:15" x14ac:dyDescent="0.25">
      <c r="A1486" s="14" t="s">
        <v>3954</v>
      </c>
      <c r="B1486" s="14" t="s">
        <v>3955</v>
      </c>
      <c r="C1486" s="14" t="s">
        <v>3955</v>
      </c>
      <c r="D1486" s="14" t="s">
        <v>3909</v>
      </c>
      <c r="E1486" s="15"/>
      <c r="F1486" s="14" t="s">
        <v>1321</v>
      </c>
      <c r="G1486" s="15"/>
      <c r="H1486" s="14" t="s">
        <v>1322</v>
      </c>
      <c r="I1486" s="14" t="s">
        <v>1262</v>
      </c>
      <c r="J1486" s="14" t="s">
        <v>1262</v>
      </c>
      <c r="K1486" s="14"/>
      <c r="L1486" s="14" t="s">
        <v>3956</v>
      </c>
      <c r="M1486" s="14" t="s">
        <v>1324</v>
      </c>
      <c r="N1486" s="14" t="s">
        <v>1219</v>
      </c>
      <c r="O1486" s="14" t="s">
        <v>1220</v>
      </c>
    </row>
    <row r="1487" spans="1:15" x14ac:dyDescent="0.25">
      <c r="A1487" s="14" t="s">
        <v>3957</v>
      </c>
      <c r="B1487" s="14" t="s">
        <v>3958</v>
      </c>
      <c r="C1487" s="14" t="s">
        <v>3958</v>
      </c>
      <c r="D1487" s="14" t="s">
        <v>1349</v>
      </c>
      <c r="E1487" s="15"/>
      <c r="F1487" s="14"/>
      <c r="G1487" s="15"/>
      <c r="H1487" s="14" t="s">
        <v>1380</v>
      </c>
      <c r="I1487" s="14" t="s">
        <v>1360</v>
      </c>
      <c r="J1487" s="14" t="s">
        <v>1360</v>
      </c>
      <c r="K1487" s="14"/>
      <c r="L1487" s="14"/>
      <c r="M1487" s="14" t="s">
        <v>1324</v>
      </c>
      <c r="N1487" s="14" t="s">
        <v>1219</v>
      </c>
      <c r="O1487" s="14" t="s">
        <v>1220</v>
      </c>
    </row>
    <row r="1488" spans="1:15" x14ac:dyDescent="0.25">
      <c r="A1488" s="14" t="s">
        <v>3959</v>
      </c>
      <c r="B1488" s="14" t="s">
        <v>3960</v>
      </c>
      <c r="C1488" s="14" t="s">
        <v>3960</v>
      </c>
      <c r="D1488" s="14" t="s">
        <v>1349</v>
      </c>
      <c r="E1488" s="15"/>
      <c r="F1488" s="14"/>
      <c r="G1488" s="15"/>
      <c r="H1488" s="14" t="s">
        <v>1380</v>
      </c>
      <c r="I1488" s="14" t="s">
        <v>1360</v>
      </c>
      <c r="J1488" s="14" t="s">
        <v>1360</v>
      </c>
      <c r="K1488" s="14"/>
      <c r="L1488" s="14"/>
      <c r="M1488" s="14" t="s">
        <v>1324</v>
      </c>
      <c r="N1488" s="14" t="s">
        <v>1219</v>
      </c>
      <c r="O1488" s="14" t="s">
        <v>1220</v>
      </c>
    </row>
    <row r="1489" spans="1:15" x14ac:dyDescent="0.25">
      <c r="A1489" s="14" t="s">
        <v>3961</v>
      </c>
      <c r="B1489" s="14" t="s">
        <v>3962</v>
      </c>
      <c r="C1489" s="14" t="s">
        <v>3962</v>
      </c>
      <c r="D1489" s="14" t="s">
        <v>1349</v>
      </c>
      <c r="E1489" s="15"/>
      <c r="F1489" s="14"/>
      <c r="G1489" s="15"/>
      <c r="H1489" s="14" t="s">
        <v>1380</v>
      </c>
      <c r="I1489" s="14" t="s">
        <v>1360</v>
      </c>
      <c r="J1489" s="14" t="s">
        <v>1360</v>
      </c>
      <c r="K1489" s="14"/>
      <c r="L1489" s="14"/>
      <c r="M1489" s="14" t="s">
        <v>1324</v>
      </c>
      <c r="N1489" s="14" t="s">
        <v>1219</v>
      </c>
      <c r="O1489" s="14" t="s">
        <v>1220</v>
      </c>
    </row>
    <row r="1490" spans="1:15" x14ac:dyDescent="0.25">
      <c r="A1490" s="14" t="s">
        <v>3963</v>
      </c>
      <c r="B1490" s="14" t="s">
        <v>3964</v>
      </c>
      <c r="C1490" s="14" t="s">
        <v>3964</v>
      </c>
      <c r="D1490" s="14" t="s">
        <v>3909</v>
      </c>
      <c r="E1490" s="15"/>
      <c r="F1490" s="14" t="s">
        <v>1350</v>
      </c>
      <c r="G1490" s="15"/>
      <c r="H1490" s="14" t="s">
        <v>1380</v>
      </c>
      <c r="I1490" s="14" t="s">
        <v>1360</v>
      </c>
      <c r="J1490" s="14" t="s">
        <v>1385</v>
      </c>
      <c r="K1490" s="14" t="s">
        <v>1257</v>
      </c>
      <c r="L1490" s="14" t="s">
        <v>3965</v>
      </c>
      <c r="M1490" s="14" t="s">
        <v>1324</v>
      </c>
      <c r="N1490" s="14" t="s">
        <v>1219</v>
      </c>
      <c r="O1490" s="14" t="s">
        <v>1220</v>
      </c>
    </row>
    <row r="1491" spans="1:15" x14ac:dyDescent="0.25">
      <c r="A1491" s="14" t="s">
        <v>3966</v>
      </c>
      <c r="B1491" s="14" t="s">
        <v>3967</v>
      </c>
      <c r="C1491" s="14" t="s">
        <v>3967</v>
      </c>
      <c r="D1491" s="14" t="s">
        <v>3909</v>
      </c>
      <c r="E1491" s="15"/>
      <c r="F1491" s="14" t="s">
        <v>1350</v>
      </c>
      <c r="G1491" s="15"/>
      <c r="H1491" s="14" t="s">
        <v>1380</v>
      </c>
      <c r="I1491" s="14" t="s">
        <v>1360</v>
      </c>
      <c r="J1491" s="14" t="s">
        <v>1385</v>
      </c>
      <c r="K1491" s="14" t="s">
        <v>1257</v>
      </c>
      <c r="L1491" s="14" t="s">
        <v>3968</v>
      </c>
      <c r="M1491" s="14" t="s">
        <v>1324</v>
      </c>
      <c r="N1491" s="14" t="s">
        <v>1219</v>
      </c>
      <c r="O1491" s="14" t="s">
        <v>1220</v>
      </c>
    </row>
    <row r="1492" spans="1:15" x14ac:dyDescent="0.25">
      <c r="A1492" s="14" t="s">
        <v>3969</v>
      </c>
      <c r="B1492" s="14" t="s">
        <v>3970</v>
      </c>
      <c r="C1492" s="14" t="s">
        <v>3970</v>
      </c>
      <c r="D1492" s="14" t="s">
        <v>1349</v>
      </c>
      <c r="E1492" s="15"/>
      <c r="F1492" s="14"/>
      <c r="G1492" s="15"/>
      <c r="H1492" s="14" t="s">
        <v>1380</v>
      </c>
      <c r="I1492" s="14" t="s">
        <v>1360</v>
      </c>
      <c r="J1492" s="14" t="s">
        <v>1360</v>
      </c>
      <c r="K1492" s="14"/>
      <c r="L1492" s="14"/>
      <c r="M1492" s="14" t="s">
        <v>1324</v>
      </c>
      <c r="N1492" s="14" t="s">
        <v>1219</v>
      </c>
      <c r="O1492" s="14" t="s">
        <v>1220</v>
      </c>
    </row>
    <row r="1493" spans="1:15" x14ac:dyDescent="0.25">
      <c r="A1493" s="14">
        <v>2365</v>
      </c>
      <c r="B1493" s="14" t="s">
        <v>638</v>
      </c>
      <c r="C1493" s="14" t="s">
        <v>638</v>
      </c>
      <c r="D1493" s="14" t="s">
        <v>3909</v>
      </c>
      <c r="E1493" s="16">
        <v>45</v>
      </c>
      <c r="F1493" s="14" t="s">
        <v>1321</v>
      </c>
      <c r="G1493" s="16">
        <v>990</v>
      </c>
      <c r="H1493" s="14" t="s">
        <v>1322</v>
      </c>
      <c r="I1493" s="14" t="s">
        <v>1256</v>
      </c>
      <c r="J1493" s="14" t="s">
        <v>1242</v>
      </c>
      <c r="K1493" s="14" t="s">
        <v>1257</v>
      </c>
      <c r="L1493" s="14" t="s">
        <v>3971</v>
      </c>
      <c r="M1493" s="14" t="s">
        <v>1324</v>
      </c>
      <c r="N1493" s="14" t="s">
        <v>1237</v>
      </c>
      <c r="O1493" s="14" t="s">
        <v>1220</v>
      </c>
    </row>
    <row r="1494" spans="1:15" x14ac:dyDescent="0.25">
      <c r="A1494" s="14" t="s">
        <v>3972</v>
      </c>
      <c r="B1494" s="14" t="s">
        <v>3973</v>
      </c>
      <c r="C1494" s="14" t="s">
        <v>3973</v>
      </c>
      <c r="D1494" s="14" t="s">
        <v>3909</v>
      </c>
      <c r="E1494" s="15"/>
      <c r="F1494" s="14" t="s">
        <v>1321</v>
      </c>
      <c r="G1494" s="15"/>
      <c r="H1494" s="14" t="s">
        <v>1322</v>
      </c>
      <c r="I1494" s="14" t="s">
        <v>1262</v>
      </c>
      <c r="J1494" s="14" t="s">
        <v>1262</v>
      </c>
      <c r="K1494" s="14"/>
      <c r="L1494" s="14" t="s">
        <v>3971</v>
      </c>
      <c r="M1494" s="14" t="s">
        <v>1324</v>
      </c>
      <c r="N1494" s="14" t="s">
        <v>1219</v>
      </c>
      <c r="O1494" s="14" t="s">
        <v>1220</v>
      </c>
    </row>
    <row r="1495" spans="1:15" x14ac:dyDescent="0.25">
      <c r="A1495" s="14">
        <v>4484</v>
      </c>
      <c r="B1495" s="14" t="s">
        <v>639</v>
      </c>
      <c r="C1495" s="14" t="s">
        <v>639</v>
      </c>
      <c r="D1495" s="14" t="s">
        <v>3909</v>
      </c>
      <c r="E1495" s="16">
        <v>35</v>
      </c>
      <c r="F1495" s="14" t="s">
        <v>1321</v>
      </c>
      <c r="G1495" s="16">
        <v>560</v>
      </c>
      <c r="H1495" s="14" t="s">
        <v>1322</v>
      </c>
      <c r="I1495" s="14" t="s">
        <v>1256</v>
      </c>
      <c r="J1495" s="14" t="s">
        <v>1296</v>
      </c>
      <c r="K1495" s="14" t="s">
        <v>1257</v>
      </c>
      <c r="L1495" s="14" t="s">
        <v>3974</v>
      </c>
      <c r="M1495" s="14" t="s">
        <v>1324</v>
      </c>
      <c r="N1495" s="14" t="s">
        <v>1237</v>
      </c>
      <c r="O1495" s="14" t="s">
        <v>1220</v>
      </c>
    </row>
    <row r="1496" spans="1:15" x14ac:dyDescent="0.25">
      <c r="A1496" s="14" t="s">
        <v>3975</v>
      </c>
      <c r="B1496" s="14" t="s">
        <v>3976</v>
      </c>
      <c r="C1496" s="14" t="s">
        <v>3976</v>
      </c>
      <c r="D1496" s="14" t="s">
        <v>1349</v>
      </c>
      <c r="E1496" s="15"/>
      <c r="F1496" s="14"/>
      <c r="G1496" s="15"/>
      <c r="H1496" s="14" t="s">
        <v>1380</v>
      </c>
      <c r="I1496" s="14" t="s">
        <v>1360</v>
      </c>
      <c r="J1496" s="14" t="s">
        <v>1360</v>
      </c>
      <c r="K1496" s="14"/>
      <c r="L1496" s="14"/>
      <c r="M1496" s="14" t="s">
        <v>1324</v>
      </c>
      <c r="N1496" s="14" t="s">
        <v>1219</v>
      </c>
      <c r="O1496" s="14" t="s">
        <v>1220</v>
      </c>
    </row>
    <row r="1497" spans="1:15" x14ac:dyDescent="0.25">
      <c r="A1497" s="14" t="s">
        <v>3977</v>
      </c>
      <c r="B1497" s="14" t="s">
        <v>3978</v>
      </c>
      <c r="C1497" s="14" t="s">
        <v>3978</v>
      </c>
      <c r="D1497" s="14" t="s">
        <v>1349</v>
      </c>
      <c r="E1497" s="15"/>
      <c r="F1497" s="14"/>
      <c r="G1497" s="15"/>
      <c r="H1497" s="14" t="s">
        <v>1380</v>
      </c>
      <c r="I1497" s="14" t="s">
        <v>1360</v>
      </c>
      <c r="J1497" s="14" t="s">
        <v>1360</v>
      </c>
      <c r="K1497" s="14"/>
      <c r="L1497" s="14"/>
      <c r="M1497" s="14" t="s">
        <v>1324</v>
      </c>
      <c r="N1497" s="14" t="s">
        <v>1219</v>
      </c>
      <c r="O1497" s="14" t="s">
        <v>1220</v>
      </c>
    </row>
    <row r="1498" spans="1:15" x14ac:dyDescent="0.25">
      <c r="A1498" s="14">
        <v>2361</v>
      </c>
      <c r="B1498" s="14" t="s">
        <v>629</v>
      </c>
      <c r="C1498" s="14" t="s">
        <v>3979</v>
      </c>
      <c r="D1498" s="14" t="s">
        <v>3909</v>
      </c>
      <c r="E1498" s="16">
        <v>100</v>
      </c>
      <c r="F1498" s="14" t="s">
        <v>1321</v>
      </c>
      <c r="G1498" s="17">
        <v>1200</v>
      </c>
      <c r="H1498" s="14" t="s">
        <v>1322</v>
      </c>
      <c r="I1498" s="14" t="s">
        <v>1256</v>
      </c>
      <c r="J1498" s="14" t="s">
        <v>1296</v>
      </c>
      <c r="K1498" s="14" t="s">
        <v>1257</v>
      </c>
      <c r="L1498" s="14" t="s">
        <v>3980</v>
      </c>
      <c r="M1498" s="14" t="s">
        <v>1324</v>
      </c>
      <c r="N1498" s="14" t="s">
        <v>1237</v>
      </c>
      <c r="O1498" s="14" t="s">
        <v>1220</v>
      </c>
    </row>
    <row r="1499" spans="1:15" x14ac:dyDescent="0.25">
      <c r="A1499" s="14" t="s">
        <v>3981</v>
      </c>
      <c r="B1499" s="14" t="s">
        <v>3982</v>
      </c>
      <c r="C1499" s="14" t="s">
        <v>3983</v>
      </c>
      <c r="D1499" s="14" t="s">
        <v>3909</v>
      </c>
      <c r="E1499" s="15"/>
      <c r="F1499" s="14" t="s">
        <v>1321</v>
      </c>
      <c r="G1499" s="15"/>
      <c r="H1499" s="14" t="s">
        <v>1322</v>
      </c>
      <c r="I1499" s="14" t="s">
        <v>1262</v>
      </c>
      <c r="J1499" s="14" t="s">
        <v>1262</v>
      </c>
      <c r="K1499" s="14"/>
      <c r="L1499" s="14" t="s">
        <v>3980</v>
      </c>
      <c r="M1499" s="14" t="s">
        <v>1324</v>
      </c>
      <c r="N1499" s="14" t="s">
        <v>1219</v>
      </c>
      <c r="O1499" s="14" t="s">
        <v>1220</v>
      </c>
    </row>
    <row r="1500" spans="1:15" x14ac:dyDescent="0.25">
      <c r="A1500" s="14">
        <v>2533</v>
      </c>
      <c r="B1500" s="14" t="s">
        <v>630</v>
      </c>
      <c r="C1500" s="14" t="s">
        <v>3984</v>
      </c>
      <c r="D1500" s="14" t="s">
        <v>3909</v>
      </c>
      <c r="E1500" s="16">
        <v>180</v>
      </c>
      <c r="F1500" s="14" t="s">
        <v>1321</v>
      </c>
      <c r="G1500" s="17">
        <v>3780</v>
      </c>
      <c r="H1500" s="14" t="s">
        <v>1322</v>
      </c>
      <c r="I1500" s="14" t="s">
        <v>1256</v>
      </c>
      <c r="J1500" s="14" t="s">
        <v>1233</v>
      </c>
      <c r="K1500" s="14" t="s">
        <v>1257</v>
      </c>
      <c r="L1500" s="14" t="s">
        <v>3985</v>
      </c>
      <c r="M1500" s="14" t="s">
        <v>1324</v>
      </c>
      <c r="N1500" s="14" t="s">
        <v>1237</v>
      </c>
      <c r="O1500" s="14" t="s">
        <v>1220</v>
      </c>
    </row>
    <row r="1501" spans="1:15" x14ac:dyDescent="0.25">
      <c r="A1501" s="14" t="s">
        <v>3986</v>
      </c>
      <c r="B1501" s="14" t="s">
        <v>3987</v>
      </c>
      <c r="C1501" s="14" t="s">
        <v>3988</v>
      </c>
      <c r="D1501" s="14" t="s">
        <v>3909</v>
      </c>
      <c r="E1501" s="15"/>
      <c r="F1501" s="14" t="s">
        <v>1321</v>
      </c>
      <c r="G1501" s="15"/>
      <c r="H1501" s="14" t="s">
        <v>1322</v>
      </c>
      <c r="I1501" s="14" t="s">
        <v>1262</v>
      </c>
      <c r="J1501" s="14" t="s">
        <v>1262</v>
      </c>
      <c r="K1501" s="14"/>
      <c r="L1501" s="14" t="s">
        <v>3985</v>
      </c>
      <c r="M1501" s="14" t="s">
        <v>1324</v>
      </c>
      <c r="N1501" s="14" t="s">
        <v>1219</v>
      </c>
      <c r="O1501" s="14" t="s">
        <v>1220</v>
      </c>
    </row>
    <row r="1502" spans="1:15" x14ac:dyDescent="0.25">
      <c r="A1502" s="14">
        <v>2535</v>
      </c>
      <c r="B1502" s="14" t="s">
        <v>631</v>
      </c>
      <c r="C1502" s="14" t="s">
        <v>3989</v>
      </c>
      <c r="D1502" s="14" t="s">
        <v>3909</v>
      </c>
      <c r="E1502" s="16">
        <v>300</v>
      </c>
      <c r="F1502" s="14" t="s">
        <v>1321</v>
      </c>
      <c r="G1502" s="17">
        <v>17100</v>
      </c>
      <c r="H1502" s="14" t="s">
        <v>1322</v>
      </c>
      <c r="I1502" s="14" t="s">
        <v>1256</v>
      </c>
      <c r="J1502" s="14" t="s">
        <v>1233</v>
      </c>
      <c r="K1502" s="14" t="s">
        <v>1257</v>
      </c>
      <c r="L1502" s="14" t="s">
        <v>3956</v>
      </c>
      <c r="M1502" s="14" t="s">
        <v>1324</v>
      </c>
      <c r="N1502" s="14" t="s">
        <v>1237</v>
      </c>
      <c r="O1502" s="14" t="s">
        <v>1220</v>
      </c>
    </row>
    <row r="1503" spans="1:15" x14ac:dyDescent="0.25">
      <c r="A1503" s="14">
        <v>2363</v>
      </c>
      <c r="B1503" s="14" t="s">
        <v>640</v>
      </c>
      <c r="C1503" s="14" t="s">
        <v>640</v>
      </c>
      <c r="D1503" s="14" t="s">
        <v>3909</v>
      </c>
      <c r="E1503" s="16">
        <v>50</v>
      </c>
      <c r="F1503" s="14" t="s">
        <v>1321</v>
      </c>
      <c r="G1503" s="16">
        <v>800</v>
      </c>
      <c r="H1503" s="14" t="s">
        <v>1322</v>
      </c>
      <c r="I1503" s="14" t="s">
        <v>1256</v>
      </c>
      <c r="J1503" s="14" t="s">
        <v>1242</v>
      </c>
      <c r="K1503" s="14" t="s">
        <v>1257</v>
      </c>
      <c r="L1503" s="14" t="s">
        <v>3990</v>
      </c>
      <c r="M1503" s="14" t="s">
        <v>1324</v>
      </c>
      <c r="N1503" s="14" t="s">
        <v>1237</v>
      </c>
      <c r="O1503" s="14" t="s">
        <v>1220</v>
      </c>
    </row>
    <row r="1504" spans="1:15" x14ac:dyDescent="0.25">
      <c r="A1504" s="14" t="s">
        <v>3991</v>
      </c>
      <c r="B1504" s="14" t="s">
        <v>3992</v>
      </c>
      <c r="C1504" s="14" t="s">
        <v>3992</v>
      </c>
      <c r="D1504" s="14" t="s">
        <v>3909</v>
      </c>
      <c r="E1504" s="15"/>
      <c r="F1504" s="14" t="s">
        <v>1321</v>
      </c>
      <c r="G1504" s="15"/>
      <c r="H1504" s="14" t="s">
        <v>1322</v>
      </c>
      <c r="I1504" s="14" t="s">
        <v>1262</v>
      </c>
      <c r="J1504" s="14" t="s">
        <v>1262</v>
      </c>
      <c r="K1504" s="14"/>
      <c r="L1504" s="14" t="s">
        <v>3990</v>
      </c>
      <c r="M1504" s="14" t="s">
        <v>1324</v>
      </c>
      <c r="N1504" s="14" t="s">
        <v>1219</v>
      </c>
      <c r="O1504" s="14" t="s">
        <v>1220</v>
      </c>
    </row>
    <row r="1505" spans="1:15" x14ac:dyDescent="0.25">
      <c r="A1505" s="14">
        <v>4483</v>
      </c>
      <c r="B1505" s="14" t="s">
        <v>642</v>
      </c>
      <c r="C1505" s="14" t="s">
        <v>642</v>
      </c>
      <c r="D1505" s="14" t="s">
        <v>3909</v>
      </c>
      <c r="E1505" s="16">
        <v>40</v>
      </c>
      <c r="F1505" s="14" t="s">
        <v>1321</v>
      </c>
      <c r="G1505" s="16">
        <v>520</v>
      </c>
      <c r="H1505" s="14" t="s">
        <v>1322</v>
      </c>
      <c r="I1505" s="14" t="s">
        <v>1256</v>
      </c>
      <c r="J1505" s="14" t="s">
        <v>1296</v>
      </c>
      <c r="K1505" s="14" t="s">
        <v>1257</v>
      </c>
      <c r="L1505" s="14" t="s">
        <v>3993</v>
      </c>
      <c r="M1505" s="14" t="s">
        <v>1324</v>
      </c>
      <c r="N1505" s="14" t="s">
        <v>1237</v>
      </c>
      <c r="O1505" s="14" t="s">
        <v>1220</v>
      </c>
    </row>
    <row r="1506" spans="1:15" x14ac:dyDescent="0.25">
      <c r="A1506" s="14" t="s">
        <v>3994</v>
      </c>
      <c r="B1506" s="14" t="s">
        <v>3995</v>
      </c>
      <c r="C1506" s="14" t="s">
        <v>3995</v>
      </c>
      <c r="D1506" s="14" t="s">
        <v>1349</v>
      </c>
      <c r="E1506" s="15"/>
      <c r="F1506" s="14" t="s">
        <v>1350</v>
      </c>
      <c r="G1506" s="15"/>
      <c r="H1506" s="14" t="s">
        <v>1380</v>
      </c>
      <c r="I1506" s="14" t="s">
        <v>1360</v>
      </c>
      <c r="J1506" s="14" t="s">
        <v>1360</v>
      </c>
      <c r="K1506" s="14" t="s">
        <v>1257</v>
      </c>
      <c r="L1506" s="14" t="s">
        <v>3993</v>
      </c>
      <c r="M1506" s="14" t="s">
        <v>1324</v>
      </c>
      <c r="N1506" s="14" t="s">
        <v>1219</v>
      </c>
      <c r="O1506" s="14" t="s">
        <v>1220</v>
      </c>
    </row>
    <row r="1507" spans="1:15" x14ac:dyDescent="0.25">
      <c r="A1507" s="14" t="s">
        <v>3996</v>
      </c>
      <c r="B1507" s="14" t="s">
        <v>3997</v>
      </c>
      <c r="C1507" s="14" t="s">
        <v>3997</v>
      </c>
      <c r="D1507" s="14" t="s">
        <v>3909</v>
      </c>
      <c r="E1507" s="15"/>
      <c r="F1507" s="14" t="s">
        <v>1350</v>
      </c>
      <c r="G1507" s="15"/>
      <c r="H1507" s="14" t="s">
        <v>1380</v>
      </c>
      <c r="I1507" s="14" t="s">
        <v>1360</v>
      </c>
      <c r="J1507" s="14" t="s">
        <v>1385</v>
      </c>
      <c r="K1507" s="14" t="s">
        <v>1257</v>
      </c>
      <c r="L1507" s="14" t="s">
        <v>3993</v>
      </c>
      <c r="M1507" s="14" t="s">
        <v>1324</v>
      </c>
      <c r="N1507" s="14" t="s">
        <v>1219</v>
      </c>
      <c r="O1507" s="14" t="s">
        <v>1220</v>
      </c>
    </row>
    <row r="1508" spans="1:15" x14ac:dyDescent="0.25">
      <c r="A1508" s="14" t="s">
        <v>3998</v>
      </c>
      <c r="B1508" s="14" t="s">
        <v>3999</v>
      </c>
      <c r="C1508" s="14" t="s">
        <v>3999</v>
      </c>
      <c r="D1508" s="14" t="s">
        <v>1349</v>
      </c>
      <c r="E1508" s="15"/>
      <c r="F1508" s="14"/>
      <c r="G1508" s="15"/>
      <c r="H1508" s="14" t="s">
        <v>1380</v>
      </c>
      <c r="I1508" s="14" t="s">
        <v>1360</v>
      </c>
      <c r="J1508" s="14" t="s">
        <v>1360</v>
      </c>
      <c r="K1508" s="14"/>
      <c r="L1508" s="14"/>
      <c r="M1508" s="14" t="s">
        <v>1324</v>
      </c>
      <c r="N1508" s="14" t="s">
        <v>1219</v>
      </c>
      <c r="O1508" s="14" t="s">
        <v>1220</v>
      </c>
    </row>
    <row r="1509" spans="1:15" x14ac:dyDescent="0.25">
      <c r="A1509" s="14">
        <v>2537</v>
      </c>
      <c r="B1509" s="14" t="s">
        <v>633</v>
      </c>
      <c r="C1509" s="14" t="s">
        <v>4000</v>
      </c>
      <c r="D1509" s="14" t="s">
        <v>3909</v>
      </c>
      <c r="E1509" s="16">
        <v>100</v>
      </c>
      <c r="F1509" s="14" t="s">
        <v>1321</v>
      </c>
      <c r="G1509" s="17">
        <v>1200</v>
      </c>
      <c r="H1509" s="14" t="s">
        <v>1322</v>
      </c>
      <c r="I1509" s="14" t="s">
        <v>1256</v>
      </c>
      <c r="J1509" s="14" t="s">
        <v>1242</v>
      </c>
      <c r="K1509" s="14" t="s">
        <v>1257</v>
      </c>
      <c r="L1509" s="14" t="s">
        <v>4001</v>
      </c>
      <c r="M1509" s="14" t="s">
        <v>1324</v>
      </c>
      <c r="N1509" s="14" t="s">
        <v>1237</v>
      </c>
      <c r="O1509" s="14" t="s">
        <v>1220</v>
      </c>
    </row>
    <row r="1510" spans="1:15" x14ac:dyDescent="0.25">
      <c r="A1510" s="14" t="s">
        <v>4002</v>
      </c>
      <c r="B1510" s="14" t="s">
        <v>4003</v>
      </c>
      <c r="C1510" s="14" t="s">
        <v>4004</v>
      </c>
      <c r="D1510" s="14" t="s">
        <v>3909</v>
      </c>
      <c r="E1510" s="15"/>
      <c r="F1510" s="14" t="s">
        <v>1321</v>
      </c>
      <c r="G1510" s="15"/>
      <c r="H1510" s="14" t="s">
        <v>1322</v>
      </c>
      <c r="I1510" s="14" t="s">
        <v>1262</v>
      </c>
      <c r="J1510" s="14" t="s">
        <v>1262</v>
      </c>
      <c r="K1510" s="14"/>
      <c r="L1510" s="14" t="s">
        <v>4001</v>
      </c>
      <c r="M1510" s="14" t="s">
        <v>1324</v>
      </c>
      <c r="N1510" s="14" t="s">
        <v>1219</v>
      </c>
      <c r="O1510" s="14" t="s">
        <v>1220</v>
      </c>
    </row>
    <row r="1511" spans="1:15" x14ac:dyDescent="0.25">
      <c r="A1511" s="14">
        <v>2534</v>
      </c>
      <c r="B1511" s="14" t="s">
        <v>634</v>
      </c>
      <c r="C1511" s="14" t="s">
        <v>4005</v>
      </c>
      <c r="D1511" s="14" t="s">
        <v>3909</v>
      </c>
      <c r="E1511" s="16">
        <v>150</v>
      </c>
      <c r="F1511" s="14" t="s">
        <v>1321</v>
      </c>
      <c r="G1511" s="17">
        <v>5100</v>
      </c>
      <c r="H1511" s="14" t="s">
        <v>1322</v>
      </c>
      <c r="I1511" s="14" t="s">
        <v>1256</v>
      </c>
      <c r="J1511" s="14" t="s">
        <v>1233</v>
      </c>
      <c r="K1511" s="14" t="s">
        <v>1257</v>
      </c>
      <c r="L1511" s="14" t="s">
        <v>4006</v>
      </c>
      <c r="M1511" s="14" t="s">
        <v>1324</v>
      </c>
      <c r="N1511" s="14" t="s">
        <v>1237</v>
      </c>
      <c r="O1511" s="14" t="s">
        <v>1220</v>
      </c>
    </row>
    <row r="1512" spans="1:15" x14ac:dyDescent="0.25">
      <c r="A1512" s="14" t="s">
        <v>4007</v>
      </c>
      <c r="B1512" s="14" t="s">
        <v>4008</v>
      </c>
      <c r="C1512" s="14" t="s">
        <v>4009</v>
      </c>
      <c r="D1512" s="14" t="s">
        <v>3909</v>
      </c>
      <c r="E1512" s="15"/>
      <c r="F1512" s="14" t="s">
        <v>1321</v>
      </c>
      <c r="G1512" s="15"/>
      <c r="H1512" s="14" t="s">
        <v>1322</v>
      </c>
      <c r="I1512" s="14" t="s">
        <v>1262</v>
      </c>
      <c r="J1512" s="14" t="s">
        <v>1262</v>
      </c>
      <c r="K1512" s="14"/>
      <c r="L1512" s="14" t="s">
        <v>4006</v>
      </c>
      <c r="M1512" s="14" t="s">
        <v>1324</v>
      </c>
      <c r="N1512" s="14" t="s">
        <v>1219</v>
      </c>
      <c r="O1512" s="14" t="s">
        <v>1220</v>
      </c>
    </row>
    <row r="1513" spans="1:15" x14ac:dyDescent="0.25">
      <c r="A1513" s="14">
        <v>4482</v>
      </c>
      <c r="B1513" s="14" t="s">
        <v>635</v>
      </c>
      <c r="C1513" s="14" t="s">
        <v>4010</v>
      </c>
      <c r="D1513" s="14" t="s">
        <v>3909</v>
      </c>
      <c r="E1513" s="16">
        <v>40</v>
      </c>
      <c r="F1513" s="14" t="s">
        <v>1321</v>
      </c>
      <c r="G1513" s="16">
        <v>160</v>
      </c>
      <c r="H1513" s="14" t="s">
        <v>1322</v>
      </c>
      <c r="I1513" s="14" t="s">
        <v>1256</v>
      </c>
      <c r="J1513" s="14" t="s">
        <v>1296</v>
      </c>
      <c r="K1513" s="14" t="s">
        <v>1257</v>
      </c>
      <c r="L1513" s="14" t="s">
        <v>4011</v>
      </c>
      <c r="M1513" s="14" t="s">
        <v>1324</v>
      </c>
      <c r="N1513" s="14" t="s">
        <v>1237</v>
      </c>
      <c r="O1513" s="14" t="s">
        <v>1220</v>
      </c>
    </row>
    <row r="1514" spans="1:15" x14ac:dyDescent="0.25">
      <c r="A1514" s="14">
        <v>4485</v>
      </c>
      <c r="B1514" s="14" t="s">
        <v>637</v>
      </c>
      <c r="C1514" s="14" t="s">
        <v>4012</v>
      </c>
      <c r="D1514" s="14" t="s">
        <v>3909</v>
      </c>
      <c r="E1514" s="16">
        <v>35</v>
      </c>
      <c r="F1514" s="14" t="s">
        <v>1321</v>
      </c>
      <c r="G1514" s="16">
        <v>560</v>
      </c>
      <c r="H1514" s="14" t="s">
        <v>1322</v>
      </c>
      <c r="I1514" s="14" t="s">
        <v>1256</v>
      </c>
      <c r="J1514" s="14" t="s">
        <v>1242</v>
      </c>
      <c r="K1514" s="14" t="s">
        <v>1257</v>
      </c>
      <c r="L1514" s="14" t="s">
        <v>3968</v>
      </c>
      <c r="M1514" s="14" t="s">
        <v>1324</v>
      </c>
      <c r="N1514" s="14" t="s">
        <v>1237</v>
      </c>
      <c r="O1514" s="14" t="s">
        <v>1220</v>
      </c>
    </row>
    <row r="1515" spans="1:15" x14ac:dyDescent="0.25">
      <c r="A1515" s="14" t="s">
        <v>4013</v>
      </c>
      <c r="B1515" s="14" t="s">
        <v>4014</v>
      </c>
      <c r="C1515" s="14" t="s">
        <v>4015</v>
      </c>
      <c r="D1515" s="14" t="s">
        <v>3909</v>
      </c>
      <c r="E1515" s="15"/>
      <c r="F1515" s="14" t="s">
        <v>1350</v>
      </c>
      <c r="G1515" s="15"/>
      <c r="H1515" s="14" t="s">
        <v>1322</v>
      </c>
      <c r="I1515" s="14" t="s">
        <v>1262</v>
      </c>
      <c r="J1515" s="14" t="s">
        <v>1262</v>
      </c>
      <c r="K1515" s="14" t="s">
        <v>1257</v>
      </c>
      <c r="L1515" s="14" t="s">
        <v>3968</v>
      </c>
      <c r="M1515" s="14" t="s">
        <v>1324</v>
      </c>
      <c r="N1515" s="14" t="s">
        <v>1219</v>
      </c>
      <c r="O1515" s="14" t="s">
        <v>1220</v>
      </c>
    </row>
    <row r="1516" spans="1:15" x14ac:dyDescent="0.25">
      <c r="A1516" s="14">
        <v>2538</v>
      </c>
      <c r="B1516" s="14" t="s">
        <v>641</v>
      </c>
      <c r="C1516" s="14" t="s">
        <v>4016</v>
      </c>
      <c r="D1516" s="14" t="s">
        <v>3909</v>
      </c>
      <c r="E1516" s="16">
        <v>80</v>
      </c>
      <c r="F1516" s="14" t="s">
        <v>1321</v>
      </c>
      <c r="G1516" s="17">
        <v>1520</v>
      </c>
      <c r="H1516" s="14" t="s">
        <v>1322</v>
      </c>
      <c r="I1516" s="14" t="s">
        <v>1256</v>
      </c>
      <c r="J1516" s="14" t="s">
        <v>1233</v>
      </c>
      <c r="K1516" s="14" t="s">
        <v>1257</v>
      </c>
      <c r="L1516" s="14" t="s">
        <v>4017</v>
      </c>
      <c r="M1516" s="14" t="s">
        <v>1324</v>
      </c>
      <c r="N1516" s="14" t="s">
        <v>1237</v>
      </c>
      <c r="O1516" s="14" t="s">
        <v>1220</v>
      </c>
    </row>
    <row r="1517" spans="1:15" x14ac:dyDescent="0.25">
      <c r="A1517" s="14" t="s">
        <v>4018</v>
      </c>
      <c r="B1517" s="14" t="s">
        <v>4019</v>
      </c>
      <c r="C1517" s="14" t="s">
        <v>4020</v>
      </c>
      <c r="D1517" s="14" t="s">
        <v>3909</v>
      </c>
      <c r="E1517" s="15"/>
      <c r="F1517" s="14" t="s">
        <v>1321</v>
      </c>
      <c r="G1517" s="15"/>
      <c r="H1517" s="14" t="s">
        <v>1322</v>
      </c>
      <c r="I1517" s="14" t="s">
        <v>1262</v>
      </c>
      <c r="J1517" s="14" t="s">
        <v>1262</v>
      </c>
      <c r="K1517" s="14"/>
      <c r="L1517" s="14" t="s">
        <v>4017</v>
      </c>
      <c r="M1517" s="14" t="s">
        <v>1324</v>
      </c>
      <c r="N1517" s="14" t="s">
        <v>1219</v>
      </c>
      <c r="O1517" s="14" t="s">
        <v>1220</v>
      </c>
    </row>
    <row r="1518" spans="1:15" x14ac:dyDescent="0.25">
      <c r="A1518" s="14">
        <v>2362</v>
      </c>
      <c r="B1518" s="14" t="s">
        <v>632</v>
      </c>
      <c r="C1518" s="14" t="s">
        <v>4021</v>
      </c>
      <c r="D1518" s="14" t="s">
        <v>3909</v>
      </c>
      <c r="E1518" s="16">
        <v>50</v>
      </c>
      <c r="F1518" s="14" t="s">
        <v>1321</v>
      </c>
      <c r="G1518" s="16">
        <v>650</v>
      </c>
      <c r="H1518" s="14" t="s">
        <v>1322</v>
      </c>
      <c r="I1518" s="14" t="s">
        <v>1256</v>
      </c>
      <c r="J1518" s="14" t="s">
        <v>1296</v>
      </c>
      <c r="K1518" s="14" t="s">
        <v>1257</v>
      </c>
      <c r="L1518" s="14" t="s">
        <v>4022</v>
      </c>
      <c r="M1518" s="14" t="s">
        <v>1324</v>
      </c>
      <c r="N1518" s="14" t="s">
        <v>1237</v>
      </c>
      <c r="O1518" s="14" t="s">
        <v>1220</v>
      </c>
    </row>
    <row r="1519" spans="1:15" x14ac:dyDescent="0.25">
      <c r="A1519" s="14" t="s">
        <v>4023</v>
      </c>
      <c r="B1519" s="14" t="s">
        <v>4024</v>
      </c>
      <c r="C1519" s="14" t="s">
        <v>4025</v>
      </c>
      <c r="D1519" s="14" t="s">
        <v>3909</v>
      </c>
      <c r="E1519" s="15"/>
      <c r="F1519" s="14" t="s">
        <v>1321</v>
      </c>
      <c r="G1519" s="15"/>
      <c r="H1519" s="14" t="s">
        <v>1322</v>
      </c>
      <c r="I1519" s="14" t="s">
        <v>1262</v>
      </c>
      <c r="J1519" s="14" t="s">
        <v>1262</v>
      </c>
      <c r="K1519" s="14"/>
      <c r="L1519" s="14" t="s">
        <v>4022</v>
      </c>
      <c r="M1519" s="14" t="s">
        <v>1324</v>
      </c>
      <c r="N1519" s="14" t="s">
        <v>1219</v>
      </c>
      <c r="O1519" s="14" t="s">
        <v>1220</v>
      </c>
    </row>
    <row r="1520" spans="1:15" x14ac:dyDescent="0.25">
      <c r="A1520" s="14">
        <v>2536</v>
      </c>
      <c r="B1520" s="14" t="s">
        <v>636</v>
      </c>
      <c r="C1520" s="14" t="s">
        <v>4026</v>
      </c>
      <c r="D1520" s="14" t="s">
        <v>3909</v>
      </c>
      <c r="E1520" s="16">
        <v>400</v>
      </c>
      <c r="F1520" s="14" t="s">
        <v>1321</v>
      </c>
      <c r="G1520" s="17">
        <v>5200</v>
      </c>
      <c r="H1520" s="14" t="s">
        <v>1322</v>
      </c>
      <c r="I1520" s="14" t="s">
        <v>1256</v>
      </c>
      <c r="J1520" s="14" t="s">
        <v>1242</v>
      </c>
      <c r="K1520" s="14" t="s">
        <v>1257</v>
      </c>
      <c r="L1520" s="14" t="s">
        <v>3965</v>
      </c>
      <c r="M1520" s="14" t="s">
        <v>1324</v>
      </c>
      <c r="N1520" s="14" t="s">
        <v>1237</v>
      </c>
      <c r="O1520" s="14" t="s">
        <v>1220</v>
      </c>
    </row>
    <row r="1521" spans="1:15" x14ac:dyDescent="0.25">
      <c r="A1521" s="14" t="s">
        <v>4027</v>
      </c>
      <c r="B1521" s="14" t="s">
        <v>4028</v>
      </c>
      <c r="C1521" s="14" t="s">
        <v>4029</v>
      </c>
      <c r="D1521" s="14" t="s">
        <v>3909</v>
      </c>
      <c r="E1521" s="15"/>
      <c r="F1521" s="14" t="s">
        <v>1321</v>
      </c>
      <c r="G1521" s="15"/>
      <c r="H1521" s="14" t="s">
        <v>1322</v>
      </c>
      <c r="I1521" s="14" t="s">
        <v>1262</v>
      </c>
      <c r="J1521" s="14" t="s">
        <v>1262</v>
      </c>
      <c r="K1521" s="14"/>
      <c r="L1521" s="14" t="s">
        <v>3965</v>
      </c>
      <c r="M1521" s="14" t="s">
        <v>1324</v>
      </c>
      <c r="N1521" s="14" t="s">
        <v>1219</v>
      </c>
      <c r="O1521" s="14" t="s">
        <v>1220</v>
      </c>
    </row>
    <row r="1522" spans="1:15" x14ac:dyDescent="0.25">
      <c r="A1522" s="14">
        <v>510</v>
      </c>
      <c r="B1522" s="14" t="s">
        <v>4030</v>
      </c>
      <c r="C1522" s="14" t="s">
        <v>4030</v>
      </c>
      <c r="D1522" s="14" t="s">
        <v>1349</v>
      </c>
      <c r="E1522" s="15"/>
      <c r="F1522" s="14"/>
      <c r="G1522" s="15"/>
      <c r="H1522" s="14" t="s">
        <v>1380</v>
      </c>
      <c r="I1522" s="14" t="s">
        <v>1360</v>
      </c>
      <c r="J1522" s="14" t="s">
        <v>1360</v>
      </c>
      <c r="K1522" s="14"/>
      <c r="L1522" s="14"/>
      <c r="M1522" s="14" t="s">
        <v>1324</v>
      </c>
      <c r="N1522" s="14" t="s">
        <v>1219</v>
      </c>
      <c r="O1522" s="14" t="s">
        <v>1220</v>
      </c>
    </row>
    <row r="1523" spans="1:15" x14ac:dyDescent="0.25">
      <c r="A1523" s="14">
        <v>4486</v>
      </c>
      <c r="B1523" s="14" t="s">
        <v>643</v>
      </c>
      <c r="C1523" s="14" t="s">
        <v>643</v>
      </c>
      <c r="D1523" s="14" t="s">
        <v>3909</v>
      </c>
      <c r="E1523" s="16">
        <v>400</v>
      </c>
      <c r="F1523" s="14" t="s">
        <v>1321</v>
      </c>
      <c r="G1523" s="17">
        <v>1200</v>
      </c>
      <c r="H1523" s="14" t="s">
        <v>1322</v>
      </c>
      <c r="I1523" s="14" t="s">
        <v>1256</v>
      </c>
      <c r="J1523" s="14" t="s">
        <v>1296</v>
      </c>
      <c r="K1523" s="14" t="s">
        <v>1257</v>
      </c>
      <c r="L1523" s="14" t="s">
        <v>4031</v>
      </c>
      <c r="M1523" s="14" t="s">
        <v>1324</v>
      </c>
      <c r="N1523" s="14" t="s">
        <v>1237</v>
      </c>
      <c r="O1523" s="14" t="s">
        <v>1220</v>
      </c>
    </row>
    <row r="1524" spans="1:15" x14ac:dyDescent="0.25">
      <c r="A1524" s="14" t="s">
        <v>4032</v>
      </c>
      <c r="B1524" s="14" t="s">
        <v>4033</v>
      </c>
      <c r="C1524" s="14" t="s">
        <v>4033</v>
      </c>
      <c r="D1524" s="14" t="s">
        <v>3909</v>
      </c>
      <c r="E1524" s="15"/>
      <c r="F1524" s="14" t="s">
        <v>1321</v>
      </c>
      <c r="G1524" s="15"/>
      <c r="H1524" s="14" t="s">
        <v>1322</v>
      </c>
      <c r="I1524" s="14" t="s">
        <v>1262</v>
      </c>
      <c r="J1524" s="14" t="s">
        <v>1262</v>
      </c>
      <c r="K1524" s="14"/>
      <c r="L1524" s="14" t="s">
        <v>4031</v>
      </c>
      <c r="M1524" s="14" t="s">
        <v>1324</v>
      </c>
      <c r="N1524" s="14" t="s">
        <v>1219</v>
      </c>
      <c r="O1524" s="14" t="s">
        <v>1220</v>
      </c>
    </row>
    <row r="1525" spans="1:15" x14ac:dyDescent="0.25">
      <c r="A1525" s="14">
        <v>4487</v>
      </c>
      <c r="B1525" s="14" t="s">
        <v>644</v>
      </c>
      <c r="C1525" s="14" t="s">
        <v>644</v>
      </c>
      <c r="D1525" s="14" t="s">
        <v>3909</v>
      </c>
      <c r="E1525" s="16">
        <v>200</v>
      </c>
      <c r="F1525" s="14" t="s">
        <v>1321</v>
      </c>
      <c r="G1525" s="16">
        <v>800</v>
      </c>
      <c r="H1525" s="14" t="s">
        <v>1322</v>
      </c>
      <c r="I1525" s="14" t="s">
        <v>1256</v>
      </c>
      <c r="J1525" s="14" t="s">
        <v>1296</v>
      </c>
      <c r="K1525" s="14" t="s">
        <v>1257</v>
      </c>
      <c r="L1525" s="14" t="s">
        <v>4034</v>
      </c>
      <c r="M1525" s="14" t="s">
        <v>1324</v>
      </c>
      <c r="N1525" s="14" t="s">
        <v>1237</v>
      </c>
      <c r="O1525" s="14" t="s">
        <v>1220</v>
      </c>
    </row>
    <row r="1526" spans="1:15" x14ac:dyDescent="0.25">
      <c r="A1526" s="14" t="s">
        <v>4035</v>
      </c>
      <c r="B1526" s="14" t="s">
        <v>4036</v>
      </c>
      <c r="C1526" s="14" t="s">
        <v>4036</v>
      </c>
      <c r="D1526" s="14" t="s">
        <v>3909</v>
      </c>
      <c r="E1526" s="15"/>
      <c r="F1526" s="14" t="s">
        <v>1321</v>
      </c>
      <c r="G1526" s="15"/>
      <c r="H1526" s="14" t="s">
        <v>1322</v>
      </c>
      <c r="I1526" s="14" t="s">
        <v>1262</v>
      </c>
      <c r="J1526" s="14" t="s">
        <v>1262</v>
      </c>
      <c r="K1526" s="14"/>
      <c r="L1526" s="14" t="s">
        <v>4034</v>
      </c>
      <c r="M1526" s="14" t="s">
        <v>1324</v>
      </c>
      <c r="N1526" s="14" t="s">
        <v>1219</v>
      </c>
      <c r="O1526" s="14" t="s">
        <v>1220</v>
      </c>
    </row>
    <row r="1527" spans="1:15" x14ac:dyDescent="0.25">
      <c r="A1527" s="14">
        <v>4749</v>
      </c>
      <c r="B1527" s="14" t="s">
        <v>4037</v>
      </c>
      <c r="C1527" s="14" t="s">
        <v>4037</v>
      </c>
      <c r="D1527" s="14" t="s">
        <v>1349</v>
      </c>
      <c r="E1527" s="15"/>
      <c r="F1527" s="14" t="s">
        <v>1350</v>
      </c>
      <c r="G1527" s="15"/>
      <c r="H1527" s="14" t="s">
        <v>1408</v>
      </c>
      <c r="I1527" s="14" t="s">
        <v>1351</v>
      </c>
      <c r="J1527" s="14" t="s">
        <v>1351</v>
      </c>
      <c r="K1527" s="14" t="s">
        <v>1257</v>
      </c>
      <c r="L1527" s="14" t="s">
        <v>4038</v>
      </c>
      <c r="M1527" s="14" t="s">
        <v>4039</v>
      </c>
      <c r="N1527" s="14" t="s">
        <v>1219</v>
      </c>
      <c r="O1527" s="14" t="s">
        <v>1220</v>
      </c>
    </row>
    <row r="1528" spans="1:15" x14ac:dyDescent="0.25">
      <c r="A1528" s="14">
        <v>4748</v>
      </c>
      <c r="B1528" s="14" t="s">
        <v>4040</v>
      </c>
      <c r="C1528" s="14" t="s">
        <v>4040</v>
      </c>
      <c r="D1528" s="14" t="s">
        <v>1349</v>
      </c>
      <c r="E1528" s="15"/>
      <c r="F1528" s="14" t="s">
        <v>1350</v>
      </c>
      <c r="G1528" s="15"/>
      <c r="H1528" s="14" t="s">
        <v>1408</v>
      </c>
      <c r="I1528" s="14" t="s">
        <v>1351</v>
      </c>
      <c r="J1528" s="14" t="s">
        <v>1351</v>
      </c>
      <c r="K1528" s="14" t="s">
        <v>1257</v>
      </c>
      <c r="L1528" s="14" t="s">
        <v>4041</v>
      </c>
      <c r="M1528" s="14" t="s">
        <v>4039</v>
      </c>
      <c r="N1528" s="14" t="s">
        <v>1219</v>
      </c>
      <c r="O1528" s="14" t="s">
        <v>1220</v>
      </c>
    </row>
    <row r="1529" spans="1:15" x14ac:dyDescent="0.25">
      <c r="A1529" s="14" t="s">
        <v>4042</v>
      </c>
      <c r="B1529" s="14" t="s">
        <v>4043</v>
      </c>
      <c r="C1529" s="14" t="s">
        <v>4043</v>
      </c>
      <c r="D1529" s="14" t="s">
        <v>1427</v>
      </c>
      <c r="E1529" s="15"/>
      <c r="F1529" s="14"/>
      <c r="G1529" s="15"/>
      <c r="H1529" s="14" t="s">
        <v>1440</v>
      </c>
      <c r="I1529" s="14"/>
      <c r="J1529" s="14"/>
      <c r="K1529" s="14"/>
      <c r="L1529" s="14" t="s">
        <v>4044</v>
      </c>
      <c r="M1529" s="14"/>
      <c r="N1529" s="14" t="s">
        <v>1219</v>
      </c>
      <c r="O1529" s="14" t="s">
        <v>1429</v>
      </c>
    </row>
    <row r="1530" spans="1:15" x14ac:dyDescent="0.25">
      <c r="A1530" s="14" t="s">
        <v>4045</v>
      </c>
      <c r="B1530" s="14" t="s">
        <v>4046</v>
      </c>
      <c r="C1530" s="14" t="s">
        <v>4046</v>
      </c>
      <c r="D1530" s="14" t="s">
        <v>1427</v>
      </c>
      <c r="E1530" s="15"/>
      <c r="F1530" s="14"/>
      <c r="G1530" s="15"/>
      <c r="H1530" s="14" t="s">
        <v>1440</v>
      </c>
      <c r="I1530" s="14"/>
      <c r="J1530" s="14"/>
      <c r="K1530" s="14"/>
      <c r="L1530" s="14" t="s">
        <v>4047</v>
      </c>
      <c r="M1530" s="14"/>
      <c r="N1530" s="14" t="s">
        <v>1219</v>
      </c>
      <c r="O1530" s="14" t="s">
        <v>1429</v>
      </c>
    </row>
    <row r="1531" spans="1:15" x14ac:dyDescent="0.25">
      <c r="A1531" s="14" t="s">
        <v>4048</v>
      </c>
      <c r="B1531" s="14" t="s">
        <v>4049</v>
      </c>
      <c r="C1531" s="14" t="s">
        <v>4050</v>
      </c>
      <c r="D1531" s="14" t="s">
        <v>1887</v>
      </c>
      <c r="E1531" s="15"/>
      <c r="F1531" s="14" t="s">
        <v>1321</v>
      </c>
      <c r="G1531" s="15"/>
      <c r="H1531" s="14" t="s">
        <v>1887</v>
      </c>
      <c r="I1531" s="14" t="s">
        <v>1262</v>
      </c>
      <c r="J1531" s="14" t="s">
        <v>1262</v>
      </c>
      <c r="K1531" s="14"/>
      <c r="L1531" s="14" t="s">
        <v>4051</v>
      </c>
      <c r="M1531" s="14" t="s">
        <v>4052</v>
      </c>
      <c r="N1531" s="14" t="s">
        <v>1219</v>
      </c>
      <c r="O1531" s="14" t="s">
        <v>1220</v>
      </c>
    </row>
    <row r="1532" spans="1:15" x14ac:dyDescent="0.25">
      <c r="A1532" s="14">
        <v>894</v>
      </c>
      <c r="B1532" s="14" t="s">
        <v>4053</v>
      </c>
      <c r="C1532" s="14" t="s">
        <v>4053</v>
      </c>
      <c r="D1532" s="14" t="s">
        <v>1885</v>
      </c>
      <c r="E1532" s="16">
        <v>50</v>
      </c>
      <c r="F1532" s="14" t="s">
        <v>1886</v>
      </c>
      <c r="G1532" s="16">
        <v>500</v>
      </c>
      <c r="H1532" s="14" t="s">
        <v>1887</v>
      </c>
      <c r="I1532" s="14" t="s">
        <v>1256</v>
      </c>
      <c r="J1532" s="14" t="s">
        <v>1233</v>
      </c>
      <c r="K1532" s="14" t="s">
        <v>1257</v>
      </c>
      <c r="L1532" s="14" t="s">
        <v>4051</v>
      </c>
      <c r="M1532" s="14" t="s">
        <v>4052</v>
      </c>
      <c r="N1532" s="14" t="s">
        <v>1237</v>
      </c>
      <c r="O1532" s="14" t="s">
        <v>1220</v>
      </c>
    </row>
    <row r="1533" spans="1:15" x14ac:dyDescent="0.25">
      <c r="A1533" s="14">
        <v>897</v>
      </c>
      <c r="B1533" s="14" t="s">
        <v>4054</v>
      </c>
      <c r="C1533" s="14" t="s">
        <v>4054</v>
      </c>
      <c r="D1533" s="14" t="s">
        <v>1885</v>
      </c>
      <c r="E1533" s="16">
        <v>20</v>
      </c>
      <c r="F1533" s="14" t="s">
        <v>1886</v>
      </c>
      <c r="G1533" s="16">
        <v>300</v>
      </c>
      <c r="H1533" s="14" t="s">
        <v>1887</v>
      </c>
      <c r="I1533" s="14" t="s">
        <v>1232</v>
      </c>
      <c r="J1533" s="14" t="s">
        <v>1242</v>
      </c>
      <c r="K1533" s="14" t="s">
        <v>3791</v>
      </c>
      <c r="L1533" s="14" t="s">
        <v>4055</v>
      </c>
      <c r="M1533" s="14" t="s">
        <v>4052</v>
      </c>
      <c r="N1533" s="14" t="s">
        <v>1237</v>
      </c>
      <c r="O1533" s="14" t="s">
        <v>1220</v>
      </c>
    </row>
    <row r="1534" spans="1:15" x14ac:dyDescent="0.25">
      <c r="A1534" s="14">
        <v>896</v>
      </c>
      <c r="B1534" s="14" t="s">
        <v>4056</v>
      </c>
      <c r="C1534" s="14" t="s">
        <v>4056</v>
      </c>
      <c r="D1534" s="14" t="s">
        <v>1885</v>
      </c>
      <c r="E1534" s="16">
        <v>50</v>
      </c>
      <c r="F1534" s="14" t="s">
        <v>1886</v>
      </c>
      <c r="G1534" s="16">
        <v>500</v>
      </c>
      <c r="H1534" s="14" t="s">
        <v>1887</v>
      </c>
      <c r="I1534" s="14" t="s">
        <v>1232</v>
      </c>
      <c r="J1534" s="14" t="s">
        <v>1233</v>
      </c>
      <c r="K1534" s="14" t="s">
        <v>3791</v>
      </c>
      <c r="L1534" s="14" t="s">
        <v>4057</v>
      </c>
      <c r="M1534" s="14" t="s">
        <v>4052</v>
      </c>
      <c r="N1534" s="14" t="s">
        <v>1237</v>
      </c>
      <c r="O1534" s="14" t="s">
        <v>1220</v>
      </c>
    </row>
    <row r="1535" spans="1:15" x14ac:dyDescent="0.25">
      <c r="A1535" s="14" t="s">
        <v>4058</v>
      </c>
      <c r="B1535" s="14" t="s">
        <v>4059</v>
      </c>
      <c r="C1535" s="14" t="s">
        <v>4059</v>
      </c>
      <c r="D1535" s="14" t="s">
        <v>1283</v>
      </c>
      <c r="E1535" s="15"/>
      <c r="F1535" s="14" t="s">
        <v>1742</v>
      </c>
      <c r="G1535" s="15"/>
      <c r="H1535" s="14" t="s">
        <v>1255</v>
      </c>
      <c r="I1535" s="14" t="s">
        <v>1217</v>
      </c>
      <c r="J1535" s="14" t="s">
        <v>1296</v>
      </c>
      <c r="K1535" s="14"/>
      <c r="L1535" s="14"/>
      <c r="M1535" s="14" t="s">
        <v>1259</v>
      </c>
      <c r="N1535" s="14" t="s">
        <v>1219</v>
      </c>
      <c r="O1535" s="14" t="s">
        <v>1220</v>
      </c>
    </row>
    <row r="1536" spans="1:15" x14ac:dyDescent="0.25">
      <c r="A1536" s="14" t="s">
        <v>4060</v>
      </c>
      <c r="B1536" s="14" t="s">
        <v>4061</v>
      </c>
      <c r="C1536" s="14" t="s">
        <v>4061</v>
      </c>
      <c r="D1536" s="14" t="s">
        <v>1283</v>
      </c>
      <c r="E1536" s="15"/>
      <c r="F1536" s="14" t="s">
        <v>1742</v>
      </c>
      <c r="G1536" s="15"/>
      <c r="H1536" s="14" t="s">
        <v>1255</v>
      </c>
      <c r="I1536" s="14" t="s">
        <v>1217</v>
      </c>
      <c r="J1536" s="14" t="s">
        <v>1296</v>
      </c>
      <c r="K1536" s="14"/>
      <c r="L1536" s="14"/>
      <c r="M1536" s="14" t="s">
        <v>1259</v>
      </c>
      <c r="N1536" s="14" t="s">
        <v>1219</v>
      </c>
      <c r="O1536" s="14" t="s">
        <v>1220</v>
      </c>
    </row>
    <row r="1537" spans="1:15" x14ac:dyDescent="0.25">
      <c r="A1537" s="14" t="s">
        <v>4062</v>
      </c>
      <c r="B1537" s="14" t="s">
        <v>4063</v>
      </c>
      <c r="C1537" s="14" t="s">
        <v>4063</v>
      </c>
      <c r="D1537" s="14" t="s">
        <v>1283</v>
      </c>
      <c r="E1537" s="15"/>
      <c r="F1537" s="14" t="s">
        <v>1742</v>
      </c>
      <c r="G1537" s="15"/>
      <c r="H1537" s="14" t="s">
        <v>1255</v>
      </c>
      <c r="I1537" s="14" t="s">
        <v>1217</v>
      </c>
      <c r="J1537" s="14" t="s">
        <v>1296</v>
      </c>
      <c r="K1537" s="14"/>
      <c r="L1537" s="14"/>
      <c r="M1537" s="14" t="s">
        <v>1259</v>
      </c>
      <c r="N1537" s="14" t="s">
        <v>1219</v>
      </c>
      <c r="O1537" s="14" t="s">
        <v>1220</v>
      </c>
    </row>
    <row r="1538" spans="1:15" x14ac:dyDescent="0.25">
      <c r="A1538" s="14">
        <v>3694</v>
      </c>
      <c r="B1538" s="14" t="s">
        <v>457</v>
      </c>
      <c r="C1538" s="14" t="s">
        <v>457</v>
      </c>
      <c r="D1538" s="14" t="s">
        <v>4064</v>
      </c>
      <c r="E1538" s="16">
        <v>250</v>
      </c>
      <c r="F1538" s="14" t="s">
        <v>1255</v>
      </c>
      <c r="G1538" s="17">
        <v>2500</v>
      </c>
      <c r="H1538" s="14" t="s">
        <v>1255</v>
      </c>
      <c r="I1538" s="14" t="s">
        <v>1256</v>
      </c>
      <c r="J1538" s="14" t="s">
        <v>1242</v>
      </c>
      <c r="K1538" s="14" t="s">
        <v>1257</v>
      </c>
      <c r="L1538" s="14" t="s">
        <v>4065</v>
      </c>
      <c r="M1538" s="14" t="s">
        <v>1259</v>
      </c>
      <c r="N1538" s="14" t="s">
        <v>1237</v>
      </c>
      <c r="O1538" s="14" t="s">
        <v>1220</v>
      </c>
    </row>
    <row r="1539" spans="1:15" x14ac:dyDescent="0.25">
      <c r="A1539" s="14" t="s">
        <v>4066</v>
      </c>
      <c r="B1539" s="14" t="s">
        <v>4067</v>
      </c>
      <c r="C1539" s="14" t="s">
        <v>4068</v>
      </c>
      <c r="D1539" s="14" t="s">
        <v>4064</v>
      </c>
      <c r="E1539" s="15"/>
      <c r="F1539" s="14" t="s">
        <v>1255</v>
      </c>
      <c r="G1539" s="15"/>
      <c r="H1539" s="14" t="s">
        <v>1255</v>
      </c>
      <c r="I1539" s="14" t="s">
        <v>1262</v>
      </c>
      <c r="J1539" s="14" t="s">
        <v>1262</v>
      </c>
      <c r="K1539" s="14"/>
      <c r="L1539" s="14" t="s">
        <v>4065</v>
      </c>
      <c r="M1539" s="14" t="s">
        <v>1259</v>
      </c>
      <c r="N1539" s="14" t="s">
        <v>1219</v>
      </c>
      <c r="O1539" s="14" t="s">
        <v>1220</v>
      </c>
    </row>
    <row r="1540" spans="1:15" x14ac:dyDescent="0.25">
      <c r="A1540" s="14">
        <v>3695</v>
      </c>
      <c r="B1540" s="14" t="s">
        <v>458</v>
      </c>
      <c r="C1540" s="14" t="s">
        <v>458</v>
      </c>
      <c r="D1540" s="14" t="s">
        <v>4064</v>
      </c>
      <c r="E1540" s="16">
        <v>150</v>
      </c>
      <c r="F1540" s="14" t="s">
        <v>1255</v>
      </c>
      <c r="G1540" s="16">
        <v>900</v>
      </c>
      <c r="H1540" s="14" t="s">
        <v>1255</v>
      </c>
      <c r="I1540" s="14" t="s">
        <v>1256</v>
      </c>
      <c r="J1540" s="14" t="s">
        <v>1296</v>
      </c>
      <c r="K1540" s="14" t="s">
        <v>1257</v>
      </c>
      <c r="L1540" s="14" t="s">
        <v>4069</v>
      </c>
      <c r="M1540" s="14" t="s">
        <v>1259</v>
      </c>
      <c r="N1540" s="14" t="s">
        <v>1237</v>
      </c>
      <c r="O1540" s="14" t="s">
        <v>1220</v>
      </c>
    </row>
    <row r="1541" spans="1:15" x14ac:dyDescent="0.25">
      <c r="A1541" s="14" t="s">
        <v>4070</v>
      </c>
      <c r="B1541" s="14" t="s">
        <v>4071</v>
      </c>
      <c r="C1541" s="14" t="s">
        <v>4071</v>
      </c>
      <c r="D1541" s="14" t="s">
        <v>4064</v>
      </c>
      <c r="E1541" s="15"/>
      <c r="F1541" s="14" t="s">
        <v>1255</v>
      </c>
      <c r="G1541" s="15"/>
      <c r="H1541" s="14" t="s">
        <v>1255</v>
      </c>
      <c r="I1541" s="14" t="s">
        <v>1262</v>
      </c>
      <c r="J1541" s="14" t="s">
        <v>1262</v>
      </c>
      <c r="K1541" s="14"/>
      <c r="L1541" s="14" t="s">
        <v>4069</v>
      </c>
      <c r="M1541" s="14" t="s">
        <v>1259</v>
      </c>
      <c r="N1541" s="14" t="s">
        <v>1219</v>
      </c>
      <c r="O1541" s="14" t="s">
        <v>1220</v>
      </c>
    </row>
    <row r="1542" spans="1:15" x14ac:dyDescent="0.25">
      <c r="A1542" s="14">
        <v>3696</v>
      </c>
      <c r="B1542" s="14" t="s">
        <v>459</v>
      </c>
      <c r="C1542" s="14" t="s">
        <v>459</v>
      </c>
      <c r="D1542" s="14" t="s">
        <v>4064</v>
      </c>
      <c r="E1542" s="16">
        <v>80</v>
      </c>
      <c r="F1542" s="14" t="s">
        <v>1255</v>
      </c>
      <c r="G1542" s="16">
        <v>600</v>
      </c>
      <c r="H1542" s="14" t="s">
        <v>1255</v>
      </c>
      <c r="I1542" s="14" t="s">
        <v>1256</v>
      </c>
      <c r="J1542" s="14" t="s">
        <v>1296</v>
      </c>
      <c r="K1542" s="14" t="s">
        <v>1257</v>
      </c>
      <c r="L1542" s="14" t="s">
        <v>4072</v>
      </c>
      <c r="M1542" s="14" t="s">
        <v>1259</v>
      </c>
      <c r="N1542" s="14" t="s">
        <v>1237</v>
      </c>
      <c r="O1542" s="14" t="s">
        <v>1220</v>
      </c>
    </row>
    <row r="1543" spans="1:15" x14ac:dyDescent="0.25">
      <c r="A1543" s="14">
        <v>3687</v>
      </c>
      <c r="B1543" s="14" t="s">
        <v>460</v>
      </c>
      <c r="C1543" s="14" t="s">
        <v>460</v>
      </c>
      <c r="D1543" s="14" t="s">
        <v>4064</v>
      </c>
      <c r="E1543" s="16">
        <v>100</v>
      </c>
      <c r="F1543" s="14" t="s">
        <v>1255</v>
      </c>
      <c r="G1543" s="16">
        <v>500</v>
      </c>
      <c r="H1543" s="14" t="s">
        <v>1255</v>
      </c>
      <c r="I1543" s="14" t="s">
        <v>1256</v>
      </c>
      <c r="J1543" s="14" t="s">
        <v>1296</v>
      </c>
      <c r="K1543" s="14" t="s">
        <v>1257</v>
      </c>
      <c r="L1543" s="14" t="s">
        <v>4073</v>
      </c>
      <c r="M1543" s="14" t="s">
        <v>1259</v>
      </c>
      <c r="N1543" s="14" t="s">
        <v>1237</v>
      </c>
      <c r="O1543" s="14" t="s">
        <v>1220</v>
      </c>
    </row>
    <row r="1544" spans="1:15" x14ac:dyDescent="0.25">
      <c r="A1544" s="14" t="s">
        <v>4074</v>
      </c>
      <c r="B1544" s="14" t="s">
        <v>4075</v>
      </c>
      <c r="C1544" s="14" t="s">
        <v>4075</v>
      </c>
      <c r="D1544" s="14" t="s">
        <v>4076</v>
      </c>
      <c r="E1544" s="16">
        <v>100</v>
      </c>
      <c r="F1544" s="14" t="s">
        <v>1255</v>
      </c>
      <c r="G1544" s="16">
        <v>500</v>
      </c>
      <c r="H1544" s="14" t="s">
        <v>1255</v>
      </c>
      <c r="I1544" s="14" t="s">
        <v>1262</v>
      </c>
      <c r="J1544" s="14" t="s">
        <v>1262</v>
      </c>
      <c r="K1544" s="14" t="s">
        <v>1257</v>
      </c>
      <c r="L1544" s="14" t="s">
        <v>4073</v>
      </c>
      <c r="M1544" s="14" t="s">
        <v>1259</v>
      </c>
      <c r="N1544" s="14" t="s">
        <v>1219</v>
      </c>
      <c r="O1544" s="14" t="s">
        <v>1220</v>
      </c>
    </row>
    <row r="1545" spans="1:15" x14ac:dyDescent="0.25">
      <c r="A1545" s="14">
        <v>3688</v>
      </c>
      <c r="B1545" s="14" t="s">
        <v>461</v>
      </c>
      <c r="C1545" s="14" t="s">
        <v>461</v>
      </c>
      <c r="D1545" s="14" t="s">
        <v>4064</v>
      </c>
      <c r="E1545" s="16">
        <v>70</v>
      </c>
      <c r="F1545" s="14" t="s">
        <v>1255</v>
      </c>
      <c r="G1545" s="16">
        <v>500</v>
      </c>
      <c r="H1545" s="14" t="s">
        <v>1255</v>
      </c>
      <c r="I1545" s="14" t="s">
        <v>1256</v>
      </c>
      <c r="J1545" s="14" t="s">
        <v>1296</v>
      </c>
      <c r="K1545" s="14" t="s">
        <v>1257</v>
      </c>
      <c r="L1545" s="14" t="s">
        <v>4077</v>
      </c>
      <c r="M1545" s="14" t="s">
        <v>1259</v>
      </c>
      <c r="N1545" s="14" t="s">
        <v>1237</v>
      </c>
      <c r="O1545" s="14" t="s">
        <v>1220</v>
      </c>
    </row>
    <row r="1546" spans="1:15" x14ac:dyDescent="0.25">
      <c r="A1546" s="14" t="s">
        <v>4078</v>
      </c>
      <c r="B1546" s="14" t="s">
        <v>4079</v>
      </c>
      <c r="C1546" s="14" t="s">
        <v>4079</v>
      </c>
      <c r="D1546" s="14" t="s">
        <v>4076</v>
      </c>
      <c r="E1546" s="16">
        <v>70</v>
      </c>
      <c r="F1546" s="14" t="s">
        <v>1255</v>
      </c>
      <c r="G1546" s="16">
        <v>500</v>
      </c>
      <c r="H1546" s="14" t="s">
        <v>1255</v>
      </c>
      <c r="I1546" s="14" t="s">
        <v>1262</v>
      </c>
      <c r="J1546" s="14" t="s">
        <v>1262</v>
      </c>
      <c r="K1546" s="14" t="s">
        <v>1257</v>
      </c>
      <c r="L1546" s="14" t="s">
        <v>4077</v>
      </c>
      <c r="M1546" s="14" t="s">
        <v>1259</v>
      </c>
      <c r="N1546" s="14" t="s">
        <v>1219</v>
      </c>
      <c r="O1546" s="14" t="s">
        <v>1220</v>
      </c>
    </row>
    <row r="1547" spans="1:15" x14ac:dyDescent="0.25">
      <c r="A1547" s="14">
        <v>3689</v>
      </c>
      <c r="B1547" s="14" t="s">
        <v>462</v>
      </c>
      <c r="C1547" s="14" t="s">
        <v>462</v>
      </c>
      <c r="D1547" s="14" t="s">
        <v>4064</v>
      </c>
      <c r="E1547" s="16">
        <v>40</v>
      </c>
      <c r="F1547" s="14" t="s">
        <v>1255</v>
      </c>
      <c r="G1547" s="16">
        <v>225</v>
      </c>
      <c r="H1547" s="14" t="s">
        <v>1255</v>
      </c>
      <c r="I1547" s="14" t="s">
        <v>1256</v>
      </c>
      <c r="J1547" s="14" t="s">
        <v>1296</v>
      </c>
      <c r="K1547" s="14" t="s">
        <v>1257</v>
      </c>
      <c r="L1547" s="14" t="s">
        <v>4080</v>
      </c>
      <c r="M1547" s="14" t="s">
        <v>1259</v>
      </c>
      <c r="N1547" s="14" t="s">
        <v>1237</v>
      </c>
      <c r="O1547" s="14" t="s">
        <v>1220</v>
      </c>
    </row>
    <row r="1548" spans="1:15" x14ac:dyDescent="0.25">
      <c r="A1548" s="14" t="s">
        <v>4081</v>
      </c>
      <c r="B1548" s="14" t="s">
        <v>4082</v>
      </c>
      <c r="C1548" s="14" t="s">
        <v>4082</v>
      </c>
      <c r="D1548" s="14" t="s">
        <v>4064</v>
      </c>
      <c r="E1548" s="15"/>
      <c r="F1548" s="14" t="s">
        <v>1255</v>
      </c>
      <c r="G1548" s="15"/>
      <c r="H1548" s="14" t="s">
        <v>1255</v>
      </c>
      <c r="I1548" s="14" t="s">
        <v>1262</v>
      </c>
      <c r="J1548" s="14" t="s">
        <v>1262</v>
      </c>
      <c r="K1548" s="14"/>
      <c r="L1548" s="14" t="s">
        <v>4080</v>
      </c>
      <c r="M1548" s="14" t="s">
        <v>1259</v>
      </c>
      <c r="N1548" s="14" t="s">
        <v>1219</v>
      </c>
      <c r="O1548" s="14" t="s">
        <v>1220</v>
      </c>
    </row>
    <row r="1549" spans="1:15" x14ac:dyDescent="0.25">
      <c r="A1549" s="14">
        <v>3690</v>
      </c>
      <c r="B1549" s="14" t="s">
        <v>4083</v>
      </c>
      <c r="C1549" s="14" t="s">
        <v>4083</v>
      </c>
      <c r="D1549" s="14" t="s">
        <v>4064</v>
      </c>
      <c r="E1549" s="15"/>
      <c r="F1549" s="14" t="s">
        <v>1350</v>
      </c>
      <c r="G1549" s="15"/>
      <c r="H1549" s="14" t="s">
        <v>1255</v>
      </c>
      <c r="I1549" s="14" t="s">
        <v>1351</v>
      </c>
      <c r="J1549" s="14" t="s">
        <v>1385</v>
      </c>
      <c r="K1549" s="14" t="s">
        <v>1257</v>
      </c>
      <c r="L1549" s="14" t="s">
        <v>4080</v>
      </c>
      <c r="M1549" s="14" t="s">
        <v>1259</v>
      </c>
      <c r="N1549" s="14" t="s">
        <v>1219</v>
      </c>
      <c r="O1549" s="14" t="s">
        <v>1220</v>
      </c>
    </row>
    <row r="1550" spans="1:15" x14ac:dyDescent="0.25">
      <c r="A1550" s="14">
        <v>3691</v>
      </c>
      <c r="B1550" s="14" t="s">
        <v>463</v>
      </c>
      <c r="C1550" s="14" t="s">
        <v>463</v>
      </c>
      <c r="D1550" s="14" t="s">
        <v>4064</v>
      </c>
      <c r="E1550" s="16">
        <v>130</v>
      </c>
      <c r="F1550" s="14" t="s">
        <v>1255</v>
      </c>
      <c r="G1550" s="16">
        <v>650</v>
      </c>
      <c r="H1550" s="14" t="s">
        <v>1255</v>
      </c>
      <c r="I1550" s="14" t="s">
        <v>1256</v>
      </c>
      <c r="J1550" s="14" t="s">
        <v>1296</v>
      </c>
      <c r="K1550" s="14" t="s">
        <v>1257</v>
      </c>
      <c r="L1550" s="14" t="s">
        <v>4084</v>
      </c>
      <c r="M1550" s="14" t="s">
        <v>1259</v>
      </c>
      <c r="N1550" s="14" t="s">
        <v>1237</v>
      </c>
      <c r="O1550" s="14" t="s">
        <v>1220</v>
      </c>
    </row>
    <row r="1551" spans="1:15" x14ac:dyDescent="0.25">
      <c r="A1551" s="14">
        <v>3692</v>
      </c>
      <c r="B1551" s="14" t="s">
        <v>4085</v>
      </c>
      <c r="C1551" s="14" t="s">
        <v>4085</v>
      </c>
      <c r="D1551" s="14" t="s">
        <v>1349</v>
      </c>
      <c r="E1551" s="15"/>
      <c r="F1551" s="14"/>
      <c r="G1551" s="15"/>
      <c r="H1551" s="14" t="s">
        <v>1255</v>
      </c>
      <c r="I1551" s="14" t="s">
        <v>1360</v>
      </c>
      <c r="J1551" s="14" t="s">
        <v>1360</v>
      </c>
      <c r="K1551" s="14"/>
      <c r="L1551" s="14"/>
      <c r="M1551" s="14" t="s">
        <v>1259</v>
      </c>
      <c r="N1551" s="14" t="s">
        <v>1219</v>
      </c>
      <c r="O1551" s="14" t="s">
        <v>1220</v>
      </c>
    </row>
    <row r="1552" spans="1:15" x14ac:dyDescent="0.25">
      <c r="A1552" s="14">
        <v>3693</v>
      </c>
      <c r="B1552" s="14" t="s">
        <v>4086</v>
      </c>
      <c r="C1552" s="14" t="s">
        <v>4086</v>
      </c>
      <c r="D1552" s="14" t="s">
        <v>1349</v>
      </c>
      <c r="E1552" s="15"/>
      <c r="F1552" s="14"/>
      <c r="G1552" s="15"/>
      <c r="H1552" s="14" t="s">
        <v>1255</v>
      </c>
      <c r="I1552" s="14" t="s">
        <v>1360</v>
      </c>
      <c r="J1552" s="14" t="s">
        <v>1360</v>
      </c>
      <c r="K1552" s="14"/>
      <c r="L1552" s="14"/>
      <c r="M1552" s="14" t="s">
        <v>1259</v>
      </c>
      <c r="N1552" s="14" t="s">
        <v>1219</v>
      </c>
      <c r="O1552" s="14" t="s">
        <v>1220</v>
      </c>
    </row>
    <row r="1553" spans="1:15" x14ac:dyDescent="0.25">
      <c r="A1553" s="14" t="s">
        <v>4087</v>
      </c>
      <c r="B1553" s="14" t="s">
        <v>4088</v>
      </c>
      <c r="C1553" s="14" t="s">
        <v>4088</v>
      </c>
      <c r="D1553" s="14" t="s">
        <v>1283</v>
      </c>
      <c r="E1553" s="15"/>
      <c r="F1553" s="14" t="s">
        <v>1742</v>
      </c>
      <c r="G1553" s="15"/>
      <c r="H1553" s="14" t="s">
        <v>1255</v>
      </c>
      <c r="I1553" s="14" t="s">
        <v>1217</v>
      </c>
      <c r="J1553" s="14" t="s">
        <v>1296</v>
      </c>
      <c r="K1553" s="14"/>
      <c r="L1553" s="14"/>
      <c r="M1553" s="14" t="s">
        <v>1259</v>
      </c>
      <c r="N1553" s="14" t="s">
        <v>1219</v>
      </c>
      <c r="O1553" s="14" t="s">
        <v>1220</v>
      </c>
    </row>
    <row r="1554" spans="1:15" x14ac:dyDescent="0.25">
      <c r="A1554" s="14" t="s">
        <v>4089</v>
      </c>
      <c r="B1554" s="14" t="s">
        <v>4090</v>
      </c>
      <c r="C1554" s="14" t="s">
        <v>4090</v>
      </c>
      <c r="D1554" s="14" t="s">
        <v>1283</v>
      </c>
      <c r="E1554" s="15"/>
      <c r="F1554" s="14" t="s">
        <v>1742</v>
      </c>
      <c r="G1554" s="15"/>
      <c r="H1554" s="14" t="s">
        <v>1255</v>
      </c>
      <c r="I1554" s="14" t="s">
        <v>1217</v>
      </c>
      <c r="J1554" s="14" t="s">
        <v>1296</v>
      </c>
      <c r="K1554" s="14"/>
      <c r="L1554" s="14"/>
      <c r="M1554" s="14" t="s">
        <v>1259</v>
      </c>
      <c r="N1554" s="14" t="s">
        <v>1219</v>
      </c>
      <c r="O1554" s="14" t="s">
        <v>1220</v>
      </c>
    </row>
    <row r="1555" spans="1:15" x14ac:dyDescent="0.25">
      <c r="A1555" s="14" t="s">
        <v>4091</v>
      </c>
      <c r="B1555" s="14" t="s">
        <v>4092</v>
      </c>
      <c r="C1555" s="14" t="s">
        <v>4092</v>
      </c>
      <c r="D1555" s="14" t="s">
        <v>1283</v>
      </c>
      <c r="E1555" s="15"/>
      <c r="F1555" s="14" t="s">
        <v>1742</v>
      </c>
      <c r="G1555" s="15"/>
      <c r="H1555" s="14" t="s">
        <v>1255</v>
      </c>
      <c r="I1555" s="14" t="s">
        <v>1217</v>
      </c>
      <c r="J1555" s="14" t="s">
        <v>1296</v>
      </c>
      <c r="K1555" s="14"/>
      <c r="L1555" s="14"/>
      <c r="M1555" s="14" t="s">
        <v>1259</v>
      </c>
      <c r="N1555" s="14" t="s">
        <v>1219</v>
      </c>
      <c r="O1555" s="14" t="s">
        <v>1220</v>
      </c>
    </row>
    <row r="1556" spans="1:15" x14ac:dyDescent="0.25">
      <c r="A1556" s="14">
        <v>6030</v>
      </c>
      <c r="B1556" s="14" t="s">
        <v>4093</v>
      </c>
      <c r="C1556" s="14" t="s">
        <v>4093</v>
      </c>
      <c r="D1556" s="14" t="s">
        <v>1807</v>
      </c>
      <c r="E1556" s="15"/>
      <c r="F1556" s="14"/>
      <c r="G1556" s="15"/>
      <c r="H1556" s="14" t="s">
        <v>1255</v>
      </c>
      <c r="I1556" s="14" t="s">
        <v>1217</v>
      </c>
      <c r="J1556" s="14"/>
      <c r="K1556" s="14"/>
      <c r="L1556" s="14"/>
      <c r="M1556" s="14"/>
      <c r="N1556" s="14" t="s">
        <v>1219</v>
      </c>
      <c r="O1556" s="14" t="s">
        <v>1220</v>
      </c>
    </row>
    <row r="1557" spans="1:15" x14ac:dyDescent="0.25">
      <c r="A1557" s="14">
        <v>6028</v>
      </c>
      <c r="B1557" s="14" t="s">
        <v>4094</v>
      </c>
      <c r="C1557" s="14" t="s">
        <v>4094</v>
      </c>
      <c r="D1557" s="14" t="s">
        <v>1807</v>
      </c>
      <c r="E1557" s="15"/>
      <c r="F1557" s="14"/>
      <c r="G1557" s="15"/>
      <c r="H1557" s="14" t="s">
        <v>1255</v>
      </c>
      <c r="I1557" s="14" t="s">
        <v>1217</v>
      </c>
      <c r="J1557" s="14"/>
      <c r="K1557" s="14"/>
      <c r="L1557" s="14"/>
      <c r="M1557" s="14"/>
      <c r="N1557" s="14" t="s">
        <v>1219</v>
      </c>
      <c r="O1557" s="14" t="s">
        <v>1220</v>
      </c>
    </row>
    <row r="1558" spans="1:15" x14ac:dyDescent="0.25">
      <c r="A1558" s="14">
        <v>6029</v>
      </c>
      <c r="B1558" s="14" t="s">
        <v>4095</v>
      </c>
      <c r="C1558" s="14" t="s">
        <v>4095</v>
      </c>
      <c r="D1558" s="14" t="s">
        <v>1807</v>
      </c>
      <c r="E1558" s="15"/>
      <c r="F1558" s="14"/>
      <c r="G1558" s="15"/>
      <c r="H1558" s="14" t="s">
        <v>1255</v>
      </c>
      <c r="I1558" s="14" t="s">
        <v>1217</v>
      </c>
      <c r="J1558" s="14"/>
      <c r="K1558" s="14"/>
      <c r="L1558" s="14"/>
      <c r="M1558" s="14"/>
      <c r="N1558" s="14" t="s">
        <v>1219</v>
      </c>
      <c r="O1558" s="14" t="s">
        <v>1220</v>
      </c>
    </row>
    <row r="1559" spans="1:15" x14ac:dyDescent="0.25">
      <c r="A1559" s="14">
        <v>1950003</v>
      </c>
      <c r="B1559" s="14" t="s">
        <v>4096</v>
      </c>
      <c r="C1559" s="14" t="s">
        <v>4096</v>
      </c>
      <c r="D1559" s="14" t="s">
        <v>1824</v>
      </c>
      <c r="E1559" s="15"/>
      <c r="F1559" s="14" t="s">
        <v>1533</v>
      </c>
      <c r="G1559" s="15"/>
      <c r="H1559" s="14" t="s">
        <v>1534</v>
      </c>
      <c r="I1559" s="14" t="s">
        <v>1360</v>
      </c>
      <c r="J1559" s="14" t="s">
        <v>1351</v>
      </c>
      <c r="K1559" s="14"/>
      <c r="L1559" s="14"/>
      <c r="M1559" s="14" t="s">
        <v>1218</v>
      </c>
      <c r="N1559" s="14" t="s">
        <v>1219</v>
      </c>
      <c r="O1559" s="14" t="s">
        <v>1220</v>
      </c>
    </row>
    <row r="1560" spans="1:15" x14ac:dyDescent="0.25">
      <c r="A1560" s="14">
        <v>1950002</v>
      </c>
      <c r="B1560" s="14" t="s">
        <v>4097</v>
      </c>
      <c r="C1560" s="14" t="s">
        <v>4097</v>
      </c>
      <c r="D1560" s="14" t="s">
        <v>1824</v>
      </c>
      <c r="E1560" s="15"/>
      <c r="F1560" s="14" t="s">
        <v>1533</v>
      </c>
      <c r="G1560" s="15"/>
      <c r="H1560" s="14" t="s">
        <v>1534</v>
      </c>
      <c r="I1560" s="14" t="s">
        <v>1360</v>
      </c>
      <c r="J1560" s="14" t="s">
        <v>1351</v>
      </c>
      <c r="K1560" s="14"/>
      <c r="L1560" s="14"/>
      <c r="M1560" s="14" t="s">
        <v>1218</v>
      </c>
      <c r="N1560" s="14" t="s">
        <v>1219</v>
      </c>
      <c r="O1560" s="14" t="s">
        <v>1220</v>
      </c>
    </row>
    <row r="1561" spans="1:15" x14ac:dyDescent="0.25">
      <c r="A1561" s="14">
        <v>2339</v>
      </c>
      <c r="B1561" s="14" t="s">
        <v>1001</v>
      </c>
      <c r="C1561" s="14" t="s">
        <v>1001</v>
      </c>
      <c r="D1561" s="14" t="s">
        <v>4098</v>
      </c>
      <c r="E1561" s="16">
        <v>200</v>
      </c>
      <c r="F1561" s="14" t="s">
        <v>1216</v>
      </c>
      <c r="G1561" s="17">
        <v>3000</v>
      </c>
      <c r="H1561" s="14" t="s">
        <v>1216</v>
      </c>
      <c r="I1561" s="14" t="s">
        <v>1256</v>
      </c>
      <c r="J1561" s="14" t="s">
        <v>1233</v>
      </c>
      <c r="K1561" s="14" t="s">
        <v>1257</v>
      </c>
      <c r="L1561" s="14" t="s">
        <v>4099</v>
      </c>
      <c r="M1561" s="14" t="s">
        <v>4100</v>
      </c>
      <c r="N1561" s="14" t="s">
        <v>1237</v>
      </c>
      <c r="O1561" s="14" t="s">
        <v>1220</v>
      </c>
    </row>
    <row r="1562" spans="1:15" x14ac:dyDescent="0.25">
      <c r="A1562" s="14" t="s">
        <v>4101</v>
      </c>
      <c r="B1562" s="14" t="s">
        <v>4102</v>
      </c>
      <c r="C1562" s="14" t="s">
        <v>4102</v>
      </c>
      <c r="D1562" s="14" t="s">
        <v>1215</v>
      </c>
      <c r="E1562" s="15"/>
      <c r="F1562" s="14"/>
      <c r="G1562" s="15"/>
      <c r="H1562" s="14" t="s">
        <v>1216</v>
      </c>
      <c r="I1562" s="14" t="s">
        <v>1217</v>
      </c>
      <c r="J1562" s="14"/>
      <c r="K1562" s="14"/>
      <c r="L1562" s="14" t="s">
        <v>4103</v>
      </c>
      <c r="M1562" s="14" t="s">
        <v>4100</v>
      </c>
      <c r="N1562" s="14" t="s">
        <v>1219</v>
      </c>
      <c r="O1562" s="14" t="s">
        <v>1220</v>
      </c>
    </row>
    <row r="1563" spans="1:15" x14ac:dyDescent="0.25">
      <c r="A1563" s="14" t="s">
        <v>4104</v>
      </c>
      <c r="B1563" s="14" t="s">
        <v>4105</v>
      </c>
      <c r="C1563" s="14" t="s">
        <v>4105</v>
      </c>
      <c r="D1563" s="14" t="s">
        <v>4106</v>
      </c>
      <c r="E1563" s="15"/>
      <c r="F1563" s="14" t="s">
        <v>1216</v>
      </c>
      <c r="G1563" s="15"/>
      <c r="H1563" s="14" t="s">
        <v>1216</v>
      </c>
      <c r="I1563" s="14" t="s">
        <v>1262</v>
      </c>
      <c r="J1563" s="14" t="s">
        <v>1262</v>
      </c>
      <c r="K1563" s="14"/>
      <c r="L1563" s="14" t="s">
        <v>4099</v>
      </c>
      <c r="M1563" s="14" t="s">
        <v>4100</v>
      </c>
      <c r="N1563" s="14" t="s">
        <v>1219</v>
      </c>
      <c r="O1563" s="14" t="s">
        <v>1220</v>
      </c>
    </row>
    <row r="1564" spans="1:15" x14ac:dyDescent="0.25">
      <c r="A1564" s="14">
        <v>1013201</v>
      </c>
      <c r="B1564" s="14" t="s">
        <v>4107</v>
      </c>
      <c r="C1564" s="14" t="s">
        <v>4108</v>
      </c>
      <c r="D1564" s="14" t="s">
        <v>1215</v>
      </c>
      <c r="E1564" s="15"/>
      <c r="F1564" s="14"/>
      <c r="G1564" s="15"/>
      <c r="H1564" s="14" t="s">
        <v>1216</v>
      </c>
      <c r="I1564" s="14" t="s">
        <v>1217</v>
      </c>
      <c r="J1564" s="14"/>
      <c r="K1564" s="14"/>
      <c r="L1564" s="14"/>
      <c r="M1564" s="14" t="s">
        <v>4100</v>
      </c>
      <c r="N1564" s="14" t="s">
        <v>1219</v>
      </c>
      <c r="O1564" s="14" t="s">
        <v>1220</v>
      </c>
    </row>
    <row r="1565" spans="1:15" x14ac:dyDescent="0.25">
      <c r="A1565" s="14">
        <v>2340</v>
      </c>
      <c r="B1565" s="14" t="s">
        <v>1002</v>
      </c>
      <c r="C1565" s="14" t="s">
        <v>1002</v>
      </c>
      <c r="D1565" s="14" t="s">
        <v>4098</v>
      </c>
      <c r="E1565" s="16">
        <v>150</v>
      </c>
      <c r="F1565" s="14" t="s">
        <v>1216</v>
      </c>
      <c r="G1565" s="17">
        <v>2100</v>
      </c>
      <c r="H1565" s="14" t="s">
        <v>1216</v>
      </c>
      <c r="I1565" s="14" t="s">
        <v>1256</v>
      </c>
      <c r="J1565" s="14" t="s">
        <v>1233</v>
      </c>
      <c r="K1565" s="14" t="s">
        <v>1257</v>
      </c>
      <c r="L1565" s="14" t="s">
        <v>4109</v>
      </c>
      <c r="M1565" s="14" t="s">
        <v>4100</v>
      </c>
      <c r="N1565" s="14" t="s">
        <v>1237</v>
      </c>
      <c r="O1565" s="14" t="s">
        <v>1220</v>
      </c>
    </row>
    <row r="1566" spans="1:15" x14ac:dyDescent="0.25">
      <c r="A1566" s="14" t="s">
        <v>4110</v>
      </c>
      <c r="B1566" s="14" t="s">
        <v>4111</v>
      </c>
      <c r="C1566" s="14" t="s">
        <v>4111</v>
      </c>
      <c r="D1566" s="14" t="s">
        <v>4106</v>
      </c>
      <c r="E1566" s="15"/>
      <c r="F1566" s="14" t="s">
        <v>1216</v>
      </c>
      <c r="G1566" s="15"/>
      <c r="H1566" s="14" t="s">
        <v>1216</v>
      </c>
      <c r="I1566" s="14" t="s">
        <v>1262</v>
      </c>
      <c r="J1566" s="14" t="s">
        <v>1262</v>
      </c>
      <c r="K1566" s="14"/>
      <c r="L1566" s="14" t="s">
        <v>4109</v>
      </c>
      <c r="M1566" s="14" t="s">
        <v>4100</v>
      </c>
      <c r="N1566" s="14" t="s">
        <v>1219</v>
      </c>
      <c r="O1566" s="14" t="s">
        <v>1220</v>
      </c>
    </row>
    <row r="1567" spans="1:15" x14ac:dyDescent="0.25">
      <c r="A1567" s="14">
        <v>1030102</v>
      </c>
      <c r="B1567" s="14" t="s">
        <v>4112</v>
      </c>
      <c r="C1567" s="14" t="s">
        <v>4112</v>
      </c>
      <c r="D1567" s="14" t="s">
        <v>1215</v>
      </c>
      <c r="E1567" s="15"/>
      <c r="F1567" s="14"/>
      <c r="G1567" s="15"/>
      <c r="H1567" s="14" t="s">
        <v>1216</v>
      </c>
      <c r="I1567" s="14" t="s">
        <v>1217</v>
      </c>
      <c r="J1567" s="14"/>
      <c r="K1567" s="14"/>
      <c r="L1567" s="14"/>
      <c r="M1567" s="14" t="s">
        <v>4100</v>
      </c>
      <c r="N1567" s="14" t="s">
        <v>1219</v>
      </c>
      <c r="O1567" s="14" t="s">
        <v>1220</v>
      </c>
    </row>
    <row r="1568" spans="1:15" x14ac:dyDescent="0.25">
      <c r="A1568" s="14">
        <v>2341</v>
      </c>
      <c r="B1568" s="14" t="s">
        <v>1003</v>
      </c>
      <c r="C1568" s="14" t="s">
        <v>1003</v>
      </c>
      <c r="D1568" s="14" t="s">
        <v>4098</v>
      </c>
      <c r="E1568" s="16">
        <v>100</v>
      </c>
      <c r="F1568" s="14" t="s">
        <v>1216</v>
      </c>
      <c r="G1568" s="17">
        <v>1000</v>
      </c>
      <c r="H1568" s="14" t="s">
        <v>1216</v>
      </c>
      <c r="I1568" s="14" t="s">
        <v>1256</v>
      </c>
      <c r="J1568" s="14" t="s">
        <v>1233</v>
      </c>
      <c r="K1568" s="14" t="s">
        <v>1257</v>
      </c>
      <c r="L1568" s="14" t="s">
        <v>4113</v>
      </c>
      <c r="M1568" s="14" t="s">
        <v>4100</v>
      </c>
      <c r="N1568" s="14" t="s">
        <v>1237</v>
      </c>
      <c r="O1568" s="14" t="s">
        <v>1220</v>
      </c>
    </row>
    <row r="1569" spans="1:15" x14ac:dyDescent="0.25">
      <c r="A1569" s="14">
        <v>3958</v>
      </c>
      <c r="B1569" s="14" t="s">
        <v>1071</v>
      </c>
      <c r="C1569" s="14" t="s">
        <v>1071</v>
      </c>
      <c r="D1569" s="14" t="s">
        <v>4098</v>
      </c>
      <c r="E1569" s="16">
        <v>36</v>
      </c>
      <c r="F1569" s="14" t="s">
        <v>1216</v>
      </c>
      <c r="G1569" s="16">
        <v>360</v>
      </c>
      <c r="H1569" s="14" t="s">
        <v>1216</v>
      </c>
      <c r="I1569" s="14" t="s">
        <v>1256</v>
      </c>
      <c r="J1569" s="14" t="s">
        <v>1242</v>
      </c>
      <c r="K1569" s="14" t="s">
        <v>1257</v>
      </c>
      <c r="L1569" s="14" t="s">
        <v>4114</v>
      </c>
      <c r="M1569" s="14" t="s">
        <v>4100</v>
      </c>
      <c r="N1569" s="14" t="s">
        <v>1237</v>
      </c>
      <c r="O1569" s="14" t="s">
        <v>1220</v>
      </c>
    </row>
    <row r="1570" spans="1:15" x14ac:dyDescent="0.25">
      <c r="A1570" s="14">
        <v>3957</v>
      </c>
      <c r="B1570" s="14" t="s">
        <v>1004</v>
      </c>
      <c r="C1570" s="14" t="s">
        <v>1004</v>
      </c>
      <c r="D1570" s="14" t="s">
        <v>4098</v>
      </c>
      <c r="E1570" s="16">
        <v>60</v>
      </c>
      <c r="F1570" s="14" t="s">
        <v>1216</v>
      </c>
      <c r="G1570" s="16">
        <v>540</v>
      </c>
      <c r="H1570" s="14" t="s">
        <v>1216</v>
      </c>
      <c r="I1570" s="14" t="s">
        <v>1256</v>
      </c>
      <c r="J1570" s="14" t="s">
        <v>1233</v>
      </c>
      <c r="K1570" s="14" t="s">
        <v>1257</v>
      </c>
      <c r="L1570" s="14" t="s">
        <v>4115</v>
      </c>
      <c r="M1570" s="14" t="s">
        <v>4100</v>
      </c>
      <c r="N1570" s="14" t="s">
        <v>1237</v>
      </c>
      <c r="O1570" s="14" t="s">
        <v>1220</v>
      </c>
    </row>
    <row r="1571" spans="1:15" x14ac:dyDescent="0.25">
      <c r="A1571" s="14" t="s">
        <v>4116</v>
      </c>
      <c r="B1571" s="14" t="s">
        <v>4117</v>
      </c>
      <c r="C1571" s="14" t="s">
        <v>4117</v>
      </c>
      <c r="D1571" s="14" t="s">
        <v>4098</v>
      </c>
      <c r="E1571" s="15"/>
      <c r="F1571" s="14" t="s">
        <v>1350</v>
      </c>
      <c r="G1571" s="15"/>
      <c r="H1571" s="14" t="s">
        <v>1216</v>
      </c>
      <c r="I1571" s="14" t="s">
        <v>1262</v>
      </c>
      <c r="J1571" s="14" t="s">
        <v>1262</v>
      </c>
      <c r="K1571" s="14" t="s">
        <v>1257</v>
      </c>
      <c r="L1571" s="14" t="s">
        <v>4115</v>
      </c>
      <c r="M1571" s="14" t="s">
        <v>4100</v>
      </c>
      <c r="N1571" s="14" t="s">
        <v>1219</v>
      </c>
      <c r="O1571" s="14" t="s">
        <v>1220</v>
      </c>
    </row>
    <row r="1572" spans="1:15" x14ac:dyDescent="0.25">
      <c r="A1572" s="14">
        <v>3959</v>
      </c>
      <c r="B1572" s="14" t="s">
        <v>1072</v>
      </c>
      <c r="C1572" s="14" t="s">
        <v>1072</v>
      </c>
      <c r="D1572" s="14" t="s">
        <v>4098</v>
      </c>
      <c r="E1572" s="16">
        <v>24</v>
      </c>
      <c r="F1572" s="14" t="s">
        <v>1216</v>
      </c>
      <c r="G1572" s="16">
        <v>96</v>
      </c>
      <c r="H1572" s="14" t="s">
        <v>1216</v>
      </c>
      <c r="I1572" s="14" t="s">
        <v>1256</v>
      </c>
      <c r="J1572" s="14" t="s">
        <v>1242</v>
      </c>
      <c r="K1572" s="14" t="s">
        <v>1234</v>
      </c>
      <c r="L1572" s="14" t="s">
        <v>4118</v>
      </c>
      <c r="M1572" s="14" t="s">
        <v>4100</v>
      </c>
      <c r="N1572" s="14" t="s">
        <v>1237</v>
      </c>
      <c r="O1572" s="14" t="s">
        <v>1220</v>
      </c>
    </row>
    <row r="1573" spans="1:15" x14ac:dyDescent="0.25">
      <c r="A1573" s="14">
        <v>1920001</v>
      </c>
      <c r="B1573" s="14" t="s">
        <v>4119</v>
      </c>
      <c r="C1573" s="14" t="s">
        <v>4119</v>
      </c>
      <c r="D1573" s="14" t="s">
        <v>1824</v>
      </c>
      <c r="E1573" s="15"/>
      <c r="F1573" s="14" t="s">
        <v>1533</v>
      </c>
      <c r="G1573" s="15"/>
      <c r="H1573" s="14" t="s">
        <v>1534</v>
      </c>
      <c r="I1573" s="14" t="s">
        <v>1360</v>
      </c>
      <c r="J1573" s="14" t="s">
        <v>1351</v>
      </c>
      <c r="K1573" s="14"/>
      <c r="L1573" s="14"/>
      <c r="M1573" s="14" t="s">
        <v>1218</v>
      </c>
      <c r="N1573" s="14" t="s">
        <v>1219</v>
      </c>
      <c r="O1573" s="14" t="s">
        <v>1220</v>
      </c>
    </row>
    <row r="1574" spans="1:15" x14ac:dyDescent="0.25">
      <c r="A1574" s="14">
        <v>1920003</v>
      </c>
      <c r="B1574" s="14" t="s">
        <v>4120</v>
      </c>
      <c r="C1574" s="14" t="s">
        <v>4120</v>
      </c>
      <c r="D1574" s="14" t="s">
        <v>1824</v>
      </c>
      <c r="E1574" s="15"/>
      <c r="F1574" s="14" t="s">
        <v>1533</v>
      </c>
      <c r="G1574" s="15"/>
      <c r="H1574" s="14" t="s">
        <v>1534</v>
      </c>
      <c r="I1574" s="14" t="s">
        <v>1360</v>
      </c>
      <c r="J1574" s="14" t="s">
        <v>1351</v>
      </c>
      <c r="K1574" s="14"/>
      <c r="L1574" s="14"/>
      <c r="M1574" s="14" t="s">
        <v>1218</v>
      </c>
      <c r="N1574" s="14" t="s">
        <v>1219</v>
      </c>
      <c r="O1574" s="14" t="s">
        <v>1220</v>
      </c>
    </row>
    <row r="1575" spans="1:15" x14ac:dyDescent="0.25">
      <c r="A1575" s="14">
        <v>1920002</v>
      </c>
      <c r="B1575" s="14" t="s">
        <v>4121</v>
      </c>
      <c r="C1575" s="14" t="s">
        <v>4121</v>
      </c>
      <c r="D1575" s="14" t="s">
        <v>1824</v>
      </c>
      <c r="E1575" s="15"/>
      <c r="F1575" s="14" t="s">
        <v>1533</v>
      </c>
      <c r="G1575" s="15"/>
      <c r="H1575" s="14" t="s">
        <v>1534</v>
      </c>
      <c r="I1575" s="14" t="s">
        <v>1360</v>
      </c>
      <c r="J1575" s="14" t="s">
        <v>1351</v>
      </c>
      <c r="K1575" s="14"/>
      <c r="L1575" s="14"/>
      <c r="M1575" s="14" t="s">
        <v>1218</v>
      </c>
      <c r="N1575" s="14" t="s">
        <v>1219</v>
      </c>
      <c r="O1575" s="14" t="s">
        <v>1220</v>
      </c>
    </row>
    <row r="1576" spans="1:15" x14ac:dyDescent="0.25">
      <c r="A1576" s="14">
        <v>1800002</v>
      </c>
      <c r="B1576" s="14" t="s">
        <v>4122</v>
      </c>
      <c r="C1576" s="14" t="s">
        <v>4122</v>
      </c>
      <c r="D1576" s="14" t="s">
        <v>1824</v>
      </c>
      <c r="E1576" s="15"/>
      <c r="F1576" s="14" t="s">
        <v>1533</v>
      </c>
      <c r="G1576" s="15"/>
      <c r="H1576" s="14" t="s">
        <v>1534</v>
      </c>
      <c r="I1576" s="14" t="s">
        <v>1360</v>
      </c>
      <c r="J1576" s="14" t="s">
        <v>1351</v>
      </c>
      <c r="K1576" s="14"/>
      <c r="L1576" s="14"/>
      <c r="M1576" s="14" t="s">
        <v>1218</v>
      </c>
      <c r="N1576" s="14" t="s">
        <v>1219</v>
      </c>
      <c r="O1576" s="14" t="s">
        <v>1220</v>
      </c>
    </row>
    <row r="1577" spans="1:15" x14ac:dyDescent="0.25">
      <c r="A1577" s="14">
        <v>1800004</v>
      </c>
      <c r="B1577" s="14" t="s">
        <v>4123</v>
      </c>
      <c r="C1577" s="14" t="s">
        <v>4123</v>
      </c>
      <c r="D1577" s="14" t="s">
        <v>1824</v>
      </c>
      <c r="E1577" s="15"/>
      <c r="F1577" s="14" t="s">
        <v>1533</v>
      </c>
      <c r="G1577" s="15"/>
      <c r="H1577" s="14" t="s">
        <v>1534</v>
      </c>
      <c r="I1577" s="14" t="s">
        <v>1360</v>
      </c>
      <c r="J1577" s="14" t="s">
        <v>1351</v>
      </c>
      <c r="K1577" s="14"/>
      <c r="L1577" s="14"/>
      <c r="M1577" s="14" t="s">
        <v>1218</v>
      </c>
      <c r="N1577" s="14" t="s">
        <v>1219</v>
      </c>
      <c r="O1577" s="14" t="s">
        <v>1220</v>
      </c>
    </row>
    <row r="1578" spans="1:15" x14ac:dyDescent="0.25">
      <c r="A1578" s="14">
        <v>1800003</v>
      </c>
      <c r="B1578" s="14" t="s">
        <v>4124</v>
      </c>
      <c r="C1578" s="14" t="s">
        <v>4124</v>
      </c>
      <c r="D1578" s="14" t="s">
        <v>1824</v>
      </c>
      <c r="E1578" s="15"/>
      <c r="F1578" s="14" t="s">
        <v>1533</v>
      </c>
      <c r="G1578" s="15"/>
      <c r="H1578" s="14" t="s">
        <v>1534</v>
      </c>
      <c r="I1578" s="14" t="s">
        <v>1360</v>
      </c>
      <c r="J1578" s="14" t="s">
        <v>1351</v>
      </c>
      <c r="K1578" s="14"/>
      <c r="L1578" s="14"/>
      <c r="M1578" s="14" t="s">
        <v>1218</v>
      </c>
      <c r="N1578" s="14" t="s">
        <v>1219</v>
      </c>
      <c r="O1578" s="14" t="s">
        <v>1220</v>
      </c>
    </row>
    <row r="1579" spans="1:15" x14ac:dyDescent="0.25">
      <c r="A1579" s="14">
        <v>1910002</v>
      </c>
      <c r="B1579" s="14" t="s">
        <v>4125</v>
      </c>
      <c r="C1579" s="14" t="s">
        <v>4125</v>
      </c>
      <c r="D1579" s="14" t="s">
        <v>1824</v>
      </c>
      <c r="E1579" s="15"/>
      <c r="F1579" s="14" t="s">
        <v>1533</v>
      </c>
      <c r="G1579" s="15"/>
      <c r="H1579" s="14" t="s">
        <v>1534</v>
      </c>
      <c r="I1579" s="14" t="s">
        <v>1360</v>
      </c>
      <c r="J1579" s="14" t="s">
        <v>1351</v>
      </c>
      <c r="K1579" s="14"/>
      <c r="L1579" s="14"/>
      <c r="M1579" s="14" t="s">
        <v>1218</v>
      </c>
      <c r="N1579" s="14" t="s">
        <v>1219</v>
      </c>
      <c r="O1579" s="14" t="s">
        <v>1220</v>
      </c>
    </row>
    <row r="1580" spans="1:15" x14ac:dyDescent="0.25">
      <c r="A1580" s="14">
        <v>1910006</v>
      </c>
      <c r="B1580" s="14" t="s">
        <v>4126</v>
      </c>
      <c r="C1580" s="14" t="s">
        <v>4126</v>
      </c>
      <c r="D1580" s="14" t="s">
        <v>1824</v>
      </c>
      <c r="E1580" s="15"/>
      <c r="F1580" s="14" t="s">
        <v>1533</v>
      </c>
      <c r="G1580" s="15"/>
      <c r="H1580" s="14" t="s">
        <v>1534</v>
      </c>
      <c r="I1580" s="14" t="s">
        <v>1360</v>
      </c>
      <c r="J1580" s="14" t="s">
        <v>1351</v>
      </c>
      <c r="K1580" s="14"/>
      <c r="L1580" s="14"/>
      <c r="M1580" s="14" t="s">
        <v>1218</v>
      </c>
      <c r="N1580" s="14" t="s">
        <v>1219</v>
      </c>
      <c r="O1580" s="14" t="s">
        <v>1220</v>
      </c>
    </row>
    <row r="1581" spans="1:15" x14ac:dyDescent="0.25">
      <c r="A1581" s="14">
        <v>1910004</v>
      </c>
      <c r="B1581" s="14" t="s">
        <v>4127</v>
      </c>
      <c r="C1581" s="14" t="s">
        <v>4127</v>
      </c>
      <c r="D1581" s="14" t="s">
        <v>1824</v>
      </c>
      <c r="E1581" s="15"/>
      <c r="F1581" s="14" t="s">
        <v>1533</v>
      </c>
      <c r="G1581" s="15"/>
      <c r="H1581" s="14" t="s">
        <v>1534</v>
      </c>
      <c r="I1581" s="14" t="s">
        <v>1360</v>
      </c>
      <c r="J1581" s="14" t="s">
        <v>1351</v>
      </c>
      <c r="K1581" s="14"/>
      <c r="L1581" s="14"/>
      <c r="M1581" s="14" t="s">
        <v>1218</v>
      </c>
      <c r="N1581" s="14" t="s">
        <v>1219</v>
      </c>
      <c r="O1581" s="14" t="s">
        <v>1220</v>
      </c>
    </row>
    <row r="1582" spans="1:15" x14ac:dyDescent="0.25">
      <c r="A1582" s="14">
        <v>1940001</v>
      </c>
      <c r="B1582" s="14" t="s">
        <v>4128</v>
      </c>
      <c r="C1582" s="14" t="s">
        <v>4128</v>
      </c>
      <c r="D1582" s="14" t="s">
        <v>1824</v>
      </c>
      <c r="E1582" s="15"/>
      <c r="F1582" s="14" t="s">
        <v>1533</v>
      </c>
      <c r="G1582" s="15"/>
      <c r="H1582" s="14" t="s">
        <v>1534</v>
      </c>
      <c r="I1582" s="14" t="s">
        <v>1360</v>
      </c>
      <c r="J1582" s="14" t="s">
        <v>1351</v>
      </c>
      <c r="K1582" s="14"/>
      <c r="L1582" s="14"/>
      <c r="M1582" s="14" t="s">
        <v>1218</v>
      </c>
      <c r="N1582" s="14" t="s">
        <v>1219</v>
      </c>
      <c r="O1582" s="14" t="s">
        <v>1220</v>
      </c>
    </row>
    <row r="1583" spans="1:15" x14ac:dyDescent="0.25">
      <c r="A1583" s="14">
        <v>1940003</v>
      </c>
      <c r="B1583" s="14" t="s">
        <v>4129</v>
      </c>
      <c r="C1583" s="14" t="s">
        <v>4129</v>
      </c>
      <c r="D1583" s="14" t="s">
        <v>1824</v>
      </c>
      <c r="E1583" s="15"/>
      <c r="F1583" s="14" t="s">
        <v>1533</v>
      </c>
      <c r="G1583" s="15"/>
      <c r="H1583" s="14" t="s">
        <v>1534</v>
      </c>
      <c r="I1583" s="14" t="s">
        <v>1360</v>
      </c>
      <c r="J1583" s="14" t="s">
        <v>1351</v>
      </c>
      <c r="K1583" s="14"/>
      <c r="L1583" s="14"/>
      <c r="M1583" s="14" t="s">
        <v>1218</v>
      </c>
      <c r="N1583" s="14" t="s">
        <v>1219</v>
      </c>
      <c r="O1583" s="14" t="s">
        <v>1220</v>
      </c>
    </row>
    <row r="1584" spans="1:15" x14ac:dyDescent="0.25">
      <c r="A1584" s="14">
        <v>1940002</v>
      </c>
      <c r="B1584" s="14" t="s">
        <v>4130</v>
      </c>
      <c r="C1584" s="14" t="s">
        <v>4130</v>
      </c>
      <c r="D1584" s="14" t="s">
        <v>1824</v>
      </c>
      <c r="E1584" s="15"/>
      <c r="F1584" s="14" t="s">
        <v>1533</v>
      </c>
      <c r="G1584" s="15"/>
      <c r="H1584" s="14" t="s">
        <v>1534</v>
      </c>
      <c r="I1584" s="14" t="s">
        <v>1360</v>
      </c>
      <c r="J1584" s="14" t="s">
        <v>1351</v>
      </c>
      <c r="K1584" s="14"/>
      <c r="L1584" s="14"/>
      <c r="M1584" s="14" t="s">
        <v>1218</v>
      </c>
      <c r="N1584" s="14" t="s">
        <v>1219</v>
      </c>
      <c r="O1584" s="14" t="s">
        <v>1220</v>
      </c>
    </row>
    <row r="1585" spans="1:15" x14ac:dyDescent="0.25">
      <c r="A1585" s="14">
        <v>2342</v>
      </c>
      <c r="B1585" s="14" t="s">
        <v>1005</v>
      </c>
      <c r="C1585" s="14" t="s">
        <v>1005</v>
      </c>
      <c r="D1585" s="14" t="s">
        <v>4098</v>
      </c>
      <c r="E1585" s="16">
        <v>200</v>
      </c>
      <c r="F1585" s="14" t="s">
        <v>1216</v>
      </c>
      <c r="G1585" s="17">
        <v>3000</v>
      </c>
      <c r="H1585" s="14" t="s">
        <v>1216</v>
      </c>
      <c r="I1585" s="14" t="s">
        <v>1256</v>
      </c>
      <c r="J1585" s="14" t="s">
        <v>1233</v>
      </c>
      <c r="K1585" s="14" t="s">
        <v>1257</v>
      </c>
      <c r="L1585" s="14" t="s">
        <v>4131</v>
      </c>
      <c r="M1585" s="14" t="s">
        <v>4100</v>
      </c>
      <c r="N1585" s="14" t="s">
        <v>1237</v>
      </c>
      <c r="O1585" s="14" t="s">
        <v>1220</v>
      </c>
    </row>
    <row r="1586" spans="1:15" x14ac:dyDescent="0.25">
      <c r="A1586" s="14" t="s">
        <v>4132</v>
      </c>
      <c r="B1586" s="14" t="s">
        <v>4133</v>
      </c>
      <c r="C1586" s="14" t="s">
        <v>4133</v>
      </c>
      <c r="D1586" s="14" t="s">
        <v>4106</v>
      </c>
      <c r="E1586" s="15"/>
      <c r="F1586" s="14" t="s">
        <v>1216</v>
      </c>
      <c r="G1586" s="15"/>
      <c r="H1586" s="14" t="s">
        <v>1216</v>
      </c>
      <c r="I1586" s="14" t="s">
        <v>1262</v>
      </c>
      <c r="J1586" s="14" t="s">
        <v>1262</v>
      </c>
      <c r="K1586" s="14"/>
      <c r="L1586" s="14" t="s">
        <v>4131</v>
      </c>
      <c r="M1586" s="14" t="s">
        <v>4100</v>
      </c>
      <c r="N1586" s="14" t="s">
        <v>1219</v>
      </c>
      <c r="O1586" s="14" t="s">
        <v>1220</v>
      </c>
    </row>
    <row r="1587" spans="1:15" x14ac:dyDescent="0.25">
      <c r="A1587" s="14" t="s">
        <v>4134</v>
      </c>
      <c r="B1587" s="14" t="s">
        <v>4135</v>
      </c>
      <c r="C1587" s="14" t="s">
        <v>4135</v>
      </c>
      <c r="D1587" s="14" t="s">
        <v>4098</v>
      </c>
      <c r="E1587" s="15"/>
      <c r="F1587" s="14" t="s">
        <v>1350</v>
      </c>
      <c r="G1587" s="15"/>
      <c r="H1587" s="14" t="s">
        <v>1216</v>
      </c>
      <c r="I1587" s="14" t="s">
        <v>1262</v>
      </c>
      <c r="J1587" s="14" t="s">
        <v>1262</v>
      </c>
      <c r="K1587" s="14" t="s">
        <v>1257</v>
      </c>
      <c r="L1587" s="14" t="s">
        <v>4136</v>
      </c>
      <c r="M1587" s="14" t="s">
        <v>4100</v>
      </c>
      <c r="N1587" s="14" t="s">
        <v>1219</v>
      </c>
      <c r="O1587" s="14" t="s">
        <v>1220</v>
      </c>
    </row>
    <row r="1588" spans="1:15" x14ac:dyDescent="0.25">
      <c r="A1588" s="14">
        <v>1166</v>
      </c>
      <c r="B1588" s="14" t="s">
        <v>1007</v>
      </c>
      <c r="C1588" s="14" t="s">
        <v>4137</v>
      </c>
      <c r="D1588" s="14" t="s">
        <v>4098</v>
      </c>
      <c r="E1588" s="16">
        <v>100</v>
      </c>
      <c r="F1588" s="14" t="s">
        <v>1216</v>
      </c>
      <c r="G1588" s="17">
        <v>1000</v>
      </c>
      <c r="H1588" s="14" t="s">
        <v>1216</v>
      </c>
      <c r="I1588" s="14" t="s">
        <v>1256</v>
      </c>
      <c r="J1588" s="14" t="s">
        <v>1233</v>
      </c>
      <c r="K1588" s="14" t="s">
        <v>1257</v>
      </c>
      <c r="L1588" s="14" t="s">
        <v>4138</v>
      </c>
      <c r="M1588" s="14" t="s">
        <v>4100</v>
      </c>
      <c r="N1588" s="14" t="s">
        <v>1237</v>
      </c>
      <c r="O1588" s="14" t="s">
        <v>1220</v>
      </c>
    </row>
    <row r="1589" spans="1:15" x14ac:dyDescent="0.25">
      <c r="A1589" s="14">
        <v>3961</v>
      </c>
      <c r="B1589" s="14" t="s">
        <v>4139</v>
      </c>
      <c r="C1589" s="14" t="s">
        <v>4140</v>
      </c>
      <c r="D1589" s="14" t="s">
        <v>1349</v>
      </c>
      <c r="E1589" s="15"/>
      <c r="F1589" s="14"/>
      <c r="G1589" s="15"/>
      <c r="H1589" s="14" t="s">
        <v>1216</v>
      </c>
      <c r="I1589" s="14" t="s">
        <v>1360</v>
      </c>
      <c r="J1589" s="14" t="s">
        <v>1360</v>
      </c>
      <c r="K1589" s="14"/>
      <c r="L1589" s="14"/>
      <c r="M1589" s="14" t="s">
        <v>4100</v>
      </c>
      <c r="N1589" s="14" t="s">
        <v>1219</v>
      </c>
      <c r="O1589" s="14" t="s">
        <v>1220</v>
      </c>
    </row>
    <row r="1590" spans="1:15" x14ac:dyDescent="0.25">
      <c r="A1590" s="14">
        <v>3960</v>
      </c>
      <c r="B1590" s="14" t="s">
        <v>1008</v>
      </c>
      <c r="C1590" s="14" t="s">
        <v>4141</v>
      </c>
      <c r="D1590" s="14" t="s">
        <v>4098</v>
      </c>
      <c r="E1590" s="16">
        <v>60</v>
      </c>
      <c r="F1590" s="14" t="s">
        <v>1216</v>
      </c>
      <c r="G1590" s="16">
        <v>540</v>
      </c>
      <c r="H1590" s="14" t="s">
        <v>1216</v>
      </c>
      <c r="I1590" s="14" t="s">
        <v>1256</v>
      </c>
      <c r="J1590" s="14" t="s">
        <v>1242</v>
      </c>
      <c r="K1590" s="14" t="s">
        <v>1257</v>
      </c>
      <c r="L1590" s="14" t="s">
        <v>4136</v>
      </c>
      <c r="M1590" s="14" t="s">
        <v>4100</v>
      </c>
      <c r="N1590" s="14" t="s">
        <v>1237</v>
      </c>
      <c r="O1590" s="14" t="s">
        <v>1220</v>
      </c>
    </row>
    <row r="1591" spans="1:15" x14ac:dyDescent="0.25">
      <c r="A1591" s="14" t="s">
        <v>4142</v>
      </c>
      <c r="B1591" s="14" t="s">
        <v>4143</v>
      </c>
      <c r="C1591" s="14" t="s">
        <v>4144</v>
      </c>
      <c r="D1591" s="14" t="s">
        <v>4106</v>
      </c>
      <c r="E1591" s="15"/>
      <c r="F1591" s="14" t="s">
        <v>1216</v>
      </c>
      <c r="G1591" s="15"/>
      <c r="H1591" s="14" t="s">
        <v>1216</v>
      </c>
      <c r="I1591" s="14" t="s">
        <v>1262</v>
      </c>
      <c r="J1591" s="14" t="s">
        <v>1262</v>
      </c>
      <c r="K1591" s="14"/>
      <c r="L1591" s="14" t="s">
        <v>4138</v>
      </c>
      <c r="M1591" s="14" t="s">
        <v>4100</v>
      </c>
      <c r="N1591" s="14" t="s">
        <v>1219</v>
      </c>
      <c r="O1591" s="14" t="s">
        <v>1220</v>
      </c>
    </row>
    <row r="1592" spans="1:15" x14ac:dyDescent="0.25">
      <c r="A1592" s="14">
        <v>3962</v>
      </c>
      <c r="B1592" s="14" t="s">
        <v>4145</v>
      </c>
      <c r="C1592" s="14" t="s">
        <v>4146</v>
      </c>
      <c r="D1592" s="14" t="s">
        <v>1349</v>
      </c>
      <c r="E1592" s="15"/>
      <c r="F1592" s="14"/>
      <c r="G1592" s="15"/>
      <c r="H1592" s="14" t="s">
        <v>1216</v>
      </c>
      <c r="I1592" s="14" t="s">
        <v>1360</v>
      </c>
      <c r="J1592" s="14" t="s">
        <v>1360</v>
      </c>
      <c r="K1592" s="14"/>
      <c r="L1592" s="14"/>
      <c r="M1592" s="14" t="s">
        <v>4100</v>
      </c>
      <c r="N1592" s="14" t="s">
        <v>1219</v>
      </c>
      <c r="O1592" s="14" t="s">
        <v>1220</v>
      </c>
    </row>
    <row r="1593" spans="1:15" x14ac:dyDescent="0.25">
      <c r="A1593" s="14">
        <v>2343</v>
      </c>
      <c r="B1593" s="14" t="s">
        <v>1006</v>
      </c>
      <c r="C1593" s="14" t="s">
        <v>4147</v>
      </c>
      <c r="D1593" s="14" t="s">
        <v>4098</v>
      </c>
      <c r="E1593" s="16">
        <v>150</v>
      </c>
      <c r="F1593" s="14" t="s">
        <v>1216</v>
      </c>
      <c r="G1593" s="17">
        <v>2100</v>
      </c>
      <c r="H1593" s="14" t="s">
        <v>1216</v>
      </c>
      <c r="I1593" s="14" t="s">
        <v>1256</v>
      </c>
      <c r="J1593" s="14" t="s">
        <v>1233</v>
      </c>
      <c r="K1593" s="14" t="s">
        <v>1257</v>
      </c>
      <c r="L1593" s="14" t="s">
        <v>4148</v>
      </c>
      <c r="M1593" s="14" t="s">
        <v>4100</v>
      </c>
      <c r="N1593" s="14" t="s">
        <v>1237</v>
      </c>
      <c r="O1593" s="14" t="s">
        <v>1220</v>
      </c>
    </row>
    <row r="1594" spans="1:15" x14ac:dyDescent="0.25">
      <c r="A1594" s="14" t="s">
        <v>4149</v>
      </c>
      <c r="B1594" s="14" t="s">
        <v>4150</v>
      </c>
      <c r="C1594" s="14" t="s">
        <v>4151</v>
      </c>
      <c r="D1594" s="14" t="s">
        <v>4106</v>
      </c>
      <c r="E1594" s="15"/>
      <c r="F1594" s="14" t="s">
        <v>1216</v>
      </c>
      <c r="G1594" s="15"/>
      <c r="H1594" s="14" t="s">
        <v>1216</v>
      </c>
      <c r="I1594" s="14" t="s">
        <v>1262</v>
      </c>
      <c r="J1594" s="14" t="s">
        <v>1262</v>
      </c>
      <c r="K1594" s="14"/>
      <c r="L1594" s="14" t="s">
        <v>4148</v>
      </c>
      <c r="M1594" s="14" t="s">
        <v>4100</v>
      </c>
      <c r="N1594" s="14" t="s">
        <v>1219</v>
      </c>
      <c r="O1594" s="14" t="s">
        <v>1220</v>
      </c>
    </row>
    <row r="1595" spans="1:15" x14ac:dyDescent="0.25">
      <c r="A1595" s="14">
        <v>2060</v>
      </c>
      <c r="B1595" s="14" t="s">
        <v>1011</v>
      </c>
      <c r="C1595" s="14" t="s">
        <v>4152</v>
      </c>
      <c r="D1595" s="14" t="s">
        <v>4098</v>
      </c>
      <c r="E1595" s="16">
        <v>80</v>
      </c>
      <c r="F1595" s="14" t="s">
        <v>1216</v>
      </c>
      <c r="G1595" s="17">
        <v>1040</v>
      </c>
      <c r="H1595" s="14" t="s">
        <v>1216</v>
      </c>
      <c r="I1595" s="14" t="s">
        <v>1256</v>
      </c>
      <c r="J1595" s="14" t="s">
        <v>1233</v>
      </c>
      <c r="K1595" s="14" t="s">
        <v>1257</v>
      </c>
      <c r="L1595" s="14" t="s">
        <v>4153</v>
      </c>
      <c r="M1595" s="14" t="s">
        <v>4100</v>
      </c>
      <c r="N1595" s="14" t="s">
        <v>1237</v>
      </c>
      <c r="O1595" s="14" t="s">
        <v>1220</v>
      </c>
    </row>
    <row r="1596" spans="1:15" x14ac:dyDescent="0.25">
      <c r="A1596" s="14">
        <v>3964</v>
      </c>
      <c r="B1596" s="14" t="s">
        <v>4154</v>
      </c>
      <c r="C1596" s="14" t="s">
        <v>4155</v>
      </c>
      <c r="D1596" s="14" t="s">
        <v>1349</v>
      </c>
      <c r="E1596" s="15"/>
      <c r="F1596" s="14"/>
      <c r="G1596" s="15"/>
      <c r="H1596" s="14" t="s">
        <v>1216</v>
      </c>
      <c r="I1596" s="14" t="s">
        <v>1360</v>
      </c>
      <c r="J1596" s="14" t="s">
        <v>1360</v>
      </c>
      <c r="K1596" s="14"/>
      <c r="L1596" s="14"/>
      <c r="M1596" s="14" t="s">
        <v>4100</v>
      </c>
      <c r="N1596" s="14" t="s">
        <v>1219</v>
      </c>
      <c r="O1596" s="14" t="s">
        <v>1220</v>
      </c>
    </row>
    <row r="1597" spans="1:15" x14ac:dyDescent="0.25">
      <c r="A1597" s="14">
        <v>3963</v>
      </c>
      <c r="B1597" s="14" t="s">
        <v>1012</v>
      </c>
      <c r="C1597" s="14" t="s">
        <v>4156</v>
      </c>
      <c r="D1597" s="14" t="s">
        <v>4098</v>
      </c>
      <c r="E1597" s="16">
        <v>50</v>
      </c>
      <c r="F1597" s="14" t="s">
        <v>1216</v>
      </c>
      <c r="G1597" s="16">
        <v>500</v>
      </c>
      <c r="H1597" s="14" t="s">
        <v>1216</v>
      </c>
      <c r="I1597" s="14" t="s">
        <v>1256</v>
      </c>
      <c r="J1597" s="14" t="s">
        <v>1296</v>
      </c>
      <c r="K1597" s="14" t="s">
        <v>1257</v>
      </c>
      <c r="L1597" s="14" t="s">
        <v>4157</v>
      </c>
      <c r="M1597" s="14" t="s">
        <v>4100</v>
      </c>
      <c r="N1597" s="14" t="s">
        <v>1237</v>
      </c>
      <c r="O1597" s="14" t="s">
        <v>1220</v>
      </c>
    </row>
    <row r="1598" spans="1:15" x14ac:dyDescent="0.25">
      <c r="A1598" s="14">
        <v>2058</v>
      </c>
      <c r="B1598" s="14" t="s">
        <v>1009</v>
      </c>
      <c r="C1598" s="14" t="s">
        <v>4158</v>
      </c>
      <c r="D1598" s="14" t="s">
        <v>4098</v>
      </c>
      <c r="E1598" s="16">
        <v>120</v>
      </c>
      <c r="F1598" s="14" t="s">
        <v>1216</v>
      </c>
      <c r="G1598" s="17">
        <v>3000</v>
      </c>
      <c r="H1598" s="14" t="s">
        <v>1216</v>
      </c>
      <c r="I1598" s="14" t="s">
        <v>1256</v>
      </c>
      <c r="J1598" s="14" t="s">
        <v>1242</v>
      </c>
      <c r="K1598" s="14" t="s">
        <v>1257</v>
      </c>
      <c r="L1598" s="14" t="s">
        <v>4159</v>
      </c>
      <c r="M1598" s="14" t="s">
        <v>4100</v>
      </c>
      <c r="N1598" s="14" t="s">
        <v>1237</v>
      </c>
      <c r="O1598" s="14" t="s">
        <v>1220</v>
      </c>
    </row>
    <row r="1599" spans="1:15" x14ac:dyDescent="0.25">
      <c r="A1599" s="14" t="s">
        <v>4160</v>
      </c>
      <c r="B1599" s="14" t="s">
        <v>4161</v>
      </c>
      <c r="C1599" s="14" t="s">
        <v>4162</v>
      </c>
      <c r="D1599" s="14" t="s">
        <v>4106</v>
      </c>
      <c r="E1599" s="16">
        <v>120</v>
      </c>
      <c r="F1599" s="14" t="s">
        <v>1216</v>
      </c>
      <c r="G1599" s="17">
        <v>3000</v>
      </c>
      <c r="H1599" s="14" t="s">
        <v>1216</v>
      </c>
      <c r="I1599" s="14" t="s">
        <v>1262</v>
      </c>
      <c r="J1599" s="14" t="s">
        <v>1262</v>
      </c>
      <c r="K1599" s="14" t="s">
        <v>1257</v>
      </c>
      <c r="L1599" s="14" t="s">
        <v>4159</v>
      </c>
      <c r="M1599" s="14" t="s">
        <v>4100</v>
      </c>
      <c r="N1599" s="14" t="s">
        <v>1219</v>
      </c>
      <c r="O1599" s="14" t="s">
        <v>1220</v>
      </c>
    </row>
    <row r="1600" spans="1:15" x14ac:dyDescent="0.25">
      <c r="A1600" s="14">
        <v>2059</v>
      </c>
      <c r="B1600" s="14" t="s">
        <v>1010</v>
      </c>
      <c r="C1600" s="14" t="s">
        <v>4163</v>
      </c>
      <c r="D1600" s="14" t="s">
        <v>4098</v>
      </c>
      <c r="E1600" s="16">
        <v>80</v>
      </c>
      <c r="F1600" s="14" t="s">
        <v>1216</v>
      </c>
      <c r="G1600" s="17">
        <v>2000</v>
      </c>
      <c r="H1600" s="14" t="s">
        <v>1216</v>
      </c>
      <c r="I1600" s="14" t="s">
        <v>1256</v>
      </c>
      <c r="J1600" s="14" t="s">
        <v>1242</v>
      </c>
      <c r="K1600" s="14" t="s">
        <v>1257</v>
      </c>
      <c r="L1600" s="14" t="s">
        <v>4164</v>
      </c>
      <c r="M1600" s="14" t="s">
        <v>4100</v>
      </c>
      <c r="N1600" s="14" t="s">
        <v>1237</v>
      </c>
      <c r="O1600" s="14" t="s">
        <v>1220</v>
      </c>
    </row>
    <row r="1601" spans="1:15" x14ac:dyDescent="0.25">
      <c r="A1601" s="14" t="s">
        <v>4165</v>
      </c>
      <c r="B1601" s="14" t="s">
        <v>4166</v>
      </c>
      <c r="C1601" s="14" t="s">
        <v>4167</v>
      </c>
      <c r="D1601" s="14" t="s">
        <v>4098</v>
      </c>
      <c r="E1601" s="15"/>
      <c r="F1601" s="14" t="s">
        <v>1350</v>
      </c>
      <c r="G1601" s="15"/>
      <c r="H1601" s="14" t="s">
        <v>1216</v>
      </c>
      <c r="I1601" s="14" t="s">
        <v>1262</v>
      </c>
      <c r="J1601" s="14" t="s">
        <v>1262</v>
      </c>
      <c r="K1601" s="14" t="s">
        <v>1257</v>
      </c>
      <c r="L1601" s="14" t="s">
        <v>4164</v>
      </c>
      <c r="M1601" s="14" t="s">
        <v>4100</v>
      </c>
      <c r="N1601" s="14" t="s">
        <v>1219</v>
      </c>
      <c r="O1601" s="14" t="s">
        <v>1220</v>
      </c>
    </row>
    <row r="1602" spans="1:15" x14ac:dyDescent="0.25">
      <c r="A1602" s="14">
        <v>3770</v>
      </c>
      <c r="B1602" s="14" t="s">
        <v>1051</v>
      </c>
      <c r="C1602" s="14" t="s">
        <v>1051</v>
      </c>
      <c r="D1602" s="14" t="s">
        <v>1216</v>
      </c>
      <c r="E1602" s="16">
        <v>70</v>
      </c>
      <c r="F1602" s="14" t="s">
        <v>1255</v>
      </c>
      <c r="G1602" s="16">
        <v>700</v>
      </c>
      <c r="H1602" s="14" t="s">
        <v>1255</v>
      </c>
      <c r="I1602" s="14" t="s">
        <v>1256</v>
      </c>
      <c r="J1602" s="14" t="s">
        <v>1296</v>
      </c>
      <c r="K1602" s="14" t="s">
        <v>4168</v>
      </c>
      <c r="L1602" s="14" t="s">
        <v>4169</v>
      </c>
      <c r="M1602" s="14" t="s">
        <v>4100</v>
      </c>
      <c r="N1602" s="14" t="s">
        <v>1237</v>
      </c>
      <c r="O1602" s="14" t="s">
        <v>1220</v>
      </c>
    </row>
    <row r="1603" spans="1:15" x14ac:dyDescent="0.25">
      <c r="A1603" s="14">
        <v>3771</v>
      </c>
      <c r="B1603" s="14" t="s">
        <v>1052</v>
      </c>
      <c r="C1603" s="14" t="s">
        <v>1052</v>
      </c>
      <c r="D1603" s="14" t="s">
        <v>1216</v>
      </c>
      <c r="E1603" s="16">
        <v>60</v>
      </c>
      <c r="F1603" s="14" t="s">
        <v>1255</v>
      </c>
      <c r="G1603" s="16">
        <v>600</v>
      </c>
      <c r="H1603" s="14" t="s">
        <v>1255</v>
      </c>
      <c r="I1603" s="14" t="s">
        <v>1256</v>
      </c>
      <c r="J1603" s="14" t="s">
        <v>1296</v>
      </c>
      <c r="K1603" s="14" t="s">
        <v>4168</v>
      </c>
      <c r="L1603" s="14" t="s">
        <v>4170</v>
      </c>
      <c r="M1603" s="14" t="s">
        <v>4100</v>
      </c>
      <c r="N1603" s="14" t="s">
        <v>1237</v>
      </c>
      <c r="O1603" s="14" t="s">
        <v>1220</v>
      </c>
    </row>
    <row r="1604" spans="1:15" x14ac:dyDescent="0.25">
      <c r="A1604" s="14">
        <v>3772</v>
      </c>
      <c r="B1604" s="14" t="s">
        <v>1053</v>
      </c>
      <c r="C1604" s="14" t="s">
        <v>1053</v>
      </c>
      <c r="D1604" s="14" t="s">
        <v>1216</v>
      </c>
      <c r="E1604" s="16">
        <v>50</v>
      </c>
      <c r="F1604" s="14" t="s">
        <v>1255</v>
      </c>
      <c r="G1604" s="16">
        <v>500</v>
      </c>
      <c r="H1604" s="14" t="s">
        <v>1255</v>
      </c>
      <c r="I1604" s="14" t="s">
        <v>1256</v>
      </c>
      <c r="J1604" s="14" t="s">
        <v>1296</v>
      </c>
      <c r="K1604" s="14" t="s">
        <v>4168</v>
      </c>
      <c r="L1604" s="14" t="s">
        <v>4171</v>
      </c>
      <c r="M1604" s="14" t="s">
        <v>4100</v>
      </c>
      <c r="N1604" s="14" t="s">
        <v>1237</v>
      </c>
      <c r="O1604" s="14" t="s">
        <v>1220</v>
      </c>
    </row>
    <row r="1605" spans="1:15" x14ac:dyDescent="0.25">
      <c r="A1605" s="14" t="s">
        <v>4172</v>
      </c>
      <c r="B1605" s="14" t="s">
        <v>4173</v>
      </c>
      <c r="C1605" s="14" t="s">
        <v>4173</v>
      </c>
      <c r="D1605" s="14" t="s">
        <v>1222</v>
      </c>
      <c r="E1605" s="15"/>
      <c r="F1605" s="14"/>
      <c r="G1605" s="15"/>
      <c r="H1605" s="14" t="s">
        <v>1223</v>
      </c>
      <c r="I1605" s="14"/>
      <c r="J1605" s="14"/>
      <c r="K1605" s="14"/>
      <c r="L1605" s="14"/>
      <c r="M1605" s="14"/>
      <c r="N1605" s="14" t="s">
        <v>1219</v>
      </c>
      <c r="O1605" s="14" t="s">
        <v>1220</v>
      </c>
    </row>
    <row r="1606" spans="1:15" x14ac:dyDescent="0.25">
      <c r="A1606" s="14" t="s">
        <v>4174</v>
      </c>
      <c r="B1606" s="14" t="s">
        <v>4175</v>
      </c>
      <c r="C1606" s="14" t="s">
        <v>4175</v>
      </c>
      <c r="D1606" s="14" t="s">
        <v>1222</v>
      </c>
      <c r="E1606" s="15"/>
      <c r="F1606" s="14"/>
      <c r="G1606" s="15"/>
      <c r="H1606" s="14" t="s">
        <v>1223</v>
      </c>
      <c r="I1606" s="14"/>
      <c r="J1606" s="14"/>
      <c r="K1606" s="14"/>
      <c r="L1606" s="14"/>
      <c r="M1606" s="14"/>
      <c r="N1606" s="14" t="s">
        <v>1219</v>
      </c>
      <c r="O1606" s="14" t="s">
        <v>1220</v>
      </c>
    </row>
    <row r="1607" spans="1:15" x14ac:dyDescent="0.25">
      <c r="A1607" s="14" t="s">
        <v>4176</v>
      </c>
      <c r="B1607" s="14" t="s">
        <v>4177</v>
      </c>
      <c r="C1607" s="14" t="s">
        <v>4177</v>
      </c>
      <c r="D1607" s="14" t="s">
        <v>1222</v>
      </c>
      <c r="E1607" s="15"/>
      <c r="F1607" s="14"/>
      <c r="G1607" s="15"/>
      <c r="H1607" s="14" t="s">
        <v>1223</v>
      </c>
      <c r="I1607" s="14"/>
      <c r="J1607" s="14"/>
      <c r="K1607" s="14"/>
      <c r="L1607" s="14"/>
      <c r="M1607" s="14"/>
      <c r="N1607" s="14" t="s">
        <v>1219</v>
      </c>
      <c r="O1607" s="14" t="s">
        <v>1220</v>
      </c>
    </row>
    <row r="1608" spans="1:15" x14ac:dyDescent="0.25">
      <c r="A1608" s="14" t="s">
        <v>4178</v>
      </c>
      <c r="B1608" s="14" t="s">
        <v>4179</v>
      </c>
      <c r="C1608" s="14" t="s">
        <v>4179</v>
      </c>
      <c r="D1608" s="14" t="s">
        <v>1427</v>
      </c>
      <c r="E1608" s="15"/>
      <c r="F1608" s="14"/>
      <c r="G1608" s="15"/>
      <c r="H1608" s="14" t="s">
        <v>1440</v>
      </c>
      <c r="I1608" s="14"/>
      <c r="J1608" s="14"/>
      <c r="K1608" s="14"/>
      <c r="L1608" s="14" t="s">
        <v>4180</v>
      </c>
      <c r="M1608" s="14"/>
      <c r="N1608" s="14" t="s">
        <v>1219</v>
      </c>
      <c r="O1608" s="14" t="s">
        <v>1429</v>
      </c>
    </row>
    <row r="1609" spans="1:15" x14ac:dyDescent="0.25">
      <c r="A1609" s="14" t="s">
        <v>4181</v>
      </c>
      <c r="B1609" s="14" t="s">
        <v>4182</v>
      </c>
      <c r="C1609" s="14" t="s">
        <v>4182</v>
      </c>
      <c r="D1609" s="14" t="s">
        <v>1349</v>
      </c>
      <c r="E1609" s="15"/>
      <c r="F1609" s="14" t="s">
        <v>1611</v>
      </c>
      <c r="G1609" s="15"/>
      <c r="H1609" s="14" t="s">
        <v>1612</v>
      </c>
      <c r="I1609" s="14"/>
      <c r="J1609" s="14" t="s">
        <v>1360</v>
      </c>
      <c r="K1609" s="14"/>
      <c r="L1609" s="14"/>
      <c r="M1609" s="14" t="s">
        <v>1613</v>
      </c>
      <c r="N1609" s="14" t="s">
        <v>1219</v>
      </c>
      <c r="O1609" s="14" t="s">
        <v>1220</v>
      </c>
    </row>
    <row r="1610" spans="1:15" x14ac:dyDescent="0.25">
      <c r="A1610" s="14" t="s">
        <v>4183</v>
      </c>
      <c r="B1610" s="14" t="s">
        <v>4184</v>
      </c>
      <c r="C1610" s="14" t="s">
        <v>4184</v>
      </c>
      <c r="D1610" s="14" t="s">
        <v>1349</v>
      </c>
      <c r="E1610" s="15"/>
      <c r="F1610" s="14" t="s">
        <v>1611</v>
      </c>
      <c r="G1610" s="15"/>
      <c r="H1610" s="14" t="s">
        <v>1612</v>
      </c>
      <c r="I1610" s="14"/>
      <c r="J1610" s="14" t="s">
        <v>1360</v>
      </c>
      <c r="K1610" s="14"/>
      <c r="L1610" s="14"/>
      <c r="M1610" s="14" t="s">
        <v>1613</v>
      </c>
      <c r="N1610" s="14" t="s">
        <v>1219</v>
      </c>
      <c r="O1610" s="14" t="s">
        <v>1220</v>
      </c>
    </row>
    <row r="1611" spans="1:15" x14ac:dyDescent="0.25">
      <c r="A1611" s="14" t="s">
        <v>4185</v>
      </c>
      <c r="B1611" s="14" t="s">
        <v>4186</v>
      </c>
      <c r="C1611" s="14" t="s">
        <v>4186</v>
      </c>
      <c r="D1611" s="14" t="s">
        <v>1349</v>
      </c>
      <c r="E1611" s="15"/>
      <c r="F1611" s="14" t="s">
        <v>1611</v>
      </c>
      <c r="G1611" s="15"/>
      <c r="H1611" s="14" t="s">
        <v>1612</v>
      </c>
      <c r="I1611" s="14"/>
      <c r="J1611" s="14" t="s">
        <v>1360</v>
      </c>
      <c r="K1611" s="14"/>
      <c r="L1611" s="14"/>
      <c r="M1611" s="14" t="s">
        <v>1613</v>
      </c>
      <c r="N1611" s="14" t="s">
        <v>1219</v>
      </c>
      <c r="O1611" s="14" t="s">
        <v>1220</v>
      </c>
    </row>
    <row r="1612" spans="1:15" x14ac:dyDescent="0.25">
      <c r="A1612" s="14" t="s">
        <v>4187</v>
      </c>
      <c r="B1612" s="14" t="s">
        <v>4188</v>
      </c>
      <c r="C1612" s="14" t="s">
        <v>4188</v>
      </c>
      <c r="D1612" s="14" t="s">
        <v>1349</v>
      </c>
      <c r="E1612" s="15"/>
      <c r="F1612" s="14" t="s">
        <v>1611</v>
      </c>
      <c r="G1612" s="15"/>
      <c r="H1612" s="14" t="s">
        <v>1612</v>
      </c>
      <c r="I1612" s="14"/>
      <c r="J1612" s="14" t="s">
        <v>1360</v>
      </c>
      <c r="K1612" s="14"/>
      <c r="L1612" s="14"/>
      <c r="M1612" s="14" t="s">
        <v>1613</v>
      </c>
      <c r="N1612" s="14" t="s">
        <v>1219</v>
      </c>
      <c r="O1612" s="14" t="s">
        <v>1220</v>
      </c>
    </row>
    <row r="1613" spans="1:15" x14ac:dyDescent="0.25">
      <c r="A1613" s="14" t="s">
        <v>4189</v>
      </c>
      <c r="B1613" s="14" t="s">
        <v>4190</v>
      </c>
      <c r="C1613" s="14" t="s">
        <v>4190</v>
      </c>
      <c r="D1613" s="14" t="s">
        <v>1349</v>
      </c>
      <c r="E1613" s="15"/>
      <c r="F1613" s="14" t="s">
        <v>1611</v>
      </c>
      <c r="G1613" s="15"/>
      <c r="H1613" s="14" t="s">
        <v>1612</v>
      </c>
      <c r="I1613" s="14"/>
      <c r="J1613" s="14" t="s">
        <v>1360</v>
      </c>
      <c r="K1613" s="14"/>
      <c r="L1613" s="14"/>
      <c r="M1613" s="14" t="s">
        <v>1613</v>
      </c>
      <c r="N1613" s="14" t="s">
        <v>1219</v>
      </c>
      <c r="O1613" s="14" t="s">
        <v>1220</v>
      </c>
    </row>
    <row r="1614" spans="1:15" x14ac:dyDescent="0.25">
      <c r="A1614" s="14" t="s">
        <v>4191</v>
      </c>
      <c r="B1614" s="14" t="s">
        <v>4192</v>
      </c>
      <c r="C1614" s="14" t="s">
        <v>4193</v>
      </c>
      <c r="D1614" s="14" t="s">
        <v>1349</v>
      </c>
      <c r="E1614" s="15"/>
      <c r="F1614" s="14" t="s">
        <v>1611</v>
      </c>
      <c r="G1614" s="15"/>
      <c r="H1614" s="14" t="s">
        <v>1612</v>
      </c>
      <c r="I1614" s="14"/>
      <c r="J1614" s="14" t="s">
        <v>1360</v>
      </c>
      <c r="K1614" s="14"/>
      <c r="L1614" s="14"/>
      <c r="M1614" s="14" t="s">
        <v>1613</v>
      </c>
      <c r="N1614" s="14" t="s">
        <v>1219</v>
      </c>
      <c r="O1614" s="14" t="s">
        <v>1220</v>
      </c>
    </row>
    <row r="1615" spans="1:15" x14ac:dyDescent="0.25">
      <c r="A1615" s="14" t="s">
        <v>4194</v>
      </c>
      <c r="B1615" s="14" t="s">
        <v>4195</v>
      </c>
      <c r="C1615" s="14" t="s">
        <v>4195</v>
      </c>
      <c r="D1615" s="14" t="s">
        <v>1349</v>
      </c>
      <c r="E1615" s="15"/>
      <c r="F1615" s="14" t="s">
        <v>1611</v>
      </c>
      <c r="G1615" s="15"/>
      <c r="H1615" s="14" t="s">
        <v>1612</v>
      </c>
      <c r="I1615" s="14"/>
      <c r="J1615" s="14" t="s">
        <v>1360</v>
      </c>
      <c r="K1615" s="14"/>
      <c r="L1615" s="14"/>
      <c r="M1615" s="14" t="s">
        <v>1613</v>
      </c>
      <c r="N1615" s="14" t="s">
        <v>1219</v>
      </c>
      <c r="O1615" s="14" t="s">
        <v>1220</v>
      </c>
    </row>
    <row r="1616" spans="1:15" x14ac:dyDescent="0.25">
      <c r="A1616" s="14" t="s">
        <v>4196</v>
      </c>
      <c r="B1616" s="14" t="s">
        <v>4197</v>
      </c>
      <c r="C1616" s="14" t="s">
        <v>4197</v>
      </c>
      <c r="D1616" s="14" t="s">
        <v>1349</v>
      </c>
      <c r="E1616" s="15"/>
      <c r="F1616" s="14" t="s">
        <v>1611</v>
      </c>
      <c r="G1616" s="15"/>
      <c r="H1616" s="14" t="s">
        <v>1612</v>
      </c>
      <c r="I1616" s="14"/>
      <c r="J1616" s="14" t="s">
        <v>1360</v>
      </c>
      <c r="K1616" s="14"/>
      <c r="L1616" s="14"/>
      <c r="M1616" s="14" t="s">
        <v>1613</v>
      </c>
      <c r="N1616" s="14" t="s">
        <v>1219</v>
      </c>
      <c r="O1616" s="14" t="s">
        <v>1220</v>
      </c>
    </row>
    <row r="1617" spans="1:15" x14ac:dyDescent="0.25">
      <c r="A1617" s="14" t="s">
        <v>4198</v>
      </c>
      <c r="B1617" s="14" t="s">
        <v>4199</v>
      </c>
      <c r="C1617" s="14" t="s">
        <v>4199</v>
      </c>
      <c r="D1617" s="14" t="s">
        <v>1349</v>
      </c>
      <c r="E1617" s="15"/>
      <c r="F1617" s="14" t="s">
        <v>1611</v>
      </c>
      <c r="G1617" s="15"/>
      <c r="H1617" s="14" t="s">
        <v>1612</v>
      </c>
      <c r="I1617" s="14"/>
      <c r="J1617" s="14" t="s">
        <v>1360</v>
      </c>
      <c r="K1617" s="14"/>
      <c r="L1617" s="14"/>
      <c r="M1617" s="14" t="s">
        <v>1613</v>
      </c>
      <c r="N1617" s="14" t="s">
        <v>1219</v>
      </c>
      <c r="O1617" s="14" t="s">
        <v>1220</v>
      </c>
    </row>
    <row r="1618" spans="1:15" x14ac:dyDescent="0.25">
      <c r="A1618" s="14" t="s">
        <v>4200</v>
      </c>
      <c r="B1618" s="14" t="s">
        <v>4201</v>
      </c>
      <c r="C1618" s="14" t="s">
        <v>4201</v>
      </c>
      <c r="D1618" s="14" t="s">
        <v>1349</v>
      </c>
      <c r="E1618" s="15"/>
      <c r="F1618" s="14" t="s">
        <v>1611</v>
      </c>
      <c r="G1618" s="15"/>
      <c r="H1618" s="14" t="s">
        <v>1612</v>
      </c>
      <c r="I1618" s="14"/>
      <c r="J1618" s="14" t="s">
        <v>1360</v>
      </c>
      <c r="K1618" s="14"/>
      <c r="L1618" s="14"/>
      <c r="M1618" s="14" t="s">
        <v>1613</v>
      </c>
      <c r="N1618" s="14" t="s">
        <v>1219</v>
      </c>
      <c r="O1618" s="14" t="s">
        <v>1220</v>
      </c>
    </row>
    <row r="1619" spans="1:15" x14ac:dyDescent="0.25">
      <c r="A1619" s="14" t="s">
        <v>4202</v>
      </c>
      <c r="B1619" s="14" t="s">
        <v>4203</v>
      </c>
      <c r="C1619" s="14" t="s">
        <v>4203</v>
      </c>
      <c r="D1619" s="14" t="s">
        <v>1349</v>
      </c>
      <c r="E1619" s="15"/>
      <c r="F1619" s="14" t="s">
        <v>1611</v>
      </c>
      <c r="G1619" s="15"/>
      <c r="H1619" s="14" t="s">
        <v>1612</v>
      </c>
      <c r="I1619" s="14"/>
      <c r="J1619" s="14" t="s">
        <v>1360</v>
      </c>
      <c r="K1619" s="14"/>
      <c r="L1619" s="14"/>
      <c r="M1619" s="14" t="s">
        <v>1613</v>
      </c>
      <c r="N1619" s="14" t="s">
        <v>1219</v>
      </c>
      <c r="O1619" s="14" t="s">
        <v>1220</v>
      </c>
    </row>
    <row r="1620" spans="1:15" x14ac:dyDescent="0.25">
      <c r="A1620" s="14" t="s">
        <v>4204</v>
      </c>
      <c r="B1620" s="14" t="s">
        <v>4205</v>
      </c>
      <c r="C1620" s="14" t="s">
        <v>4205</v>
      </c>
      <c r="D1620" s="14" t="s">
        <v>1349</v>
      </c>
      <c r="E1620" s="15"/>
      <c r="F1620" s="14" t="s">
        <v>1611</v>
      </c>
      <c r="G1620" s="15"/>
      <c r="H1620" s="14" t="s">
        <v>1612</v>
      </c>
      <c r="I1620" s="14"/>
      <c r="J1620" s="14" t="s">
        <v>1360</v>
      </c>
      <c r="K1620" s="14"/>
      <c r="L1620" s="14"/>
      <c r="M1620" s="14" t="s">
        <v>1613</v>
      </c>
      <c r="N1620" s="14" t="s">
        <v>1219</v>
      </c>
      <c r="O1620" s="14" t="s">
        <v>1220</v>
      </c>
    </row>
    <row r="1621" spans="1:15" x14ac:dyDescent="0.25">
      <c r="A1621" s="14" t="s">
        <v>4206</v>
      </c>
      <c r="B1621" s="14" t="s">
        <v>4207</v>
      </c>
      <c r="C1621" s="14" t="s">
        <v>4207</v>
      </c>
      <c r="D1621" s="14" t="s">
        <v>1349</v>
      </c>
      <c r="E1621" s="15"/>
      <c r="F1621" s="14" t="s">
        <v>1611</v>
      </c>
      <c r="G1621" s="15"/>
      <c r="H1621" s="14" t="s">
        <v>1612</v>
      </c>
      <c r="I1621" s="14"/>
      <c r="J1621" s="14" t="s">
        <v>1360</v>
      </c>
      <c r="K1621" s="14"/>
      <c r="L1621" s="14"/>
      <c r="M1621" s="14" t="s">
        <v>1613</v>
      </c>
      <c r="N1621" s="14" t="s">
        <v>1219</v>
      </c>
      <c r="O1621" s="14" t="s">
        <v>1220</v>
      </c>
    </row>
    <row r="1622" spans="1:15" x14ac:dyDescent="0.25">
      <c r="A1622" s="14" t="s">
        <v>4208</v>
      </c>
      <c r="B1622" s="14" t="s">
        <v>4209</v>
      </c>
      <c r="C1622" s="14" t="s">
        <v>4209</v>
      </c>
      <c r="D1622" s="14" t="s">
        <v>1349</v>
      </c>
      <c r="E1622" s="15"/>
      <c r="F1622" s="14" t="s">
        <v>1611</v>
      </c>
      <c r="G1622" s="15"/>
      <c r="H1622" s="14" t="s">
        <v>1612</v>
      </c>
      <c r="I1622" s="14"/>
      <c r="J1622" s="14" t="s">
        <v>1360</v>
      </c>
      <c r="K1622" s="14"/>
      <c r="L1622" s="14"/>
      <c r="M1622" s="14" t="s">
        <v>1613</v>
      </c>
      <c r="N1622" s="14" t="s">
        <v>1219</v>
      </c>
      <c r="O1622" s="14" t="s">
        <v>1220</v>
      </c>
    </row>
    <row r="1623" spans="1:15" x14ac:dyDescent="0.25">
      <c r="A1623" s="14">
        <v>36235</v>
      </c>
      <c r="B1623" s="14" t="s">
        <v>4210</v>
      </c>
      <c r="C1623" s="14" t="s">
        <v>4210</v>
      </c>
      <c r="D1623" s="14" t="s">
        <v>1222</v>
      </c>
      <c r="E1623" s="15"/>
      <c r="F1623" s="14"/>
      <c r="G1623" s="15"/>
      <c r="H1623" s="14" t="s">
        <v>1223</v>
      </c>
      <c r="I1623" s="14"/>
      <c r="J1623" s="14"/>
      <c r="K1623" s="14"/>
      <c r="L1623" s="14"/>
      <c r="M1623" s="14"/>
      <c r="N1623" s="14" t="s">
        <v>1219</v>
      </c>
      <c r="O1623" s="14" t="s">
        <v>1220</v>
      </c>
    </row>
    <row r="1624" spans="1:15" x14ac:dyDescent="0.25">
      <c r="A1624" s="14">
        <v>32233</v>
      </c>
      <c r="B1624" s="14" t="s">
        <v>4211</v>
      </c>
      <c r="C1624" s="14" t="s">
        <v>4211</v>
      </c>
      <c r="D1624" s="14" t="s">
        <v>1222</v>
      </c>
      <c r="E1624" s="15"/>
      <c r="F1624" s="14"/>
      <c r="G1624" s="15"/>
      <c r="H1624" s="14" t="s">
        <v>1223</v>
      </c>
      <c r="I1624" s="14"/>
      <c r="J1624" s="14"/>
      <c r="K1624" s="14"/>
      <c r="L1624" s="14"/>
      <c r="M1624" s="14"/>
      <c r="N1624" s="14" t="s">
        <v>1219</v>
      </c>
      <c r="O1624" s="14" t="s">
        <v>1220</v>
      </c>
    </row>
    <row r="1625" spans="1:15" x14ac:dyDescent="0.25">
      <c r="A1625" s="14">
        <v>36233</v>
      </c>
      <c r="B1625" s="14" t="s">
        <v>4212</v>
      </c>
      <c r="C1625" s="14" t="s">
        <v>4212</v>
      </c>
      <c r="D1625" s="14" t="s">
        <v>1222</v>
      </c>
      <c r="E1625" s="15"/>
      <c r="F1625" s="14"/>
      <c r="G1625" s="15"/>
      <c r="H1625" s="14" t="s">
        <v>1223</v>
      </c>
      <c r="I1625" s="14"/>
      <c r="J1625" s="14"/>
      <c r="K1625" s="14"/>
      <c r="L1625" s="14"/>
      <c r="M1625" s="14"/>
      <c r="N1625" s="14" t="s">
        <v>1219</v>
      </c>
      <c r="O1625" s="14" t="s">
        <v>1220</v>
      </c>
    </row>
    <row r="1626" spans="1:15" x14ac:dyDescent="0.25">
      <c r="A1626" s="14">
        <v>36122</v>
      </c>
      <c r="B1626" s="14" t="s">
        <v>4213</v>
      </c>
      <c r="C1626" s="14" t="s">
        <v>4213</v>
      </c>
      <c r="D1626" s="14" t="s">
        <v>1222</v>
      </c>
      <c r="E1626" s="15"/>
      <c r="F1626" s="14"/>
      <c r="G1626" s="15"/>
      <c r="H1626" s="14" t="s">
        <v>1223</v>
      </c>
      <c r="I1626" s="14"/>
      <c r="J1626" s="14"/>
      <c r="K1626" s="14"/>
      <c r="L1626" s="14"/>
      <c r="M1626" s="14"/>
      <c r="N1626" s="14" t="s">
        <v>1219</v>
      </c>
      <c r="O1626" s="14" t="s">
        <v>1220</v>
      </c>
    </row>
    <row r="1627" spans="1:15" x14ac:dyDescent="0.25">
      <c r="A1627" s="14">
        <v>9020002</v>
      </c>
      <c r="B1627" s="14" t="s">
        <v>4214</v>
      </c>
      <c r="C1627" s="14" t="s">
        <v>4214</v>
      </c>
      <c r="D1627" s="14" t="s">
        <v>1532</v>
      </c>
      <c r="E1627" s="15"/>
      <c r="F1627" s="14" t="s">
        <v>1533</v>
      </c>
      <c r="G1627" s="15"/>
      <c r="H1627" s="14" t="s">
        <v>1534</v>
      </c>
      <c r="I1627" s="14" t="s">
        <v>1360</v>
      </c>
      <c r="J1627" s="14" t="s">
        <v>1351</v>
      </c>
      <c r="K1627" s="14"/>
      <c r="L1627" s="14"/>
      <c r="M1627" s="14" t="s">
        <v>1218</v>
      </c>
      <c r="N1627" s="14" t="s">
        <v>1219</v>
      </c>
      <c r="O1627" s="14" t="s">
        <v>1220</v>
      </c>
    </row>
    <row r="1628" spans="1:15" x14ac:dyDescent="0.25">
      <c r="A1628" s="14">
        <v>2653</v>
      </c>
      <c r="B1628" s="14" t="s">
        <v>22</v>
      </c>
      <c r="C1628" s="14" t="s">
        <v>22</v>
      </c>
      <c r="D1628" s="14" t="s">
        <v>1535</v>
      </c>
      <c r="E1628" s="16">
        <v>480</v>
      </c>
      <c r="F1628" s="14" t="s">
        <v>1536</v>
      </c>
      <c r="G1628" s="16">
        <v>480</v>
      </c>
      <c r="H1628" s="14" t="s">
        <v>1535</v>
      </c>
      <c r="I1628" s="14" t="s">
        <v>1256</v>
      </c>
      <c r="J1628" s="14" t="s">
        <v>1296</v>
      </c>
      <c r="K1628" s="14" t="s">
        <v>1537</v>
      </c>
      <c r="L1628" s="14" t="s">
        <v>4215</v>
      </c>
      <c r="M1628" s="14" t="s">
        <v>1484</v>
      </c>
      <c r="N1628" s="14" t="s">
        <v>1237</v>
      </c>
      <c r="O1628" s="14" t="s">
        <v>1220</v>
      </c>
    </row>
    <row r="1629" spans="1:15" x14ac:dyDescent="0.25">
      <c r="A1629" s="14" t="s">
        <v>4216</v>
      </c>
      <c r="B1629" s="14" t="s">
        <v>4217</v>
      </c>
      <c r="C1629" s="14" t="s">
        <v>4217</v>
      </c>
      <c r="D1629" s="14" t="s">
        <v>1535</v>
      </c>
      <c r="E1629" s="16">
        <v>100</v>
      </c>
      <c r="F1629" s="14" t="s">
        <v>1536</v>
      </c>
      <c r="G1629" s="16">
        <v>480</v>
      </c>
      <c r="H1629" s="14" t="s">
        <v>1535</v>
      </c>
      <c r="I1629" s="14" t="s">
        <v>1262</v>
      </c>
      <c r="J1629" s="14" t="s">
        <v>1262</v>
      </c>
      <c r="K1629" s="14" t="s">
        <v>1537</v>
      </c>
      <c r="L1629" s="14" t="s">
        <v>4215</v>
      </c>
      <c r="M1629" s="14" t="s">
        <v>1484</v>
      </c>
      <c r="N1629" s="14" t="s">
        <v>1237</v>
      </c>
      <c r="O1629" s="14" t="s">
        <v>1220</v>
      </c>
    </row>
    <row r="1630" spans="1:15" x14ac:dyDescent="0.25">
      <c r="A1630" s="14">
        <v>9020001</v>
      </c>
      <c r="B1630" s="14" t="s">
        <v>4218</v>
      </c>
      <c r="C1630" s="14" t="s">
        <v>4218</v>
      </c>
      <c r="D1630" s="14" t="s">
        <v>1532</v>
      </c>
      <c r="E1630" s="15"/>
      <c r="F1630" s="14" t="s">
        <v>1533</v>
      </c>
      <c r="G1630" s="15"/>
      <c r="H1630" s="14" t="s">
        <v>1534</v>
      </c>
      <c r="I1630" s="14" t="s">
        <v>1360</v>
      </c>
      <c r="J1630" s="14" t="s">
        <v>1351</v>
      </c>
      <c r="K1630" s="14"/>
      <c r="L1630" s="14"/>
      <c r="M1630" s="14" t="s">
        <v>1218</v>
      </c>
      <c r="N1630" s="14" t="s">
        <v>1219</v>
      </c>
      <c r="O1630" s="14" t="s">
        <v>1220</v>
      </c>
    </row>
    <row r="1631" spans="1:15" x14ac:dyDescent="0.25">
      <c r="A1631" s="14" t="s">
        <v>4219</v>
      </c>
      <c r="B1631" s="14" t="s">
        <v>4220</v>
      </c>
      <c r="C1631" s="14" t="s">
        <v>4220</v>
      </c>
      <c r="D1631" s="14" t="s">
        <v>1587</v>
      </c>
      <c r="E1631" s="15"/>
      <c r="F1631" s="14"/>
      <c r="G1631" s="15"/>
      <c r="H1631" s="14" t="s">
        <v>1588</v>
      </c>
      <c r="I1631" s="14"/>
      <c r="J1631" s="14"/>
      <c r="K1631" s="14"/>
      <c r="L1631" s="14" t="s">
        <v>4221</v>
      </c>
      <c r="M1631" s="14"/>
      <c r="N1631" s="14" t="s">
        <v>1219</v>
      </c>
      <c r="O1631" s="14" t="s">
        <v>1429</v>
      </c>
    </row>
    <row r="1632" spans="1:15" x14ac:dyDescent="0.25">
      <c r="A1632" s="14" t="s">
        <v>4222</v>
      </c>
      <c r="B1632" s="14" t="s">
        <v>4223</v>
      </c>
      <c r="C1632" s="14" t="s">
        <v>4223</v>
      </c>
      <c r="D1632" s="14" t="s">
        <v>1587</v>
      </c>
      <c r="E1632" s="15"/>
      <c r="F1632" s="14"/>
      <c r="G1632" s="15"/>
      <c r="H1632" s="14" t="s">
        <v>1588</v>
      </c>
      <c r="I1632" s="14"/>
      <c r="J1632" s="14"/>
      <c r="K1632" s="14"/>
      <c r="L1632" s="14" t="s">
        <v>4224</v>
      </c>
      <c r="M1632" s="14"/>
      <c r="N1632" s="14" t="s">
        <v>1219</v>
      </c>
      <c r="O1632" s="14" t="s">
        <v>1429</v>
      </c>
    </row>
    <row r="1633" spans="1:15" x14ac:dyDescent="0.25">
      <c r="A1633" s="14" t="s">
        <v>4225</v>
      </c>
      <c r="B1633" s="14" t="s">
        <v>4226</v>
      </c>
      <c r="C1633" s="14" t="s">
        <v>4226</v>
      </c>
      <c r="D1633" s="14" t="s">
        <v>1587</v>
      </c>
      <c r="E1633" s="15"/>
      <c r="F1633" s="14"/>
      <c r="G1633" s="15"/>
      <c r="H1633" s="14" t="s">
        <v>1588</v>
      </c>
      <c r="I1633" s="14"/>
      <c r="J1633" s="14"/>
      <c r="K1633" s="14"/>
      <c r="L1633" s="14" t="s">
        <v>4227</v>
      </c>
      <c r="M1633" s="14"/>
      <c r="N1633" s="14" t="s">
        <v>1219</v>
      </c>
      <c r="O1633" s="14" t="s">
        <v>1429</v>
      </c>
    </row>
    <row r="1634" spans="1:15" x14ac:dyDescent="0.25">
      <c r="A1634" s="14" t="s">
        <v>4228</v>
      </c>
      <c r="B1634" s="14" t="s">
        <v>4229</v>
      </c>
      <c r="C1634" s="14" t="s">
        <v>4229</v>
      </c>
      <c r="D1634" s="14" t="s">
        <v>1587</v>
      </c>
      <c r="E1634" s="15"/>
      <c r="F1634" s="14"/>
      <c r="G1634" s="15"/>
      <c r="H1634" s="14" t="s">
        <v>1588</v>
      </c>
      <c r="I1634" s="14"/>
      <c r="J1634" s="14"/>
      <c r="K1634" s="14"/>
      <c r="L1634" s="14" t="s">
        <v>4230</v>
      </c>
      <c r="M1634" s="14"/>
      <c r="N1634" s="14" t="s">
        <v>1219</v>
      </c>
      <c r="O1634" s="14" t="s">
        <v>1429</v>
      </c>
    </row>
    <row r="1635" spans="1:15" x14ac:dyDescent="0.25">
      <c r="A1635" s="14" t="s">
        <v>4231</v>
      </c>
      <c r="B1635" s="14" t="s">
        <v>4232</v>
      </c>
      <c r="C1635" s="14" t="s">
        <v>4232</v>
      </c>
      <c r="D1635" s="14" t="s">
        <v>1587</v>
      </c>
      <c r="E1635" s="15"/>
      <c r="F1635" s="14"/>
      <c r="G1635" s="15"/>
      <c r="H1635" s="14" t="s">
        <v>1588</v>
      </c>
      <c r="I1635" s="14"/>
      <c r="J1635" s="14"/>
      <c r="K1635" s="14"/>
      <c r="L1635" s="14" t="s">
        <v>4233</v>
      </c>
      <c r="M1635" s="14"/>
      <c r="N1635" s="14" t="s">
        <v>1219</v>
      </c>
      <c r="O1635" s="14" t="s">
        <v>1429</v>
      </c>
    </row>
    <row r="1636" spans="1:15" x14ac:dyDescent="0.25">
      <c r="A1636" s="14" t="s">
        <v>4234</v>
      </c>
      <c r="B1636" s="14" t="s">
        <v>4235</v>
      </c>
      <c r="C1636" s="14" t="s">
        <v>4235</v>
      </c>
      <c r="D1636" s="14" t="s">
        <v>1587</v>
      </c>
      <c r="E1636" s="15"/>
      <c r="F1636" s="14"/>
      <c r="G1636" s="15"/>
      <c r="H1636" s="14" t="s">
        <v>1588</v>
      </c>
      <c r="I1636" s="14"/>
      <c r="J1636" s="14"/>
      <c r="K1636" s="14"/>
      <c r="L1636" s="14" t="s">
        <v>4236</v>
      </c>
      <c r="M1636" s="14"/>
      <c r="N1636" s="14" t="s">
        <v>1219</v>
      </c>
      <c r="O1636" s="14" t="s">
        <v>1429</v>
      </c>
    </row>
    <row r="1637" spans="1:15" x14ac:dyDescent="0.25">
      <c r="A1637" s="14" t="s">
        <v>4237</v>
      </c>
      <c r="B1637" s="14" t="s">
        <v>4238</v>
      </c>
      <c r="C1637" s="14" t="s">
        <v>4238</v>
      </c>
      <c r="D1637" s="14" t="s">
        <v>1587</v>
      </c>
      <c r="E1637" s="15"/>
      <c r="F1637" s="14"/>
      <c r="G1637" s="15"/>
      <c r="H1637" s="14" t="s">
        <v>1588</v>
      </c>
      <c r="I1637" s="14"/>
      <c r="J1637" s="14"/>
      <c r="K1637" s="14"/>
      <c r="L1637" s="14" t="s">
        <v>4239</v>
      </c>
      <c r="M1637" s="14"/>
      <c r="N1637" s="14" t="s">
        <v>1219</v>
      </c>
      <c r="O1637" s="14" t="s">
        <v>1429</v>
      </c>
    </row>
    <row r="1638" spans="1:15" x14ac:dyDescent="0.25">
      <c r="A1638" s="14" t="s">
        <v>4240</v>
      </c>
      <c r="B1638" s="14" t="s">
        <v>4241</v>
      </c>
      <c r="C1638" s="14" t="s">
        <v>4241</v>
      </c>
      <c r="D1638" s="14" t="s">
        <v>1427</v>
      </c>
      <c r="E1638" s="15"/>
      <c r="F1638" s="14"/>
      <c r="G1638" s="15"/>
      <c r="H1638" s="14" t="s">
        <v>1440</v>
      </c>
      <c r="I1638" s="14"/>
      <c r="J1638" s="14"/>
      <c r="K1638" s="14"/>
      <c r="L1638" s="14" t="s">
        <v>4242</v>
      </c>
      <c r="M1638" s="14"/>
      <c r="N1638" s="14" t="s">
        <v>1219</v>
      </c>
      <c r="O1638" s="14" t="s">
        <v>1429</v>
      </c>
    </row>
    <row r="1639" spans="1:15" x14ac:dyDescent="0.25">
      <c r="A1639" s="14">
        <v>1119</v>
      </c>
      <c r="B1639" s="14" t="s">
        <v>4243</v>
      </c>
      <c r="C1639" s="14" t="s">
        <v>4243</v>
      </c>
      <c r="D1639" s="14" t="s">
        <v>1427</v>
      </c>
      <c r="E1639" s="15"/>
      <c r="F1639" s="14"/>
      <c r="G1639" s="15"/>
      <c r="H1639" s="14" t="s">
        <v>1440</v>
      </c>
      <c r="I1639" s="14"/>
      <c r="J1639" s="14"/>
      <c r="K1639" s="14"/>
      <c r="L1639" s="14" t="s">
        <v>4244</v>
      </c>
      <c r="M1639" s="14"/>
      <c r="N1639" s="14" t="s">
        <v>1219</v>
      </c>
      <c r="O1639" s="14" t="s">
        <v>1429</v>
      </c>
    </row>
    <row r="1640" spans="1:15" x14ac:dyDescent="0.25">
      <c r="A1640" s="14">
        <v>1113</v>
      </c>
      <c r="B1640" s="14" t="s">
        <v>4245</v>
      </c>
      <c r="C1640" s="14" t="s">
        <v>4245</v>
      </c>
      <c r="D1640" s="14" t="s">
        <v>2239</v>
      </c>
      <c r="E1640" s="15"/>
      <c r="F1640" s="14"/>
      <c r="G1640" s="15"/>
      <c r="H1640" s="14" t="s">
        <v>1588</v>
      </c>
      <c r="I1640" s="14"/>
      <c r="J1640" s="14"/>
      <c r="K1640" s="14"/>
      <c r="L1640" s="14"/>
      <c r="M1640" s="14"/>
      <c r="N1640" s="14" t="s">
        <v>1219</v>
      </c>
      <c r="O1640" s="14" t="s">
        <v>1220</v>
      </c>
    </row>
    <row r="1641" spans="1:15" x14ac:dyDescent="0.25">
      <c r="A1641" s="14" t="s">
        <v>4246</v>
      </c>
      <c r="B1641" s="14" t="s">
        <v>4247</v>
      </c>
      <c r="C1641" s="14" t="s">
        <v>4247</v>
      </c>
      <c r="D1641" s="14" t="s">
        <v>4248</v>
      </c>
      <c r="E1641" s="15"/>
      <c r="F1641" s="14"/>
      <c r="G1641" s="15"/>
      <c r="H1641" s="14" t="s">
        <v>4249</v>
      </c>
      <c r="I1641" s="14"/>
      <c r="J1641" s="14"/>
      <c r="K1641" s="14"/>
      <c r="L1641" s="14" t="s">
        <v>4250</v>
      </c>
      <c r="M1641" s="14"/>
      <c r="N1641" s="14" t="s">
        <v>1219</v>
      </c>
      <c r="O1641" s="14" t="s">
        <v>1220</v>
      </c>
    </row>
    <row r="1642" spans="1:15" x14ac:dyDescent="0.25">
      <c r="A1642" s="14" t="s">
        <v>4251</v>
      </c>
      <c r="B1642" s="14" t="s">
        <v>4252</v>
      </c>
      <c r="C1642" s="14" t="s">
        <v>4252</v>
      </c>
      <c r="D1642" s="14" t="s">
        <v>4253</v>
      </c>
      <c r="E1642" s="15"/>
      <c r="F1642" s="14"/>
      <c r="G1642" s="15"/>
      <c r="H1642" s="14" t="s">
        <v>4249</v>
      </c>
      <c r="I1642" s="14"/>
      <c r="J1642" s="14"/>
      <c r="K1642" s="14"/>
      <c r="L1642" s="14" t="s">
        <v>4254</v>
      </c>
      <c r="M1642" s="14"/>
      <c r="N1642" s="14" t="s">
        <v>1219</v>
      </c>
      <c r="O1642" s="14" t="s">
        <v>1220</v>
      </c>
    </row>
    <row r="1643" spans="1:15" x14ac:dyDescent="0.25">
      <c r="A1643" s="14">
        <v>4580</v>
      </c>
      <c r="B1643" s="14" t="s">
        <v>891</v>
      </c>
      <c r="C1643" s="14" t="s">
        <v>891</v>
      </c>
      <c r="D1643" s="14" t="s">
        <v>1413</v>
      </c>
      <c r="E1643" s="16">
        <v>150</v>
      </c>
      <c r="F1643" s="14" t="s">
        <v>3314</v>
      </c>
      <c r="G1643" s="16">
        <v>150</v>
      </c>
      <c r="H1643" s="14" t="s">
        <v>1408</v>
      </c>
      <c r="I1643" s="14" t="s">
        <v>1256</v>
      </c>
      <c r="J1643" s="14" t="s">
        <v>1296</v>
      </c>
      <c r="K1643" s="14" t="s">
        <v>1257</v>
      </c>
      <c r="L1643" s="14" t="s">
        <v>4255</v>
      </c>
      <c r="M1643" s="14" t="s">
        <v>1410</v>
      </c>
      <c r="N1643" s="14" t="s">
        <v>1237</v>
      </c>
      <c r="O1643" s="14" t="s">
        <v>1220</v>
      </c>
    </row>
    <row r="1644" spans="1:15" x14ac:dyDescent="0.25">
      <c r="A1644" s="14">
        <v>4582</v>
      </c>
      <c r="B1644" s="14" t="s">
        <v>892</v>
      </c>
      <c r="C1644" s="14" t="s">
        <v>892</v>
      </c>
      <c r="D1644" s="14" t="s">
        <v>1413</v>
      </c>
      <c r="E1644" s="16">
        <v>36</v>
      </c>
      <c r="F1644" s="14" t="s">
        <v>3314</v>
      </c>
      <c r="G1644" s="16">
        <v>60</v>
      </c>
      <c r="H1644" s="14" t="s">
        <v>1408</v>
      </c>
      <c r="I1644" s="14" t="s">
        <v>1256</v>
      </c>
      <c r="J1644" s="14" t="s">
        <v>1296</v>
      </c>
      <c r="K1644" s="14" t="s">
        <v>1257</v>
      </c>
      <c r="L1644" s="14" t="s">
        <v>4256</v>
      </c>
      <c r="M1644" s="14" t="s">
        <v>1410</v>
      </c>
      <c r="N1644" s="14" t="s">
        <v>1237</v>
      </c>
      <c r="O1644" s="14" t="s">
        <v>1220</v>
      </c>
    </row>
    <row r="1645" spans="1:15" x14ac:dyDescent="0.25">
      <c r="A1645" s="14">
        <v>4581</v>
      </c>
      <c r="B1645" s="14" t="s">
        <v>893</v>
      </c>
      <c r="C1645" s="14" t="s">
        <v>893</v>
      </c>
      <c r="D1645" s="14" t="s">
        <v>1413</v>
      </c>
      <c r="E1645" s="16">
        <v>80</v>
      </c>
      <c r="F1645" s="14" t="s">
        <v>3314</v>
      </c>
      <c r="G1645" s="16">
        <v>80</v>
      </c>
      <c r="H1645" s="14" t="s">
        <v>1408</v>
      </c>
      <c r="I1645" s="14" t="s">
        <v>1256</v>
      </c>
      <c r="J1645" s="14" t="s">
        <v>1296</v>
      </c>
      <c r="K1645" s="14" t="s">
        <v>1257</v>
      </c>
      <c r="L1645" s="14" t="s">
        <v>4257</v>
      </c>
      <c r="M1645" s="14" t="s">
        <v>1410</v>
      </c>
      <c r="N1645" s="14" t="s">
        <v>1237</v>
      </c>
      <c r="O1645" s="14" t="s">
        <v>1220</v>
      </c>
    </row>
    <row r="1646" spans="1:15" x14ac:dyDescent="0.25">
      <c r="A1646" s="14">
        <v>4493</v>
      </c>
      <c r="B1646" s="14" t="s">
        <v>654</v>
      </c>
      <c r="C1646" s="14" t="s">
        <v>654</v>
      </c>
      <c r="D1646" s="14" t="s">
        <v>4258</v>
      </c>
      <c r="E1646" s="16">
        <v>30</v>
      </c>
      <c r="F1646" s="14" t="s">
        <v>1321</v>
      </c>
      <c r="G1646" s="16">
        <v>540</v>
      </c>
      <c r="H1646" s="14" t="s">
        <v>1322</v>
      </c>
      <c r="I1646" s="14" t="s">
        <v>1256</v>
      </c>
      <c r="J1646" s="14" t="s">
        <v>1242</v>
      </c>
      <c r="K1646" s="14" t="s">
        <v>1257</v>
      </c>
      <c r="L1646" s="14" t="s">
        <v>4259</v>
      </c>
      <c r="M1646" s="14" t="s">
        <v>1324</v>
      </c>
      <c r="N1646" s="14" t="s">
        <v>1237</v>
      </c>
      <c r="O1646" s="14" t="s">
        <v>1220</v>
      </c>
    </row>
    <row r="1647" spans="1:15" x14ac:dyDescent="0.25">
      <c r="A1647" s="14">
        <v>2372</v>
      </c>
      <c r="B1647" s="14" t="s">
        <v>655</v>
      </c>
      <c r="C1647" s="14" t="s">
        <v>655</v>
      </c>
      <c r="D1647" s="14" t="s">
        <v>4258</v>
      </c>
      <c r="E1647" s="16">
        <v>45</v>
      </c>
      <c r="F1647" s="14" t="s">
        <v>1321</v>
      </c>
      <c r="G1647" s="17">
        <v>1485</v>
      </c>
      <c r="H1647" s="14" t="s">
        <v>1322</v>
      </c>
      <c r="I1647" s="14" t="s">
        <v>1256</v>
      </c>
      <c r="J1647" s="14" t="s">
        <v>1242</v>
      </c>
      <c r="K1647" s="14" t="s">
        <v>1257</v>
      </c>
      <c r="L1647" s="14" t="s">
        <v>4260</v>
      </c>
      <c r="M1647" s="14" t="s">
        <v>1324</v>
      </c>
      <c r="N1647" s="14" t="s">
        <v>1237</v>
      </c>
      <c r="O1647" s="14" t="s">
        <v>1220</v>
      </c>
    </row>
    <row r="1648" spans="1:15" x14ac:dyDescent="0.25">
      <c r="A1648" s="14" t="s">
        <v>4261</v>
      </c>
      <c r="B1648" s="14" t="s">
        <v>4262</v>
      </c>
      <c r="C1648" s="14" t="s">
        <v>4262</v>
      </c>
      <c r="D1648" s="14" t="s">
        <v>4258</v>
      </c>
      <c r="E1648" s="15"/>
      <c r="F1648" s="14" t="s">
        <v>1321</v>
      </c>
      <c r="G1648" s="15"/>
      <c r="H1648" s="14" t="s">
        <v>1322</v>
      </c>
      <c r="I1648" s="14" t="s">
        <v>1262</v>
      </c>
      <c r="J1648" s="14" t="s">
        <v>1262</v>
      </c>
      <c r="K1648" s="14"/>
      <c r="L1648" s="14" t="s">
        <v>4260</v>
      </c>
      <c r="M1648" s="14" t="s">
        <v>1324</v>
      </c>
      <c r="N1648" s="14" t="s">
        <v>1219</v>
      </c>
      <c r="O1648" s="14" t="s">
        <v>1220</v>
      </c>
    </row>
    <row r="1649" spans="1:15" x14ac:dyDescent="0.25">
      <c r="A1649" s="14">
        <v>4492</v>
      </c>
      <c r="B1649" s="14" t="s">
        <v>656</v>
      </c>
      <c r="C1649" s="14" t="s">
        <v>656</v>
      </c>
      <c r="D1649" s="14" t="s">
        <v>4258</v>
      </c>
      <c r="E1649" s="16">
        <v>30</v>
      </c>
      <c r="F1649" s="14" t="s">
        <v>1321</v>
      </c>
      <c r="G1649" s="16">
        <v>960</v>
      </c>
      <c r="H1649" s="14" t="s">
        <v>1322</v>
      </c>
      <c r="I1649" s="14" t="s">
        <v>1256</v>
      </c>
      <c r="J1649" s="14" t="s">
        <v>1242</v>
      </c>
      <c r="K1649" s="14" t="s">
        <v>1257</v>
      </c>
      <c r="L1649" s="14" t="s">
        <v>4263</v>
      </c>
      <c r="M1649" s="14" t="s">
        <v>1324</v>
      </c>
      <c r="N1649" s="14" t="s">
        <v>1237</v>
      </c>
      <c r="O1649" s="14" t="s">
        <v>1220</v>
      </c>
    </row>
    <row r="1650" spans="1:15" x14ac:dyDescent="0.25">
      <c r="A1650" s="14">
        <v>2367</v>
      </c>
      <c r="B1650" s="14" t="s">
        <v>646</v>
      </c>
      <c r="C1650" s="14" t="s">
        <v>4264</v>
      </c>
      <c r="D1650" s="14" t="s">
        <v>4258</v>
      </c>
      <c r="E1650" s="16">
        <v>80</v>
      </c>
      <c r="F1650" s="14" t="s">
        <v>1321</v>
      </c>
      <c r="G1650" s="16">
        <v>640</v>
      </c>
      <c r="H1650" s="14" t="s">
        <v>1322</v>
      </c>
      <c r="I1650" s="14" t="s">
        <v>1256</v>
      </c>
      <c r="J1650" s="14" t="s">
        <v>1296</v>
      </c>
      <c r="K1650" s="14" t="s">
        <v>1257</v>
      </c>
      <c r="L1650" s="14" t="s">
        <v>4265</v>
      </c>
      <c r="M1650" s="14" t="s">
        <v>1324</v>
      </c>
      <c r="N1650" s="14" t="s">
        <v>1237</v>
      </c>
      <c r="O1650" s="14" t="s">
        <v>1220</v>
      </c>
    </row>
    <row r="1651" spans="1:15" x14ac:dyDescent="0.25">
      <c r="A1651" s="14" t="s">
        <v>4266</v>
      </c>
      <c r="B1651" s="14" t="s">
        <v>4267</v>
      </c>
      <c r="C1651" s="14" t="s">
        <v>4268</v>
      </c>
      <c r="D1651" s="14" t="s">
        <v>4258</v>
      </c>
      <c r="E1651" s="15"/>
      <c r="F1651" s="14" t="s">
        <v>1321</v>
      </c>
      <c r="G1651" s="15"/>
      <c r="H1651" s="14" t="s">
        <v>1322</v>
      </c>
      <c r="I1651" s="14" t="s">
        <v>1262</v>
      </c>
      <c r="J1651" s="14" t="s">
        <v>1262</v>
      </c>
      <c r="K1651" s="14"/>
      <c r="L1651" s="14" t="s">
        <v>4265</v>
      </c>
      <c r="M1651" s="14" t="s">
        <v>1324</v>
      </c>
      <c r="N1651" s="14" t="s">
        <v>1219</v>
      </c>
      <c r="O1651" s="14" t="s">
        <v>1220</v>
      </c>
    </row>
    <row r="1652" spans="1:15" x14ac:dyDescent="0.25">
      <c r="A1652" s="14">
        <v>2549</v>
      </c>
      <c r="B1652" s="14" t="s">
        <v>647</v>
      </c>
      <c r="C1652" s="14" t="s">
        <v>4269</v>
      </c>
      <c r="D1652" s="14" t="s">
        <v>4258</v>
      </c>
      <c r="E1652" s="16">
        <v>150</v>
      </c>
      <c r="F1652" s="14" t="s">
        <v>1321</v>
      </c>
      <c r="G1652" s="17">
        <v>4200</v>
      </c>
      <c r="H1652" s="14" t="s">
        <v>1322</v>
      </c>
      <c r="I1652" s="14" t="s">
        <v>1256</v>
      </c>
      <c r="J1652" s="14" t="s">
        <v>1242</v>
      </c>
      <c r="K1652" s="14" t="s">
        <v>1257</v>
      </c>
      <c r="L1652" s="14" t="s">
        <v>4270</v>
      </c>
      <c r="M1652" s="14" t="s">
        <v>1324</v>
      </c>
      <c r="N1652" s="14" t="s">
        <v>1237</v>
      </c>
      <c r="O1652" s="14" t="s">
        <v>1220</v>
      </c>
    </row>
    <row r="1653" spans="1:15" x14ac:dyDescent="0.25">
      <c r="A1653" s="14" t="s">
        <v>4271</v>
      </c>
      <c r="B1653" s="14" t="s">
        <v>4272</v>
      </c>
      <c r="C1653" s="14" t="s">
        <v>4273</v>
      </c>
      <c r="D1653" s="14" t="s">
        <v>4258</v>
      </c>
      <c r="E1653" s="15"/>
      <c r="F1653" s="14" t="s">
        <v>1321</v>
      </c>
      <c r="G1653" s="15"/>
      <c r="H1653" s="14" t="s">
        <v>1322</v>
      </c>
      <c r="I1653" s="14" t="s">
        <v>1262</v>
      </c>
      <c r="J1653" s="14" t="s">
        <v>1262</v>
      </c>
      <c r="K1653" s="14"/>
      <c r="L1653" s="14" t="s">
        <v>4270</v>
      </c>
      <c r="M1653" s="14" t="s">
        <v>1324</v>
      </c>
      <c r="N1653" s="14" t="s">
        <v>1219</v>
      </c>
      <c r="O1653" s="14" t="s">
        <v>1220</v>
      </c>
    </row>
    <row r="1654" spans="1:15" x14ac:dyDescent="0.25">
      <c r="A1654" s="14">
        <v>2684</v>
      </c>
      <c r="B1654" s="14" t="s">
        <v>648</v>
      </c>
      <c r="C1654" s="14" t="s">
        <v>4274</v>
      </c>
      <c r="D1654" s="14" t="s">
        <v>4258</v>
      </c>
      <c r="E1654" s="16">
        <v>300</v>
      </c>
      <c r="F1654" s="14" t="s">
        <v>1321</v>
      </c>
      <c r="G1654" s="17">
        <v>2700</v>
      </c>
      <c r="H1654" s="14" t="s">
        <v>1322</v>
      </c>
      <c r="I1654" s="14" t="s">
        <v>1256</v>
      </c>
      <c r="J1654" s="14" t="s">
        <v>1296</v>
      </c>
      <c r="K1654" s="14" t="s">
        <v>1257</v>
      </c>
      <c r="L1654" s="14" t="s">
        <v>4275</v>
      </c>
      <c r="M1654" s="14" t="s">
        <v>1324</v>
      </c>
      <c r="N1654" s="14" t="s">
        <v>1237</v>
      </c>
      <c r="O1654" s="14" t="s">
        <v>1220</v>
      </c>
    </row>
    <row r="1655" spans="1:15" x14ac:dyDescent="0.25">
      <c r="A1655" s="14" t="s">
        <v>4276</v>
      </c>
      <c r="B1655" s="14" t="s">
        <v>4277</v>
      </c>
      <c r="C1655" s="14" t="s">
        <v>4278</v>
      </c>
      <c r="D1655" s="14" t="s">
        <v>4258</v>
      </c>
      <c r="E1655" s="15"/>
      <c r="F1655" s="14" t="s">
        <v>1321</v>
      </c>
      <c r="G1655" s="15"/>
      <c r="H1655" s="14" t="s">
        <v>1322</v>
      </c>
      <c r="I1655" s="14" t="s">
        <v>1262</v>
      </c>
      <c r="J1655" s="14" t="s">
        <v>1262</v>
      </c>
      <c r="K1655" s="14"/>
      <c r="L1655" s="14" t="s">
        <v>4275</v>
      </c>
      <c r="M1655" s="14" t="s">
        <v>1324</v>
      </c>
      <c r="N1655" s="14" t="s">
        <v>1219</v>
      </c>
      <c r="O1655" s="14" t="s">
        <v>1220</v>
      </c>
    </row>
    <row r="1656" spans="1:15" x14ac:dyDescent="0.25">
      <c r="A1656" s="14">
        <v>2550</v>
      </c>
      <c r="B1656" s="14" t="s">
        <v>649</v>
      </c>
      <c r="C1656" s="14" t="s">
        <v>4279</v>
      </c>
      <c r="D1656" s="14" t="s">
        <v>4258</v>
      </c>
      <c r="E1656" s="16">
        <v>200</v>
      </c>
      <c r="F1656" s="14" t="s">
        <v>1321</v>
      </c>
      <c r="G1656" s="17">
        <v>11400</v>
      </c>
      <c r="H1656" s="14" t="s">
        <v>1322</v>
      </c>
      <c r="I1656" s="14" t="s">
        <v>1256</v>
      </c>
      <c r="J1656" s="14" t="s">
        <v>1233</v>
      </c>
      <c r="K1656" s="14" t="s">
        <v>1257</v>
      </c>
      <c r="L1656" s="14" t="s">
        <v>4280</v>
      </c>
      <c r="M1656" s="14" t="s">
        <v>1324</v>
      </c>
      <c r="N1656" s="14" t="s">
        <v>1237</v>
      </c>
      <c r="O1656" s="14" t="s">
        <v>1220</v>
      </c>
    </row>
    <row r="1657" spans="1:15" x14ac:dyDescent="0.25">
      <c r="A1657" s="14" t="s">
        <v>4281</v>
      </c>
      <c r="B1657" s="14" t="s">
        <v>4282</v>
      </c>
      <c r="C1657" s="14" t="s">
        <v>4283</v>
      </c>
      <c r="D1657" s="14" t="s">
        <v>4258</v>
      </c>
      <c r="E1657" s="15"/>
      <c r="F1657" s="14" t="s">
        <v>1321</v>
      </c>
      <c r="G1657" s="15"/>
      <c r="H1657" s="14" t="s">
        <v>1322</v>
      </c>
      <c r="I1657" s="14" t="s">
        <v>1262</v>
      </c>
      <c r="J1657" s="14" t="s">
        <v>1262</v>
      </c>
      <c r="K1657" s="14"/>
      <c r="L1657" s="14" t="s">
        <v>4280</v>
      </c>
      <c r="M1657" s="14" t="s">
        <v>1324</v>
      </c>
      <c r="N1657" s="14" t="s">
        <v>1219</v>
      </c>
      <c r="O1657" s="14" t="s">
        <v>1220</v>
      </c>
    </row>
    <row r="1658" spans="1:15" x14ac:dyDescent="0.25">
      <c r="A1658" s="14">
        <v>2370</v>
      </c>
      <c r="B1658" s="14" t="s">
        <v>657</v>
      </c>
      <c r="C1658" s="14" t="s">
        <v>657</v>
      </c>
      <c r="D1658" s="14" t="s">
        <v>4258</v>
      </c>
      <c r="E1658" s="16">
        <v>50</v>
      </c>
      <c r="F1658" s="14" t="s">
        <v>1321</v>
      </c>
      <c r="G1658" s="17">
        <v>1400</v>
      </c>
      <c r="H1658" s="14" t="s">
        <v>1322</v>
      </c>
      <c r="I1658" s="14" t="s">
        <v>1256</v>
      </c>
      <c r="J1658" s="14" t="s">
        <v>1242</v>
      </c>
      <c r="K1658" s="14" t="s">
        <v>1257</v>
      </c>
      <c r="L1658" s="14" t="s">
        <v>4284</v>
      </c>
      <c r="M1658" s="14" t="s">
        <v>1324</v>
      </c>
      <c r="N1658" s="14" t="s">
        <v>1237</v>
      </c>
      <c r="O1658" s="14" t="s">
        <v>1220</v>
      </c>
    </row>
    <row r="1659" spans="1:15" x14ac:dyDescent="0.25">
      <c r="A1659" s="14" t="s">
        <v>4285</v>
      </c>
      <c r="B1659" s="14" t="s">
        <v>4286</v>
      </c>
      <c r="C1659" s="14" t="s">
        <v>4286</v>
      </c>
      <c r="D1659" s="14" t="s">
        <v>4258</v>
      </c>
      <c r="E1659" s="16">
        <v>50</v>
      </c>
      <c r="F1659" s="14" t="s">
        <v>1321</v>
      </c>
      <c r="G1659" s="17">
        <v>1400</v>
      </c>
      <c r="H1659" s="14" t="s">
        <v>1322</v>
      </c>
      <c r="I1659" s="14" t="s">
        <v>1262</v>
      </c>
      <c r="J1659" s="14" t="s">
        <v>1262</v>
      </c>
      <c r="K1659" s="14" t="s">
        <v>1257</v>
      </c>
      <c r="L1659" s="14" t="s">
        <v>4284</v>
      </c>
      <c r="M1659" s="14" t="s">
        <v>1324</v>
      </c>
      <c r="N1659" s="14" t="s">
        <v>1219</v>
      </c>
      <c r="O1659" s="14" t="s">
        <v>1220</v>
      </c>
    </row>
    <row r="1660" spans="1:15" x14ac:dyDescent="0.25">
      <c r="A1660" s="14">
        <v>2369</v>
      </c>
      <c r="B1660" s="14" t="s">
        <v>658</v>
      </c>
      <c r="C1660" s="14" t="s">
        <v>658</v>
      </c>
      <c r="D1660" s="14" t="s">
        <v>4258</v>
      </c>
      <c r="E1660" s="16">
        <v>70</v>
      </c>
      <c r="F1660" s="14" t="s">
        <v>1321</v>
      </c>
      <c r="G1660" s="17">
        <v>2170</v>
      </c>
      <c r="H1660" s="14" t="s">
        <v>1322</v>
      </c>
      <c r="I1660" s="14" t="s">
        <v>1256</v>
      </c>
      <c r="J1660" s="14" t="s">
        <v>1242</v>
      </c>
      <c r="K1660" s="14" t="s">
        <v>1257</v>
      </c>
      <c r="L1660" s="14" t="s">
        <v>4287</v>
      </c>
      <c r="M1660" s="14" t="s">
        <v>1324</v>
      </c>
      <c r="N1660" s="14" t="s">
        <v>1237</v>
      </c>
      <c r="O1660" s="14" t="s">
        <v>1220</v>
      </c>
    </row>
    <row r="1661" spans="1:15" x14ac:dyDescent="0.25">
      <c r="A1661" s="14" t="s">
        <v>4288</v>
      </c>
      <c r="B1661" s="14" t="s">
        <v>4289</v>
      </c>
      <c r="C1661" s="14" t="s">
        <v>4289</v>
      </c>
      <c r="D1661" s="14" t="s">
        <v>4258</v>
      </c>
      <c r="E1661" s="15"/>
      <c r="F1661" s="14" t="s">
        <v>1321</v>
      </c>
      <c r="G1661" s="15"/>
      <c r="H1661" s="14" t="s">
        <v>1322</v>
      </c>
      <c r="I1661" s="14" t="s">
        <v>1262</v>
      </c>
      <c r="J1661" s="14" t="s">
        <v>1262</v>
      </c>
      <c r="K1661" s="14"/>
      <c r="L1661" s="14" t="s">
        <v>4287</v>
      </c>
      <c r="M1661" s="14" t="s">
        <v>1324</v>
      </c>
      <c r="N1661" s="14" t="s">
        <v>1219</v>
      </c>
      <c r="O1661" s="14" t="s">
        <v>1220</v>
      </c>
    </row>
    <row r="1662" spans="1:15" x14ac:dyDescent="0.25">
      <c r="A1662" s="14">
        <v>4491</v>
      </c>
      <c r="B1662" s="14" t="s">
        <v>659</v>
      </c>
      <c r="C1662" s="14" t="s">
        <v>659</v>
      </c>
      <c r="D1662" s="14" t="s">
        <v>4258</v>
      </c>
      <c r="E1662" s="16">
        <v>30</v>
      </c>
      <c r="F1662" s="14" t="s">
        <v>1321</v>
      </c>
      <c r="G1662" s="16">
        <v>900</v>
      </c>
      <c r="H1662" s="14" t="s">
        <v>1322</v>
      </c>
      <c r="I1662" s="14" t="s">
        <v>1256</v>
      </c>
      <c r="J1662" s="14" t="s">
        <v>1242</v>
      </c>
      <c r="K1662" s="14" t="s">
        <v>1257</v>
      </c>
      <c r="L1662" s="14" t="s">
        <v>4290</v>
      </c>
      <c r="M1662" s="14" t="s">
        <v>1324</v>
      </c>
      <c r="N1662" s="14" t="s">
        <v>1237</v>
      </c>
      <c r="O1662" s="14" t="s">
        <v>1220</v>
      </c>
    </row>
    <row r="1663" spans="1:15" x14ac:dyDescent="0.25">
      <c r="A1663" s="14">
        <v>2371</v>
      </c>
      <c r="B1663" s="14" t="s">
        <v>650</v>
      </c>
      <c r="C1663" s="14" t="s">
        <v>4291</v>
      </c>
      <c r="D1663" s="14" t="s">
        <v>4258</v>
      </c>
      <c r="E1663" s="16">
        <v>50</v>
      </c>
      <c r="F1663" s="14" t="s">
        <v>1321</v>
      </c>
      <c r="G1663" s="16">
        <v>750</v>
      </c>
      <c r="H1663" s="14" t="s">
        <v>1322</v>
      </c>
      <c r="I1663" s="14" t="s">
        <v>1256</v>
      </c>
      <c r="J1663" s="14" t="s">
        <v>1296</v>
      </c>
      <c r="K1663" s="14" t="s">
        <v>1257</v>
      </c>
      <c r="L1663" s="14" t="s">
        <v>4292</v>
      </c>
      <c r="M1663" s="14" t="s">
        <v>1324</v>
      </c>
      <c r="N1663" s="14" t="s">
        <v>1237</v>
      </c>
      <c r="O1663" s="14" t="s">
        <v>1220</v>
      </c>
    </row>
    <row r="1664" spans="1:15" x14ac:dyDescent="0.25">
      <c r="A1664" s="14" t="s">
        <v>4293</v>
      </c>
      <c r="B1664" s="14" t="s">
        <v>4294</v>
      </c>
      <c r="C1664" s="14" t="s">
        <v>4295</v>
      </c>
      <c r="D1664" s="14" t="s">
        <v>4258</v>
      </c>
      <c r="E1664" s="15"/>
      <c r="F1664" s="14" t="s">
        <v>1321</v>
      </c>
      <c r="G1664" s="15"/>
      <c r="H1664" s="14" t="s">
        <v>1322</v>
      </c>
      <c r="I1664" s="14" t="s">
        <v>1262</v>
      </c>
      <c r="J1664" s="14" t="s">
        <v>1262</v>
      </c>
      <c r="K1664" s="14"/>
      <c r="L1664" s="14" t="s">
        <v>4292</v>
      </c>
      <c r="M1664" s="14" t="s">
        <v>1324</v>
      </c>
      <c r="N1664" s="14" t="s">
        <v>1219</v>
      </c>
      <c r="O1664" s="14" t="s">
        <v>1220</v>
      </c>
    </row>
    <row r="1665" spans="1:15" x14ac:dyDescent="0.25">
      <c r="A1665" s="14">
        <v>2368</v>
      </c>
      <c r="B1665" s="14" t="s">
        <v>651</v>
      </c>
      <c r="C1665" s="14" t="s">
        <v>4296</v>
      </c>
      <c r="D1665" s="14" t="s">
        <v>4258</v>
      </c>
      <c r="E1665" s="16">
        <v>70</v>
      </c>
      <c r="F1665" s="14" t="s">
        <v>1321</v>
      </c>
      <c r="G1665" s="17">
        <v>1050</v>
      </c>
      <c r="H1665" s="14" t="s">
        <v>1322</v>
      </c>
      <c r="I1665" s="14" t="s">
        <v>1256</v>
      </c>
      <c r="J1665" s="14" t="s">
        <v>1242</v>
      </c>
      <c r="K1665" s="14" t="s">
        <v>1257</v>
      </c>
      <c r="L1665" s="14" t="s">
        <v>4297</v>
      </c>
      <c r="M1665" s="14" t="s">
        <v>1324</v>
      </c>
      <c r="N1665" s="14" t="s">
        <v>1237</v>
      </c>
      <c r="O1665" s="14" t="s">
        <v>1220</v>
      </c>
    </row>
    <row r="1666" spans="1:15" x14ac:dyDescent="0.25">
      <c r="A1666" s="14" t="s">
        <v>4298</v>
      </c>
      <c r="B1666" s="14" t="s">
        <v>4299</v>
      </c>
      <c r="C1666" s="14" t="s">
        <v>4300</v>
      </c>
      <c r="D1666" s="14" t="s">
        <v>4258</v>
      </c>
      <c r="E1666" s="15"/>
      <c r="F1666" s="14" t="s">
        <v>1321</v>
      </c>
      <c r="G1666" s="15"/>
      <c r="H1666" s="14" t="s">
        <v>1322</v>
      </c>
      <c r="I1666" s="14" t="s">
        <v>1262</v>
      </c>
      <c r="J1666" s="14" t="s">
        <v>1262</v>
      </c>
      <c r="K1666" s="14"/>
      <c r="L1666" s="14" t="s">
        <v>4297</v>
      </c>
      <c r="M1666" s="14" t="s">
        <v>1324</v>
      </c>
      <c r="N1666" s="14" t="s">
        <v>1219</v>
      </c>
      <c r="O1666" s="14" t="s">
        <v>1220</v>
      </c>
    </row>
    <row r="1667" spans="1:15" x14ac:dyDescent="0.25">
      <c r="A1667" s="14">
        <v>2548</v>
      </c>
      <c r="B1667" s="14" t="s">
        <v>652</v>
      </c>
      <c r="C1667" s="14" t="s">
        <v>4301</v>
      </c>
      <c r="D1667" s="14" t="s">
        <v>4258</v>
      </c>
      <c r="E1667" s="16">
        <v>120</v>
      </c>
      <c r="F1667" s="14" t="s">
        <v>1321</v>
      </c>
      <c r="G1667" s="17">
        <v>3480</v>
      </c>
      <c r="H1667" s="14" t="s">
        <v>1322</v>
      </c>
      <c r="I1667" s="14" t="s">
        <v>1256</v>
      </c>
      <c r="J1667" s="14" t="s">
        <v>1233</v>
      </c>
      <c r="K1667" s="14" t="s">
        <v>1257</v>
      </c>
      <c r="L1667" s="14" t="s">
        <v>4302</v>
      </c>
      <c r="M1667" s="14" t="s">
        <v>1324</v>
      </c>
      <c r="N1667" s="14" t="s">
        <v>1237</v>
      </c>
      <c r="O1667" s="14" t="s">
        <v>1220</v>
      </c>
    </row>
    <row r="1668" spans="1:15" x14ac:dyDescent="0.25">
      <c r="A1668" s="14" t="s">
        <v>4303</v>
      </c>
      <c r="B1668" s="14" t="s">
        <v>4304</v>
      </c>
      <c r="C1668" s="14" t="s">
        <v>4305</v>
      </c>
      <c r="D1668" s="14" t="s">
        <v>4258</v>
      </c>
      <c r="E1668" s="15"/>
      <c r="F1668" s="14" t="s">
        <v>1321</v>
      </c>
      <c r="G1668" s="15"/>
      <c r="H1668" s="14" t="s">
        <v>1322</v>
      </c>
      <c r="I1668" s="14" t="s">
        <v>1262</v>
      </c>
      <c r="J1668" s="14" t="s">
        <v>1262</v>
      </c>
      <c r="K1668" s="14"/>
      <c r="L1668" s="14" t="s">
        <v>4302</v>
      </c>
      <c r="M1668" s="14" t="s">
        <v>1324</v>
      </c>
      <c r="N1668" s="14" t="s">
        <v>1219</v>
      </c>
      <c r="O1668" s="14" t="s">
        <v>1220</v>
      </c>
    </row>
    <row r="1669" spans="1:15" x14ac:dyDescent="0.25">
      <c r="A1669" s="14">
        <v>2683</v>
      </c>
      <c r="B1669" s="14" t="s">
        <v>653</v>
      </c>
      <c r="C1669" s="14" t="s">
        <v>4306</v>
      </c>
      <c r="D1669" s="14" t="s">
        <v>4258</v>
      </c>
      <c r="E1669" s="16">
        <v>200</v>
      </c>
      <c r="F1669" s="14" t="s">
        <v>1321</v>
      </c>
      <c r="G1669" s="17">
        <v>1200</v>
      </c>
      <c r="H1669" s="14" t="s">
        <v>1322</v>
      </c>
      <c r="I1669" s="14" t="s">
        <v>1256</v>
      </c>
      <c r="J1669" s="14" t="s">
        <v>1296</v>
      </c>
      <c r="K1669" s="14" t="s">
        <v>1257</v>
      </c>
      <c r="L1669" s="14" t="s">
        <v>4307</v>
      </c>
      <c r="M1669" s="14" t="s">
        <v>1324</v>
      </c>
      <c r="N1669" s="14" t="s">
        <v>1237</v>
      </c>
      <c r="O1669" s="14" t="s">
        <v>1220</v>
      </c>
    </row>
    <row r="1670" spans="1:15" x14ac:dyDescent="0.25">
      <c r="A1670" s="14" t="s">
        <v>4308</v>
      </c>
      <c r="B1670" s="14" t="s">
        <v>4309</v>
      </c>
      <c r="C1670" s="14" t="s">
        <v>4310</v>
      </c>
      <c r="D1670" s="14" t="s">
        <v>4258</v>
      </c>
      <c r="E1670" s="15"/>
      <c r="F1670" s="14" t="s">
        <v>1321</v>
      </c>
      <c r="G1670" s="15"/>
      <c r="H1670" s="14" t="s">
        <v>1322</v>
      </c>
      <c r="I1670" s="14" t="s">
        <v>1262</v>
      </c>
      <c r="J1670" s="14" t="s">
        <v>1262</v>
      </c>
      <c r="K1670" s="14"/>
      <c r="L1670" s="14" t="s">
        <v>4307</v>
      </c>
      <c r="M1670" s="14" t="s">
        <v>1324</v>
      </c>
      <c r="N1670" s="14" t="s">
        <v>1219</v>
      </c>
      <c r="O1670" s="14" t="s">
        <v>1220</v>
      </c>
    </row>
    <row r="1671" spans="1:15" x14ac:dyDescent="0.25">
      <c r="A1671" s="14">
        <v>2547</v>
      </c>
      <c r="B1671" s="14" t="s">
        <v>645</v>
      </c>
      <c r="C1671" s="14" t="s">
        <v>4311</v>
      </c>
      <c r="D1671" s="14" t="s">
        <v>4258</v>
      </c>
      <c r="E1671" s="16">
        <v>400</v>
      </c>
      <c r="F1671" s="14" t="s">
        <v>1321</v>
      </c>
      <c r="G1671" s="17">
        <v>5600</v>
      </c>
      <c r="H1671" s="14" t="s">
        <v>1322</v>
      </c>
      <c r="I1671" s="14" t="s">
        <v>1256</v>
      </c>
      <c r="J1671" s="14" t="s">
        <v>1242</v>
      </c>
      <c r="K1671" s="14" t="s">
        <v>1257</v>
      </c>
      <c r="L1671" s="14" t="s">
        <v>4312</v>
      </c>
      <c r="M1671" s="14" t="s">
        <v>1324</v>
      </c>
      <c r="N1671" s="14" t="s">
        <v>1237</v>
      </c>
      <c r="O1671" s="14" t="s">
        <v>1220</v>
      </c>
    </row>
    <row r="1672" spans="1:15" x14ac:dyDescent="0.25">
      <c r="A1672" s="14" t="s">
        <v>4313</v>
      </c>
      <c r="B1672" s="14" t="s">
        <v>4314</v>
      </c>
      <c r="C1672" s="14" t="s">
        <v>4315</v>
      </c>
      <c r="D1672" s="14" t="s">
        <v>4258</v>
      </c>
      <c r="E1672" s="15"/>
      <c r="F1672" s="14" t="s">
        <v>1321</v>
      </c>
      <c r="G1672" s="15"/>
      <c r="H1672" s="14" t="s">
        <v>1322</v>
      </c>
      <c r="I1672" s="14" t="s">
        <v>1262</v>
      </c>
      <c r="J1672" s="14" t="s">
        <v>1262</v>
      </c>
      <c r="K1672" s="14"/>
      <c r="L1672" s="14" t="s">
        <v>4312</v>
      </c>
      <c r="M1672" s="14" t="s">
        <v>1324</v>
      </c>
      <c r="N1672" s="14" t="s">
        <v>1219</v>
      </c>
      <c r="O1672" s="14" t="s">
        <v>1220</v>
      </c>
    </row>
    <row r="1673" spans="1:15" x14ac:dyDescent="0.25">
      <c r="A1673" s="14" t="s">
        <v>4316</v>
      </c>
      <c r="B1673" s="14" t="s">
        <v>4317</v>
      </c>
      <c r="C1673" s="14" t="s">
        <v>4317</v>
      </c>
      <c r="D1673" s="14" t="s">
        <v>1517</v>
      </c>
      <c r="E1673" s="15"/>
      <c r="F1673" s="14" t="s">
        <v>1510</v>
      </c>
      <c r="G1673" s="15"/>
      <c r="H1673" s="14" t="s">
        <v>1510</v>
      </c>
      <c r="I1673" s="14" t="s">
        <v>1262</v>
      </c>
      <c r="J1673" s="14" t="s">
        <v>1262</v>
      </c>
      <c r="K1673" s="14"/>
      <c r="L1673" s="14" t="s">
        <v>4318</v>
      </c>
      <c r="M1673" s="14" t="s">
        <v>1324</v>
      </c>
      <c r="N1673" s="14" t="s">
        <v>1219</v>
      </c>
      <c r="O1673" s="14" t="s">
        <v>1220</v>
      </c>
    </row>
    <row r="1674" spans="1:15" x14ac:dyDescent="0.25">
      <c r="A1674" s="14" t="s">
        <v>4319</v>
      </c>
      <c r="B1674" s="14" t="s">
        <v>4320</v>
      </c>
      <c r="C1674" s="14" t="s">
        <v>4320</v>
      </c>
      <c r="D1674" s="14" t="s">
        <v>1349</v>
      </c>
      <c r="E1674" s="15"/>
      <c r="F1674" s="14"/>
      <c r="G1674" s="15"/>
      <c r="H1674" s="14" t="s">
        <v>1380</v>
      </c>
      <c r="I1674" s="14" t="s">
        <v>1360</v>
      </c>
      <c r="J1674" s="14" t="s">
        <v>1360</v>
      </c>
      <c r="K1674" s="14"/>
      <c r="L1674" s="14"/>
      <c r="M1674" s="14" t="s">
        <v>1324</v>
      </c>
      <c r="N1674" s="14" t="s">
        <v>1219</v>
      </c>
      <c r="O1674" s="14" t="s">
        <v>1220</v>
      </c>
    </row>
    <row r="1675" spans="1:15" x14ac:dyDescent="0.25">
      <c r="A1675" s="14" t="s">
        <v>4321</v>
      </c>
      <c r="B1675" s="14" t="s">
        <v>4322</v>
      </c>
      <c r="C1675" s="14" t="s">
        <v>4322</v>
      </c>
      <c r="D1675" s="14" t="s">
        <v>1349</v>
      </c>
      <c r="E1675" s="15"/>
      <c r="F1675" s="14"/>
      <c r="G1675" s="15"/>
      <c r="H1675" s="14" t="s">
        <v>1380</v>
      </c>
      <c r="I1675" s="14" t="s">
        <v>1360</v>
      </c>
      <c r="J1675" s="14" t="s">
        <v>1360</v>
      </c>
      <c r="K1675" s="14"/>
      <c r="L1675" s="14"/>
      <c r="M1675" s="14" t="s">
        <v>1324</v>
      </c>
      <c r="N1675" s="14" t="s">
        <v>1219</v>
      </c>
      <c r="O1675" s="14" t="s">
        <v>1220</v>
      </c>
    </row>
    <row r="1676" spans="1:15" x14ac:dyDescent="0.25">
      <c r="A1676" s="14" t="s">
        <v>4323</v>
      </c>
      <c r="B1676" s="14" t="s">
        <v>4324</v>
      </c>
      <c r="C1676" s="14" t="s">
        <v>4324</v>
      </c>
      <c r="D1676" s="14" t="s">
        <v>1349</v>
      </c>
      <c r="E1676" s="15"/>
      <c r="F1676" s="14"/>
      <c r="G1676" s="15"/>
      <c r="H1676" s="14" t="s">
        <v>1380</v>
      </c>
      <c r="I1676" s="14" t="s">
        <v>1360</v>
      </c>
      <c r="J1676" s="14" t="s">
        <v>1360</v>
      </c>
      <c r="K1676" s="14"/>
      <c r="L1676" s="14"/>
      <c r="M1676" s="14" t="s">
        <v>1324</v>
      </c>
      <c r="N1676" s="14" t="s">
        <v>1219</v>
      </c>
      <c r="O1676" s="14" t="s">
        <v>1220</v>
      </c>
    </row>
    <row r="1677" spans="1:15" x14ac:dyDescent="0.25">
      <c r="A1677" s="14" t="s">
        <v>4325</v>
      </c>
      <c r="B1677" s="14" t="s">
        <v>4326</v>
      </c>
      <c r="C1677" s="14" t="s">
        <v>4326</v>
      </c>
      <c r="D1677" s="14" t="s">
        <v>4258</v>
      </c>
      <c r="E1677" s="15"/>
      <c r="F1677" s="14" t="s">
        <v>1350</v>
      </c>
      <c r="G1677" s="15"/>
      <c r="H1677" s="14" t="s">
        <v>1380</v>
      </c>
      <c r="I1677" s="14" t="s">
        <v>1360</v>
      </c>
      <c r="J1677" s="14" t="s">
        <v>1385</v>
      </c>
      <c r="K1677" s="14" t="s">
        <v>1257</v>
      </c>
      <c r="L1677" s="14" t="s">
        <v>4327</v>
      </c>
      <c r="M1677" s="14" t="s">
        <v>1324</v>
      </c>
      <c r="N1677" s="14" t="s">
        <v>1219</v>
      </c>
      <c r="O1677" s="14" t="s">
        <v>1220</v>
      </c>
    </row>
    <row r="1678" spans="1:15" x14ac:dyDescent="0.25">
      <c r="A1678" s="14" t="s">
        <v>4328</v>
      </c>
      <c r="B1678" s="14" t="s">
        <v>4329</v>
      </c>
      <c r="C1678" s="14" t="s">
        <v>4329</v>
      </c>
      <c r="D1678" s="14" t="s">
        <v>1349</v>
      </c>
      <c r="E1678" s="15"/>
      <c r="F1678" s="14" t="s">
        <v>1350</v>
      </c>
      <c r="G1678" s="15"/>
      <c r="H1678" s="14" t="s">
        <v>1380</v>
      </c>
      <c r="I1678" s="14" t="s">
        <v>1360</v>
      </c>
      <c r="J1678" s="14" t="s">
        <v>1360</v>
      </c>
      <c r="K1678" s="14" t="s">
        <v>1257</v>
      </c>
      <c r="L1678" s="14" t="s">
        <v>4327</v>
      </c>
      <c r="M1678" s="14" t="s">
        <v>1324</v>
      </c>
      <c r="N1678" s="14" t="s">
        <v>1219</v>
      </c>
      <c r="O1678" s="14" t="s">
        <v>1220</v>
      </c>
    </row>
    <row r="1679" spans="1:15" x14ac:dyDescent="0.25">
      <c r="A1679" s="14" t="s">
        <v>4330</v>
      </c>
      <c r="B1679" s="14" t="s">
        <v>4331</v>
      </c>
      <c r="C1679" s="14" t="s">
        <v>4331</v>
      </c>
      <c r="D1679" s="14" t="s">
        <v>1349</v>
      </c>
      <c r="E1679" s="15"/>
      <c r="F1679" s="14"/>
      <c r="G1679" s="15"/>
      <c r="H1679" s="14" t="s">
        <v>1380</v>
      </c>
      <c r="I1679" s="14" t="s">
        <v>1360</v>
      </c>
      <c r="J1679" s="14" t="s">
        <v>1360</v>
      </c>
      <c r="K1679" s="14"/>
      <c r="L1679" s="14"/>
      <c r="M1679" s="14" t="s">
        <v>1324</v>
      </c>
      <c r="N1679" s="14" t="s">
        <v>1219</v>
      </c>
      <c r="O1679" s="14" t="s">
        <v>1220</v>
      </c>
    </row>
    <row r="1680" spans="1:15" x14ac:dyDescent="0.25">
      <c r="A1680" s="14" t="s">
        <v>4332</v>
      </c>
      <c r="B1680" s="14" t="s">
        <v>4333</v>
      </c>
      <c r="C1680" s="14" t="s">
        <v>4333</v>
      </c>
      <c r="D1680" s="14" t="s">
        <v>1349</v>
      </c>
      <c r="E1680" s="15"/>
      <c r="F1680" s="14" t="s">
        <v>1350</v>
      </c>
      <c r="G1680" s="15"/>
      <c r="H1680" s="14" t="s">
        <v>1380</v>
      </c>
      <c r="I1680" s="14" t="s">
        <v>1360</v>
      </c>
      <c r="J1680" s="14" t="s">
        <v>1360</v>
      </c>
      <c r="K1680" s="14" t="s">
        <v>1257</v>
      </c>
      <c r="L1680" s="14" t="s">
        <v>4327</v>
      </c>
      <c r="M1680" s="14" t="s">
        <v>1324</v>
      </c>
      <c r="N1680" s="14" t="s">
        <v>1219</v>
      </c>
      <c r="O1680" s="14" t="s">
        <v>1220</v>
      </c>
    </row>
    <row r="1681" spans="1:15" x14ac:dyDescent="0.25">
      <c r="A1681" s="14" t="s">
        <v>4334</v>
      </c>
      <c r="B1681" s="14" t="s">
        <v>4335</v>
      </c>
      <c r="C1681" s="14" t="s">
        <v>4335</v>
      </c>
      <c r="D1681" s="14" t="s">
        <v>4258</v>
      </c>
      <c r="E1681" s="15"/>
      <c r="F1681" s="14" t="s">
        <v>1350</v>
      </c>
      <c r="G1681" s="15"/>
      <c r="H1681" s="14" t="s">
        <v>1380</v>
      </c>
      <c r="I1681" s="14" t="s">
        <v>1360</v>
      </c>
      <c r="J1681" s="14" t="s">
        <v>1385</v>
      </c>
      <c r="K1681" s="14" t="s">
        <v>1257</v>
      </c>
      <c r="L1681" s="14" t="s">
        <v>4327</v>
      </c>
      <c r="M1681" s="14" t="s">
        <v>1324</v>
      </c>
      <c r="N1681" s="14" t="s">
        <v>1219</v>
      </c>
      <c r="O1681" s="14" t="s">
        <v>1220</v>
      </c>
    </row>
    <row r="1682" spans="1:15" x14ac:dyDescent="0.25">
      <c r="A1682" s="14">
        <v>55116</v>
      </c>
      <c r="B1682" s="14" t="s">
        <v>4336</v>
      </c>
      <c r="C1682" s="14" t="s">
        <v>4336</v>
      </c>
      <c r="D1682" s="14" t="s">
        <v>1222</v>
      </c>
      <c r="E1682" s="15"/>
      <c r="F1682" s="14"/>
      <c r="G1682" s="15"/>
      <c r="H1682" s="14" t="s">
        <v>1223</v>
      </c>
      <c r="I1682" s="14"/>
      <c r="J1682" s="14"/>
      <c r="K1682" s="14"/>
      <c r="L1682" s="14"/>
      <c r="M1682" s="14"/>
      <c r="N1682" s="14" t="s">
        <v>1219</v>
      </c>
      <c r="O1682" s="14" t="s">
        <v>1220</v>
      </c>
    </row>
    <row r="1683" spans="1:15" x14ac:dyDescent="0.25">
      <c r="A1683" s="14">
        <v>163</v>
      </c>
      <c r="B1683" s="14" t="s">
        <v>313</v>
      </c>
      <c r="C1683" s="14" t="s">
        <v>4337</v>
      </c>
      <c r="D1683" s="14" t="s">
        <v>4258</v>
      </c>
      <c r="E1683" s="16">
        <v>160</v>
      </c>
      <c r="F1683" s="14" t="s">
        <v>1510</v>
      </c>
      <c r="G1683" s="17">
        <v>1600</v>
      </c>
      <c r="H1683" s="14" t="s">
        <v>1510</v>
      </c>
      <c r="I1683" s="14" t="s">
        <v>1256</v>
      </c>
      <c r="J1683" s="14" t="s">
        <v>1233</v>
      </c>
      <c r="K1683" s="14" t="s">
        <v>1257</v>
      </c>
      <c r="L1683" s="14" t="s">
        <v>4338</v>
      </c>
      <c r="M1683" s="14" t="s">
        <v>1324</v>
      </c>
      <c r="N1683" s="14" t="s">
        <v>1237</v>
      </c>
      <c r="O1683" s="14" t="s">
        <v>1220</v>
      </c>
    </row>
    <row r="1684" spans="1:15" x14ac:dyDescent="0.25">
      <c r="A1684" s="14" t="s">
        <v>4339</v>
      </c>
      <c r="B1684" s="14" t="s">
        <v>4340</v>
      </c>
      <c r="C1684" s="14" t="s">
        <v>4341</v>
      </c>
      <c r="D1684" s="14" t="s">
        <v>1517</v>
      </c>
      <c r="E1684" s="15"/>
      <c r="F1684" s="14" t="s">
        <v>1510</v>
      </c>
      <c r="G1684" s="15"/>
      <c r="H1684" s="14" t="s">
        <v>1510</v>
      </c>
      <c r="I1684" s="14" t="s">
        <v>1262</v>
      </c>
      <c r="J1684" s="14" t="s">
        <v>1262</v>
      </c>
      <c r="K1684" s="14"/>
      <c r="L1684" s="14" t="s">
        <v>4338</v>
      </c>
      <c r="M1684" s="14" t="s">
        <v>1324</v>
      </c>
      <c r="N1684" s="14" t="s">
        <v>1219</v>
      </c>
      <c r="O1684" s="14" t="s">
        <v>1220</v>
      </c>
    </row>
    <row r="1685" spans="1:15" x14ac:dyDescent="0.25">
      <c r="A1685" s="14">
        <v>490</v>
      </c>
      <c r="B1685" s="14" t="s">
        <v>314</v>
      </c>
      <c r="C1685" s="14" t="s">
        <v>4342</v>
      </c>
      <c r="D1685" s="14" t="s">
        <v>4258</v>
      </c>
      <c r="E1685" s="16">
        <v>120</v>
      </c>
      <c r="F1685" s="14" t="s">
        <v>1510</v>
      </c>
      <c r="G1685" s="16">
        <v>720</v>
      </c>
      <c r="H1685" s="14" t="s">
        <v>1510</v>
      </c>
      <c r="I1685" s="14" t="s">
        <v>1256</v>
      </c>
      <c r="J1685" s="14" t="s">
        <v>1242</v>
      </c>
      <c r="K1685" s="14" t="s">
        <v>1257</v>
      </c>
      <c r="L1685" s="14" t="s">
        <v>4343</v>
      </c>
      <c r="M1685" s="14" t="s">
        <v>1324</v>
      </c>
      <c r="N1685" s="14" t="s">
        <v>1237</v>
      </c>
      <c r="O1685" s="14" t="s">
        <v>1220</v>
      </c>
    </row>
    <row r="1686" spans="1:15" x14ac:dyDescent="0.25">
      <c r="A1686" s="14" t="s">
        <v>4344</v>
      </c>
      <c r="B1686" s="14" t="s">
        <v>4345</v>
      </c>
      <c r="C1686" s="14" t="s">
        <v>4346</v>
      </c>
      <c r="D1686" s="14" t="s">
        <v>1517</v>
      </c>
      <c r="E1686" s="15"/>
      <c r="F1686" s="14" t="s">
        <v>1510</v>
      </c>
      <c r="G1686" s="15"/>
      <c r="H1686" s="14" t="s">
        <v>1510</v>
      </c>
      <c r="I1686" s="14" t="s">
        <v>1262</v>
      </c>
      <c r="J1686" s="14" t="s">
        <v>1262</v>
      </c>
      <c r="K1686" s="14"/>
      <c r="L1686" s="14" t="s">
        <v>4343</v>
      </c>
      <c r="M1686" s="14" t="s">
        <v>1324</v>
      </c>
      <c r="N1686" s="14" t="s">
        <v>1219</v>
      </c>
      <c r="O1686" s="14" t="s">
        <v>1220</v>
      </c>
    </row>
    <row r="1687" spans="1:15" x14ac:dyDescent="0.25">
      <c r="A1687" s="14">
        <v>165</v>
      </c>
      <c r="B1687" s="14" t="s">
        <v>319</v>
      </c>
      <c r="C1687" s="14" t="s">
        <v>4347</v>
      </c>
      <c r="D1687" s="14" t="s">
        <v>4258</v>
      </c>
      <c r="E1687" s="16">
        <v>120</v>
      </c>
      <c r="F1687" s="14" t="s">
        <v>1510</v>
      </c>
      <c r="G1687" s="16">
        <v>720</v>
      </c>
      <c r="H1687" s="14" t="s">
        <v>1510</v>
      </c>
      <c r="I1687" s="14" t="s">
        <v>1256</v>
      </c>
      <c r="J1687" s="14" t="s">
        <v>1233</v>
      </c>
      <c r="K1687" s="14" t="s">
        <v>1257</v>
      </c>
      <c r="L1687" s="14" t="s">
        <v>4348</v>
      </c>
      <c r="M1687" s="14" t="s">
        <v>1324</v>
      </c>
      <c r="N1687" s="14" t="s">
        <v>1237</v>
      </c>
      <c r="O1687" s="14" t="s">
        <v>1220</v>
      </c>
    </row>
    <row r="1688" spans="1:15" x14ac:dyDescent="0.25">
      <c r="A1688" s="14" t="s">
        <v>4349</v>
      </c>
      <c r="B1688" s="14" t="s">
        <v>4350</v>
      </c>
      <c r="C1688" s="14" t="s">
        <v>4351</v>
      </c>
      <c r="D1688" s="14" t="s">
        <v>4352</v>
      </c>
      <c r="E1688" s="15"/>
      <c r="F1688" s="14" t="s">
        <v>1510</v>
      </c>
      <c r="G1688" s="15"/>
      <c r="H1688" s="14" t="s">
        <v>1510</v>
      </c>
      <c r="I1688" s="14" t="s">
        <v>1262</v>
      </c>
      <c r="J1688" s="14" t="s">
        <v>1262</v>
      </c>
      <c r="K1688" s="14"/>
      <c r="L1688" s="14" t="s">
        <v>4348</v>
      </c>
      <c r="M1688" s="14" t="s">
        <v>1324</v>
      </c>
      <c r="N1688" s="14" t="s">
        <v>1219</v>
      </c>
      <c r="O1688" s="14" t="s">
        <v>1220</v>
      </c>
    </row>
    <row r="1689" spans="1:15" x14ac:dyDescent="0.25">
      <c r="A1689" s="14">
        <v>166</v>
      </c>
      <c r="B1689" s="14" t="s">
        <v>4353</v>
      </c>
      <c r="C1689" s="14" t="s">
        <v>4354</v>
      </c>
      <c r="D1689" s="14" t="s">
        <v>1349</v>
      </c>
      <c r="E1689" s="15"/>
      <c r="F1689" s="14"/>
      <c r="G1689" s="15"/>
      <c r="H1689" s="14" t="s">
        <v>1510</v>
      </c>
      <c r="I1689" s="14" t="s">
        <v>1360</v>
      </c>
      <c r="J1689" s="14" t="s">
        <v>1360</v>
      </c>
      <c r="K1689" s="14"/>
      <c r="L1689" s="14"/>
      <c r="M1689" s="14" t="s">
        <v>1324</v>
      </c>
      <c r="N1689" s="14" t="s">
        <v>1219</v>
      </c>
      <c r="O1689" s="14" t="s">
        <v>1220</v>
      </c>
    </row>
    <row r="1690" spans="1:15" x14ac:dyDescent="0.25">
      <c r="A1690" s="14">
        <v>276</v>
      </c>
      <c r="B1690" s="14" t="s">
        <v>4355</v>
      </c>
      <c r="C1690" s="14" t="s">
        <v>4356</v>
      </c>
      <c r="D1690" s="14" t="s">
        <v>1349</v>
      </c>
      <c r="E1690" s="15"/>
      <c r="F1690" s="14"/>
      <c r="G1690" s="15"/>
      <c r="H1690" s="14" t="s">
        <v>1510</v>
      </c>
      <c r="I1690" s="14" t="s">
        <v>1360</v>
      </c>
      <c r="J1690" s="14" t="s">
        <v>1360</v>
      </c>
      <c r="K1690" s="14"/>
      <c r="L1690" s="14"/>
      <c r="M1690" s="14" t="s">
        <v>1324</v>
      </c>
      <c r="N1690" s="14" t="s">
        <v>1219</v>
      </c>
      <c r="O1690" s="14" t="s">
        <v>1220</v>
      </c>
    </row>
    <row r="1691" spans="1:15" x14ac:dyDescent="0.25">
      <c r="A1691" s="14">
        <v>585</v>
      </c>
      <c r="B1691" s="14" t="s">
        <v>4357</v>
      </c>
      <c r="C1691" s="14" t="s">
        <v>4358</v>
      </c>
      <c r="D1691" s="14" t="s">
        <v>4258</v>
      </c>
      <c r="E1691" s="15"/>
      <c r="F1691" s="14" t="s">
        <v>1350</v>
      </c>
      <c r="G1691" s="15"/>
      <c r="H1691" s="14" t="s">
        <v>1510</v>
      </c>
      <c r="I1691" s="14" t="s">
        <v>1351</v>
      </c>
      <c r="J1691" s="14" t="s">
        <v>1385</v>
      </c>
      <c r="K1691" s="14" t="s">
        <v>1257</v>
      </c>
      <c r="L1691" s="14" t="s">
        <v>4327</v>
      </c>
      <c r="M1691" s="14" t="s">
        <v>1324</v>
      </c>
      <c r="N1691" s="14" t="s">
        <v>1219</v>
      </c>
      <c r="O1691" s="14" t="s">
        <v>1220</v>
      </c>
    </row>
    <row r="1692" spans="1:15" x14ac:dyDescent="0.25">
      <c r="A1692" s="14">
        <v>308</v>
      </c>
      <c r="B1692" s="14" t="s">
        <v>4359</v>
      </c>
      <c r="C1692" s="14" t="s">
        <v>4360</v>
      </c>
      <c r="D1692" s="14" t="s">
        <v>4258</v>
      </c>
      <c r="E1692" s="15"/>
      <c r="F1692" s="14" t="s">
        <v>1350</v>
      </c>
      <c r="G1692" s="15"/>
      <c r="H1692" s="14" t="s">
        <v>1510</v>
      </c>
      <c r="I1692" s="14" t="s">
        <v>1360</v>
      </c>
      <c r="J1692" s="14" t="s">
        <v>1385</v>
      </c>
      <c r="K1692" s="14" t="s">
        <v>1257</v>
      </c>
      <c r="L1692" s="14" t="s">
        <v>4327</v>
      </c>
      <c r="M1692" s="14" t="s">
        <v>1324</v>
      </c>
      <c r="N1692" s="14" t="s">
        <v>1219</v>
      </c>
      <c r="O1692" s="14" t="s">
        <v>1220</v>
      </c>
    </row>
    <row r="1693" spans="1:15" x14ac:dyDescent="0.25">
      <c r="A1693" s="14">
        <v>55120</v>
      </c>
      <c r="B1693" s="14" t="s">
        <v>4361</v>
      </c>
      <c r="C1693" s="14" t="s">
        <v>4361</v>
      </c>
      <c r="D1693" s="14" t="s">
        <v>1222</v>
      </c>
      <c r="E1693" s="15"/>
      <c r="F1693" s="14"/>
      <c r="G1693" s="15"/>
      <c r="H1693" s="14" t="s">
        <v>1223</v>
      </c>
      <c r="I1693" s="14"/>
      <c r="J1693" s="14"/>
      <c r="K1693" s="14"/>
      <c r="L1693" s="14"/>
      <c r="M1693" s="14"/>
      <c r="N1693" s="14" t="s">
        <v>1219</v>
      </c>
      <c r="O1693" s="14" t="s">
        <v>1220</v>
      </c>
    </row>
    <row r="1694" spans="1:15" x14ac:dyDescent="0.25">
      <c r="A1694" s="14" t="s">
        <v>4362</v>
      </c>
      <c r="B1694" s="14" t="s">
        <v>4363</v>
      </c>
      <c r="C1694" s="14" t="s">
        <v>4363</v>
      </c>
      <c r="D1694" s="14" t="s">
        <v>1349</v>
      </c>
      <c r="E1694" s="15"/>
      <c r="F1694" s="14"/>
      <c r="G1694" s="15"/>
      <c r="H1694" s="14" t="s">
        <v>1380</v>
      </c>
      <c r="I1694" s="14" t="s">
        <v>1360</v>
      </c>
      <c r="J1694" s="14" t="s">
        <v>1360</v>
      </c>
      <c r="K1694" s="14"/>
      <c r="L1694" s="14"/>
      <c r="M1694" s="14" t="s">
        <v>1324</v>
      </c>
      <c r="N1694" s="14" t="s">
        <v>1219</v>
      </c>
      <c r="O1694" s="14" t="s">
        <v>1220</v>
      </c>
    </row>
    <row r="1695" spans="1:15" x14ac:dyDescent="0.25">
      <c r="A1695" s="14" t="s">
        <v>4364</v>
      </c>
      <c r="B1695" s="14" t="s">
        <v>4365</v>
      </c>
      <c r="C1695" s="14" t="s">
        <v>4365</v>
      </c>
      <c r="D1695" s="14" t="s">
        <v>1349</v>
      </c>
      <c r="E1695" s="15"/>
      <c r="F1695" s="14"/>
      <c r="G1695" s="15"/>
      <c r="H1695" s="14" t="s">
        <v>1380</v>
      </c>
      <c r="I1695" s="14" t="s">
        <v>1360</v>
      </c>
      <c r="J1695" s="14" t="s">
        <v>1360</v>
      </c>
      <c r="K1695" s="14"/>
      <c r="L1695" s="14"/>
      <c r="M1695" s="14" t="s">
        <v>1324</v>
      </c>
      <c r="N1695" s="14" t="s">
        <v>1219</v>
      </c>
      <c r="O1695" s="14" t="s">
        <v>1220</v>
      </c>
    </row>
    <row r="1696" spans="1:15" x14ac:dyDescent="0.25">
      <c r="A1696" s="14" t="s">
        <v>4366</v>
      </c>
      <c r="B1696" s="14" t="s">
        <v>4367</v>
      </c>
      <c r="C1696" s="14" t="s">
        <v>4367</v>
      </c>
      <c r="D1696" s="14" t="s">
        <v>1349</v>
      </c>
      <c r="E1696" s="15"/>
      <c r="F1696" s="14"/>
      <c r="G1696" s="15"/>
      <c r="H1696" s="14" t="s">
        <v>1380</v>
      </c>
      <c r="I1696" s="14" t="s">
        <v>1360</v>
      </c>
      <c r="J1696" s="14" t="s">
        <v>1360</v>
      </c>
      <c r="K1696" s="14"/>
      <c r="L1696" s="14"/>
      <c r="M1696" s="14" t="s">
        <v>1324</v>
      </c>
      <c r="N1696" s="14" t="s">
        <v>1219</v>
      </c>
      <c r="O1696" s="14" t="s">
        <v>1220</v>
      </c>
    </row>
    <row r="1697" spans="1:15" x14ac:dyDescent="0.25">
      <c r="A1697" s="14" t="s">
        <v>4368</v>
      </c>
      <c r="B1697" s="14" t="s">
        <v>4369</v>
      </c>
      <c r="C1697" s="14" t="s">
        <v>4369</v>
      </c>
      <c r="D1697" s="14" t="s">
        <v>1349</v>
      </c>
      <c r="E1697" s="15"/>
      <c r="F1697" s="14"/>
      <c r="G1697" s="15"/>
      <c r="H1697" s="14" t="s">
        <v>1380</v>
      </c>
      <c r="I1697" s="14" t="s">
        <v>1360</v>
      </c>
      <c r="J1697" s="14" t="s">
        <v>1360</v>
      </c>
      <c r="K1697" s="14"/>
      <c r="L1697" s="14"/>
      <c r="M1697" s="14" t="s">
        <v>1324</v>
      </c>
      <c r="N1697" s="14" t="s">
        <v>1219</v>
      </c>
      <c r="O1697" s="14" t="s">
        <v>1220</v>
      </c>
    </row>
    <row r="1698" spans="1:15" x14ac:dyDescent="0.25">
      <c r="A1698" s="14" t="s">
        <v>4370</v>
      </c>
      <c r="B1698" s="14" t="s">
        <v>4371</v>
      </c>
      <c r="C1698" s="14" t="s">
        <v>4371</v>
      </c>
      <c r="D1698" s="14" t="s">
        <v>1349</v>
      </c>
      <c r="E1698" s="15"/>
      <c r="F1698" s="14"/>
      <c r="G1698" s="15"/>
      <c r="H1698" s="14" t="s">
        <v>1380</v>
      </c>
      <c r="I1698" s="14" t="s">
        <v>1360</v>
      </c>
      <c r="J1698" s="14" t="s">
        <v>1360</v>
      </c>
      <c r="K1698" s="14"/>
      <c r="L1698" s="14"/>
      <c r="M1698" s="14" t="s">
        <v>1324</v>
      </c>
      <c r="N1698" s="14" t="s">
        <v>1219</v>
      </c>
      <c r="O1698" s="14" t="s">
        <v>1220</v>
      </c>
    </row>
    <row r="1699" spans="1:15" x14ac:dyDescent="0.25">
      <c r="A1699" s="14">
        <v>55140</v>
      </c>
      <c r="B1699" s="14" t="s">
        <v>4372</v>
      </c>
      <c r="C1699" s="14" t="s">
        <v>4372</v>
      </c>
      <c r="D1699" s="14" t="s">
        <v>1222</v>
      </c>
      <c r="E1699" s="15"/>
      <c r="F1699" s="14"/>
      <c r="G1699" s="15"/>
      <c r="H1699" s="14" t="s">
        <v>1223</v>
      </c>
      <c r="I1699" s="14"/>
      <c r="J1699" s="14"/>
      <c r="K1699" s="14"/>
      <c r="L1699" s="14"/>
      <c r="M1699" s="14"/>
      <c r="N1699" s="14" t="s">
        <v>1219</v>
      </c>
      <c r="O1699" s="14" t="s">
        <v>1220</v>
      </c>
    </row>
    <row r="1700" spans="1:15" x14ac:dyDescent="0.25">
      <c r="A1700" s="14">
        <v>36308</v>
      </c>
      <c r="B1700" s="14" t="s">
        <v>4373</v>
      </c>
      <c r="C1700" s="14" t="s">
        <v>4373</v>
      </c>
      <c r="D1700" s="14" t="s">
        <v>1222</v>
      </c>
      <c r="E1700" s="15"/>
      <c r="F1700" s="14"/>
      <c r="G1700" s="15"/>
      <c r="H1700" s="14" t="s">
        <v>1223</v>
      </c>
      <c r="I1700" s="14"/>
      <c r="J1700" s="14"/>
      <c r="K1700" s="14"/>
      <c r="L1700" s="14"/>
      <c r="M1700" s="14"/>
      <c r="N1700" s="14" t="s">
        <v>1219</v>
      </c>
      <c r="O1700" s="14" t="s">
        <v>1220</v>
      </c>
    </row>
    <row r="1701" spans="1:15" x14ac:dyDescent="0.25">
      <c r="A1701" s="14">
        <v>55220</v>
      </c>
      <c r="B1701" s="14" t="s">
        <v>4374</v>
      </c>
      <c r="C1701" s="14" t="s">
        <v>4374</v>
      </c>
      <c r="D1701" s="14" t="s">
        <v>1222</v>
      </c>
      <c r="E1701" s="15"/>
      <c r="F1701" s="14"/>
      <c r="G1701" s="15"/>
      <c r="H1701" s="14" t="s">
        <v>1223</v>
      </c>
      <c r="I1701" s="14"/>
      <c r="J1701" s="14"/>
      <c r="K1701" s="14"/>
      <c r="L1701" s="14"/>
      <c r="M1701" s="14"/>
      <c r="N1701" s="14" t="s">
        <v>1219</v>
      </c>
      <c r="O1701" s="14" t="s">
        <v>1220</v>
      </c>
    </row>
    <row r="1702" spans="1:15" x14ac:dyDescent="0.25">
      <c r="A1702" s="14">
        <v>55135</v>
      </c>
      <c r="B1702" s="14" t="s">
        <v>4375</v>
      </c>
      <c r="C1702" s="14" t="s">
        <v>4375</v>
      </c>
      <c r="D1702" s="14" t="s">
        <v>1222</v>
      </c>
      <c r="E1702" s="15"/>
      <c r="F1702" s="14"/>
      <c r="G1702" s="15"/>
      <c r="H1702" s="14" t="s">
        <v>1223</v>
      </c>
      <c r="I1702" s="14"/>
      <c r="J1702" s="14"/>
      <c r="K1702" s="14"/>
      <c r="L1702" s="14"/>
      <c r="M1702" s="14"/>
      <c r="N1702" s="14" t="s">
        <v>1219</v>
      </c>
      <c r="O1702" s="14" t="s">
        <v>1220</v>
      </c>
    </row>
    <row r="1703" spans="1:15" x14ac:dyDescent="0.25">
      <c r="A1703" s="14">
        <v>41000001</v>
      </c>
      <c r="B1703" s="14" t="s">
        <v>4376</v>
      </c>
      <c r="C1703" s="14" t="s">
        <v>4376</v>
      </c>
      <c r="D1703" s="14" t="s">
        <v>1921</v>
      </c>
      <c r="E1703" s="15"/>
      <c r="F1703" s="14" t="s">
        <v>1533</v>
      </c>
      <c r="G1703" s="15"/>
      <c r="H1703" s="14" t="s">
        <v>1534</v>
      </c>
      <c r="I1703" s="14" t="s">
        <v>1360</v>
      </c>
      <c r="J1703" s="14" t="s">
        <v>1351</v>
      </c>
      <c r="K1703" s="14"/>
      <c r="L1703" s="14"/>
      <c r="M1703" s="14" t="s">
        <v>1218</v>
      </c>
      <c r="N1703" s="14" t="s">
        <v>1219</v>
      </c>
      <c r="O1703" s="14" t="s">
        <v>1220</v>
      </c>
    </row>
    <row r="1704" spans="1:15" x14ac:dyDescent="0.25">
      <c r="A1704" s="14">
        <v>4587</v>
      </c>
      <c r="B1704" s="14" t="s">
        <v>272</v>
      </c>
      <c r="C1704" s="14" t="s">
        <v>272</v>
      </c>
      <c r="D1704" s="14" t="s">
        <v>1543</v>
      </c>
      <c r="E1704" s="16">
        <v>200</v>
      </c>
      <c r="F1704" s="14" t="s">
        <v>1545</v>
      </c>
      <c r="G1704" s="17">
        <v>2000</v>
      </c>
      <c r="H1704" s="14" t="s">
        <v>1545</v>
      </c>
      <c r="I1704" s="14" t="s">
        <v>1256</v>
      </c>
      <c r="J1704" s="14" t="s">
        <v>1296</v>
      </c>
      <c r="K1704" s="14" t="s">
        <v>1257</v>
      </c>
      <c r="L1704" s="14" t="s">
        <v>4377</v>
      </c>
      <c r="M1704" s="14" t="s">
        <v>1801</v>
      </c>
      <c r="N1704" s="14" t="s">
        <v>1237</v>
      </c>
      <c r="O1704" s="14" t="s">
        <v>1220</v>
      </c>
    </row>
    <row r="1705" spans="1:15" x14ac:dyDescent="0.25">
      <c r="A1705" s="14" t="s">
        <v>4378</v>
      </c>
      <c r="B1705" s="14" t="s">
        <v>4379</v>
      </c>
      <c r="C1705" s="14" t="s">
        <v>4379</v>
      </c>
      <c r="D1705" s="14" t="s">
        <v>1545</v>
      </c>
      <c r="E1705" s="15"/>
      <c r="F1705" s="14" t="s">
        <v>1545</v>
      </c>
      <c r="G1705" s="15"/>
      <c r="H1705" s="14" t="s">
        <v>1545</v>
      </c>
      <c r="I1705" s="14" t="s">
        <v>1262</v>
      </c>
      <c r="J1705" s="14" t="s">
        <v>1262</v>
      </c>
      <c r="K1705" s="14"/>
      <c r="L1705" s="14" t="s">
        <v>4377</v>
      </c>
      <c r="M1705" s="14" t="s">
        <v>1801</v>
      </c>
      <c r="N1705" s="14" t="s">
        <v>1219</v>
      </c>
      <c r="O1705" s="14" t="s">
        <v>1220</v>
      </c>
    </row>
    <row r="1706" spans="1:15" x14ac:dyDescent="0.25">
      <c r="A1706" s="14">
        <v>4589</v>
      </c>
      <c r="B1706" s="14" t="s">
        <v>273</v>
      </c>
      <c r="C1706" s="14" t="s">
        <v>273</v>
      </c>
      <c r="D1706" s="14" t="s">
        <v>1543</v>
      </c>
      <c r="E1706" s="16">
        <v>200</v>
      </c>
      <c r="F1706" s="14" t="s">
        <v>1545</v>
      </c>
      <c r="G1706" s="17">
        <v>2000</v>
      </c>
      <c r="H1706" s="14" t="s">
        <v>1545</v>
      </c>
      <c r="I1706" s="14" t="s">
        <v>1256</v>
      </c>
      <c r="J1706" s="14" t="s">
        <v>1296</v>
      </c>
      <c r="K1706" s="14" t="s">
        <v>1257</v>
      </c>
      <c r="L1706" s="14" t="s">
        <v>4380</v>
      </c>
      <c r="M1706" s="14" t="s">
        <v>1801</v>
      </c>
      <c r="N1706" s="14" t="s">
        <v>1237</v>
      </c>
      <c r="O1706" s="14" t="s">
        <v>1220</v>
      </c>
    </row>
    <row r="1707" spans="1:15" x14ac:dyDescent="0.25">
      <c r="A1707" s="14" t="s">
        <v>4381</v>
      </c>
      <c r="B1707" s="14" t="s">
        <v>4382</v>
      </c>
      <c r="C1707" s="14" t="s">
        <v>4382</v>
      </c>
      <c r="D1707" s="14" t="s">
        <v>1545</v>
      </c>
      <c r="E1707" s="15"/>
      <c r="F1707" s="14" t="s">
        <v>1545</v>
      </c>
      <c r="G1707" s="15"/>
      <c r="H1707" s="14" t="s">
        <v>1545</v>
      </c>
      <c r="I1707" s="14" t="s">
        <v>1262</v>
      </c>
      <c r="J1707" s="14" t="s">
        <v>1262</v>
      </c>
      <c r="K1707" s="14"/>
      <c r="L1707" s="14" t="s">
        <v>4380</v>
      </c>
      <c r="M1707" s="14" t="s">
        <v>1801</v>
      </c>
      <c r="N1707" s="14" t="s">
        <v>1219</v>
      </c>
      <c r="O1707" s="14" t="s">
        <v>1220</v>
      </c>
    </row>
    <row r="1708" spans="1:15" x14ac:dyDescent="0.25">
      <c r="A1708" s="14">
        <v>4588</v>
      </c>
      <c r="B1708" s="14" t="s">
        <v>274</v>
      </c>
      <c r="C1708" s="14" t="s">
        <v>274</v>
      </c>
      <c r="D1708" s="14" t="s">
        <v>1543</v>
      </c>
      <c r="E1708" s="16">
        <v>200</v>
      </c>
      <c r="F1708" s="14" t="s">
        <v>1545</v>
      </c>
      <c r="G1708" s="17">
        <v>2000</v>
      </c>
      <c r="H1708" s="14" t="s">
        <v>1545</v>
      </c>
      <c r="I1708" s="14" t="s">
        <v>1256</v>
      </c>
      <c r="J1708" s="14" t="s">
        <v>1296</v>
      </c>
      <c r="K1708" s="14" t="s">
        <v>1257</v>
      </c>
      <c r="L1708" s="14" t="s">
        <v>4383</v>
      </c>
      <c r="M1708" s="14" t="s">
        <v>1801</v>
      </c>
      <c r="N1708" s="14" t="s">
        <v>1237</v>
      </c>
      <c r="O1708" s="14" t="s">
        <v>1220</v>
      </c>
    </row>
    <row r="1709" spans="1:15" x14ac:dyDescent="0.25">
      <c r="A1709" s="14" t="s">
        <v>4384</v>
      </c>
      <c r="B1709" s="14" t="s">
        <v>4385</v>
      </c>
      <c r="C1709" s="14" t="s">
        <v>4385</v>
      </c>
      <c r="D1709" s="14" t="s">
        <v>1545</v>
      </c>
      <c r="E1709" s="15"/>
      <c r="F1709" s="14" t="s">
        <v>1545</v>
      </c>
      <c r="G1709" s="15"/>
      <c r="H1709" s="14" t="s">
        <v>1545</v>
      </c>
      <c r="I1709" s="14" t="s">
        <v>1262</v>
      </c>
      <c r="J1709" s="14" t="s">
        <v>1262</v>
      </c>
      <c r="K1709" s="14"/>
      <c r="L1709" s="14" t="s">
        <v>4383</v>
      </c>
      <c r="M1709" s="14" t="s">
        <v>1801</v>
      </c>
      <c r="N1709" s="14" t="s">
        <v>1219</v>
      </c>
      <c r="O1709" s="14" t="s">
        <v>1220</v>
      </c>
    </row>
    <row r="1710" spans="1:15" x14ac:dyDescent="0.25">
      <c r="A1710" s="14">
        <v>4590</v>
      </c>
      <c r="B1710" s="14" t="s">
        <v>275</v>
      </c>
      <c r="C1710" s="14" t="s">
        <v>275</v>
      </c>
      <c r="D1710" s="14" t="s">
        <v>1543</v>
      </c>
      <c r="E1710" s="16">
        <v>200</v>
      </c>
      <c r="F1710" s="14" t="s">
        <v>1545</v>
      </c>
      <c r="G1710" s="17">
        <v>2000</v>
      </c>
      <c r="H1710" s="14" t="s">
        <v>1545</v>
      </c>
      <c r="I1710" s="14" t="s">
        <v>1256</v>
      </c>
      <c r="J1710" s="14" t="s">
        <v>1296</v>
      </c>
      <c r="K1710" s="14" t="s">
        <v>1257</v>
      </c>
      <c r="L1710" s="14" t="s">
        <v>4386</v>
      </c>
      <c r="M1710" s="14" t="s">
        <v>1801</v>
      </c>
      <c r="N1710" s="14" t="s">
        <v>1237</v>
      </c>
      <c r="O1710" s="14" t="s">
        <v>1220</v>
      </c>
    </row>
    <row r="1711" spans="1:15" x14ac:dyDescent="0.25">
      <c r="A1711" s="14" t="s">
        <v>4387</v>
      </c>
      <c r="B1711" s="14" t="s">
        <v>4388</v>
      </c>
      <c r="C1711" s="14" t="s">
        <v>4388</v>
      </c>
      <c r="D1711" s="14" t="s">
        <v>1545</v>
      </c>
      <c r="E1711" s="15"/>
      <c r="F1711" s="14" t="s">
        <v>1545</v>
      </c>
      <c r="G1711" s="15"/>
      <c r="H1711" s="14" t="s">
        <v>1545</v>
      </c>
      <c r="I1711" s="14" t="s">
        <v>1262</v>
      </c>
      <c r="J1711" s="14" t="s">
        <v>1262</v>
      </c>
      <c r="K1711" s="14"/>
      <c r="L1711" s="14" t="s">
        <v>4386</v>
      </c>
      <c r="M1711" s="14" t="s">
        <v>1801</v>
      </c>
      <c r="N1711" s="14" t="s">
        <v>1219</v>
      </c>
      <c r="O1711" s="14" t="s">
        <v>1220</v>
      </c>
    </row>
    <row r="1712" spans="1:15" x14ac:dyDescent="0.25">
      <c r="A1712" s="14">
        <v>4496</v>
      </c>
      <c r="B1712" s="14" t="s">
        <v>4389</v>
      </c>
      <c r="C1712" s="14" t="s">
        <v>4389</v>
      </c>
      <c r="D1712" s="14" t="s">
        <v>1349</v>
      </c>
      <c r="E1712" s="15"/>
      <c r="F1712" s="14"/>
      <c r="G1712" s="15"/>
      <c r="H1712" s="14" t="s">
        <v>1322</v>
      </c>
      <c r="I1712" s="14" t="s">
        <v>1360</v>
      </c>
      <c r="J1712" s="14" t="s">
        <v>1360</v>
      </c>
      <c r="K1712" s="14"/>
      <c r="L1712" s="14"/>
      <c r="M1712" s="14" t="s">
        <v>1324</v>
      </c>
      <c r="N1712" s="14" t="s">
        <v>1219</v>
      </c>
      <c r="O1712" s="14" t="s">
        <v>1220</v>
      </c>
    </row>
    <row r="1713" spans="1:15" x14ac:dyDescent="0.25">
      <c r="A1713" s="14">
        <v>4495</v>
      </c>
      <c r="B1713" s="14" t="s">
        <v>4390</v>
      </c>
      <c r="C1713" s="14" t="s">
        <v>4390</v>
      </c>
      <c r="D1713" s="14" t="s">
        <v>1349</v>
      </c>
      <c r="E1713" s="15"/>
      <c r="F1713" s="14"/>
      <c r="G1713" s="15"/>
      <c r="H1713" s="14" t="s">
        <v>1322</v>
      </c>
      <c r="I1713" s="14" t="s">
        <v>1360</v>
      </c>
      <c r="J1713" s="14" t="s">
        <v>1360</v>
      </c>
      <c r="K1713" s="14"/>
      <c r="L1713" s="14"/>
      <c r="M1713" s="14" t="s">
        <v>1324</v>
      </c>
      <c r="N1713" s="14" t="s">
        <v>1219</v>
      </c>
      <c r="O1713" s="14" t="s">
        <v>1220</v>
      </c>
    </row>
    <row r="1714" spans="1:15" x14ac:dyDescent="0.25">
      <c r="A1714" s="14">
        <v>4497</v>
      </c>
      <c r="B1714" s="14" t="s">
        <v>4391</v>
      </c>
      <c r="C1714" s="14" t="s">
        <v>4391</v>
      </c>
      <c r="D1714" s="14" t="s">
        <v>1349</v>
      </c>
      <c r="E1714" s="15"/>
      <c r="F1714" s="14"/>
      <c r="G1714" s="15"/>
      <c r="H1714" s="14" t="s">
        <v>1322</v>
      </c>
      <c r="I1714" s="14" t="s">
        <v>1360</v>
      </c>
      <c r="J1714" s="14" t="s">
        <v>1360</v>
      </c>
      <c r="K1714" s="14"/>
      <c r="L1714" s="14"/>
      <c r="M1714" s="14" t="s">
        <v>1324</v>
      </c>
      <c r="N1714" s="14" t="s">
        <v>1219</v>
      </c>
      <c r="O1714" s="14" t="s">
        <v>1220</v>
      </c>
    </row>
    <row r="1715" spans="1:15" x14ac:dyDescent="0.25">
      <c r="A1715" s="14">
        <v>4494</v>
      </c>
      <c r="B1715" s="14" t="s">
        <v>4392</v>
      </c>
      <c r="C1715" s="14" t="s">
        <v>4393</v>
      </c>
      <c r="D1715" s="14" t="s">
        <v>1349</v>
      </c>
      <c r="E1715" s="15"/>
      <c r="F1715" s="14" t="s">
        <v>1350</v>
      </c>
      <c r="G1715" s="15"/>
      <c r="H1715" s="14" t="s">
        <v>1322</v>
      </c>
      <c r="I1715" s="14" t="s">
        <v>1360</v>
      </c>
      <c r="J1715" s="14" t="s">
        <v>1360</v>
      </c>
      <c r="K1715" s="14" t="s">
        <v>1257</v>
      </c>
      <c r="L1715" s="14" t="s">
        <v>4386</v>
      </c>
      <c r="M1715" s="14" t="s">
        <v>1324</v>
      </c>
      <c r="N1715" s="14" t="s">
        <v>1219</v>
      </c>
      <c r="O1715" s="14" t="s">
        <v>1220</v>
      </c>
    </row>
    <row r="1716" spans="1:15" x14ac:dyDescent="0.25">
      <c r="A1716" s="14" t="s">
        <v>4394</v>
      </c>
      <c r="B1716" s="14" t="s">
        <v>4395</v>
      </c>
      <c r="C1716" s="14" t="s">
        <v>4395</v>
      </c>
      <c r="D1716" s="14" t="s">
        <v>1349</v>
      </c>
      <c r="E1716" s="15"/>
      <c r="F1716" s="14"/>
      <c r="G1716" s="15"/>
      <c r="H1716" s="14" t="s">
        <v>1380</v>
      </c>
      <c r="I1716" s="14" t="s">
        <v>1360</v>
      </c>
      <c r="J1716" s="14" t="s">
        <v>1360</v>
      </c>
      <c r="K1716" s="14"/>
      <c r="L1716" s="14"/>
      <c r="M1716" s="14" t="s">
        <v>1324</v>
      </c>
      <c r="N1716" s="14" t="s">
        <v>1219</v>
      </c>
      <c r="O1716" s="14" t="s">
        <v>1220</v>
      </c>
    </row>
    <row r="1717" spans="1:15" x14ac:dyDescent="0.25">
      <c r="A1717" s="14" t="s">
        <v>4396</v>
      </c>
      <c r="B1717" s="14" t="s">
        <v>4397</v>
      </c>
      <c r="C1717" s="14" t="s">
        <v>4397</v>
      </c>
      <c r="D1717" s="14" t="s">
        <v>1349</v>
      </c>
      <c r="E1717" s="15"/>
      <c r="F1717" s="14"/>
      <c r="G1717" s="15"/>
      <c r="H1717" s="14" t="s">
        <v>1380</v>
      </c>
      <c r="I1717" s="14" t="s">
        <v>1360</v>
      </c>
      <c r="J1717" s="14" t="s">
        <v>1360</v>
      </c>
      <c r="K1717" s="14"/>
      <c r="L1717" s="14"/>
      <c r="M1717" s="14" t="s">
        <v>1324</v>
      </c>
      <c r="N1717" s="14" t="s">
        <v>1219</v>
      </c>
      <c r="O1717" s="14" t="s">
        <v>1220</v>
      </c>
    </row>
    <row r="1718" spans="1:15" x14ac:dyDescent="0.25">
      <c r="A1718" s="14" t="s">
        <v>4398</v>
      </c>
      <c r="B1718" s="14" t="s">
        <v>4399</v>
      </c>
      <c r="C1718" s="14" t="s">
        <v>4399</v>
      </c>
      <c r="D1718" s="14" t="s">
        <v>1349</v>
      </c>
      <c r="E1718" s="15"/>
      <c r="F1718" s="14"/>
      <c r="G1718" s="15"/>
      <c r="H1718" s="14" t="s">
        <v>1380</v>
      </c>
      <c r="I1718" s="14" t="s">
        <v>1360</v>
      </c>
      <c r="J1718" s="14" t="s">
        <v>1360</v>
      </c>
      <c r="K1718" s="14"/>
      <c r="L1718" s="14"/>
      <c r="M1718" s="14" t="s">
        <v>1324</v>
      </c>
      <c r="N1718" s="14" t="s">
        <v>1219</v>
      </c>
      <c r="O1718" s="14" t="s">
        <v>1220</v>
      </c>
    </row>
    <row r="1719" spans="1:15" x14ac:dyDescent="0.25">
      <c r="A1719" s="14" t="s">
        <v>4400</v>
      </c>
      <c r="B1719" s="14" t="s">
        <v>4401</v>
      </c>
      <c r="C1719" s="14" t="s">
        <v>4401</v>
      </c>
      <c r="D1719" s="14" t="s">
        <v>1349</v>
      </c>
      <c r="E1719" s="15"/>
      <c r="F1719" s="14"/>
      <c r="G1719" s="15"/>
      <c r="H1719" s="14" t="s">
        <v>1380</v>
      </c>
      <c r="I1719" s="14" t="s">
        <v>1360</v>
      </c>
      <c r="J1719" s="14" t="s">
        <v>1360</v>
      </c>
      <c r="K1719" s="14"/>
      <c r="L1719" s="14"/>
      <c r="M1719" s="14" t="s">
        <v>1324</v>
      </c>
      <c r="N1719" s="14" t="s">
        <v>1219</v>
      </c>
      <c r="O1719" s="14" t="s">
        <v>1220</v>
      </c>
    </row>
    <row r="1720" spans="1:15" x14ac:dyDescent="0.25">
      <c r="A1720" s="14" t="s">
        <v>4402</v>
      </c>
      <c r="B1720" s="14" t="s">
        <v>4403</v>
      </c>
      <c r="C1720" s="14" t="s">
        <v>4403</v>
      </c>
      <c r="D1720" s="14" t="s">
        <v>1349</v>
      </c>
      <c r="E1720" s="15"/>
      <c r="F1720" s="14"/>
      <c r="G1720" s="15"/>
      <c r="H1720" s="14" t="s">
        <v>1380</v>
      </c>
      <c r="I1720" s="14" t="s">
        <v>1360</v>
      </c>
      <c r="J1720" s="14" t="s">
        <v>1360</v>
      </c>
      <c r="K1720" s="14"/>
      <c r="L1720" s="14"/>
      <c r="M1720" s="14" t="s">
        <v>1324</v>
      </c>
      <c r="N1720" s="14" t="s">
        <v>1219</v>
      </c>
      <c r="O1720" s="14" t="s">
        <v>1220</v>
      </c>
    </row>
    <row r="1721" spans="1:15" x14ac:dyDescent="0.25">
      <c r="A1721" s="14" t="s">
        <v>4404</v>
      </c>
      <c r="B1721" s="14" t="s">
        <v>4405</v>
      </c>
      <c r="C1721" s="14" t="s">
        <v>4405</v>
      </c>
      <c r="D1721" s="14" t="s">
        <v>1349</v>
      </c>
      <c r="E1721" s="15"/>
      <c r="F1721" s="14"/>
      <c r="G1721" s="15"/>
      <c r="H1721" s="14" t="s">
        <v>1380</v>
      </c>
      <c r="I1721" s="14" t="s">
        <v>1360</v>
      </c>
      <c r="J1721" s="14" t="s">
        <v>1360</v>
      </c>
      <c r="K1721" s="14"/>
      <c r="L1721" s="14"/>
      <c r="M1721" s="14" t="s">
        <v>1324</v>
      </c>
      <c r="N1721" s="14" t="s">
        <v>1219</v>
      </c>
      <c r="O1721" s="14" t="s">
        <v>1220</v>
      </c>
    </row>
    <row r="1722" spans="1:15" x14ac:dyDescent="0.25">
      <c r="A1722" s="14" t="s">
        <v>4406</v>
      </c>
      <c r="B1722" s="14" t="s">
        <v>4407</v>
      </c>
      <c r="C1722" s="14" t="s">
        <v>4407</v>
      </c>
      <c r="D1722" s="14" t="s">
        <v>4258</v>
      </c>
      <c r="E1722" s="15"/>
      <c r="F1722" s="14" t="s">
        <v>1350</v>
      </c>
      <c r="G1722" s="15"/>
      <c r="H1722" s="14" t="s">
        <v>1380</v>
      </c>
      <c r="I1722" s="14" t="s">
        <v>1360</v>
      </c>
      <c r="J1722" s="14" t="s">
        <v>1385</v>
      </c>
      <c r="K1722" s="14" t="s">
        <v>1257</v>
      </c>
      <c r="L1722" s="14" t="s">
        <v>4386</v>
      </c>
      <c r="M1722" s="14" t="s">
        <v>1324</v>
      </c>
      <c r="N1722" s="14" t="s">
        <v>1219</v>
      </c>
      <c r="O1722" s="14" t="s">
        <v>1220</v>
      </c>
    </row>
    <row r="1723" spans="1:15" x14ac:dyDescent="0.25">
      <c r="A1723" s="14" t="s">
        <v>4408</v>
      </c>
      <c r="B1723" s="14" t="s">
        <v>4409</v>
      </c>
      <c r="C1723" s="14" t="s">
        <v>4409</v>
      </c>
      <c r="D1723" s="14" t="s">
        <v>1349</v>
      </c>
      <c r="E1723" s="15"/>
      <c r="F1723" s="14"/>
      <c r="G1723" s="15"/>
      <c r="H1723" s="14" t="s">
        <v>1380</v>
      </c>
      <c r="I1723" s="14" t="s">
        <v>1360</v>
      </c>
      <c r="J1723" s="14" t="s">
        <v>1360</v>
      </c>
      <c r="K1723" s="14"/>
      <c r="L1723" s="14"/>
      <c r="M1723" s="14" t="s">
        <v>1324</v>
      </c>
      <c r="N1723" s="14" t="s">
        <v>1219</v>
      </c>
      <c r="O1723" s="14" t="s">
        <v>1220</v>
      </c>
    </row>
    <row r="1724" spans="1:15" x14ac:dyDescent="0.25">
      <c r="A1724" s="14" t="s">
        <v>4410</v>
      </c>
      <c r="B1724" s="14" t="s">
        <v>4411</v>
      </c>
      <c r="C1724" s="14" t="s">
        <v>4411</v>
      </c>
      <c r="D1724" s="14" t="s">
        <v>1349</v>
      </c>
      <c r="E1724" s="15"/>
      <c r="F1724" s="14"/>
      <c r="G1724" s="15"/>
      <c r="H1724" s="14" t="s">
        <v>1380</v>
      </c>
      <c r="I1724" s="14" t="s">
        <v>1360</v>
      </c>
      <c r="J1724" s="14" t="s">
        <v>1360</v>
      </c>
      <c r="K1724" s="14"/>
      <c r="L1724" s="14"/>
      <c r="M1724" s="14" t="s">
        <v>1324</v>
      </c>
      <c r="N1724" s="14" t="s">
        <v>1219</v>
      </c>
      <c r="O1724" s="14" t="s">
        <v>1220</v>
      </c>
    </row>
    <row r="1725" spans="1:15" x14ac:dyDescent="0.25">
      <c r="A1725" s="14" t="s">
        <v>4412</v>
      </c>
      <c r="B1725" s="14" t="s">
        <v>4413</v>
      </c>
      <c r="C1725" s="14" t="s">
        <v>4413</v>
      </c>
      <c r="D1725" s="14" t="s">
        <v>1349</v>
      </c>
      <c r="E1725" s="15"/>
      <c r="F1725" s="14"/>
      <c r="G1725" s="15"/>
      <c r="H1725" s="14" t="s">
        <v>1380</v>
      </c>
      <c r="I1725" s="14" t="s">
        <v>1360</v>
      </c>
      <c r="J1725" s="14" t="s">
        <v>1360</v>
      </c>
      <c r="K1725" s="14"/>
      <c r="L1725" s="14"/>
      <c r="M1725" s="14" t="s">
        <v>1324</v>
      </c>
      <c r="N1725" s="14" t="s">
        <v>1219</v>
      </c>
      <c r="O1725" s="14" t="s">
        <v>1220</v>
      </c>
    </row>
    <row r="1726" spans="1:15" x14ac:dyDescent="0.25">
      <c r="A1726" s="14" t="s">
        <v>4414</v>
      </c>
      <c r="B1726" s="14" t="s">
        <v>4415</v>
      </c>
      <c r="C1726" s="14" t="s">
        <v>4415</v>
      </c>
      <c r="D1726" s="14" t="s">
        <v>1349</v>
      </c>
      <c r="E1726" s="15"/>
      <c r="F1726" s="14"/>
      <c r="G1726" s="15"/>
      <c r="H1726" s="14" t="s">
        <v>1380</v>
      </c>
      <c r="I1726" s="14" t="s">
        <v>1360</v>
      </c>
      <c r="J1726" s="14" t="s">
        <v>1360</v>
      </c>
      <c r="K1726" s="14"/>
      <c r="L1726" s="14"/>
      <c r="M1726" s="14" t="s">
        <v>1324</v>
      </c>
      <c r="N1726" s="14" t="s">
        <v>1219</v>
      </c>
      <c r="O1726" s="14" t="s">
        <v>1220</v>
      </c>
    </row>
    <row r="1727" spans="1:15" x14ac:dyDescent="0.25">
      <c r="A1727" s="14" t="s">
        <v>4416</v>
      </c>
      <c r="B1727" s="14" t="s">
        <v>4417</v>
      </c>
      <c r="C1727" s="14" t="s">
        <v>4417</v>
      </c>
      <c r="D1727" s="14" t="s">
        <v>1349</v>
      </c>
      <c r="E1727" s="15"/>
      <c r="F1727" s="14"/>
      <c r="G1727" s="15"/>
      <c r="H1727" s="14" t="s">
        <v>1380</v>
      </c>
      <c r="I1727" s="14" t="s">
        <v>1360</v>
      </c>
      <c r="J1727" s="14" t="s">
        <v>1360</v>
      </c>
      <c r="K1727" s="14"/>
      <c r="L1727" s="14"/>
      <c r="M1727" s="14" t="s">
        <v>1324</v>
      </c>
      <c r="N1727" s="14" t="s">
        <v>1219</v>
      </c>
      <c r="O1727" s="14" t="s">
        <v>1220</v>
      </c>
    </row>
    <row r="1728" spans="1:15" x14ac:dyDescent="0.25">
      <c r="A1728" s="14" t="s">
        <v>4418</v>
      </c>
      <c r="B1728" s="14" t="s">
        <v>4419</v>
      </c>
      <c r="C1728" s="14" t="s">
        <v>4419</v>
      </c>
      <c r="D1728" s="14" t="s">
        <v>1349</v>
      </c>
      <c r="E1728" s="15"/>
      <c r="F1728" s="14"/>
      <c r="G1728" s="15"/>
      <c r="H1728" s="14" t="s">
        <v>1380</v>
      </c>
      <c r="I1728" s="14" t="s">
        <v>1360</v>
      </c>
      <c r="J1728" s="14" t="s">
        <v>1360</v>
      </c>
      <c r="K1728" s="14"/>
      <c r="L1728" s="14"/>
      <c r="M1728" s="14" t="s">
        <v>1324</v>
      </c>
      <c r="N1728" s="14" t="s">
        <v>1219</v>
      </c>
      <c r="O1728" s="14" t="s">
        <v>1220</v>
      </c>
    </row>
    <row r="1729" spans="1:15" x14ac:dyDescent="0.25">
      <c r="A1729" s="14" t="s">
        <v>4420</v>
      </c>
      <c r="B1729" s="14" t="s">
        <v>4421</v>
      </c>
      <c r="C1729" s="14" t="s">
        <v>4421</v>
      </c>
      <c r="D1729" s="14" t="s">
        <v>4258</v>
      </c>
      <c r="E1729" s="15"/>
      <c r="F1729" s="14" t="s">
        <v>1350</v>
      </c>
      <c r="G1729" s="15"/>
      <c r="H1729" s="14" t="s">
        <v>1380</v>
      </c>
      <c r="I1729" s="14" t="s">
        <v>1360</v>
      </c>
      <c r="J1729" s="14" t="s">
        <v>1385</v>
      </c>
      <c r="K1729" s="14" t="s">
        <v>1257</v>
      </c>
      <c r="L1729" s="14" t="s">
        <v>4386</v>
      </c>
      <c r="M1729" s="14" t="s">
        <v>1324</v>
      </c>
      <c r="N1729" s="14" t="s">
        <v>1219</v>
      </c>
      <c r="O1729" s="14" t="s">
        <v>1220</v>
      </c>
    </row>
    <row r="1730" spans="1:15" x14ac:dyDescent="0.25">
      <c r="A1730" s="14" t="s">
        <v>4422</v>
      </c>
      <c r="B1730" s="14" t="s">
        <v>4423</v>
      </c>
      <c r="C1730" s="14" t="s">
        <v>4423</v>
      </c>
      <c r="D1730" s="14" t="s">
        <v>1349</v>
      </c>
      <c r="E1730" s="15"/>
      <c r="F1730" s="14"/>
      <c r="G1730" s="15"/>
      <c r="H1730" s="14" t="s">
        <v>1380</v>
      </c>
      <c r="I1730" s="14" t="s">
        <v>1360</v>
      </c>
      <c r="J1730" s="14" t="s">
        <v>1360</v>
      </c>
      <c r="K1730" s="14"/>
      <c r="L1730" s="14"/>
      <c r="M1730" s="14" t="s">
        <v>1324</v>
      </c>
      <c r="N1730" s="14" t="s">
        <v>1219</v>
      </c>
      <c r="O1730" s="14" t="s">
        <v>1220</v>
      </c>
    </row>
    <row r="1731" spans="1:15" x14ac:dyDescent="0.25">
      <c r="A1731" s="14" t="s">
        <v>4424</v>
      </c>
      <c r="B1731" s="14" t="s">
        <v>4425</v>
      </c>
      <c r="C1731" s="14" t="s">
        <v>4425</v>
      </c>
      <c r="D1731" s="14" t="s">
        <v>1349</v>
      </c>
      <c r="E1731" s="15"/>
      <c r="F1731" s="14"/>
      <c r="G1731" s="15"/>
      <c r="H1731" s="14" t="s">
        <v>1380</v>
      </c>
      <c r="I1731" s="14" t="s">
        <v>1360</v>
      </c>
      <c r="J1731" s="14" t="s">
        <v>1360</v>
      </c>
      <c r="K1731" s="14"/>
      <c r="L1731" s="14"/>
      <c r="M1731" s="14" t="s">
        <v>1324</v>
      </c>
      <c r="N1731" s="14" t="s">
        <v>1219</v>
      </c>
      <c r="O1731" s="14" t="s">
        <v>1220</v>
      </c>
    </row>
    <row r="1732" spans="1:15" x14ac:dyDescent="0.25">
      <c r="A1732" s="14">
        <v>162</v>
      </c>
      <c r="B1732" s="14" t="s">
        <v>311</v>
      </c>
      <c r="C1732" s="14" t="s">
        <v>4426</v>
      </c>
      <c r="D1732" s="14" t="s">
        <v>4258</v>
      </c>
      <c r="E1732" s="16">
        <v>180</v>
      </c>
      <c r="F1732" s="14" t="s">
        <v>1510</v>
      </c>
      <c r="G1732" s="17">
        <v>1800</v>
      </c>
      <c r="H1732" s="14" t="s">
        <v>1510</v>
      </c>
      <c r="I1732" s="14" t="s">
        <v>1256</v>
      </c>
      <c r="J1732" s="14" t="s">
        <v>1233</v>
      </c>
      <c r="K1732" s="14" t="s">
        <v>1257</v>
      </c>
      <c r="L1732" s="14" t="s">
        <v>4427</v>
      </c>
      <c r="M1732" s="14" t="s">
        <v>1324</v>
      </c>
      <c r="N1732" s="14" t="s">
        <v>1237</v>
      </c>
      <c r="O1732" s="14" t="s">
        <v>1220</v>
      </c>
    </row>
    <row r="1733" spans="1:15" x14ac:dyDescent="0.25">
      <c r="A1733" s="14" t="s">
        <v>4428</v>
      </c>
      <c r="B1733" s="14" t="s">
        <v>4429</v>
      </c>
      <c r="C1733" s="14" t="s">
        <v>4430</v>
      </c>
      <c r="D1733" s="14" t="s">
        <v>1517</v>
      </c>
      <c r="E1733" s="15"/>
      <c r="F1733" s="14" t="s">
        <v>1510</v>
      </c>
      <c r="G1733" s="15"/>
      <c r="H1733" s="14" t="s">
        <v>1510</v>
      </c>
      <c r="I1733" s="14" t="s">
        <v>1262</v>
      </c>
      <c r="J1733" s="14" t="s">
        <v>1262</v>
      </c>
      <c r="K1733" s="14"/>
      <c r="L1733" s="14" t="s">
        <v>4427</v>
      </c>
      <c r="M1733" s="14" t="s">
        <v>1324</v>
      </c>
      <c r="N1733" s="14" t="s">
        <v>1219</v>
      </c>
      <c r="O1733" s="14" t="s">
        <v>1220</v>
      </c>
    </row>
    <row r="1734" spans="1:15" x14ac:dyDescent="0.25">
      <c r="A1734" s="14">
        <v>289</v>
      </c>
      <c r="B1734" s="14" t="s">
        <v>315</v>
      </c>
      <c r="C1734" s="14" t="s">
        <v>4431</v>
      </c>
      <c r="D1734" s="14" t="s">
        <v>4258</v>
      </c>
      <c r="E1734" s="16">
        <v>170</v>
      </c>
      <c r="F1734" s="14" t="s">
        <v>1510</v>
      </c>
      <c r="G1734" s="16">
        <v>680</v>
      </c>
      <c r="H1734" s="14" t="s">
        <v>1510</v>
      </c>
      <c r="I1734" s="14" t="s">
        <v>1256</v>
      </c>
      <c r="J1734" s="14" t="s">
        <v>1242</v>
      </c>
      <c r="K1734" s="14" t="s">
        <v>1257</v>
      </c>
      <c r="L1734" s="14" t="s">
        <v>4432</v>
      </c>
      <c r="M1734" s="14" t="s">
        <v>1324</v>
      </c>
      <c r="N1734" s="14" t="s">
        <v>1237</v>
      </c>
      <c r="O1734" s="14" t="s">
        <v>1220</v>
      </c>
    </row>
    <row r="1735" spans="1:15" x14ac:dyDescent="0.25">
      <c r="A1735" s="14" t="s">
        <v>4433</v>
      </c>
      <c r="B1735" s="14" t="s">
        <v>4434</v>
      </c>
      <c r="C1735" s="14" t="s">
        <v>4435</v>
      </c>
      <c r="D1735" s="14" t="s">
        <v>1517</v>
      </c>
      <c r="E1735" s="15"/>
      <c r="F1735" s="14" t="s">
        <v>1510</v>
      </c>
      <c r="G1735" s="15"/>
      <c r="H1735" s="14" t="s">
        <v>1510</v>
      </c>
      <c r="I1735" s="14" t="s">
        <v>1262</v>
      </c>
      <c r="J1735" s="14" t="s">
        <v>1262</v>
      </c>
      <c r="K1735" s="14"/>
      <c r="L1735" s="14" t="s">
        <v>4432</v>
      </c>
      <c r="M1735" s="14" t="s">
        <v>1324</v>
      </c>
      <c r="N1735" s="14" t="s">
        <v>1219</v>
      </c>
      <c r="O1735" s="14" t="s">
        <v>1220</v>
      </c>
    </row>
    <row r="1736" spans="1:15" x14ac:dyDescent="0.25">
      <c r="A1736" s="14">
        <v>290</v>
      </c>
      <c r="B1736" s="14" t="s">
        <v>317</v>
      </c>
      <c r="C1736" s="14" t="s">
        <v>4436</v>
      </c>
      <c r="D1736" s="14" t="s">
        <v>4258</v>
      </c>
      <c r="E1736" s="16">
        <v>120</v>
      </c>
      <c r="F1736" s="14" t="s">
        <v>1510</v>
      </c>
      <c r="G1736" s="16">
        <v>480</v>
      </c>
      <c r="H1736" s="14" t="s">
        <v>1510</v>
      </c>
      <c r="I1736" s="14" t="s">
        <v>1256</v>
      </c>
      <c r="J1736" s="14" t="s">
        <v>1233</v>
      </c>
      <c r="K1736" s="14" t="s">
        <v>1257</v>
      </c>
      <c r="L1736" s="14" t="s">
        <v>4437</v>
      </c>
      <c r="M1736" s="14" t="s">
        <v>1324</v>
      </c>
      <c r="N1736" s="14" t="s">
        <v>1237</v>
      </c>
      <c r="O1736" s="14" t="s">
        <v>1220</v>
      </c>
    </row>
    <row r="1737" spans="1:15" x14ac:dyDescent="0.25">
      <c r="A1737" s="14" t="s">
        <v>4438</v>
      </c>
      <c r="B1737" s="14" t="s">
        <v>4439</v>
      </c>
      <c r="C1737" s="14" t="s">
        <v>4440</v>
      </c>
      <c r="D1737" s="14" t="s">
        <v>4352</v>
      </c>
      <c r="E1737" s="15"/>
      <c r="F1737" s="14" t="s">
        <v>1510</v>
      </c>
      <c r="G1737" s="15"/>
      <c r="H1737" s="14" t="s">
        <v>1510</v>
      </c>
      <c r="I1737" s="14" t="s">
        <v>1262</v>
      </c>
      <c r="J1737" s="14" t="s">
        <v>1262</v>
      </c>
      <c r="K1737" s="14"/>
      <c r="L1737" s="14" t="s">
        <v>4437</v>
      </c>
      <c r="M1737" s="14" t="s">
        <v>1324</v>
      </c>
      <c r="N1737" s="14" t="s">
        <v>1219</v>
      </c>
      <c r="O1737" s="14" t="s">
        <v>1220</v>
      </c>
    </row>
    <row r="1738" spans="1:15" x14ac:dyDescent="0.25">
      <c r="A1738" s="14">
        <v>173</v>
      </c>
      <c r="B1738" s="14" t="s">
        <v>320</v>
      </c>
      <c r="C1738" s="14" t="s">
        <v>4441</v>
      </c>
      <c r="D1738" s="14" t="s">
        <v>4258</v>
      </c>
      <c r="E1738" s="16">
        <v>120</v>
      </c>
      <c r="F1738" s="14" t="s">
        <v>1510</v>
      </c>
      <c r="G1738" s="17">
        <v>1200</v>
      </c>
      <c r="H1738" s="14" t="s">
        <v>1510</v>
      </c>
      <c r="I1738" s="14" t="s">
        <v>1256</v>
      </c>
      <c r="J1738" s="14" t="s">
        <v>1233</v>
      </c>
      <c r="K1738" s="14" t="s">
        <v>1257</v>
      </c>
      <c r="L1738" s="14" t="s">
        <v>4442</v>
      </c>
      <c r="M1738" s="14" t="s">
        <v>1324</v>
      </c>
      <c r="N1738" s="14" t="s">
        <v>1237</v>
      </c>
      <c r="O1738" s="14" t="s">
        <v>1220</v>
      </c>
    </row>
    <row r="1739" spans="1:15" x14ac:dyDescent="0.25">
      <c r="A1739" s="14" t="s">
        <v>4443</v>
      </c>
      <c r="B1739" s="14" t="s">
        <v>4444</v>
      </c>
      <c r="C1739" s="14" t="s">
        <v>4445</v>
      </c>
      <c r="D1739" s="14" t="s">
        <v>4352</v>
      </c>
      <c r="E1739" s="15"/>
      <c r="F1739" s="14" t="s">
        <v>1510</v>
      </c>
      <c r="G1739" s="15"/>
      <c r="H1739" s="14" t="s">
        <v>1510</v>
      </c>
      <c r="I1739" s="14" t="s">
        <v>1262</v>
      </c>
      <c r="J1739" s="14" t="s">
        <v>1262</v>
      </c>
      <c r="K1739" s="14"/>
      <c r="L1739" s="14" t="s">
        <v>4442</v>
      </c>
      <c r="M1739" s="14" t="s">
        <v>1324</v>
      </c>
      <c r="N1739" s="14" t="s">
        <v>1219</v>
      </c>
      <c r="O1739" s="14" t="s">
        <v>1220</v>
      </c>
    </row>
    <row r="1740" spans="1:15" x14ac:dyDescent="0.25">
      <c r="A1740" s="14">
        <v>179</v>
      </c>
      <c r="B1740" s="14" t="s">
        <v>4446</v>
      </c>
      <c r="C1740" s="14" t="s">
        <v>4447</v>
      </c>
      <c r="D1740" s="14" t="s">
        <v>1349</v>
      </c>
      <c r="E1740" s="15"/>
      <c r="F1740" s="14"/>
      <c r="G1740" s="15"/>
      <c r="H1740" s="14" t="s">
        <v>1510</v>
      </c>
      <c r="I1740" s="14" t="s">
        <v>1360</v>
      </c>
      <c r="J1740" s="14" t="s">
        <v>1360</v>
      </c>
      <c r="K1740" s="14"/>
      <c r="L1740" s="14"/>
      <c r="M1740" s="14" t="s">
        <v>1324</v>
      </c>
      <c r="N1740" s="14" t="s">
        <v>1219</v>
      </c>
      <c r="O1740" s="14" t="s">
        <v>1220</v>
      </c>
    </row>
    <row r="1741" spans="1:15" x14ac:dyDescent="0.25">
      <c r="A1741" s="14">
        <v>176</v>
      </c>
      <c r="B1741" s="14" t="s">
        <v>4448</v>
      </c>
      <c r="C1741" s="14" t="s">
        <v>4449</v>
      </c>
      <c r="D1741" s="14" t="s">
        <v>1349</v>
      </c>
      <c r="E1741" s="15"/>
      <c r="F1741" s="14"/>
      <c r="G1741" s="15"/>
      <c r="H1741" s="14" t="s">
        <v>1510</v>
      </c>
      <c r="I1741" s="14" t="s">
        <v>1360</v>
      </c>
      <c r="J1741" s="14" t="s">
        <v>1360</v>
      </c>
      <c r="K1741" s="14"/>
      <c r="L1741" s="14"/>
      <c r="M1741" s="14" t="s">
        <v>1324</v>
      </c>
      <c r="N1741" s="14" t="s">
        <v>1219</v>
      </c>
      <c r="O1741" s="14" t="s">
        <v>1220</v>
      </c>
    </row>
    <row r="1742" spans="1:15" x14ac:dyDescent="0.25">
      <c r="A1742" s="14">
        <v>178</v>
      </c>
      <c r="B1742" s="14" t="s">
        <v>4450</v>
      </c>
      <c r="C1742" s="14" t="s">
        <v>4451</v>
      </c>
      <c r="D1742" s="14" t="s">
        <v>1349</v>
      </c>
      <c r="E1742" s="15"/>
      <c r="F1742" s="14"/>
      <c r="G1742" s="15"/>
      <c r="H1742" s="14" t="s">
        <v>1510</v>
      </c>
      <c r="I1742" s="14" t="s">
        <v>1360</v>
      </c>
      <c r="J1742" s="14" t="s">
        <v>1360</v>
      </c>
      <c r="K1742" s="14"/>
      <c r="L1742" s="14"/>
      <c r="M1742" s="14" t="s">
        <v>1324</v>
      </c>
      <c r="N1742" s="14" t="s">
        <v>1219</v>
      </c>
      <c r="O1742" s="14" t="s">
        <v>1220</v>
      </c>
    </row>
    <row r="1743" spans="1:15" x14ac:dyDescent="0.25">
      <c r="A1743" s="14">
        <v>191</v>
      </c>
      <c r="B1743" s="14" t="s">
        <v>4452</v>
      </c>
      <c r="C1743" s="14" t="s">
        <v>4453</v>
      </c>
      <c r="D1743" s="14" t="s">
        <v>1349</v>
      </c>
      <c r="E1743" s="15"/>
      <c r="F1743" s="14"/>
      <c r="G1743" s="15"/>
      <c r="H1743" s="14" t="s">
        <v>1510</v>
      </c>
      <c r="I1743" s="14" t="s">
        <v>1360</v>
      </c>
      <c r="J1743" s="14" t="s">
        <v>1360</v>
      </c>
      <c r="K1743" s="14"/>
      <c r="L1743" s="14"/>
      <c r="M1743" s="14" t="s">
        <v>1324</v>
      </c>
      <c r="N1743" s="14" t="s">
        <v>1219</v>
      </c>
      <c r="O1743" s="14" t="s">
        <v>1220</v>
      </c>
    </row>
    <row r="1744" spans="1:15" x14ac:dyDescent="0.25">
      <c r="A1744" s="14">
        <v>188</v>
      </c>
      <c r="B1744" s="14" t="s">
        <v>4454</v>
      </c>
      <c r="C1744" s="14" t="s">
        <v>4455</v>
      </c>
      <c r="D1744" s="14" t="s">
        <v>1349</v>
      </c>
      <c r="E1744" s="15"/>
      <c r="F1744" s="14"/>
      <c r="G1744" s="15"/>
      <c r="H1744" s="14" t="s">
        <v>1510</v>
      </c>
      <c r="I1744" s="14" t="s">
        <v>1360</v>
      </c>
      <c r="J1744" s="14" t="s">
        <v>1360</v>
      </c>
      <c r="K1744" s="14"/>
      <c r="L1744" s="14"/>
      <c r="M1744" s="14" t="s">
        <v>1324</v>
      </c>
      <c r="N1744" s="14" t="s">
        <v>1219</v>
      </c>
      <c r="O1744" s="14" t="s">
        <v>1220</v>
      </c>
    </row>
    <row r="1745" spans="1:15" x14ac:dyDescent="0.25">
      <c r="A1745" s="14">
        <v>190</v>
      </c>
      <c r="B1745" s="14" t="s">
        <v>4456</v>
      </c>
      <c r="C1745" s="14" t="s">
        <v>4457</v>
      </c>
      <c r="D1745" s="14" t="s">
        <v>1349</v>
      </c>
      <c r="E1745" s="15"/>
      <c r="F1745" s="14"/>
      <c r="G1745" s="15"/>
      <c r="H1745" s="14" t="s">
        <v>1510</v>
      </c>
      <c r="I1745" s="14" t="s">
        <v>1360</v>
      </c>
      <c r="J1745" s="14" t="s">
        <v>1360</v>
      </c>
      <c r="K1745" s="14"/>
      <c r="L1745" s="14"/>
      <c r="M1745" s="14" t="s">
        <v>1324</v>
      </c>
      <c r="N1745" s="14" t="s">
        <v>1219</v>
      </c>
      <c r="O1745" s="14" t="s">
        <v>1220</v>
      </c>
    </row>
    <row r="1746" spans="1:15" x14ac:dyDescent="0.25">
      <c r="A1746" s="14">
        <v>161</v>
      </c>
      <c r="B1746" s="14" t="s">
        <v>312</v>
      </c>
      <c r="C1746" s="14" t="s">
        <v>4458</v>
      </c>
      <c r="D1746" s="14" t="s">
        <v>4258</v>
      </c>
      <c r="E1746" s="16">
        <v>240</v>
      </c>
      <c r="F1746" s="14" t="s">
        <v>1510</v>
      </c>
      <c r="G1746" s="17">
        <v>2400</v>
      </c>
      <c r="H1746" s="14" t="s">
        <v>1510</v>
      </c>
      <c r="I1746" s="14" t="s">
        <v>1256</v>
      </c>
      <c r="J1746" s="14" t="s">
        <v>1233</v>
      </c>
      <c r="K1746" s="14" t="s">
        <v>1257</v>
      </c>
      <c r="L1746" s="14" t="s">
        <v>4318</v>
      </c>
      <c r="M1746" s="14" t="s">
        <v>1324</v>
      </c>
      <c r="N1746" s="14" t="s">
        <v>1237</v>
      </c>
      <c r="O1746" s="14" t="s">
        <v>1220</v>
      </c>
    </row>
    <row r="1747" spans="1:15" x14ac:dyDescent="0.25">
      <c r="A1747" s="14">
        <v>464</v>
      </c>
      <c r="B1747" s="14" t="s">
        <v>316</v>
      </c>
      <c r="C1747" s="14" t="s">
        <v>4459</v>
      </c>
      <c r="D1747" s="14" t="s">
        <v>4258</v>
      </c>
      <c r="E1747" s="16">
        <v>180</v>
      </c>
      <c r="F1747" s="14" t="s">
        <v>1510</v>
      </c>
      <c r="G1747" s="16">
        <v>360</v>
      </c>
      <c r="H1747" s="14" t="s">
        <v>1510</v>
      </c>
      <c r="I1747" s="14" t="s">
        <v>1256</v>
      </c>
      <c r="J1747" s="14" t="s">
        <v>1242</v>
      </c>
      <c r="K1747" s="14" t="s">
        <v>1257</v>
      </c>
      <c r="L1747" s="14" t="s">
        <v>4460</v>
      </c>
      <c r="M1747" s="14" t="s">
        <v>1324</v>
      </c>
      <c r="N1747" s="14" t="s">
        <v>1237</v>
      </c>
      <c r="O1747" s="14" t="s">
        <v>1220</v>
      </c>
    </row>
    <row r="1748" spans="1:15" x14ac:dyDescent="0.25">
      <c r="A1748" s="14" t="s">
        <v>4461</v>
      </c>
      <c r="B1748" s="14" t="s">
        <v>4462</v>
      </c>
      <c r="C1748" s="14" t="s">
        <v>4463</v>
      </c>
      <c r="D1748" s="14" t="s">
        <v>1517</v>
      </c>
      <c r="E1748" s="15"/>
      <c r="F1748" s="14" t="s">
        <v>1510</v>
      </c>
      <c r="G1748" s="15"/>
      <c r="H1748" s="14" t="s">
        <v>1510</v>
      </c>
      <c r="I1748" s="14" t="s">
        <v>1262</v>
      </c>
      <c r="J1748" s="14" t="s">
        <v>1262</v>
      </c>
      <c r="K1748" s="14"/>
      <c r="L1748" s="14" t="s">
        <v>4460</v>
      </c>
      <c r="M1748" s="14" t="s">
        <v>1324</v>
      </c>
      <c r="N1748" s="14" t="s">
        <v>1219</v>
      </c>
      <c r="O1748" s="14" t="s">
        <v>1220</v>
      </c>
    </row>
    <row r="1749" spans="1:15" x14ac:dyDescent="0.25">
      <c r="A1749" s="14">
        <v>167</v>
      </c>
      <c r="B1749" s="14" t="s">
        <v>318</v>
      </c>
      <c r="C1749" s="14" t="s">
        <v>4464</v>
      </c>
      <c r="D1749" s="14" t="s">
        <v>4258</v>
      </c>
      <c r="E1749" s="16">
        <v>160</v>
      </c>
      <c r="F1749" s="14" t="s">
        <v>1510</v>
      </c>
      <c r="G1749" s="17">
        <v>1600</v>
      </c>
      <c r="H1749" s="14" t="s">
        <v>1510</v>
      </c>
      <c r="I1749" s="14" t="s">
        <v>1256</v>
      </c>
      <c r="J1749" s="14" t="s">
        <v>1233</v>
      </c>
      <c r="K1749" s="14" t="s">
        <v>1257</v>
      </c>
      <c r="L1749" s="14" t="s">
        <v>4465</v>
      </c>
      <c r="M1749" s="14" t="s">
        <v>1324</v>
      </c>
      <c r="N1749" s="14" t="s">
        <v>1237</v>
      </c>
      <c r="O1749" s="14" t="s">
        <v>1220</v>
      </c>
    </row>
    <row r="1750" spans="1:15" x14ac:dyDescent="0.25">
      <c r="A1750" s="14" t="s">
        <v>4466</v>
      </c>
      <c r="B1750" s="14" t="s">
        <v>4467</v>
      </c>
      <c r="C1750" s="14" t="s">
        <v>4468</v>
      </c>
      <c r="D1750" s="14" t="s">
        <v>4352</v>
      </c>
      <c r="E1750" s="15"/>
      <c r="F1750" s="14" t="s">
        <v>1510</v>
      </c>
      <c r="G1750" s="15"/>
      <c r="H1750" s="14" t="s">
        <v>1510</v>
      </c>
      <c r="I1750" s="14" t="s">
        <v>1262</v>
      </c>
      <c r="J1750" s="14" t="s">
        <v>1262</v>
      </c>
      <c r="K1750" s="14"/>
      <c r="L1750" s="14" t="s">
        <v>4465</v>
      </c>
      <c r="M1750" s="14" t="s">
        <v>1324</v>
      </c>
      <c r="N1750" s="14" t="s">
        <v>1219</v>
      </c>
      <c r="O1750" s="14" t="s">
        <v>1220</v>
      </c>
    </row>
    <row r="1751" spans="1:15" x14ac:dyDescent="0.25">
      <c r="A1751" s="14">
        <v>172</v>
      </c>
      <c r="B1751" s="14" t="s">
        <v>321</v>
      </c>
      <c r="C1751" s="14" t="s">
        <v>4469</v>
      </c>
      <c r="D1751" s="14" t="s">
        <v>4258</v>
      </c>
      <c r="E1751" s="16">
        <v>120</v>
      </c>
      <c r="F1751" s="14" t="s">
        <v>1510</v>
      </c>
      <c r="G1751" s="17">
        <v>1200</v>
      </c>
      <c r="H1751" s="14" t="s">
        <v>1510</v>
      </c>
      <c r="I1751" s="14" t="s">
        <v>1256</v>
      </c>
      <c r="J1751" s="14" t="s">
        <v>1233</v>
      </c>
      <c r="K1751" s="14" t="s">
        <v>1257</v>
      </c>
      <c r="L1751" s="14" t="s">
        <v>4327</v>
      </c>
      <c r="M1751" s="14" t="s">
        <v>1324</v>
      </c>
      <c r="N1751" s="14" t="s">
        <v>1237</v>
      </c>
      <c r="O1751" s="14" t="s">
        <v>1220</v>
      </c>
    </row>
    <row r="1752" spans="1:15" x14ac:dyDescent="0.25">
      <c r="A1752" s="14" t="s">
        <v>4470</v>
      </c>
      <c r="B1752" s="14" t="s">
        <v>4471</v>
      </c>
      <c r="C1752" s="14" t="s">
        <v>4472</v>
      </c>
      <c r="D1752" s="14" t="s">
        <v>4352</v>
      </c>
      <c r="E1752" s="15"/>
      <c r="F1752" s="14" t="s">
        <v>1510</v>
      </c>
      <c r="G1752" s="15"/>
      <c r="H1752" s="14" t="s">
        <v>1510</v>
      </c>
      <c r="I1752" s="14" t="s">
        <v>1262</v>
      </c>
      <c r="J1752" s="14" t="s">
        <v>1262</v>
      </c>
      <c r="K1752" s="14"/>
      <c r="L1752" s="14" t="s">
        <v>4327</v>
      </c>
      <c r="M1752" s="14" t="s">
        <v>1324</v>
      </c>
      <c r="N1752" s="14" t="s">
        <v>1219</v>
      </c>
      <c r="O1752" s="14" t="s">
        <v>1220</v>
      </c>
    </row>
    <row r="1753" spans="1:15" x14ac:dyDescent="0.25">
      <c r="A1753" s="14">
        <v>277</v>
      </c>
      <c r="B1753" s="14" t="s">
        <v>4473</v>
      </c>
      <c r="C1753" s="14" t="s">
        <v>4474</v>
      </c>
      <c r="D1753" s="14" t="s">
        <v>1349</v>
      </c>
      <c r="E1753" s="15"/>
      <c r="F1753" s="14"/>
      <c r="G1753" s="15"/>
      <c r="H1753" s="14" t="s">
        <v>1510</v>
      </c>
      <c r="I1753" s="14" t="s">
        <v>1360</v>
      </c>
      <c r="J1753" s="14" t="s">
        <v>1360</v>
      </c>
      <c r="K1753" s="14"/>
      <c r="L1753" s="14"/>
      <c r="M1753" s="14" t="s">
        <v>1324</v>
      </c>
      <c r="N1753" s="14" t="s">
        <v>1219</v>
      </c>
      <c r="O1753" s="14" t="s">
        <v>1220</v>
      </c>
    </row>
    <row r="1754" spans="1:15" x14ac:dyDescent="0.25">
      <c r="A1754" s="14">
        <v>175</v>
      </c>
      <c r="B1754" s="14" t="s">
        <v>4475</v>
      </c>
      <c r="C1754" s="14" t="s">
        <v>4476</v>
      </c>
      <c r="D1754" s="14" t="s">
        <v>4258</v>
      </c>
      <c r="E1754" s="15"/>
      <c r="F1754" s="14" t="s">
        <v>1350</v>
      </c>
      <c r="G1754" s="15"/>
      <c r="H1754" s="14" t="s">
        <v>1510</v>
      </c>
      <c r="I1754" s="14" t="s">
        <v>1360</v>
      </c>
      <c r="J1754" s="14" t="s">
        <v>1385</v>
      </c>
      <c r="K1754" s="14" t="s">
        <v>1257</v>
      </c>
      <c r="L1754" s="14" t="s">
        <v>4327</v>
      </c>
      <c r="M1754" s="14" t="s">
        <v>1324</v>
      </c>
      <c r="N1754" s="14" t="s">
        <v>1219</v>
      </c>
      <c r="O1754" s="14" t="s">
        <v>1220</v>
      </c>
    </row>
    <row r="1755" spans="1:15" x14ac:dyDescent="0.25">
      <c r="A1755" s="14">
        <v>177</v>
      </c>
      <c r="B1755" s="14" t="s">
        <v>4477</v>
      </c>
      <c r="C1755" s="14" t="s">
        <v>4478</v>
      </c>
      <c r="D1755" s="14" t="s">
        <v>1349</v>
      </c>
      <c r="E1755" s="15"/>
      <c r="F1755" s="14"/>
      <c r="G1755" s="15"/>
      <c r="H1755" s="14" t="s">
        <v>1510</v>
      </c>
      <c r="I1755" s="14" t="s">
        <v>1360</v>
      </c>
      <c r="J1755" s="14" t="s">
        <v>1360</v>
      </c>
      <c r="K1755" s="14"/>
      <c r="L1755" s="14"/>
      <c r="M1755" s="14" t="s">
        <v>1324</v>
      </c>
      <c r="N1755" s="14" t="s">
        <v>1219</v>
      </c>
      <c r="O1755" s="14" t="s">
        <v>1220</v>
      </c>
    </row>
    <row r="1756" spans="1:15" x14ac:dyDescent="0.25">
      <c r="A1756" s="14">
        <v>280</v>
      </c>
      <c r="B1756" s="14" t="s">
        <v>4479</v>
      </c>
      <c r="C1756" s="14" t="s">
        <v>4480</v>
      </c>
      <c r="D1756" s="14" t="s">
        <v>1349</v>
      </c>
      <c r="E1756" s="15"/>
      <c r="F1756" s="14"/>
      <c r="G1756" s="15"/>
      <c r="H1756" s="14" t="s">
        <v>1510</v>
      </c>
      <c r="I1756" s="14" t="s">
        <v>1360</v>
      </c>
      <c r="J1756" s="14" t="s">
        <v>1360</v>
      </c>
      <c r="K1756" s="14"/>
      <c r="L1756" s="14"/>
      <c r="M1756" s="14" t="s">
        <v>1324</v>
      </c>
      <c r="N1756" s="14" t="s">
        <v>1219</v>
      </c>
      <c r="O1756" s="14" t="s">
        <v>1220</v>
      </c>
    </row>
    <row r="1757" spans="1:15" x14ac:dyDescent="0.25">
      <c r="A1757" s="14">
        <v>187</v>
      </c>
      <c r="B1757" s="14" t="s">
        <v>4481</v>
      </c>
      <c r="C1757" s="14" t="s">
        <v>4482</v>
      </c>
      <c r="D1757" s="14" t="s">
        <v>4258</v>
      </c>
      <c r="E1757" s="15"/>
      <c r="F1757" s="14" t="s">
        <v>1350</v>
      </c>
      <c r="G1757" s="15"/>
      <c r="H1757" s="14" t="s">
        <v>1510</v>
      </c>
      <c r="I1757" s="14" t="s">
        <v>1360</v>
      </c>
      <c r="J1757" s="14" t="s">
        <v>1360</v>
      </c>
      <c r="K1757" s="14" t="s">
        <v>1257</v>
      </c>
      <c r="L1757" s="14" t="s">
        <v>4327</v>
      </c>
      <c r="M1757" s="14" t="s">
        <v>1324</v>
      </c>
      <c r="N1757" s="14" t="s">
        <v>1219</v>
      </c>
      <c r="O1757" s="14" t="s">
        <v>1220</v>
      </c>
    </row>
    <row r="1758" spans="1:15" x14ac:dyDescent="0.25">
      <c r="A1758" s="14">
        <v>189</v>
      </c>
      <c r="B1758" s="14" t="s">
        <v>4483</v>
      </c>
      <c r="C1758" s="14" t="s">
        <v>4484</v>
      </c>
      <c r="D1758" s="14" t="s">
        <v>1349</v>
      </c>
      <c r="E1758" s="15"/>
      <c r="F1758" s="14"/>
      <c r="G1758" s="15"/>
      <c r="H1758" s="14" t="s">
        <v>1510</v>
      </c>
      <c r="I1758" s="14" t="s">
        <v>1360</v>
      </c>
      <c r="J1758" s="14" t="s">
        <v>1360</v>
      </c>
      <c r="K1758" s="14"/>
      <c r="L1758" s="14"/>
      <c r="M1758" s="14" t="s">
        <v>1324</v>
      </c>
      <c r="N1758" s="14" t="s">
        <v>1219</v>
      </c>
      <c r="O1758" s="14" t="s">
        <v>1220</v>
      </c>
    </row>
    <row r="1759" spans="1:15" x14ac:dyDescent="0.25">
      <c r="A1759" s="14">
        <v>1102</v>
      </c>
      <c r="B1759" s="14" t="s">
        <v>4485</v>
      </c>
      <c r="C1759" s="14" t="s">
        <v>4486</v>
      </c>
      <c r="D1759" s="14" t="s">
        <v>4258</v>
      </c>
      <c r="E1759" s="15"/>
      <c r="F1759" s="14" t="s">
        <v>1350</v>
      </c>
      <c r="G1759" s="15"/>
      <c r="H1759" s="14" t="s">
        <v>1510</v>
      </c>
      <c r="I1759" s="14" t="s">
        <v>1360</v>
      </c>
      <c r="J1759" s="14" t="s">
        <v>1360</v>
      </c>
      <c r="K1759" s="14" t="s">
        <v>1257</v>
      </c>
      <c r="L1759" s="14" t="s">
        <v>4327</v>
      </c>
      <c r="M1759" s="14" t="s">
        <v>1324</v>
      </c>
      <c r="N1759" s="14" t="s">
        <v>1219</v>
      </c>
      <c r="O1759" s="14" t="s">
        <v>1220</v>
      </c>
    </row>
    <row r="1760" spans="1:15" x14ac:dyDescent="0.25">
      <c r="A1760" s="14">
        <v>0</v>
      </c>
      <c r="B1760" s="14" t="s">
        <v>4487</v>
      </c>
      <c r="C1760" s="14" t="s">
        <v>4487</v>
      </c>
      <c r="D1760" s="14" t="s">
        <v>1349</v>
      </c>
      <c r="E1760" s="15"/>
      <c r="F1760" s="14"/>
      <c r="G1760" s="15"/>
      <c r="H1760" s="14" t="s">
        <v>1588</v>
      </c>
      <c r="I1760" s="14" t="s">
        <v>1360</v>
      </c>
      <c r="J1760" s="14" t="s">
        <v>1360</v>
      </c>
      <c r="K1760" s="14"/>
      <c r="L1760" s="14"/>
      <c r="M1760" s="14" t="s">
        <v>4488</v>
      </c>
      <c r="N1760" s="14" t="s">
        <v>1219</v>
      </c>
      <c r="O1760" s="14" t="s">
        <v>1220</v>
      </c>
    </row>
    <row r="1761" spans="1:15" x14ac:dyDescent="0.25">
      <c r="A1761" s="14">
        <v>4747</v>
      </c>
      <c r="B1761" s="14" t="s">
        <v>298</v>
      </c>
      <c r="C1761" s="14" t="s">
        <v>298</v>
      </c>
      <c r="D1761" s="14" t="s">
        <v>4489</v>
      </c>
      <c r="E1761" s="16">
        <v>220</v>
      </c>
      <c r="F1761" s="14" t="s">
        <v>3144</v>
      </c>
      <c r="G1761" s="17">
        <v>1800</v>
      </c>
      <c r="H1761" s="14" t="s">
        <v>3129</v>
      </c>
      <c r="I1761" s="14" t="s">
        <v>1256</v>
      </c>
      <c r="J1761" s="14" t="s">
        <v>1296</v>
      </c>
      <c r="K1761" s="14" t="s">
        <v>1257</v>
      </c>
      <c r="L1761" s="14" t="s">
        <v>4490</v>
      </c>
      <c r="M1761" s="14" t="s">
        <v>3131</v>
      </c>
      <c r="N1761" s="14" t="s">
        <v>1237</v>
      </c>
      <c r="O1761" s="14" t="s">
        <v>1220</v>
      </c>
    </row>
    <row r="1762" spans="1:15" x14ac:dyDescent="0.25">
      <c r="A1762" s="14" t="s">
        <v>4491</v>
      </c>
      <c r="B1762" s="14" t="s">
        <v>4492</v>
      </c>
      <c r="C1762" s="14" t="s">
        <v>4492</v>
      </c>
      <c r="D1762" s="14" t="s">
        <v>4493</v>
      </c>
      <c r="E1762" s="15"/>
      <c r="F1762" s="14" t="s">
        <v>1350</v>
      </c>
      <c r="G1762" s="15"/>
      <c r="H1762" s="14" t="s">
        <v>3129</v>
      </c>
      <c r="I1762" s="14" t="s">
        <v>1262</v>
      </c>
      <c r="J1762" s="14" t="s">
        <v>1262</v>
      </c>
      <c r="K1762" s="14" t="s">
        <v>1257</v>
      </c>
      <c r="L1762" s="14" t="s">
        <v>4490</v>
      </c>
      <c r="M1762" s="14" t="s">
        <v>3131</v>
      </c>
      <c r="N1762" s="14" t="s">
        <v>1219</v>
      </c>
      <c r="O1762" s="14" t="s">
        <v>1220</v>
      </c>
    </row>
    <row r="1763" spans="1:15" x14ac:dyDescent="0.25">
      <c r="A1763" s="14">
        <v>37301</v>
      </c>
      <c r="B1763" s="14" t="s">
        <v>4494</v>
      </c>
      <c r="C1763" s="14" t="s">
        <v>4495</v>
      </c>
      <c r="D1763" s="14" t="s">
        <v>1222</v>
      </c>
      <c r="E1763" s="15"/>
      <c r="F1763" s="14"/>
      <c r="G1763" s="15"/>
      <c r="H1763" s="14" t="s">
        <v>1223</v>
      </c>
      <c r="I1763" s="14"/>
      <c r="J1763" s="14"/>
      <c r="K1763" s="14"/>
      <c r="L1763" s="14"/>
      <c r="M1763" s="14"/>
      <c r="N1763" s="14" t="s">
        <v>1219</v>
      </c>
      <c r="O1763" s="14" t="s">
        <v>1220</v>
      </c>
    </row>
    <row r="1764" spans="1:15" x14ac:dyDescent="0.25">
      <c r="A1764" s="14">
        <v>30197</v>
      </c>
      <c r="B1764" s="14" t="s">
        <v>4496</v>
      </c>
      <c r="C1764" s="14" t="s">
        <v>4496</v>
      </c>
      <c r="D1764" s="14" t="s">
        <v>1222</v>
      </c>
      <c r="E1764" s="15"/>
      <c r="F1764" s="14"/>
      <c r="G1764" s="15"/>
      <c r="H1764" s="14" t="s">
        <v>1223</v>
      </c>
      <c r="I1764" s="14"/>
      <c r="J1764" s="14"/>
      <c r="K1764" s="14"/>
      <c r="L1764" s="14"/>
      <c r="M1764" s="14"/>
      <c r="N1764" s="14" t="s">
        <v>1219</v>
      </c>
      <c r="O1764" s="14" t="s">
        <v>1220</v>
      </c>
    </row>
    <row r="1765" spans="1:15" x14ac:dyDescent="0.25">
      <c r="A1765" s="14" t="s">
        <v>4497</v>
      </c>
      <c r="B1765" s="14" t="s">
        <v>4498</v>
      </c>
      <c r="C1765" s="14" t="s">
        <v>4498</v>
      </c>
      <c r="D1765" s="14" t="s">
        <v>1222</v>
      </c>
      <c r="E1765" s="15"/>
      <c r="F1765" s="14"/>
      <c r="G1765" s="15"/>
      <c r="H1765" s="14" t="s">
        <v>1223</v>
      </c>
      <c r="I1765" s="14"/>
      <c r="J1765" s="14"/>
      <c r="K1765" s="14"/>
      <c r="L1765" s="14"/>
      <c r="M1765" s="14"/>
      <c r="N1765" s="14" t="s">
        <v>1219</v>
      </c>
      <c r="O1765" s="14" t="s">
        <v>1220</v>
      </c>
    </row>
    <row r="1766" spans="1:15" x14ac:dyDescent="0.25">
      <c r="A1766" s="14">
        <v>4962</v>
      </c>
      <c r="B1766" s="14" t="s">
        <v>4499</v>
      </c>
      <c r="C1766" s="14" t="s">
        <v>4499</v>
      </c>
      <c r="D1766" s="14" t="s">
        <v>4500</v>
      </c>
      <c r="E1766" s="16">
        <v>50</v>
      </c>
      <c r="F1766" s="14" t="s">
        <v>3271</v>
      </c>
      <c r="G1766" s="16">
        <v>50</v>
      </c>
      <c r="H1766" s="14" t="s">
        <v>4501</v>
      </c>
      <c r="I1766" s="14" t="s">
        <v>1256</v>
      </c>
      <c r="J1766" s="14" t="s">
        <v>1296</v>
      </c>
      <c r="K1766" s="14" t="s">
        <v>4502</v>
      </c>
      <c r="L1766" s="14" t="s">
        <v>4503</v>
      </c>
      <c r="M1766" s="14" t="s">
        <v>4504</v>
      </c>
      <c r="N1766" s="14" t="s">
        <v>1237</v>
      </c>
      <c r="O1766" s="14" t="s">
        <v>1220</v>
      </c>
    </row>
    <row r="1767" spans="1:15" x14ac:dyDescent="0.25">
      <c r="A1767" s="14">
        <v>4963</v>
      </c>
      <c r="B1767" s="14" t="s">
        <v>4505</v>
      </c>
      <c r="C1767" s="14" t="s">
        <v>4505</v>
      </c>
      <c r="D1767" s="14" t="s">
        <v>4500</v>
      </c>
      <c r="E1767" s="16">
        <v>50</v>
      </c>
      <c r="F1767" s="14" t="s">
        <v>3271</v>
      </c>
      <c r="G1767" s="16">
        <v>50</v>
      </c>
      <c r="H1767" s="14" t="s">
        <v>4501</v>
      </c>
      <c r="I1767" s="14" t="s">
        <v>1256</v>
      </c>
      <c r="J1767" s="14" t="s">
        <v>1296</v>
      </c>
      <c r="K1767" s="14" t="s">
        <v>4502</v>
      </c>
      <c r="L1767" s="14" t="s">
        <v>4506</v>
      </c>
      <c r="M1767" s="14" t="s">
        <v>4504</v>
      </c>
      <c r="N1767" s="14" t="s">
        <v>1237</v>
      </c>
      <c r="O1767" s="14" t="s">
        <v>1220</v>
      </c>
    </row>
    <row r="1768" spans="1:15" x14ac:dyDescent="0.25">
      <c r="A1768" s="14">
        <v>4966</v>
      </c>
      <c r="B1768" s="14" t="s">
        <v>40</v>
      </c>
      <c r="C1768" s="14" t="s">
        <v>40</v>
      </c>
      <c r="D1768" s="14" t="s">
        <v>4500</v>
      </c>
      <c r="E1768" s="16">
        <v>30</v>
      </c>
      <c r="F1768" s="14" t="s">
        <v>3271</v>
      </c>
      <c r="G1768" s="16">
        <v>30</v>
      </c>
      <c r="H1768" s="14" t="s">
        <v>4501</v>
      </c>
      <c r="I1768" s="14" t="s">
        <v>1256</v>
      </c>
      <c r="J1768" s="14" t="s">
        <v>1242</v>
      </c>
      <c r="K1768" s="14" t="s">
        <v>4502</v>
      </c>
      <c r="L1768" s="14" t="s">
        <v>4507</v>
      </c>
      <c r="M1768" s="14" t="s">
        <v>4504</v>
      </c>
      <c r="N1768" s="14" t="s">
        <v>1237</v>
      </c>
      <c r="O1768" s="14" t="s">
        <v>1220</v>
      </c>
    </row>
    <row r="1769" spans="1:15" x14ac:dyDescent="0.25">
      <c r="A1769" s="14">
        <v>4979</v>
      </c>
      <c r="B1769" s="14" t="s">
        <v>41</v>
      </c>
      <c r="C1769" s="14" t="s">
        <v>41</v>
      </c>
      <c r="D1769" s="14" t="s">
        <v>4500</v>
      </c>
      <c r="E1769" s="16">
        <v>30</v>
      </c>
      <c r="F1769" s="14" t="s">
        <v>3271</v>
      </c>
      <c r="G1769" s="16">
        <v>30</v>
      </c>
      <c r="H1769" s="14" t="s">
        <v>4501</v>
      </c>
      <c r="I1769" s="14" t="s">
        <v>1256</v>
      </c>
      <c r="J1769" s="14" t="s">
        <v>1296</v>
      </c>
      <c r="K1769" s="14" t="s">
        <v>4502</v>
      </c>
      <c r="L1769" s="14" t="s">
        <v>4508</v>
      </c>
      <c r="M1769" s="14" t="s">
        <v>4504</v>
      </c>
      <c r="N1769" s="14" t="s">
        <v>1237</v>
      </c>
      <c r="O1769" s="14" t="s">
        <v>1220</v>
      </c>
    </row>
    <row r="1770" spans="1:15" x14ac:dyDescent="0.25">
      <c r="A1770" s="14">
        <v>4967</v>
      </c>
      <c r="B1770" s="14" t="s">
        <v>42</v>
      </c>
      <c r="C1770" s="14" t="s">
        <v>42</v>
      </c>
      <c r="D1770" s="14" t="s">
        <v>4500</v>
      </c>
      <c r="E1770" s="16">
        <v>20</v>
      </c>
      <c r="F1770" s="14" t="s">
        <v>3271</v>
      </c>
      <c r="G1770" s="16">
        <v>20</v>
      </c>
      <c r="H1770" s="14" t="s">
        <v>4501</v>
      </c>
      <c r="I1770" s="14" t="s">
        <v>1256</v>
      </c>
      <c r="J1770" s="14" t="s">
        <v>1296</v>
      </c>
      <c r="K1770" s="14" t="s">
        <v>4502</v>
      </c>
      <c r="L1770" s="14" t="s">
        <v>4509</v>
      </c>
      <c r="M1770" s="14" t="s">
        <v>4504</v>
      </c>
      <c r="N1770" s="14" t="s">
        <v>1237</v>
      </c>
      <c r="O1770" s="14" t="s">
        <v>1220</v>
      </c>
    </row>
    <row r="1771" spans="1:15" x14ac:dyDescent="0.25">
      <c r="A1771" s="14">
        <v>4968</v>
      </c>
      <c r="B1771" s="14" t="s">
        <v>43</v>
      </c>
      <c r="C1771" s="14" t="s">
        <v>43</v>
      </c>
      <c r="D1771" s="14" t="s">
        <v>4500</v>
      </c>
      <c r="E1771" s="16">
        <v>20</v>
      </c>
      <c r="F1771" s="14" t="s">
        <v>3271</v>
      </c>
      <c r="G1771" s="16">
        <v>20</v>
      </c>
      <c r="H1771" s="14" t="s">
        <v>4501</v>
      </c>
      <c r="I1771" s="14" t="s">
        <v>1256</v>
      </c>
      <c r="J1771" s="14" t="s">
        <v>1296</v>
      </c>
      <c r="K1771" s="14" t="s">
        <v>4502</v>
      </c>
      <c r="L1771" s="14" t="s">
        <v>4510</v>
      </c>
      <c r="M1771" s="14" t="s">
        <v>4504</v>
      </c>
      <c r="N1771" s="14" t="s">
        <v>1237</v>
      </c>
      <c r="O1771" s="14" t="s">
        <v>1220</v>
      </c>
    </row>
    <row r="1772" spans="1:15" x14ac:dyDescent="0.25">
      <c r="A1772" s="14">
        <v>4976</v>
      </c>
      <c r="B1772" s="14" t="s">
        <v>46</v>
      </c>
      <c r="C1772" s="14" t="s">
        <v>46</v>
      </c>
      <c r="D1772" s="14" t="s">
        <v>4500</v>
      </c>
      <c r="E1772" s="16">
        <v>50</v>
      </c>
      <c r="F1772" s="14" t="s">
        <v>3271</v>
      </c>
      <c r="G1772" s="16">
        <v>50</v>
      </c>
      <c r="H1772" s="14" t="s">
        <v>4501</v>
      </c>
      <c r="I1772" s="14" t="s">
        <v>1256</v>
      </c>
      <c r="J1772" s="14" t="s">
        <v>1296</v>
      </c>
      <c r="K1772" s="14" t="s">
        <v>4502</v>
      </c>
      <c r="L1772" s="14" t="s">
        <v>4511</v>
      </c>
      <c r="M1772" s="14" t="s">
        <v>4504</v>
      </c>
      <c r="N1772" s="14" t="s">
        <v>1237</v>
      </c>
      <c r="O1772" s="14" t="s">
        <v>1220</v>
      </c>
    </row>
    <row r="1773" spans="1:15" x14ac:dyDescent="0.25">
      <c r="A1773" s="14">
        <v>4964</v>
      </c>
      <c r="B1773" s="14" t="s">
        <v>47</v>
      </c>
      <c r="C1773" s="14" t="s">
        <v>47</v>
      </c>
      <c r="D1773" s="14" t="s">
        <v>4500</v>
      </c>
      <c r="E1773" s="16">
        <v>40</v>
      </c>
      <c r="F1773" s="14" t="s">
        <v>3271</v>
      </c>
      <c r="G1773" s="16">
        <v>40</v>
      </c>
      <c r="H1773" s="14" t="s">
        <v>4501</v>
      </c>
      <c r="I1773" s="14" t="s">
        <v>1256</v>
      </c>
      <c r="J1773" s="14" t="s">
        <v>1296</v>
      </c>
      <c r="K1773" s="14" t="s">
        <v>4502</v>
      </c>
      <c r="L1773" s="14" t="s">
        <v>4512</v>
      </c>
      <c r="M1773" s="14" t="s">
        <v>4504</v>
      </c>
      <c r="N1773" s="14" t="s">
        <v>1237</v>
      </c>
      <c r="O1773" s="14" t="s">
        <v>1220</v>
      </c>
    </row>
    <row r="1774" spans="1:15" x14ac:dyDescent="0.25">
      <c r="A1774" s="14">
        <v>4977</v>
      </c>
      <c r="B1774" s="14" t="s">
        <v>48</v>
      </c>
      <c r="C1774" s="14" t="s">
        <v>48</v>
      </c>
      <c r="D1774" s="14" t="s">
        <v>4500</v>
      </c>
      <c r="E1774" s="16">
        <v>40</v>
      </c>
      <c r="F1774" s="14" t="s">
        <v>3271</v>
      </c>
      <c r="G1774" s="16">
        <v>40</v>
      </c>
      <c r="H1774" s="14" t="s">
        <v>4501</v>
      </c>
      <c r="I1774" s="14" t="s">
        <v>1256</v>
      </c>
      <c r="J1774" s="14" t="s">
        <v>1296</v>
      </c>
      <c r="K1774" s="14" t="s">
        <v>4502</v>
      </c>
      <c r="L1774" s="14" t="s">
        <v>4513</v>
      </c>
      <c r="M1774" s="14" t="s">
        <v>4504</v>
      </c>
      <c r="N1774" s="14" t="s">
        <v>1237</v>
      </c>
      <c r="O1774" s="14" t="s">
        <v>1220</v>
      </c>
    </row>
    <row r="1775" spans="1:15" x14ac:dyDescent="0.25">
      <c r="A1775" s="14">
        <v>4965</v>
      </c>
      <c r="B1775" s="14" t="s">
        <v>49</v>
      </c>
      <c r="C1775" s="14" t="s">
        <v>49</v>
      </c>
      <c r="D1775" s="14" t="s">
        <v>4500</v>
      </c>
      <c r="E1775" s="16">
        <v>30</v>
      </c>
      <c r="F1775" s="14" t="s">
        <v>3271</v>
      </c>
      <c r="G1775" s="16">
        <v>30</v>
      </c>
      <c r="H1775" s="14" t="s">
        <v>4501</v>
      </c>
      <c r="I1775" s="14" t="s">
        <v>1256</v>
      </c>
      <c r="J1775" s="14" t="s">
        <v>1296</v>
      </c>
      <c r="K1775" s="14" t="s">
        <v>4502</v>
      </c>
      <c r="L1775" s="14" t="s">
        <v>4514</v>
      </c>
      <c r="M1775" s="14" t="s">
        <v>4504</v>
      </c>
      <c r="N1775" s="14" t="s">
        <v>1237</v>
      </c>
      <c r="O1775" s="14" t="s">
        <v>1220</v>
      </c>
    </row>
    <row r="1776" spans="1:15" x14ac:dyDescent="0.25">
      <c r="A1776" s="14">
        <v>4978</v>
      </c>
      <c r="B1776" s="14" t="s">
        <v>50</v>
      </c>
      <c r="C1776" s="14" t="s">
        <v>50</v>
      </c>
      <c r="D1776" s="14" t="s">
        <v>4500</v>
      </c>
      <c r="E1776" s="16">
        <v>30</v>
      </c>
      <c r="F1776" s="14" t="s">
        <v>3271</v>
      </c>
      <c r="G1776" s="16">
        <v>30</v>
      </c>
      <c r="H1776" s="14" t="s">
        <v>4501</v>
      </c>
      <c r="I1776" s="14" t="s">
        <v>1256</v>
      </c>
      <c r="J1776" s="14" t="s">
        <v>1296</v>
      </c>
      <c r="K1776" s="14" t="s">
        <v>4502</v>
      </c>
      <c r="L1776" s="14" t="s">
        <v>4515</v>
      </c>
      <c r="M1776" s="14" t="s">
        <v>4504</v>
      </c>
      <c r="N1776" s="14" t="s">
        <v>1237</v>
      </c>
      <c r="O1776" s="14" t="s">
        <v>1220</v>
      </c>
    </row>
    <row r="1777" spans="1:15" x14ac:dyDescent="0.25">
      <c r="A1777" s="14">
        <v>4973</v>
      </c>
      <c r="B1777" s="14" t="s">
        <v>51</v>
      </c>
      <c r="C1777" s="14" t="s">
        <v>51</v>
      </c>
      <c r="D1777" s="14" t="s">
        <v>4500</v>
      </c>
      <c r="E1777" s="16">
        <v>30</v>
      </c>
      <c r="F1777" s="14" t="s">
        <v>3271</v>
      </c>
      <c r="G1777" s="16">
        <v>30</v>
      </c>
      <c r="H1777" s="14" t="s">
        <v>4501</v>
      </c>
      <c r="I1777" s="14" t="s">
        <v>1256</v>
      </c>
      <c r="J1777" s="14" t="s">
        <v>1296</v>
      </c>
      <c r="K1777" s="14" t="s">
        <v>4502</v>
      </c>
      <c r="L1777" s="14" t="s">
        <v>4516</v>
      </c>
      <c r="M1777" s="14" t="s">
        <v>4504</v>
      </c>
      <c r="N1777" s="14" t="s">
        <v>1237</v>
      </c>
      <c r="O1777" s="14" t="s">
        <v>1220</v>
      </c>
    </row>
    <row r="1778" spans="1:15" x14ac:dyDescent="0.25">
      <c r="A1778" s="14">
        <v>4983</v>
      </c>
      <c r="B1778" s="14" t="s">
        <v>52</v>
      </c>
      <c r="C1778" s="14" t="s">
        <v>52</v>
      </c>
      <c r="D1778" s="14" t="s">
        <v>4500</v>
      </c>
      <c r="E1778" s="16">
        <v>30</v>
      </c>
      <c r="F1778" s="14" t="s">
        <v>3271</v>
      </c>
      <c r="G1778" s="16">
        <v>30</v>
      </c>
      <c r="H1778" s="14" t="s">
        <v>4501</v>
      </c>
      <c r="I1778" s="14" t="s">
        <v>1256</v>
      </c>
      <c r="J1778" s="14" t="s">
        <v>1242</v>
      </c>
      <c r="K1778" s="14" t="s">
        <v>4502</v>
      </c>
      <c r="L1778" s="14" t="s">
        <v>4517</v>
      </c>
      <c r="M1778" s="14" t="s">
        <v>4504</v>
      </c>
      <c r="N1778" s="14" t="s">
        <v>1237</v>
      </c>
      <c r="O1778" s="14" t="s">
        <v>1220</v>
      </c>
    </row>
    <row r="1779" spans="1:15" x14ac:dyDescent="0.25">
      <c r="A1779" s="14">
        <v>4974</v>
      </c>
      <c r="B1779" s="14" t="s">
        <v>53</v>
      </c>
      <c r="C1779" s="14" t="s">
        <v>53</v>
      </c>
      <c r="D1779" s="14" t="s">
        <v>4500</v>
      </c>
      <c r="E1779" s="16">
        <v>20</v>
      </c>
      <c r="F1779" s="14" t="s">
        <v>3271</v>
      </c>
      <c r="G1779" s="16">
        <v>20</v>
      </c>
      <c r="H1779" s="14" t="s">
        <v>4501</v>
      </c>
      <c r="I1779" s="14" t="s">
        <v>1256</v>
      </c>
      <c r="J1779" s="14" t="s">
        <v>1296</v>
      </c>
      <c r="K1779" s="14" t="s">
        <v>4502</v>
      </c>
      <c r="L1779" s="14" t="s">
        <v>4518</v>
      </c>
      <c r="M1779" s="14" t="s">
        <v>4504</v>
      </c>
      <c r="N1779" s="14" t="s">
        <v>1237</v>
      </c>
      <c r="O1779" s="14" t="s">
        <v>1220</v>
      </c>
    </row>
    <row r="1780" spans="1:15" x14ac:dyDescent="0.25">
      <c r="A1780" s="14">
        <v>4975</v>
      </c>
      <c r="B1780" s="14" t="s">
        <v>54</v>
      </c>
      <c r="C1780" s="14" t="s">
        <v>54</v>
      </c>
      <c r="D1780" s="14" t="s">
        <v>4500</v>
      </c>
      <c r="E1780" s="16">
        <v>20</v>
      </c>
      <c r="F1780" s="14" t="s">
        <v>3271</v>
      </c>
      <c r="G1780" s="16">
        <v>20</v>
      </c>
      <c r="H1780" s="14" t="s">
        <v>4501</v>
      </c>
      <c r="I1780" s="14" t="s">
        <v>1256</v>
      </c>
      <c r="J1780" s="14" t="s">
        <v>1296</v>
      </c>
      <c r="K1780" s="14" t="s">
        <v>4502</v>
      </c>
      <c r="L1780" s="14" t="s">
        <v>4519</v>
      </c>
      <c r="M1780" s="14" t="s">
        <v>4504</v>
      </c>
      <c r="N1780" s="14" t="s">
        <v>1237</v>
      </c>
      <c r="O1780" s="14" t="s">
        <v>1220</v>
      </c>
    </row>
    <row r="1781" spans="1:15" x14ac:dyDescent="0.25">
      <c r="A1781" s="14">
        <v>4969</v>
      </c>
      <c r="B1781" s="14" t="s">
        <v>55</v>
      </c>
      <c r="C1781" s="14" t="s">
        <v>55</v>
      </c>
      <c r="D1781" s="14" t="s">
        <v>4500</v>
      </c>
      <c r="E1781" s="16">
        <v>50</v>
      </c>
      <c r="F1781" s="14" t="s">
        <v>3271</v>
      </c>
      <c r="G1781" s="16">
        <v>50</v>
      </c>
      <c r="H1781" s="14" t="s">
        <v>4501</v>
      </c>
      <c r="I1781" s="14" t="s">
        <v>1256</v>
      </c>
      <c r="J1781" s="14" t="s">
        <v>1296</v>
      </c>
      <c r="K1781" s="14" t="s">
        <v>4502</v>
      </c>
      <c r="L1781" s="14" t="s">
        <v>4520</v>
      </c>
      <c r="M1781" s="14" t="s">
        <v>4504</v>
      </c>
      <c r="N1781" s="14" t="s">
        <v>1237</v>
      </c>
      <c r="O1781" s="14" t="s">
        <v>1220</v>
      </c>
    </row>
    <row r="1782" spans="1:15" x14ac:dyDescent="0.25">
      <c r="A1782" s="14">
        <v>4970</v>
      </c>
      <c r="B1782" s="14" t="s">
        <v>56</v>
      </c>
      <c r="C1782" s="14" t="s">
        <v>56</v>
      </c>
      <c r="D1782" s="14" t="s">
        <v>4500</v>
      </c>
      <c r="E1782" s="16">
        <v>50</v>
      </c>
      <c r="F1782" s="14" t="s">
        <v>3271</v>
      </c>
      <c r="G1782" s="16">
        <v>50</v>
      </c>
      <c r="H1782" s="14" t="s">
        <v>4501</v>
      </c>
      <c r="I1782" s="14" t="s">
        <v>1256</v>
      </c>
      <c r="J1782" s="14" t="s">
        <v>1296</v>
      </c>
      <c r="K1782" s="14" t="s">
        <v>4502</v>
      </c>
      <c r="L1782" s="14" t="s">
        <v>4521</v>
      </c>
      <c r="M1782" s="14" t="s">
        <v>4504</v>
      </c>
      <c r="N1782" s="14" t="s">
        <v>1237</v>
      </c>
      <c r="O1782" s="14" t="s">
        <v>1220</v>
      </c>
    </row>
    <row r="1783" spans="1:15" x14ac:dyDescent="0.25">
      <c r="A1783" s="14">
        <v>4980</v>
      </c>
      <c r="B1783" s="14" t="s">
        <v>57</v>
      </c>
      <c r="C1783" s="14" t="s">
        <v>57</v>
      </c>
      <c r="D1783" s="14" t="s">
        <v>4500</v>
      </c>
      <c r="E1783" s="16">
        <v>50</v>
      </c>
      <c r="F1783" s="14" t="s">
        <v>3271</v>
      </c>
      <c r="G1783" s="16">
        <v>50</v>
      </c>
      <c r="H1783" s="14" t="s">
        <v>4501</v>
      </c>
      <c r="I1783" s="14" t="s">
        <v>1256</v>
      </c>
      <c r="J1783" s="14" t="s">
        <v>1242</v>
      </c>
      <c r="K1783" s="14" t="s">
        <v>4502</v>
      </c>
      <c r="L1783" s="14" t="s">
        <v>4522</v>
      </c>
      <c r="M1783" s="14" t="s">
        <v>4504</v>
      </c>
      <c r="N1783" s="14" t="s">
        <v>1237</v>
      </c>
      <c r="O1783" s="14" t="s">
        <v>1220</v>
      </c>
    </row>
    <row r="1784" spans="1:15" x14ac:dyDescent="0.25">
      <c r="A1784" s="14">
        <v>4971</v>
      </c>
      <c r="B1784" s="14" t="s">
        <v>58</v>
      </c>
      <c r="C1784" s="14" t="s">
        <v>58</v>
      </c>
      <c r="D1784" s="14" t="s">
        <v>4500</v>
      </c>
      <c r="E1784" s="16">
        <v>40</v>
      </c>
      <c r="F1784" s="14" t="s">
        <v>3271</v>
      </c>
      <c r="G1784" s="16">
        <v>40</v>
      </c>
      <c r="H1784" s="14" t="s">
        <v>4501</v>
      </c>
      <c r="I1784" s="14" t="s">
        <v>1256</v>
      </c>
      <c r="J1784" s="14" t="s">
        <v>1296</v>
      </c>
      <c r="K1784" s="14" t="s">
        <v>4502</v>
      </c>
      <c r="L1784" s="14" t="s">
        <v>4523</v>
      </c>
      <c r="M1784" s="14" t="s">
        <v>4504</v>
      </c>
      <c r="N1784" s="14" t="s">
        <v>1237</v>
      </c>
      <c r="O1784" s="14" t="s">
        <v>1220</v>
      </c>
    </row>
    <row r="1785" spans="1:15" x14ac:dyDescent="0.25">
      <c r="A1785" s="14">
        <v>4981</v>
      </c>
      <c r="B1785" s="14" t="s">
        <v>59</v>
      </c>
      <c r="C1785" s="14" t="s">
        <v>59</v>
      </c>
      <c r="D1785" s="14" t="s">
        <v>4500</v>
      </c>
      <c r="E1785" s="16">
        <v>40</v>
      </c>
      <c r="F1785" s="14" t="s">
        <v>3271</v>
      </c>
      <c r="G1785" s="16">
        <v>40</v>
      </c>
      <c r="H1785" s="14" t="s">
        <v>4501</v>
      </c>
      <c r="I1785" s="14" t="s">
        <v>1256</v>
      </c>
      <c r="J1785" s="14" t="s">
        <v>1242</v>
      </c>
      <c r="K1785" s="14" t="s">
        <v>4502</v>
      </c>
      <c r="L1785" s="14" t="s">
        <v>4524</v>
      </c>
      <c r="M1785" s="14" t="s">
        <v>4504</v>
      </c>
      <c r="N1785" s="14" t="s">
        <v>1237</v>
      </c>
      <c r="O1785" s="14" t="s">
        <v>1220</v>
      </c>
    </row>
    <row r="1786" spans="1:15" x14ac:dyDescent="0.25">
      <c r="A1786" s="14">
        <v>4972</v>
      </c>
      <c r="B1786" s="14" t="s">
        <v>60</v>
      </c>
      <c r="C1786" s="14" t="s">
        <v>60</v>
      </c>
      <c r="D1786" s="14" t="s">
        <v>4500</v>
      </c>
      <c r="E1786" s="16">
        <v>30</v>
      </c>
      <c r="F1786" s="14" t="s">
        <v>3271</v>
      </c>
      <c r="G1786" s="16">
        <v>30</v>
      </c>
      <c r="H1786" s="14" t="s">
        <v>4501</v>
      </c>
      <c r="I1786" s="14" t="s">
        <v>1256</v>
      </c>
      <c r="J1786" s="14" t="s">
        <v>1296</v>
      </c>
      <c r="K1786" s="14" t="s">
        <v>4502</v>
      </c>
      <c r="L1786" s="14" t="s">
        <v>4525</v>
      </c>
      <c r="M1786" s="14" t="s">
        <v>4504</v>
      </c>
      <c r="N1786" s="14" t="s">
        <v>1237</v>
      </c>
      <c r="O1786" s="14" t="s">
        <v>1220</v>
      </c>
    </row>
    <row r="1787" spans="1:15" x14ac:dyDescent="0.25">
      <c r="A1787" s="14">
        <v>4982</v>
      </c>
      <c r="B1787" s="14" t="s">
        <v>61</v>
      </c>
      <c r="C1787" s="14" t="s">
        <v>61</v>
      </c>
      <c r="D1787" s="14" t="s">
        <v>4500</v>
      </c>
      <c r="E1787" s="16">
        <v>30</v>
      </c>
      <c r="F1787" s="14" t="s">
        <v>3271</v>
      </c>
      <c r="G1787" s="16">
        <v>30</v>
      </c>
      <c r="H1787" s="14" t="s">
        <v>4501</v>
      </c>
      <c r="I1787" s="14" t="s">
        <v>1256</v>
      </c>
      <c r="J1787" s="14" t="s">
        <v>1242</v>
      </c>
      <c r="K1787" s="14" t="s">
        <v>4502</v>
      </c>
      <c r="L1787" s="14" t="s">
        <v>4526</v>
      </c>
      <c r="M1787" s="14" t="s">
        <v>4504</v>
      </c>
      <c r="N1787" s="14" t="s">
        <v>1237</v>
      </c>
      <c r="O1787" s="14" t="s">
        <v>1220</v>
      </c>
    </row>
    <row r="1788" spans="1:15" x14ac:dyDescent="0.25">
      <c r="A1788" s="14">
        <v>4935</v>
      </c>
      <c r="B1788" s="14" t="s">
        <v>62</v>
      </c>
      <c r="C1788" s="14" t="s">
        <v>62</v>
      </c>
      <c r="D1788" s="14" t="s">
        <v>4500</v>
      </c>
      <c r="E1788" s="16">
        <v>60</v>
      </c>
      <c r="F1788" s="14" t="s">
        <v>3271</v>
      </c>
      <c r="G1788" s="16">
        <v>60</v>
      </c>
      <c r="H1788" s="14" t="s">
        <v>4501</v>
      </c>
      <c r="I1788" s="14" t="s">
        <v>1256</v>
      </c>
      <c r="J1788" s="14" t="s">
        <v>1296</v>
      </c>
      <c r="K1788" s="14" t="s">
        <v>4502</v>
      </c>
      <c r="L1788" s="14" t="s">
        <v>4527</v>
      </c>
      <c r="M1788" s="14" t="s">
        <v>4504</v>
      </c>
      <c r="N1788" s="14" t="s">
        <v>1237</v>
      </c>
      <c r="O1788" s="14" t="s">
        <v>1220</v>
      </c>
    </row>
    <row r="1789" spans="1:15" x14ac:dyDescent="0.25">
      <c r="A1789" s="14">
        <v>4936</v>
      </c>
      <c r="B1789" s="14" t="s">
        <v>63</v>
      </c>
      <c r="C1789" s="14" t="s">
        <v>63</v>
      </c>
      <c r="D1789" s="14" t="s">
        <v>4500</v>
      </c>
      <c r="E1789" s="16">
        <v>50</v>
      </c>
      <c r="F1789" s="14" t="s">
        <v>3271</v>
      </c>
      <c r="G1789" s="16">
        <v>50</v>
      </c>
      <c r="H1789" s="14" t="s">
        <v>4501</v>
      </c>
      <c r="I1789" s="14" t="s">
        <v>1256</v>
      </c>
      <c r="J1789" s="14" t="s">
        <v>1296</v>
      </c>
      <c r="K1789" s="14" t="s">
        <v>4502</v>
      </c>
      <c r="L1789" s="14" t="s">
        <v>4528</v>
      </c>
      <c r="M1789" s="14" t="s">
        <v>4504</v>
      </c>
      <c r="N1789" s="14" t="s">
        <v>1237</v>
      </c>
      <c r="O1789" s="14" t="s">
        <v>1220</v>
      </c>
    </row>
    <row r="1790" spans="1:15" x14ac:dyDescent="0.25">
      <c r="A1790" s="14">
        <v>4937</v>
      </c>
      <c r="B1790" s="14" t="s">
        <v>64</v>
      </c>
      <c r="C1790" s="14" t="s">
        <v>64</v>
      </c>
      <c r="D1790" s="14" t="s">
        <v>4500</v>
      </c>
      <c r="E1790" s="16">
        <v>40</v>
      </c>
      <c r="F1790" s="14" t="s">
        <v>3271</v>
      </c>
      <c r="G1790" s="16">
        <v>40</v>
      </c>
      <c r="H1790" s="14" t="s">
        <v>4501</v>
      </c>
      <c r="I1790" s="14" t="s">
        <v>1256</v>
      </c>
      <c r="J1790" s="14" t="s">
        <v>1296</v>
      </c>
      <c r="K1790" s="14" t="s">
        <v>4502</v>
      </c>
      <c r="L1790" s="14" t="s">
        <v>4529</v>
      </c>
      <c r="M1790" s="14" t="s">
        <v>4504</v>
      </c>
      <c r="N1790" s="14" t="s">
        <v>1237</v>
      </c>
      <c r="O1790" s="14" t="s">
        <v>1220</v>
      </c>
    </row>
    <row r="1791" spans="1:15" x14ac:dyDescent="0.25">
      <c r="A1791" s="14">
        <v>4930</v>
      </c>
      <c r="B1791" s="14" t="s">
        <v>65</v>
      </c>
      <c r="C1791" s="14" t="s">
        <v>65</v>
      </c>
      <c r="D1791" s="14" t="s">
        <v>4500</v>
      </c>
      <c r="E1791" s="16">
        <v>150</v>
      </c>
      <c r="F1791" s="14" t="s">
        <v>3271</v>
      </c>
      <c r="G1791" s="16">
        <v>150</v>
      </c>
      <c r="H1791" s="14" t="s">
        <v>4501</v>
      </c>
      <c r="I1791" s="14" t="s">
        <v>1256</v>
      </c>
      <c r="J1791" s="14" t="s">
        <v>1296</v>
      </c>
      <c r="K1791" s="14" t="s">
        <v>4502</v>
      </c>
      <c r="L1791" s="14" t="s">
        <v>4530</v>
      </c>
      <c r="M1791" s="14" t="s">
        <v>4504</v>
      </c>
      <c r="N1791" s="14" t="s">
        <v>1237</v>
      </c>
      <c r="O1791" s="14" t="s">
        <v>1220</v>
      </c>
    </row>
    <row r="1792" spans="1:15" x14ac:dyDescent="0.25">
      <c r="A1792" s="14">
        <v>4931</v>
      </c>
      <c r="B1792" s="14" t="s">
        <v>66</v>
      </c>
      <c r="C1792" s="14" t="s">
        <v>66</v>
      </c>
      <c r="D1792" s="14" t="s">
        <v>4500</v>
      </c>
      <c r="E1792" s="16">
        <v>100</v>
      </c>
      <c r="F1792" s="14" t="s">
        <v>3271</v>
      </c>
      <c r="G1792" s="16">
        <v>100</v>
      </c>
      <c r="H1792" s="14" t="s">
        <v>4501</v>
      </c>
      <c r="I1792" s="14" t="s">
        <v>1256</v>
      </c>
      <c r="J1792" s="14" t="s">
        <v>1296</v>
      </c>
      <c r="K1792" s="14" t="s">
        <v>4502</v>
      </c>
      <c r="L1792" s="14" t="s">
        <v>4531</v>
      </c>
      <c r="M1792" s="14" t="s">
        <v>4504</v>
      </c>
      <c r="N1792" s="14" t="s">
        <v>1237</v>
      </c>
      <c r="O1792" s="14" t="s">
        <v>1220</v>
      </c>
    </row>
    <row r="1793" spans="1:15" x14ac:dyDescent="0.25">
      <c r="A1793" s="14">
        <v>4932</v>
      </c>
      <c r="B1793" s="14" t="s">
        <v>67</v>
      </c>
      <c r="C1793" s="14" t="s">
        <v>67</v>
      </c>
      <c r="D1793" s="14" t="s">
        <v>4500</v>
      </c>
      <c r="E1793" s="16">
        <v>100</v>
      </c>
      <c r="F1793" s="14" t="s">
        <v>3271</v>
      </c>
      <c r="G1793" s="16">
        <v>100</v>
      </c>
      <c r="H1793" s="14" t="s">
        <v>4501</v>
      </c>
      <c r="I1793" s="14" t="s">
        <v>1256</v>
      </c>
      <c r="J1793" s="14" t="s">
        <v>1296</v>
      </c>
      <c r="K1793" s="14" t="s">
        <v>4502</v>
      </c>
      <c r="L1793" s="14" t="s">
        <v>4532</v>
      </c>
      <c r="M1793" s="14" t="s">
        <v>4504</v>
      </c>
      <c r="N1793" s="14" t="s">
        <v>1237</v>
      </c>
      <c r="O1793" s="14" t="s">
        <v>1220</v>
      </c>
    </row>
    <row r="1794" spans="1:15" x14ac:dyDescent="0.25">
      <c r="A1794" s="14">
        <v>4933</v>
      </c>
      <c r="B1794" s="14" t="s">
        <v>68</v>
      </c>
      <c r="C1794" s="14" t="s">
        <v>68</v>
      </c>
      <c r="D1794" s="14" t="s">
        <v>4500</v>
      </c>
      <c r="E1794" s="16">
        <v>100</v>
      </c>
      <c r="F1794" s="14" t="s">
        <v>3271</v>
      </c>
      <c r="G1794" s="16">
        <v>100</v>
      </c>
      <c r="H1794" s="14" t="s">
        <v>4501</v>
      </c>
      <c r="I1794" s="14" t="s">
        <v>1256</v>
      </c>
      <c r="J1794" s="14" t="s">
        <v>1296</v>
      </c>
      <c r="K1794" s="14" t="s">
        <v>4502</v>
      </c>
      <c r="L1794" s="14" t="s">
        <v>4533</v>
      </c>
      <c r="M1794" s="14" t="s">
        <v>4504</v>
      </c>
      <c r="N1794" s="14" t="s">
        <v>1237</v>
      </c>
      <c r="O1794" s="14" t="s">
        <v>1220</v>
      </c>
    </row>
    <row r="1795" spans="1:15" x14ac:dyDescent="0.25">
      <c r="A1795" s="14">
        <v>4934</v>
      </c>
      <c r="B1795" s="14" t="s">
        <v>69</v>
      </c>
      <c r="C1795" s="14" t="s">
        <v>69</v>
      </c>
      <c r="D1795" s="14" t="s">
        <v>4500</v>
      </c>
      <c r="E1795" s="16">
        <v>60</v>
      </c>
      <c r="F1795" s="14" t="s">
        <v>3271</v>
      </c>
      <c r="G1795" s="16">
        <v>60</v>
      </c>
      <c r="H1795" s="14" t="s">
        <v>4501</v>
      </c>
      <c r="I1795" s="14" t="s">
        <v>1256</v>
      </c>
      <c r="J1795" s="14" t="s">
        <v>1296</v>
      </c>
      <c r="K1795" s="14" t="s">
        <v>4502</v>
      </c>
      <c r="L1795" s="14" t="s">
        <v>4534</v>
      </c>
      <c r="M1795" s="14" t="s">
        <v>4504</v>
      </c>
      <c r="N1795" s="14" t="s">
        <v>1237</v>
      </c>
      <c r="O1795" s="14" t="s">
        <v>1220</v>
      </c>
    </row>
    <row r="1796" spans="1:15" x14ac:dyDescent="0.25">
      <c r="A1796" s="14">
        <v>4943</v>
      </c>
      <c r="B1796" s="14" t="s">
        <v>70</v>
      </c>
      <c r="C1796" s="14" t="s">
        <v>70</v>
      </c>
      <c r="D1796" s="14" t="s">
        <v>4500</v>
      </c>
      <c r="E1796" s="16">
        <v>60</v>
      </c>
      <c r="F1796" s="14" t="s">
        <v>3271</v>
      </c>
      <c r="G1796" s="16">
        <v>60</v>
      </c>
      <c r="H1796" s="14" t="s">
        <v>4501</v>
      </c>
      <c r="I1796" s="14" t="s">
        <v>1256</v>
      </c>
      <c r="J1796" s="14" t="s">
        <v>1296</v>
      </c>
      <c r="K1796" s="14" t="s">
        <v>4502</v>
      </c>
      <c r="L1796" s="14" t="s">
        <v>4535</v>
      </c>
      <c r="M1796" s="14" t="s">
        <v>4504</v>
      </c>
      <c r="N1796" s="14" t="s">
        <v>1237</v>
      </c>
      <c r="O1796" s="14" t="s">
        <v>1220</v>
      </c>
    </row>
    <row r="1797" spans="1:15" x14ac:dyDescent="0.25">
      <c r="A1797" s="14">
        <v>4944</v>
      </c>
      <c r="B1797" s="14" t="s">
        <v>71</v>
      </c>
      <c r="C1797" s="14" t="s">
        <v>71</v>
      </c>
      <c r="D1797" s="14" t="s">
        <v>4500</v>
      </c>
      <c r="E1797" s="16">
        <v>50</v>
      </c>
      <c r="F1797" s="14" t="s">
        <v>3271</v>
      </c>
      <c r="G1797" s="16">
        <v>50</v>
      </c>
      <c r="H1797" s="14" t="s">
        <v>4501</v>
      </c>
      <c r="I1797" s="14" t="s">
        <v>1256</v>
      </c>
      <c r="J1797" s="14" t="s">
        <v>1296</v>
      </c>
      <c r="K1797" s="14" t="s">
        <v>4502</v>
      </c>
      <c r="L1797" s="14" t="s">
        <v>4536</v>
      </c>
      <c r="M1797" s="14" t="s">
        <v>4504</v>
      </c>
      <c r="N1797" s="14" t="s">
        <v>1237</v>
      </c>
      <c r="O1797" s="14" t="s">
        <v>1220</v>
      </c>
    </row>
    <row r="1798" spans="1:15" x14ac:dyDescent="0.25">
      <c r="A1798" s="14">
        <v>4945</v>
      </c>
      <c r="B1798" s="14" t="s">
        <v>72</v>
      </c>
      <c r="C1798" s="14" t="s">
        <v>72</v>
      </c>
      <c r="D1798" s="14" t="s">
        <v>4500</v>
      </c>
      <c r="E1798" s="16">
        <v>40</v>
      </c>
      <c r="F1798" s="14" t="s">
        <v>3271</v>
      </c>
      <c r="G1798" s="16">
        <v>40</v>
      </c>
      <c r="H1798" s="14" t="s">
        <v>4501</v>
      </c>
      <c r="I1798" s="14" t="s">
        <v>1256</v>
      </c>
      <c r="J1798" s="14" t="s">
        <v>1296</v>
      </c>
      <c r="K1798" s="14" t="s">
        <v>4502</v>
      </c>
      <c r="L1798" s="14" t="s">
        <v>4537</v>
      </c>
      <c r="M1798" s="14" t="s">
        <v>4504</v>
      </c>
      <c r="N1798" s="14" t="s">
        <v>1237</v>
      </c>
      <c r="O1798" s="14" t="s">
        <v>1220</v>
      </c>
    </row>
    <row r="1799" spans="1:15" x14ac:dyDescent="0.25">
      <c r="A1799" s="14">
        <v>4938</v>
      </c>
      <c r="B1799" s="14" t="s">
        <v>73</v>
      </c>
      <c r="C1799" s="14" t="s">
        <v>73</v>
      </c>
      <c r="D1799" s="14" t="s">
        <v>4500</v>
      </c>
      <c r="E1799" s="16">
        <v>150</v>
      </c>
      <c r="F1799" s="14" t="s">
        <v>3271</v>
      </c>
      <c r="G1799" s="16">
        <v>150</v>
      </c>
      <c r="H1799" s="14" t="s">
        <v>4501</v>
      </c>
      <c r="I1799" s="14" t="s">
        <v>1256</v>
      </c>
      <c r="J1799" s="14" t="s">
        <v>1296</v>
      </c>
      <c r="K1799" s="14" t="s">
        <v>4502</v>
      </c>
      <c r="L1799" s="14" t="s">
        <v>4538</v>
      </c>
      <c r="M1799" s="14" t="s">
        <v>4504</v>
      </c>
      <c r="N1799" s="14" t="s">
        <v>1237</v>
      </c>
      <c r="O1799" s="14" t="s">
        <v>1220</v>
      </c>
    </row>
    <row r="1800" spans="1:15" x14ac:dyDescent="0.25">
      <c r="A1800" s="14">
        <v>4939</v>
      </c>
      <c r="B1800" s="14" t="s">
        <v>74</v>
      </c>
      <c r="C1800" s="14" t="s">
        <v>74</v>
      </c>
      <c r="D1800" s="14" t="s">
        <v>4500</v>
      </c>
      <c r="E1800" s="16">
        <v>100</v>
      </c>
      <c r="F1800" s="14" t="s">
        <v>3271</v>
      </c>
      <c r="G1800" s="16">
        <v>100</v>
      </c>
      <c r="H1800" s="14" t="s">
        <v>4501</v>
      </c>
      <c r="I1800" s="14" t="s">
        <v>1256</v>
      </c>
      <c r="J1800" s="14" t="s">
        <v>1296</v>
      </c>
      <c r="K1800" s="14" t="s">
        <v>4502</v>
      </c>
      <c r="L1800" s="14" t="s">
        <v>4539</v>
      </c>
      <c r="M1800" s="14" t="s">
        <v>4504</v>
      </c>
      <c r="N1800" s="14" t="s">
        <v>1237</v>
      </c>
      <c r="O1800" s="14" t="s">
        <v>1220</v>
      </c>
    </row>
    <row r="1801" spans="1:15" x14ac:dyDescent="0.25">
      <c r="A1801" s="14">
        <v>4940</v>
      </c>
      <c r="B1801" s="14" t="s">
        <v>75</v>
      </c>
      <c r="C1801" s="14" t="s">
        <v>75</v>
      </c>
      <c r="D1801" s="14" t="s">
        <v>4500</v>
      </c>
      <c r="E1801" s="16">
        <v>100</v>
      </c>
      <c r="F1801" s="14" t="s">
        <v>3271</v>
      </c>
      <c r="G1801" s="16">
        <v>100</v>
      </c>
      <c r="H1801" s="14" t="s">
        <v>4501</v>
      </c>
      <c r="I1801" s="14" t="s">
        <v>1256</v>
      </c>
      <c r="J1801" s="14" t="s">
        <v>1296</v>
      </c>
      <c r="K1801" s="14" t="s">
        <v>4502</v>
      </c>
      <c r="L1801" s="14" t="s">
        <v>4540</v>
      </c>
      <c r="M1801" s="14" t="s">
        <v>4504</v>
      </c>
      <c r="N1801" s="14" t="s">
        <v>1237</v>
      </c>
      <c r="O1801" s="14" t="s">
        <v>1220</v>
      </c>
    </row>
    <row r="1802" spans="1:15" x14ac:dyDescent="0.25">
      <c r="A1802" s="14">
        <v>4941</v>
      </c>
      <c r="B1802" s="14" t="s">
        <v>76</v>
      </c>
      <c r="C1802" s="14" t="s">
        <v>76</v>
      </c>
      <c r="D1802" s="14" t="s">
        <v>4500</v>
      </c>
      <c r="E1802" s="16">
        <v>100</v>
      </c>
      <c r="F1802" s="14" t="s">
        <v>3271</v>
      </c>
      <c r="G1802" s="16">
        <v>100</v>
      </c>
      <c r="H1802" s="14" t="s">
        <v>4501</v>
      </c>
      <c r="I1802" s="14" t="s">
        <v>1256</v>
      </c>
      <c r="J1802" s="14" t="s">
        <v>1296</v>
      </c>
      <c r="K1802" s="14" t="s">
        <v>4502</v>
      </c>
      <c r="L1802" s="14" t="s">
        <v>4541</v>
      </c>
      <c r="M1802" s="14" t="s">
        <v>4504</v>
      </c>
      <c r="N1802" s="14" t="s">
        <v>1237</v>
      </c>
      <c r="O1802" s="14" t="s">
        <v>1220</v>
      </c>
    </row>
    <row r="1803" spans="1:15" x14ac:dyDescent="0.25">
      <c r="A1803" s="14">
        <v>4942</v>
      </c>
      <c r="B1803" s="14" t="s">
        <v>77</v>
      </c>
      <c r="C1803" s="14" t="s">
        <v>77</v>
      </c>
      <c r="D1803" s="14" t="s">
        <v>4500</v>
      </c>
      <c r="E1803" s="16">
        <v>60</v>
      </c>
      <c r="F1803" s="14" t="s">
        <v>3271</v>
      </c>
      <c r="G1803" s="16">
        <v>60</v>
      </c>
      <c r="H1803" s="14" t="s">
        <v>4501</v>
      </c>
      <c r="I1803" s="14" t="s">
        <v>1256</v>
      </c>
      <c r="J1803" s="14" t="s">
        <v>1296</v>
      </c>
      <c r="K1803" s="14" t="s">
        <v>4502</v>
      </c>
      <c r="L1803" s="14" t="s">
        <v>4542</v>
      </c>
      <c r="M1803" s="14" t="s">
        <v>4504</v>
      </c>
      <c r="N1803" s="14" t="s">
        <v>1237</v>
      </c>
      <c r="O1803" s="14" t="s">
        <v>1220</v>
      </c>
    </row>
    <row r="1804" spans="1:15" x14ac:dyDescent="0.25">
      <c r="A1804" s="14">
        <v>4951</v>
      </c>
      <c r="B1804" s="14" t="s">
        <v>78</v>
      </c>
      <c r="C1804" s="14" t="s">
        <v>78</v>
      </c>
      <c r="D1804" s="14" t="s">
        <v>4500</v>
      </c>
      <c r="E1804" s="16">
        <v>60</v>
      </c>
      <c r="F1804" s="14" t="s">
        <v>3271</v>
      </c>
      <c r="G1804" s="16">
        <v>60</v>
      </c>
      <c r="H1804" s="14" t="s">
        <v>4501</v>
      </c>
      <c r="I1804" s="14" t="s">
        <v>1256</v>
      </c>
      <c r="J1804" s="14" t="s">
        <v>1242</v>
      </c>
      <c r="K1804" s="14" t="s">
        <v>4502</v>
      </c>
      <c r="L1804" s="14" t="s">
        <v>4543</v>
      </c>
      <c r="M1804" s="14" t="s">
        <v>4504</v>
      </c>
      <c r="N1804" s="14" t="s">
        <v>1237</v>
      </c>
      <c r="O1804" s="14" t="s">
        <v>1220</v>
      </c>
    </row>
    <row r="1805" spans="1:15" x14ac:dyDescent="0.25">
      <c r="A1805" s="14">
        <v>4952</v>
      </c>
      <c r="B1805" s="14" t="s">
        <v>79</v>
      </c>
      <c r="C1805" s="14" t="s">
        <v>79</v>
      </c>
      <c r="D1805" s="14" t="s">
        <v>4500</v>
      </c>
      <c r="E1805" s="16">
        <v>50</v>
      </c>
      <c r="F1805" s="14" t="s">
        <v>3271</v>
      </c>
      <c r="G1805" s="16">
        <v>50</v>
      </c>
      <c r="H1805" s="14" t="s">
        <v>4501</v>
      </c>
      <c r="I1805" s="14" t="s">
        <v>1256</v>
      </c>
      <c r="J1805" s="14" t="s">
        <v>1296</v>
      </c>
      <c r="K1805" s="14" t="s">
        <v>4502</v>
      </c>
      <c r="L1805" s="14" t="s">
        <v>4544</v>
      </c>
      <c r="M1805" s="14" t="s">
        <v>4504</v>
      </c>
      <c r="N1805" s="14" t="s">
        <v>1237</v>
      </c>
      <c r="O1805" s="14" t="s">
        <v>1220</v>
      </c>
    </row>
    <row r="1806" spans="1:15" x14ac:dyDescent="0.25">
      <c r="A1806" s="14">
        <v>4953</v>
      </c>
      <c r="B1806" s="14" t="s">
        <v>80</v>
      </c>
      <c r="C1806" s="14" t="s">
        <v>80</v>
      </c>
      <c r="D1806" s="14" t="s">
        <v>4500</v>
      </c>
      <c r="E1806" s="16">
        <v>40</v>
      </c>
      <c r="F1806" s="14" t="s">
        <v>3271</v>
      </c>
      <c r="G1806" s="16">
        <v>40</v>
      </c>
      <c r="H1806" s="14" t="s">
        <v>4501</v>
      </c>
      <c r="I1806" s="14" t="s">
        <v>1256</v>
      </c>
      <c r="J1806" s="14" t="s">
        <v>1296</v>
      </c>
      <c r="K1806" s="14" t="s">
        <v>4502</v>
      </c>
      <c r="L1806" s="14" t="s">
        <v>4545</v>
      </c>
      <c r="M1806" s="14" t="s">
        <v>4504</v>
      </c>
      <c r="N1806" s="14" t="s">
        <v>1237</v>
      </c>
      <c r="O1806" s="14" t="s">
        <v>1220</v>
      </c>
    </row>
    <row r="1807" spans="1:15" x14ac:dyDescent="0.25">
      <c r="A1807" s="14">
        <v>4946</v>
      </c>
      <c r="B1807" s="14" t="s">
        <v>81</v>
      </c>
      <c r="C1807" s="14" t="s">
        <v>81</v>
      </c>
      <c r="D1807" s="14" t="s">
        <v>4500</v>
      </c>
      <c r="E1807" s="16">
        <v>150</v>
      </c>
      <c r="F1807" s="14" t="s">
        <v>3271</v>
      </c>
      <c r="G1807" s="16">
        <v>150</v>
      </c>
      <c r="H1807" s="14" t="s">
        <v>4501</v>
      </c>
      <c r="I1807" s="14" t="s">
        <v>1256</v>
      </c>
      <c r="J1807" s="14" t="s">
        <v>1296</v>
      </c>
      <c r="K1807" s="14" t="s">
        <v>4502</v>
      </c>
      <c r="L1807" s="14" t="s">
        <v>4546</v>
      </c>
      <c r="M1807" s="14" t="s">
        <v>4504</v>
      </c>
      <c r="N1807" s="14" t="s">
        <v>1237</v>
      </c>
      <c r="O1807" s="14" t="s">
        <v>1220</v>
      </c>
    </row>
    <row r="1808" spans="1:15" x14ac:dyDescent="0.25">
      <c r="A1808" s="14">
        <v>4947</v>
      </c>
      <c r="B1808" s="14" t="s">
        <v>82</v>
      </c>
      <c r="C1808" s="14" t="s">
        <v>82</v>
      </c>
      <c r="D1808" s="14" t="s">
        <v>4500</v>
      </c>
      <c r="E1808" s="16">
        <v>100</v>
      </c>
      <c r="F1808" s="14" t="s">
        <v>3271</v>
      </c>
      <c r="G1808" s="16">
        <v>100</v>
      </c>
      <c r="H1808" s="14" t="s">
        <v>4501</v>
      </c>
      <c r="I1808" s="14" t="s">
        <v>1256</v>
      </c>
      <c r="J1808" s="14" t="s">
        <v>1296</v>
      </c>
      <c r="K1808" s="14" t="s">
        <v>4502</v>
      </c>
      <c r="L1808" s="14" t="s">
        <v>4547</v>
      </c>
      <c r="M1808" s="14" t="s">
        <v>4504</v>
      </c>
      <c r="N1808" s="14" t="s">
        <v>1237</v>
      </c>
      <c r="O1808" s="14" t="s">
        <v>1220</v>
      </c>
    </row>
    <row r="1809" spans="1:15" x14ac:dyDescent="0.25">
      <c r="A1809" s="14">
        <v>4948</v>
      </c>
      <c r="B1809" s="14" t="s">
        <v>83</v>
      </c>
      <c r="C1809" s="14" t="s">
        <v>83</v>
      </c>
      <c r="D1809" s="14" t="s">
        <v>4500</v>
      </c>
      <c r="E1809" s="16">
        <v>100</v>
      </c>
      <c r="F1809" s="14" t="s">
        <v>3271</v>
      </c>
      <c r="G1809" s="16">
        <v>100</v>
      </c>
      <c r="H1809" s="14" t="s">
        <v>4501</v>
      </c>
      <c r="I1809" s="14" t="s">
        <v>1256</v>
      </c>
      <c r="J1809" s="14" t="s">
        <v>1296</v>
      </c>
      <c r="K1809" s="14" t="s">
        <v>4502</v>
      </c>
      <c r="L1809" s="14" t="s">
        <v>4548</v>
      </c>
      <c r="M1809" s="14" t="s">
        <v>4504</v>
      </c>
      <c r="N1809" s="14" t="s">
        <v>1237</v>
      </c>
      <c r="O1809" s="14" t="s">
        <v>1220</v>
      </c>
    </row>
    <row r="1810" spans="1:15" x14ac:dyDescent="0.25">
      <c r="A1810" s="14">
        <v>4949</v>
      </c>
      <c r="B1810" s="14" t="s">
        <v>84</v>
      </c>
      <c r="C1810" s="14" t="s">
        <v>84</v>
      </c>
      <c r="D1810" s="14" t="s">
        <v>4500</v>
      </c>
      <c r="E1810" s="16">
        <v>100</v>
      </c>
      <c r="F1810" s="14" t="s">
        <v>3271</v>
      </c>
      <c r="G1810" s="16">
        <v>100</v>
      </c>
      <c r="H1810" s="14" t="s">
        <v>4501</v>
      </c>
      <c r="I1810" s="14" t="s">
        <v>1256</v>
      </c>
      <c r="J1810" s="14" t="s">
        <v>1296</v>
      </c>
      <c r="K1810" s="14" t="s">
        <v>4502</v>
      </c>
      <c r="L1810" s="14" t="s">
        <v>4549</v>
      </c>
      <c r="M1810" s="14" t="s">
        <v>4504</v>
      </c>
      <c r="N1810" s="14" t="s">
        <v>1237</v>
      </c>
      <c r="O1810" s="14" t="s">
        <v>1220</v>
      </c>
    </row>
    <row r="1811" spans="1:15" x14ac:dyDescent="0.25">
      <c r="A1811" s="14">
        <v>4950</v>
      </c>
      <c r="B1811" s="14" t="s">
        <v>85</v>
      </c>
      <c r="C1811" s="14" t="s">
        <v>85</v>
      </c>
      <c r="D1811" s="14" t="s">
        <v>4500</v>
      </c>
      <c r="E1811" s="16">
        <v>60</v>
      </c>
      <c r="F1811" s="14" t="s">
        <v>3271</v>
      </c>
      <c r="G1811" s="16">
        <v>60</v>
      </c>
      <c r="H1811" s="14" t="s">
        <v>4501</v>
      </c>
      <c r="I1811" s="14" t="s">
        <v>1256</v>
      </c>
      <c r="J1811" s="14" t="s">
        <v>1296</v>
      </c>
      <c r="K1811" s="14" t="s">
        <v>4502</v>
      </c>
      <c r="L1811" s="14" t="s">
        <v>4550</v>
      </c>
      <c r="M1811" s="14" t="s">
        <v>4504</v>
      </c>
      <c r="N1811" s="14" t="s">
        <v>1237</v>
      </c>
      <c r="O1811" s="14" t="s">
        <v>1220</v>
      </c>
    </row>
    <row r="1812" spans="1:15" x14ac:dyDescent="0.25">
      <c r="A1812" s="14">
        <v>4959</v>
      </c>
      <c r="B1812" s="14" t="s">
        <v>86</v>
      </c>
      <c r="C1812" s="14" t="s">
        <v>86</v>
      </c>
      <c r="D1812" s="14" t="s">
        <v>4500</v>
      </c>
      <c r="E1812" s="16">
        <v>60</v>
      </c>
      <c r="F1812" s="14" t="s">
        <v>3271</v>
      </c>
      <c r="G1812" s="16">
        <v>60</v>
      </c>
      <c r="H1812" s="14" t="s">
        <v>4501</v>
      </c>
      <c r="I1812" s="14" t="s">
        <v>1256</v>
      </c>
      <c r="J1812" s="14" t="s">
        <v>1296</v>
      </c>
      <c r="K1812" s="14" t="s">
        <v>4502</v>
      </c>
      <c r="L1812" s="14" t="s">
        <v>4551</v>
      </c>
      <c r="M1812" s="14" t="s">
        <v>4504</v>
      </c>
      <c r="N1812" s="14" t="s">
        <v>1237</v>
      </c>
      <c r="O1812" s="14" t="s">
        <v>1220</v>
      </c>
    </row>
    <row r="1813" spans="1:15" x14ac:dyDescent="0.25">
      <c r="A1813" s="14">
        <v>4960</v>
      </c>
      <c r="B1813" s="14" t="s">
        <v>87</v>
      </c>
      <c r="C1813" s="14" t="s">
        <v>87</v>
      </c>
      <c r="D1813" s="14" t="s">
        <v>4500</v>
      </c>
      <c r="E1813" s="16">
        <v>50</v>
      </c>
      <c r="F1813" s="14" t="s">
        <v>3271</v>
      </c>
      <c r="G1813" s="16">
        <v>50</v>
      </c>
      <c r="H1813" s="14" t="s">
        <v>4501</v>
      </c>
      <c r="I1813" s="14" t="s">
        <v>1256</v>
      </c>
      <c r="J1813" s="14" t="s">
        <v>1296</v>
      </c>
      <c r="K1813" s="14" t="s">
        <v>4502</v>
      </c>
      <c r="L1813" s="14" t="s">
        <v>4552</v>
      </c>
      <c r="M1813" s="14" t="s">
        <v>4504</v>
      </c>
      <c r="N1813" s="14" t="s">
        <v>1237</v>
      </c>
      <c r="O1813" s="14" t="s">
        <v>1220</v>
      </c>
    </row>
    <row r="1814" spans="1:15" x14ac:dyDescent="0.25">
      <c r="A1814" s="14">
        <v>4961</v>
      </c>
      <c r="B1814" s="14" t="s">
        <v>88</v>
      </c>
      <c r="C1814" s="14" t="s">
        <v>88</v>
      </c>
      <c r="D1814" s="14" t="s">
        <v>4500</v>
      </c>
      <c r="E1814" s="16">
        <v>40</v>
      </c>
      <c r="F1814" s="14" t="s">
        <v>3271</v>
      </c>
      <c r="G1814" s="16">
        <v>40</v>
      </c>
      <c r="H1814" s="14" t="s">
        <v>4501</v>
      </c>
      <c r="I1814" s="14" t="s">
        <v>1256</v>
      </c>
      <c r="J1814" s="14" t="s">
        <v>1296</v>
      </c>
      <c r="K1814" s="14" t="s">
        <v>4502</v>
      </c>
      <c r="L1814" s="14" t="s">
        <v>4553</v>
      </c>
      <c r="M1814" s="14" t="s">
        <v>4504</v>
      </c>
      <c r="N1814" s="14" t="s">
        <v>1237</v>
      </c>
      <c r="O1814" s="14" t="s">
        <v>1220</v>
      </c>
    </row>
    <row r="1815" spans="1:15" x14ac:dyDescent="0.25">
      <c r="A1815" s="14">
        <v>4954</v>
      </c>
      <c r="B1815" s="14" t="s">
        <v>89</v>
      </c>
      <c r="C1815" s="14" t="s">
        <v>89</v>
      </c>
      <c r="D1815" s="14" t="s">
        <v>4500</v>
      </c>
      <c r="E1815" s="16">
        <v>150</v>
      </c>
      <c r="F1815" s="14" t="s">
        <v>3271</v>
      </c>
      <c r="G1815" s="16">
        <v>150</v>
      </c>
      <c r="H1815" s="14" t="s">
        <v>4501</v>
      </c>
      <c r="I1815" s="14" t="s">
        <v>1256</v>
      </c>
      <c r="J1815" s="14" t="s">
        <v>1296</v>
      </c>
      <c r="K1815" s="14" t="s">
        <v>4502</v>
      </c>
      <c r="L1815" s="14" t="s">
        <v>4554</v>
      </c>
      <c r="M1815" s="14" t="s">
        <v>4504</v>
      </c>
      <c r="N1815" s="14" t="s">
        <v>1237</v>
      </c>
      <c r="O1815" s="14" t="s">
        <v>1220</v>
      </c>
    </row>
    <row r="1816" spans="1:15" x14ac:dyDescent="0.25">
      <c r="A1816" s="14">
        <v>4955</v>
      </c>
      <c r="B1816" s="14" t="s">
        <v>90</v>
      </c>
      <c r="C1816" s="14" t="s">
        <v>90</v>
      </c>
      <c r="D1816" s="14" t="s">
        <v>4500</v>
      </c>
      <c r="E1816" s="16">
        <v>100</v>
      </c>
      <c r="F1816" s="14" t="s">
        <v>3271</v>
      </c>
      <c r="G1816" s="16">
        <v>100</v>
      </c>
      <c r="H1816" s="14" t="s">
        <v>4501</v>
      </c>
      <c r="I1816" s="14" t="s">
        <v>1256</v>
      </c>
      <c r="J1816" s="14" t="s">
        <v>1296</v>
      </c>
      <c r="K1816" s="14" t="s">
        <v>4502</v>
      </c>
      <c r="L1816" s="14" t="s">
        <v>4555</v>
      </c>
      <c r="M1816" s="14" t="s">
        <v>4504</v>
      </c>
      <c r="N1816" s="14" t="s">
        <v>1237</v>
      </c>
      <c r="O1816" s="14" t="s">
        <v>1220</v>
      </c>
    </row>
    <row r="1817" spans="1:15" x14ac:dyDescent="0.25">
      <c r="A1817" s="14">
        <v>4956</v>
      </c>
      <c r="B1817" s="14" t="s">
        <v>91</v>
      </c>
      <c r="C1817" s="14" t="s">
        <v>91</v>
      </c>
      <c r="D1817" s="14" t="s">
        <v>4500</v>
      </c>
      <c r="E1817" s="16">
        <v>100</v>
      </c>
      <c r="F1817" s="14" t="s">
        <v>3271</v>
      </c>
      <c r="G1817" s="16">
        <v>100</v>
      </c>
      <c r="H1817" s="14" t="s">
        <v>4501</v>
      </c>
      <c r="I1817" s="14" t="s">
        <v>1256</v>
      </c>
      <c r="J1817" s="14" t="s">
        <v>1296</v>
      </c>
      <c r="K1817" s="14" t="s">
        <v>4502</v>
      </c>
      <c r="L1817" s="14" t="s">
        <v>4556</v>
      </c>
      <c r="M1817" s="14" t="s">
        <v>4504</v>
      </c>
      <c r="N1817" s="14" t="s">
        <v>1237</v>
      </c>
      <c r="O1817" s="14" t="s">
        <v>1220</v>
      </c>
    </row>
    <row r="1818" spans="1:15" x14ac:dyDescent="0.25">
      <c r="A1818" s="14">
        <v>4957</v>
      </c>
      <c r="B1818" s="14" t="s">
        <v>92</v>
      </c>
      <c r="C1818" s="14" t="s">
        <v>92</v>
      </c>
      <c r="D1818" s="14" t="s">
        <v>4500</v>
      </c>
      <c r="E1818" s="16">
        <v>100</v>
      </c>
      <c r="F1818" s="14" t="s">
        <v>3271</v>
      </c>
      <c r="G1818" s="16">
        <v>100</v>
      </c>
      <c r="H1818" s="14" t="s">
        <v>4501</v>
      </c>
      <c r="I1818" s="14" t="s">
        <v>1256</v>
      </c>
      <c r="J1818" s="14" t="s">
        <v>1296</v>
      </c>
      <c r="K1818" s="14" t="s">
        <v>4502</v>
      </c>
      <c r="L1818" s="14" t="s">
        <v>4557</v>
      </c>
      <c r="M1818" s="14" t="s">
        <v>4504</v>
      </c>
      <c r="N1818" s="14" t="s">
        <v>1237</v>
      </c>
      <c r="O1818" s="14" t="s">
        <v>1220</v>
      </c>
    </row>
    <row r="1819" spans="1:15" x14ac:dyDescent="0.25">
      <c r="A1819" s="14">
        <v>4958</v>
      </c>
      <c r="B1819" s="14" t="s">
        <v>93</v>
      </c>
      <c r="C1819" s="14" t="s">
        <v>93</v>
      </c>
      <c r="D1819" s="14" t="s">
        <v>4500</v>
      </c>
      <c r="E1819" s="16">
        <v>60</v>
      </c>
      <c r="F1819" s="14" t="s">
        <v>3271</v>
      </c>
      <c r="G1819" s="16">
        <v>60</v>
      </c>
      <c r="H1819" s="14" t="s">
        <v>4501</v>
      </c>
      <c r="I1819" s="14" t="s">
        <v>1256</v>
      </c>
      <c r="J1819" s="14" t="s">
        <v>1296</v>
      </c>
      <c r="K1819" s="14" t="s">
        <v>4502</v>
      </c>
      <c r="L1819" s="14" t="s">
        <v>4558</v>
      </c>
      <c r="M1819" s="14" t="s">
        <v>4504</v>
      </c>
      <c r="N1819" s="14" t="s">
        <v>1237</v>
      </c>
      <c r="O1819" s="14" t="s">
        <v>1220</v>
      </c>
    </row>
    <row r="1820" spans="1:15" x14ac:dyDescent="0.25">
      <c r="A1820" s="14">
        <v>1418</v>
      </c>
      <c r="B1820" s="14" t="s">
        <v>163</v>
      </c>
      <c r="C1820" s="14" t="s">
        <v>4559</v>
      </c>
      <c r="D1820" s="14" t="s">
        <v>4560</v>
      </c>
      <c r="E1820" s="16">
        <v>50</v>
      </c>
      <c r="F1820" s="14" t="s">
        <v>4561</v>
      </c>
      <c r="G1820" s="16">
        <v>500</v>
      </c>
      <c r="H1820" s="14" t="s">
        <v>4562</v>
      </c>
      <c r="I1820" s="14" t="s">
        <v>1256</v>
      </c>
      <c r="J1820" s="14" t="s">
        <v>1233</v>
      </c>
      <c r="K1820" s="14" t="s">
        <v>1257</v>
      </c>
      <c r="L1820" s="14" t="s">
        <v>4563</v>
      </c>
      <c r="M1820" s="14" t="s">
        <v>4504</v>
      </c>
      <c r="N1820" s="14" t="s">
        <v>1237</v>
      </c>
      <c r="O1820" s="14" t="s">
        <v>1220</v>
      </c>
    </row>
    <row r="1821" spans="1:15" x14ac:dyDescent="0.25">
      <c r="A1821" s="14" t="s">
        <v>4564</v>
      </c>
      <c r="B1821" s="14" t="s">
        <v>4565</v>
      </c>
      <c r="C1821" s="14" t="s">
        <v>4566</v>
      </c>
      <c r="D1821" s="14" t="s">
        <v>4560</v>
      </c>
      <c r="E1821" s="15"/>
      <c r="F1821" s="14" t="s">
        <v>4561</v>
      </c>
      <c r="G1821" s="15"/>
      <c r="H1821" s="14" t="s">
        <v>4562</v>
      </c>
      <c r="I1821" s="14" t="s">
        <v>1262</v>
      </c>
      <c r="J1821" s="14" t="s">
        <v>1262</v>
      </c>
      <c r="K1821" s="14"/>
      <c r="L1821" s="14" t="s">
        <v>4563</v>
      </c>
      <c r="M1821" s="14" t="s">
        <v>4504</v>
      </c>
      <c r="N1821" s="14" t="s">
        <v>1219</v>
      </c>
      <c r="O1821" s="14" t="s">
        <v>1220</v>
      </c>
    </row>
    <row r="1822" spans="1:15" x14ac:dyDescent="0.25">
      <c r="A1822" s="14">
        <v>4806</v>
      </c>
      <c r="B1822" s="14" t="s">
        <v>202</v>
      </c>
      <c r="C1822" s="14" t="s">
        <v>4567</v>
      </c>
      <c r="D1822" s="14" t="s">
        <v>4568</v>
      </c>
      <c r="E1822" s="16">
        <v>50</v>
      </c>
      <c r="F1822" s="14" t="s">
        <v>4561</v>
      </c>
      <c r="G1822" s="16">
        <v>500</v>
      </c>
      <c r="H1822" s="14" t="s">
        <v>4569</v>
      </c>
      <c r="I1822" s="14" t="s">
        <v>1256</v>
      </c>
      <c r="J1822" s="14" t="s">
        <v>1233</v>
      </c>
      <c r="K1822" s="14" t="s">
        <v>1257</v>
      </c>
      <c r="L1822" s="14" t="s">
        <v>4570</v>
      </c>
      <c r="M1822" s="14" t="s">
        <v>4504</v>
      </c>
      <c r="N1822" s="14" t="s">
        <v>1237</v>
      </c>
      <c r="O1822" s="14" t="s">
        <v>1220</v>
      </c>
    </row>
    <row r="1823" spans="1:15" x14ac:dyDescent="0.25">
      <c r="A1823" s="14" t="s">
        <v>4571</v>
      </c>
      <c r="B1823" s="14" t="s">
        <v>4572</v>
      </c>
      <c r="C1823" s="14" t="s">
        <v>4573</v>
      </c>
      <c r="D1823" s="14" t="s">
        <v>4574</v>
      </c>
      <c r="E1823" s="15"/>
      <c r="F1823" s="14" t="s">
        <v>1350</v>
      </c>
      <c r="G1823" s="15"/>
      <c r="H1823" s="14" t="s">
        <v>4569</v>
      </c>
      <c r="I1823" s="14" t="s">
        <v>1262</v>
      </c>
      <c r="J1823" s="14" t="s">
        <v>1262</v>
      </c>
      <c r="K1823" s="14" t="s">
        <v>1257</v>
      </c>
      <c r="L1823" s="14" t="s">
        <v>4570</v>
      </c>
      <c r="M1823" s="14" t="s">
        <v>4504</v>
      </c>
      <c r="N1823" s="14" t="s">
        <v>1219</v>
      </c>
      <c r="O1823" s="14" t="s">
        <v>1220</v>
      </c>
    </row>
    <row r="1824" spans="1:15" x14ac:dyDescent="0.25">
      <c r="A1824" s="14">
        <v>1419</v>
      </c>
      <c r="B1824" s="14" t="s">
        <v>164</v>
      </c>
      <c r="C1824" s="14" t="s">
        <v>4575</v>
      </c>
      <c r="D1824" s="14" t="s">
        <v>4560</v>
      </c>
      <c r="E1824" s="16">
        <v>50</v>
      </c>
      <c r="F1824" s="14" t="s">
        <v>4561</v>
      </c>
      <c r="G1824" s="16">
        <v>500</v>
      </c>
      <c r="H1824" s="14" t="s">
        <v>4562</v>
      </c>
      <c r="I1824" s="14" t="s">
        <v>1256</v>
      </c>
      <c r="J1824" s="14" t="s">
        <v>1233</v>
      </c>
      <c r="K1824" s="14" t="s">
        <v>1257</v>
      </c>
      <c r="L1824" s="14" t="s">
        <v>4576</v>
      </c>
      <c r="M1824" s="14" t="s">
        <v>4504</v>
      </c>
      <c r="N1824" s="14" t="s">
        <v>1237</v>
      </c>
      <c r="O1824" s="14" t="s">
        <v>1220</v>
      </c>
    </row>
    <row r="1825" spans="1:15" x14ac:dyDescent="0.25">
      <c r="A1825" s="14" t="s">
        <v>4577</v>
      </c>
      <c r="B1825" s="14" t="s">
        <v>4578</v>
      </c>
      <c r="C1825" s="14" t="s">
        <v>4579</v>
      </c>
      <c r="D1825" s="14" t="s">
        <v>4560</v>
      </c>
      <c r="E1825" s="15"/>
      <c r="F1825" s="14" t="s">
        <v>4561</v>
      </c>
      <c r="G1825" s="15"/>
      <c r="H1825" s="14" t="s">
        <v>4562</v>
      </c>
      <c r="I1825" s="14" t="s">
        <v>1262</v>
      </c>
      <c r="J1825" s="14" t="s">
        <v>1262</v>
      </c>
      <c r="K1825" s="14"/>
      <c r="L1825" s="14" t="s">
        <v>4576</v>
      </c>
      <c r="M1825" s="14" t="s">
        <v>4504</v>
      </c>
      <c r="N1825" s="14" t="s">
        <v>1219</v>
      </c>
      <c r="O1825" s="14" t="s">
        <v>1220</v>
      </c>
    </row>
    <row r="1826" spans="1:15" x14ac:dyDescent="0.25">
      <c r="A1826" s="14">
        <v>4807</v>
      </c>
      <c r="B1826" s="14" t="s">
        <v>203</v>
      </c>
      <c r="C1826" s="14" t="s">
        <v>4580</v>
      </c>
      <c r="D1826" s="14" t="s">
        <v>4568</v>
      </c>
      <c r="E1826" s="16">
        <v>50</v>
      </c>
      <c r="F1826" s="14" t="s">
        <v>4561</v>
      </c>
      <c r="G1826" s="16">
        <v>500</v>
      </c>
      <c r="H1826" s="14" t="s">
        <v>4569</v>
      </c>
      <c r="I1826" s="14" t="s">
        <v>1256</v>
      </c>
      <c r="J1826" s="14" t="s">
        <v>1233</v>
      </c>
      <c r="K1826" s="14" t="s">
        <v>1257</v>
      </c>
      <c r="L1826" s="14" t="s">
        <v>4581</v>
      </c>
      <c r="M1826" s="14" t="s">
        <v>4504</v>
      </c>
      <c r="N1826" s="14" t="s">
        <v>1237</v>
      </c>
      <c r="O1826" s="14" t="s">
        <v>1220</v>
      </c>
    </row>
    <row r="1827" spans="1:15" x14ac:dyDescent="0.25">
      <c r="A1827" s="14" t="s">
        <v>4582</v>
      </c>
      <c r="B1827" s="14" t="s">
        <v>4583</v>
      </c>
      <c r="C1827" s="14" t="s">
        <v>4584</v>
      </c>
      <c r="D1827" s="14" t="s">
        <v>4574</v>
      </c>
      <c r="E1827" s="15"/>
      <c r="F1827" s="14" t="s">
        <v>1350</v>
      </c>
      <c r="G1827" s="15"/>
      <c r="H1827" s="14" t="s">
        <v>4569</v>
      </c>
      <c r="I1827" s="14" t="s">
        <v>1262</v>
      </c>
      <c r="J1827" s="14" t="s">
        <v>1262</v>
      </c>
      <c r="K1827" s="14" t="s">
        <v>1257</v>
      </c>
      <c r="L1827" s="14" t="s">
        <v>4581</v>
      </c>
      <c r="M1827" s="14" t="s">
        <v>4504</v>
      </c>
      <c r="N1827" s="14" t="s">
        <v>1219</v>
      </c>
      <c r="O1827" s="14" t="s">
        <v>1220</v>
      </c>
    </row>
    <row r="1828" spans="1:15" x14ac:dyDescent="0.25">
      <c r="A1828" s="14">
        <v>1420</v>
      </c>
      <c r="B1828" s="14" t="s">
        <v>165</v>
      </c>
      <c r="C1828" s="14" t="s">
        <v>4585</v>
      </c>
      <c r="D1828" s="14" t="s">
        <v>4560</v>
      </c>
      <c r="E1828" s="16">
        <v>50</v>
      </c>
      <c r="F1828" s="14" t="s">
        <v>4561</v>
      </c>
      <c r="G1828" s="16">
        <v>500</v>
      </c>
      <c r="H1828" s="14" t="s">
        <v>4562</v>
      </c>
      <c r="I1828" s="14" t="s">
        <v>1256</v>
      </c>
      <c r="J1828" s="14" t="s">
        <v>1233</v>
      </c>
      <c r="K1828" s="14" t="s">
        <v>1257</v>
      </c>
      <c r="L1828" s="14" t="s">
        <v>4586</v>
      </c>
      <c r="M1828" s="14" t="s">
        <v>4504</v>
      </c>
      <c r="N1828" s="14" t="s">
        <v>1237</v>
      </c>
      <c r="O1828" s="14" t="s">
        <v>1220</v>
      </c>
    </row>
    <row r="1829" spans="1:15" x14ac:dyDescent="0.25">
      <c r="A1829" s="14" t="s">
        <v>4587</v>
      </c>
      <c r="B1829" s="14" t="s">
        <v>4588</v>
      </c>
      <c r="C1829" s="14" t="s">
        <v>4589</v>
      </c>
      <c r="D1829" s="14" t="s">
        <v>4560</v>
      </c>
      <c r="E1829" s="15"/>
      <c r="F1829" s="14" t="s">
        <v>4561</v>
      </c>
      <c r="G1829" s="15"/>
      <c r="H1829" s="14" t="s">
        <v>4562</v>
      </c>
      <c r="I1829" s="14" t="s">
        <v>1262</v>
      </c>
      <c r="J1829" s="14" t="s">
        <v>1262</v>
      </c>
      <c r="K1829" s="14"/>
      <c r="L1829" s="14" t="s">
        <v>4586</v>
      </c>
      <c r="M1829" s="14" t="s">
        <v>4504</v>
      </c>
      <c r="N1829" s="14" t="s">
        <v>1219</v>
      </c>
      <c r="O1829" s="14" t="s">
        <v>1220</v>
      </c>
    </row>
    <row r="1830" spans="1:15" x14ac:dyDescent="0.25">
      <c r="A1830" s="14">
        <v>4808</v>
      </c>
      <c r="B1830" s="14" t="s">
        <v>204</v>
      </c>
      <c r="C1830" s="14" t="s">
        <v>4590</v>
      </c>
      <c r="D1830" s="14" t="s">
        <v>4568</v>
      </c>
      <c r="E1830" s="16">
        <v>50</v>
      </c>
      <c r="F1830" s="14" t="s">
        <v>4561</v>
      </c>
      <c r="G1830" s="16">
        <v>500</v>
      </c>
      <c r="H1830" s="14" t="s">
        <v>4569</v>
      </c>
      <c r="I1830" s="14" t="s">
        <v>1256</v>
      </c>
      <c r="J1830" s="14" t="s">
        <v>1233</v>
      </c>
      <c r="K1830" s="14" t="s">
        <v>1257</v>
      </c>
      <c r="L1830" s="14" t="s">
        <v>4591</v>
      </c>
      <c r="M1830" s="14" t="s">
        <v>4504</v>
      </c>
      <c r="N1830" s="14" t="s">
        <v>1237</v>
      </c>
      <c r="O1830" s="14" t="s">
        <v>1220</v>
      </c>
    </row>
    <row r="1831" spans="1:15" x14ac:dyDescent="0.25">
      <c r="A1831" s="14" t="s">
        <v>4592</v>
      </c>
      <c r="B1831" s="14" t="s">
        <v>4593</v>
      </c>
      <c r="C1831" s="14" t="s">
        <v>4594</v>
      </c>
      <c r="D1831" s="14" t="s">
        <v>4574</v>
      </c>
      <c r="E1831" s="15"/>
      <c r="F1831" s="14" t="s">
        <v>1350</v>
      </c>
      <c r="G1831" s="15"/>
      <c r="H1831" s="14" t="s">
        <v>4569</v>
      </c>
      <c r="I1831" s="14" t="s">
        <v>1262</v>
      </c>
      <c r="J1831" s="14" t="s">
        <v>1262</v>
      </c>
      <c r="K1831" s="14" t="s">
        <v>1257</v>
      </c>
      <c r="L1831" s="14" t="s">
        <v>4591</v>
      </c>
      <c r="M1831" s="14" t="s">
        <v>4504</v>
      </c>
      <c r="N1831" s="14" t="s">
        <v>1219</v>
      </c>
      <c r="O1831" s="14" t="s">
        <v>1220</v>
      </c>
    </row>
    <row r="1832" spans="1:15" x14ac:dyDescent="0.25">
      <c r="A1832" s="14">
        <v>1421</v>
      </c>
      <c r="B1832" s="14" t="s">
        <v>166</v>
      </c>
      <c r="C1832" s="14" t="s">
        <v>4595</v>
      </c>
      <c r="D1832" s="14" t="s">
        <v>4560</v>
      </c>
      <c r="E1832" s="16">
        <v>50</v>
      </c>
      <c r="F1832" s="14" t="s">
        <v>4561</v>
      </c>
      <c r="G1832" s="16">
        <v>500</v>
      </c>
      <c r="H1832" s="14" t="s">
        <v>4562</v>
      </c>
      <c r="I1832" s="14" t="s">
        <v>1256</v>
      </c>
      <c r="J1832" s="14" t="s">
        <v>1242</v>
      </c>
      <c r="K1832" s="14" t="s">
        <v>1257</v>
      </c>
      <c r="L1832" s="14" t="s">
        <v>4596</v>
      </c>
      <c r="M1832" s="14" t="s">
        <v>4504</v>
      </c>
      <c r="N1832" s="14" t="s">
        <v>1237</v>
      </c>
      <c r="O1832" s="14" t="s">
        <v>1220</v>
      </c>
    </row>
    <row r="1833" spans="1:15" x14ac:dyDescent="0.25">
      <c r="A1833" s="14" t="s">
        <v>4597</v>
      </c>
      <c r="B1833" s="14" t="s">
        <v>4598</v>
      </c>
      <c r="C1833" s="14" t="s">
        <v>4599</v>
      </c>
      <c r="D1833" s="14" t="s">
        <v>4560</v>
      </c>
      <c r="E1833" s="15"/>
      <c r="F1833" s="14" t="s">
        <v>4561</v>
      </c>
      <c r="G1833" s="15"/>
      <c r="H1833" s="14" t="s">
        <v>4562</v>
      </c>
      <c r="I1833" s="14" t="s">
        <v>1262</v>
      </c>
      <c r="J1833" s="14" t="s">
        <v>1262</v>
      </c>
      <c r="K1833" s="14"/>
      <c r="L1833" s="14" t="s">
        <v>4596</v>
      </c>
      <c r="M1833" s="14" t="s">
        <v>4504</v>
      </c>
      <c r="N1833" s="14" t="s">
        <v>1219</v>
      </c>
      <c r="O1833" s="14" t="s">
        <v>1220</v>
      </c>
    </row>
    <row r="1834" spans="1:15" x14ac:dyDescent="0.25">
      <c r="A1834" s="14">
        <v>4809</v>
      </c>
      <c r="B1834" s="14" t="s">
        <v>205</v>
      </c>
      <c r="C1834" s="14" t="s">
        <v>4600</v>
      </c>
      <c r="D1834" s="14" t="s">
        <v>4568</v>
      </c>
      <c r="E1834" s="16">
        <v>50</v>
      </c>
      <c r="F1834" s="14" t="s">
        <v>4561</v>
      </c>
      <c r="G1834" s="16">
        <v>250</v>
      </c>
      <c r="H1834" s="14" t="s">
        <v>4569</v>
      </c>
      <c r="I1834" s="14" t="s">
        <v>1256</v>
      </c>
      <c r="J1834" s="14" t="s">
        <v>1242</v>
      </c>
      <c r="K1834" s="14" t="s">
        <v>1257</v>
      </c>
      <c r="L1834" s="14" t="s">
        <v>4601</v>
      </c>
      <c r="M1834" s="14" t="s">
        <v>4504</v>
      </c>
      <c r="N1834" s="14" t="s">
        <v>1237</v>
      </c>
      <c r="O1834" s="14" t="s">
        <v>1220</v>
      </c>
    </row>
    <row r="1835" spans="1:15" x14ac:dyDescent="0.25">
      <c r="A1835" s="14">
        <v>2355</v>
      </c>
      <c r="B1835" s="14" t="s">
        <v>157</v>
      </c>
      <c r="C1835" s="14" t="s">
        <v>4602</v>
      </c>
      <c r="D1835" s="14" t="s">
        <v>4560</v>
      </c>
      <c r="E1835" s="16">
        <v>150</v>
      </c>
      <c r="F1835" s="14" t="s">
        <v>4561</v>
      </c>
      <c r="G1835" s="16">
        <v>300</v>
      </c>
      <c r="H1835" s="14" t="s">
        <v>4562</v>
      </c>
      <c r="I1835" s="14" t="s">
        <v>1256</v>
      </c>
      <c r="J1835" s="14" t="s">
        <v>1296</v>
      </c>
      <c r="K1835" s="14" t="s">
        <v>1257</v>
      </c>
      <c r="L1835" s="14" t="s">
        <v>4603</v>
      </c>
      <c r="M1835" s="14" t="s">
        <v>4504</v>
      </c>
      <c r="N1835" s="14" t="s">
        <v>1237</v>
      </c>
      <c r="O1835" s="14" t="s">
        <v>1220</v>
      </c>
    </row>
    <row r="1836" spans="1:15" x14ac:dyDescent="0.25">
      <c r="A1836" s="14" t="s">
        <v>4604</v>
      </c>
      <c r="B1836" s="14" t="s">
        <v>4605</v>
      </c>
      <c r="C1836" s="14" t="s">
        <v>4606</v>
      </c>
      <c r="D1836" s="14" t="s">
        <v>4560</v>
      </c>
      <c r="E1836" s="15"/>
      <c r="F1836" s="14" t="s">
        <v>4561</v>
      </c>
      <c r="G1836" s="15"/>
      <c r="H1836" s="14" t="s">
        <v>4562</v>
      </c>
      <c r="I1836" s="14" t="s">
        <v>1262</v>
      </c>
      <c r="J1836" s="14" t="s">
        <v>1262</v>
      </c>
      <c r="K1836" s="14"/>
      <c r="L1836" s="14" t="s">
        <v>4603</v>
      </c>
      <c r="M1836" s="14" t="s">
        <v>4504</v>
      </c>
      <c r="N1836" s="14" t="s">
        <v>1219</v>
      </c>
      <c r="O1836" s="14" t="s">
        <v>1220</v>
      </c>
    </row>
    <row r="1837" spans="1:15" x14ac:dyDescent="0.25">
      <c r="A1837" s="14">
        <v>4800</v>
      </c>
      <c r="B1837" s="14" t="s">
        <v>196</v>
      </c>
      <c r="C1837" s="14" t="s">
        <v>4607</v>
      </c>
      <c r="D1837" s="14" t="s">
        <v>4568</v>
      </c>
      <c r="E1837" s="16">
        <v>150</v>
      </c>
      <c r="F1837" s="14" t="s">
        <v>4561</v>
      </c>
      <c r="G1837" s="16">
        <v>300</v>
      </c>
      <c r="H1837" s="14" t="s">
        <v>4569</v>
      </c>
      <c r="I1837" s="14" t="s">
        <v>1256</v>
      </c>
      <c r="J1837" s="14" t="s">
        <v>1296</v>
      </c>
      <c r="K1837" s="14" t="s">
        <v>1257</v>
      </c>
      <c r="L1837" s="14" t="s">
        <v>4608</v>
      </c>
      <c r="M1837" s="14" t="s">
        <v>4504</v>
      </c>
      <c r="N1837" s="14" t="s">
        <v>1237</v>
      </c>
      <c r="O1837" s="14" t="s">
        <v>1220</v>
      </c>
    </row>
    <row r="1838" spans="1:15" x14ac:dyDescent="0.25">
      <c r="A1838" s="14">
        <v>1422</v>
      </c>
      <c r="B1838" s="14" t="s">
        <v>167</v>
      </c>
      <c r="C1838" s="14" t="s">
        <v>4609</v>
      </c>
      <c r="D1838" s="14" t="s">
        <v>4560</v>
      </c>
      <c r="E1838" s="16">
        <v>50</v>
      </c>
      <c r="F1838" s="14" t="s">
        <v>4561</v>
      </c>
      <c r="G1838" s="16">
        <v>500</v>
      </c>
      <c r="H1838" s="14" t="s">
        <v>4562</v>
      </c>
      <c r="I1838" s="14" t="s">
        <v>1256</v>
      </c>
      <c r="J1838" s="14" t="s">
        <v>1233</v>
      </c>
      <c r="K1838" s="14" t="s">
        <v>1257</v>
      </c>
      <c r="L1838" s="14" t="s">
        <v>4610</v>
      </c>
      <c r="M1838" s="14" t="s">
        <v>4504</v>
      </c>
      <c r="N1838" s="14" t="s">
        <v>1237</v>
      </c>
      <c r="O1838" s="14" t="s">
        <v>1220</v>
      </c>
    </row>
    <row r="1839" spans="1:15" x14ac:dyDescent="0.25">
      <c r="A1839" s="14" t="s">
        <v>4611</v>
      </c>
      <c r="B1839" s="14" t="s">
        <v>4612</v>
      </c>
      <c r="C1839" s="14" t="s">
        <v>4613</v>
      </c>
      <c r="D1839" s="14" t="s">
        <v>4560</v>
      </c>
      <c r="E1839" s="15"/>
      <c r="F1839" s="14" t="s">
        <v>4561</v>
      </c>
      <c r="G1839" s="15"/>
      <c r="H1839" s="14" t="s">
        <v>4562</v>
      </c>
      <c r="I1839" s="14" t="s">
        <v>1262</v>
      </c>
      <c r="J1839" s="14" t="s">
        <v>1262</v>
      </c>
      <c r="K1839" s="14"/>
      <c r="L1839" s="14" t="s">
        <v>4610</v>
      </c>
      <c r="M1839" s="14" t="s">
        <v>4504</v>
      </c>
      <c r="N1839" s="14" t="s">
        <v>1219</v>
      </c>
      <c r="O1839" s="14" t="s">
        <v>1220</v>
      </c>
    </row>
    <row r="1840" spans="1:15" x14ac:dyDescent="0.25">
      <c r="A1840" s="14">
        <v>4810</v>
      </c>
      <c r="B1840" s="14" t="s">
        <v>206</v>
      </c>
      <c r="C1840" s="14" t="s">
        <v>4614</v>
      </c>
      <c r="D1840" s="14" t="s">
        <v>4568</v>
      </c>
      <c r="E1840" s="16">
        <v>50</v>
      </c>
      <c r="F1840" s="14" t="s">
        <v>4561</v>
      </c>
      <c r="G1840" s="16">
        <v>500</v>
      </c>
      <c r="H1840" s="14" t="s">
        <v>4569</v>
      </c>
      <c r="I1840" s="14" t="s">
        <v>1256</v>
      </c>
      <c r="J1840" s="14" t="s">
        <v>1233</v>
      </c>
      <c r="K1840" s="14" t="s">
        <v>1257</v>
      </c>
      <c r="L1840" s="14" t="s">
        <v>4615</v>
      </c>
      <c r="M1840" s="14" t="s">
        <v>4504</v>
      </c>
      <c r="N1840" s="14" t="s">
        <v>1237</v>
      </c>
      <c r="O1840" s="14" t="s">
        <v>1220</v>
      </c>
    </row>
    <row r="1841" spans="1:15" x14ac:dyDescent="0.25">
      <c r="A1841" s="14" t="s">
        <v>4616</v>
      </c>
      <c r="B1841" s="14" t="s">
        <v>4617</v>
      </c>
      <c r="C1841" s="14" t="s">
        <v>4618</v>
      </c>
      <c r="D1841" s="14" t="s">
        <v>4574</v>
      </c>
      <c r="E1841" s="15"/>
      <c r="F1841" s="14" t="s">
        <v>1350</v>
      </c>
      <c r="G1841" s="15"/>
      <c r="H1841" s="14" t="s">
        <v>4569</v>
      </c>
      <c r="I1841" s="14" t="s">
        <v>1262</v>
      </c>
      <c r="J1841" s="14" t="s">
        <v>1262</v>
      </c>
      <c r="K1841" s="14" t="s">
        <v>1257</v>
      </c>
      <c r="L1841" s="14" t="s">
        <v>4615</v>
      </c>
      <c r="M1841" s="14" t="s">
        <v>4504</v>
      </c>
      <c r="N1841" s="14" t="s">
        <v>1219</v>
      </c>
      <c r="O1841" s="14" t="s">
        <v>1220</v>
      </c>
    </row>
    <row r="1842" spans="1:15" x14ac:dyDescent="0.25">
      <c r="A1842" s="14">
        <v>1423</v>
      </c>
      <c r="B1842" s="14" t="s">
        <v>168</v>
      </c>
      <c r="C1842" s="14" t="s">
        <v>4619</v>
      </c>
      <c r="D1842" s="14" t="s">
        <v>4560</v>
      </c>
      <c r="E1842" s="16">
        <v>40</v>
      </c>
      <c r="F1842" s="14" t="s">
        <v>4561</v>
      </c>
      <c r="G1842" s="16">
        <v>400</v>
      </c>
      <c r="H1842" s="14" t="s">
        <v>4562</v>
      </c>
      <c r="I1842" s="14" t="s">
        <v>1256</v>
      </c>
      <c r="J1842" s="14" t="s">
        <v>1242</v>
      </c>
      <c r="K1842" s="14" t="s">
        <v>1257</v>
      </c>
      <c r="L1842" s="14" t="s">
        <v>4620</v>
      </c>
      <c r="M1842" s="14" t="s">
        <v>4504</v>
      </c>
      <c r="N1842" s="14" t="s">
        <v>1237</v>
      </c>
      <c r="O1842" s="14" t="s">
        <v>1220</v>
      </c>
    </row>
    <row r="1843" spans="1:15" x14ac:dyDescent="0.25">
      <c r="A1843" s="14" t="s">
        <v>4621</v>
      </c>
      <c r="B1843" s="14" t="s">
        <v>4622</v>
      </c>
      <c r="C1843" s="14" t="s">
        <v>4623</v>
      </c>
      <c r="D1843" s="14" t="s">
        <v>4560</v>
      </c>
      <c r="E1843" s="15"/>
      <c r="F1843" s="14" t="s">
        <v>4561</v>
      </c>
      <c r="G1843" s="15"/>
      <c r="H1843" s="14" t="s">
        <v>4562</v>
      </c>
      <c r="I1843" s="14" t="s">
        <v>1262</v>
      </c>
      <c r="J1843" s="14" t="s">
        <v>1262</v>
      </c>
      <c r="K1843" s="14"/>
      <c r="L1843" s="14" t="s">
        <v>4620</v>
      </c>
      <c r="M1843" s="14" t="s">
        <v>4504</v>
      </c>
      <c r="N1843" s="14" t="s">
        <v>1219</v>
      </c>
      <c r="O1843" s="14" t="s">
        <v>1220</v>
      </c>
    </row>
    <row r="1844" spans="1:15" x14ac:dyDescent="0.25">
      <c r="A1844" s="14">
        <v>4811</v>
      </c>
      <c r="B1844" s="14" t="s">
        <v>207</v>
      </c>
      <c r="C1844" s="14" t="s">
        <v>4624</v>
      </c>
      <c r="D1844" s="14" t="s">
        <v>4568</v>
      </c>
      <c r="E1844" s="16">
        <v>40</v>
      </c>
      <c r="F1844" s="14" t="s">
        <v>4561</v>
      </c>
      <c r="G1844" s="16">
        <v>400</v>
      </c>
      <c r="H1844" s="14" t="s">
        <v>4569</v>
      </c>
      <c r="I1844" s="14" t="s">
        <v>1256</v>
      </c>
      <c r="J1844" s="14" t="s">
        <v>1242</v>
      </c>
      <c r="K1844" s="14" t="s">
        <v>1257</v>
      </c>
      <c r="L1844" s="14" t="s">
        <v>4625</v>
      </c>
      <c r="M1844" s="14" t="s">
        <v>4504</v>
      </c>
      <c r="N1844" s="14" t="s">
        <v>1237</v>
      </c>
      <c r="O1844" s="14" t="s">
        <v>1220</v>
      </c>
    </row>
    <row r="1845" spans="1:15" x14ac:dyDescent="0.25">
      <c r="A1845" s="14" t="s">
        <v>4626</v>
      </c>
      <c r="B1845" s="14" t="s">
        <v>4627</v>
      </c>
      <c r="C1845" s="14" t="s">
        <v>4628</v>
      </c>
      <c r="D1845" s="14" t="s">
        <v>1349</v>
      </c>
      <c r="E1845" s="15"/>
      <c r="F1845" s="14"/>
      <c r="G1845" s="15"/>
      <c r="H1845" s="14" t="s">
        <v>4562</v>
      </c>
      <c r="I1845" s="14" t="s">
        <v>1360</v>
      </c>
      <c r="J1845" s="14"/>
      <c r="K1845" s="14"/>
      <c r="L1845" s="14"/>
      <c r="M1845" s="14" t="s">
        <v>4504</v>
      </c>
      <c r="N1845" s="14" t="s">
        <v>1219</v>
      </c>
      <c r="O1845" s="14" t="s">
        <v>1220</v>
      </c>
    </row>
    <row r="1846" spans="1:15" x14ac:dyDescent="0.25">
      <c r="A1846" s="14" t="s">
        <v>4629</v>
      </c>
      <c r="B1846" s="14" t="s">
        <v>4630</v>
      </c>
      <c r="C1846" s="14" t="s">
        <v>4628</v>
      </c>
      <c r="D1846" s="14" t="s">
        <v>1349</v>
      </c>
      <c r="E1846" s="15"/>
      <c r="F1846" s="14"/>
      <c r="G1846" s="15"/>
      <c r="H1846" s="14" t="s">
        <v>4562</v>
      </c>
      <c r="I1846" s="14" t="s">
        <v>1360</v>
      </c>
      <c r="J1846" s="14" t="s">
        <v>1360</v>
      </c>
      <c r="K1846" s="14"/>
      <c r="L1846" s="14"/>
      <c r="M1846" s="14" t="s">
        <v>4504</v>
      </c>
      <c r="N1846" s="14" t="s">
        <v>1219</v>
      </c>
      <c r="O1846" s="14" t="s">
        <v>1220</v>
      </c>
    </row>
    <row r="1847" spans="1:15" x14ac:dyDescent="0.25">
      <c r="A1847" s="14">
        <v>4166</v>
      </c>
      <c r="B1847" s="14" t="s">
        <v>4631</v>
      </c>
      <c r="C1847" s="14" t="s">
        <v>4628</v>
      </c>
      <c r="D1847" s="14" t="s">
        <v>1349</v>
      </c>
      <c r="E1847" s="15"/>
      <c r="F1847" s="14"/>
      <c r="G1847" s="15"/>
      <c r="H1847" s="14" t="s">
        <v>1510</v>
      </c>
      <c r="I1847" s="14"/>
      <c r="J1847" s="14"/>
      <c r="K1847" s="14"/>
      <c r="L1847" s="14"/>
      <c r="M1847" s="14" t="s">
        <v>4504</v>
      </c>
      <c r="N1847" s="14" t="s">
        <v>1219</v>
      </c>
      <c r="O1847" s="14" t="s">
        <v>1220</v>
      </c>
    </row>
    <row r="1848" spans="1:15" x14ac:dyDescent="0.25">
      <c r="A1848" s="14">
        <v>1412</v>
      </c>
      <c r="B1848" s="14" t="s">
        <v>158</v>
      </c>
      <c r="C1848" s="14" t="s">
        <v>4628</v>
      </c>
      <c r="D1848" s="14" t="s">
        <v>4560</v>
      </c>
      <c r="E1848" s="16">
        <v>100</v>
      </c>
      <c r="F1848" s="14" t="s">
        <v>4561</v>
      </c>
      <c r="G1848" s="17">
        <v>1000</v>
      </c>
      <c r="H1848" s="14" t="s">
        <v>4562</v>
      </c>
      <c r="I1848" s="14" t="s">
        <v>1256</v>
      </c>
      <c r="J1848" s="14" t="s">
        <v>1233</v>
      </c>
      <c r="K1848" s="14" t="s">
        <v>1257</v>
      </c>
      <c r="L1848" s="14" t="s">
        <v>4632</v>
      </c>
      <c r="M1848" s="14" t="s">
        <v>4504</v>
      </c>
      <c r="N1848" s="14" t="s">
        <v>1237</v>
      </c>
      <c r="O1848" s="14" t="s">
        <v>1220</v>
      </c>
    </row>
    <row r="1849" spans="1:15" x14ac:dyDescent="0.25">
      <c r="A1849" s="14" t="s">
        <v>4633</v>
      </c>
      <c r="B1849" s="14" t="s">
        <v>4634</v>
      </c>
      <c r="C1849" s="14" t="s">
        <v>4635</v>
      </c>
      <c r="D1849" s="14" t="s">
        <v>4560</v>
      </c>
      <c r="E1849" s="15"/>
      <c r="F1849" s="14" t="s">
        <v>4561</v>
      </c>
      <c r="G1849" s="15"/>
      <c r="H1849" s="14" t="s">
        <v>4562</v>
      </c>
      <c r="I1849" s="14" t="s">
        <v>1262</v>
      </c>
      <c r="J1849" s="14" t="s">
        <v>1262</v>
      </c>
      <c r="K1849" s="14"/>
      <c r="L1849" s="14" t="s">
        <v>4632</v>
      </c>
      <c r="M1849" s="14" t="s">
        <v>4504</v>
      </c>
      <c r="N1849" s="14" t="s">
        <v>1219</v>
      </c>
      <c r="O1849" s="14" t="s">
        <v>1220</v>
      </c>
    </row>
    <row r="1850" spans="1:15" x14ac:dyDescent="0.25">
      <c r="A1850" s="14">
        <v>4801</v>
      </c>
      <c r="B1850" s="14" t="s">
        <v>197</v>
      </c>
      <c r="C1850" s="14" t="s">
        <v>4636</v>
      </c>
      <c r="D1850" s="14" t="s">
        <v>4568</v>
      </c>
      <c r="E1850" s="16">
        <v>100</v>
      </c>
      <c r="F1850" s="14" t="s">
        <v>4561</v>
      </c>
      <c r="G1850" s="17">
        <v>1000</v>
      </c>
      <c r="H1850" s="14" t="s">
        <v>4569</v>
      </c>
      <c r="I1850" s="14" t="s">
        <v>1256</v>
      </c>
      <c r="J1850" s="14" t="s">
        <v>1233</v>
      </c>
      <c r="K1850" s="14" t="s">
        <v>1257</v>
      </c>
      <c r="L1850" s="14" t="s">
        <v>4637</v>
      </c>
      <c r="M1850" s="14" t="s">
        <v>4504</v>
      </c>
      <c r="N1850" s="14" t="s">
        <v>1237</v>
      </c>
      <c r="O1850" s="14" t="s">
        <v>1220</v>
      </c>
    </row>
    <row r="1851" spans="1:15" x14ac:dyDescent="0.25">
      <c r="A1851" s="14" t="s">
        <v>4638</v>
      </c>
      <c r="B1851" s="14" t="s">
        <v>4639</v>
      </c>
      <c r="C1851" s="14" t="s">
        <v>4640</v>
      </c>
      <c r="D1851" s="14" t="s">
        <v>4574</v>
      </c>
      <c r="E1851" s="15"/>
      <c r="F1851" s="14" t="s">
        <v>1350</v>
      </c>
      <c r="G1851" s="15"/>
      <c r="H1851" s="14" t="s">
        <v>4569</v>
      </c>
      <c r="I1851" s="14" t="s">
        <v>1262</v>
      </c>
      <c r="J1851" s="14" t="s">
        <v>1262</v>
      </c>
      <c r="K1851" s="14" t="s">
        <v>1257</v>
      </c>
      <c r="L1851" s="14" t="s">
        <v>4637</v>
      </c>
      <c r="M1851" s="14" t="s">
        <v>4504</v>
      </c>
      <c r="N1851" s="14" t="s">
        <v>1219</v>
      </c>
      <c r="O1851" s="14" t="s">
        <v>1220</v>
      </c>
    </row>
    <row r="1852" spans="1:15" x14ac:dyDescent="0.25">
      <c r="A1852" s="14">
        <v>1424</v>
      </c>
      <c r="B1852" s="14" t="s">
        <v>169</v>
      </c>
      <c r="C1852" s="14" t="s">
        <v>4641</v>
      </c>
      <c r="D1852" s="14" t="s">
        <v>4560</v>
      </c>
      <c r="E1852" s="16">
        <v>30</v>
      </c>
      <c r="F1852" s="14" t="s">
        <v>4561</v>
      </c>
      <c r="G1852" s="16">
        <v>300</v>
      </c>
      <c r="H1852" s="14" t="s">
        <v>4562</v>
      </c>
      <c r="I1852" s="14" t="s">
        <v>1256</v>
      </c>
      <c r="J1852" s="14" t="s">
        <v>1242</v>
      </c>
      <c r="K1852" s="14" t="s">
        <v>1257</v>
      </c>
      <c r="L1852" s="14" t="s">
        <v>4642</v>
      </c>
      <c r="M1852" s="14" t="s">
        <v>4504</v>
      </c>
      <c r="N1852" s="14" t="s">
        <v>1237</v>
      </c>
      <c r="O1852" s="14" t="s">
        <v>1220</v>
      </c>
    </row>
    <row r="1853" spans="1:15" x14ac:dyDescent="0.25">
      <c r="A1853" s="14" t="s">
        <v>4643</v>
      </c>
      <c r="B1853" s="14" t="s">
        <v>4644</v>
      </c>
      <c r="C1853" s="14" t="s">
        <v>4645</v>
      </c>
      <c r="D1853" s="14" t="s">
        <v>4560</v>
      </c>
      <c r="E1853" s="15"/>
      <c r="F1853" s="14" t="s">
        <v>4561</v>
      </c>
      <c r="G1853" s="15"/>
      <c r="H1853" s="14" t="s">
        <v>4562</v>
      </c>
      <c r="I1853" s="14" t="s">
        <v>1262</v>
      </c>
      <c r="J1853" s="14" t="s">
        <v>1262</v>
      </c>
      <c r="K1853" s="14"/>
      <c r="L1853" s="14" t="s">
        <v>4642</v>
      </c>
      <c r="M1853" s="14" t="s">
        <v>4504</v>
      </c>
      <c r="N1853" s="14" t="s">
        <v>1219</v>
      </c>
      <c r="O1853" s="14" t="s">
        <v>1220</v>
      </c>
    </row>
    <row r="1854" spans="1:15" x14ac:dyDescent="0.25">
      <c r="A1854" s="14">
        <v>4812</v>
      </c>
      <c r="B1854" s="14" t="s">
        <v>208</v>
      </c>
      <c r="C1854" s="14" t="s">
        <v>4646</v>
      </c>
      <c r="D1854" s="14" t="s">
        <v>4568</v>
      </c>
      <c r="E1854" s="16">
        <v>30</v>
      </c>
      <c r="F1854" s="14" t="s">
        <v>4561</v>
      </c>
      <c r="G1854" s="16">
        <v>300</v>
      </c>
      <c r="H1854" s="14" t="s">
        <v>4569</v>
      </c>
      <c r="I1854" s="14" t="s">
        <v>1256</v>
      </c>
      <c r="J1854" s="14" t="s">
        <v>1242</v>
      </c>
      <c r="K1854" s="14" t="s">
        <v>1257</v>
      </c>
      <c r="L1854" s="14" t="s">
        <v>4647</v>
      </c>
      <c r="M1854" s="14" t="s">
        <v>4504</v>
      </c>
      <c r="N1854" s="14" t="s">
        <v>1237</v>
      </c>
      <c r="O1854" s="14" t="s">
        <v>1220</v>
      </c>
    </row>
    <row r="1855" spans="1:15" x14ac:dyDescent="0.25">
      <c r="A1855" s="14" t="s">
        <v>4648</v>
      </c>
      <c r="B1855" s="14" t="s">
        <v>4649</v>
      </c>
      <c r="C1855" s="14" t="s">
        <v>4650</v>
      </c>
      <c r="D1855" s="14" t="s">
        <v>4574</v>
      </c>
      <c r="E1855" s="15"/>
      <c r="F1855" s="14" t="s">
        <v>1350</v>
      </c>
      <c r="G1855" s="15"/>
      <c r="H1855" s="14" t="s">
        <v>4569</v>
      </c>
      <c r="I1855" s="14" t="s">
        <v>1262</v>
      </c>
      <c r="J1855" s="14" t="s">
        <v>1262</v>
      </c>
      <c r="K1855" s="14" t="s">
        <v>1257</v>
      </c>
      <c r="L1855" s="14" t="s">
        <v>4647</v>
      </c>
      <c r="M1855" s="14" t="s">
        <v>4504</v>
      </c>
      <c r="N1855" s="14" t="s">
        <v>1219</v>
      </c>
      <c r="O1855" s="14" t="s">
        <v>1220</v>
      </c>
    </row>
    <row r="1856" spans="1:15" x14ac:dyDescent="0.25">
      <c r="A1856" s="14">
        <v>1425</v>
      </c>
      <c r="B1856" s="14" t="s">
        <v>170</v>
      </c>
      <c r="C1856" s="14" t="s">
        <v>4651</v>
      </c>
      <c r="D1856" s="14" t="s">
        <v>4560</v>
      </c>
      <c r="E1856" s="16">
        <v>30</v>
      </c>
      <c r="F1856" s="14" t="s">
        <v>4561</v>
      </c>
      <c r="G1856" s="16">
        <v>300</v>
      </c>
      <c r="H1856" s="14" t="s">
        <v>4562</v>
      </c>
      <c r="I1856" s="14" t="s">
        <v>1256</v>
      </c>
      <c r="J1856" s="14" t="s">
        <v>1296</v>
      </c>
      <c r="K1856" s="14" t="s">
        <v>1257</v>
      </c>
      <c r="L1856" s="14" t="s">
        <v>4652</v>
      </c>
      <c r="M1856" s="14" t="s">
        <v>4504</v>
      </c>
      <c r="N1856" s="14" t="s">
        <v>1237</v>
      </c>
      <c r="O1856" s="14" t="s">
        <v>1220</v>
      </c>
    </row>
    <row r="1857" spans="1:15" x14ac:dyDescent="0.25">
      <c r="A1857" s="14" t="s">
        <v>4653</v>
      </c>
      <c r="B1857" s="14" t="s">
        <v>4654</v>
      </c>
      <c r="C1857" s="14" t="s">
        <v>4655</v>
      </c>
      <c r="D1857" s="14" t="s">
        <v>4560</v>
      </c>
      <c r="E1857" s="15"/>
      <c r="F1857" s="14" t="s">
        <v>4561</v>
      </c>
      <c r="G1857" s="15"/>
      <c r="H1857" s="14" t="s">
        <v>4562</v>
      </c>
      <c r="I1857" s="14" t="s">
        <v>1262</v>
      </c>
      <c r="J1857" s="14" t="s">
        <v>1262</v>
      </c>
      <c r="K1857" s="14"/>
      <c r="L1857" s="14" t="s">
        <v>4652</v>
      </c>
      <c r="M1857" s="14" t="s">
        <v>4504</v>
      </c>
      <c r="N1857" s="14" t="s">
        <v>1219</v>
      </c>
      <c r="O1857" s="14" t="s">
        <v>1220</v>
      </c>
    </row>
    <row r="1858" spans="1:15" x14ac:dyDescent="0.25">
      <c r="A1858" s="14">
        <v>4813</v>
      </c>
      <c r="B1858" s="14" t="s">
        <v>209</v>
      </c>
      <c r="C1858" s="14" t="s">
        <v>4656</v>
      </c>
      <c r="D1858" s="14" t="s">
        <v>4568</v>
      </c>
      <c r="E1858" s="16">
        <v>30</v>
      </c>
      <c r="F1858" s="14" t="s">
        <v>4561</v>
      </c>
      <c r="G1858" s="16">
        <v>150</v>
      </c>
      <c r="H1858" s="14" t="s">
        <v>4569</v>
      </c>
      <c r="I1858" s="14" t="s">
        <v>1256</v>
      </c>
      <c r="J1858" s="14" t="s">
        <v>1296</v>
      </c>
      <c r="K1858" s="14" t="s">
        <v>1257</v>
      </c>
      <c r="L1858" s="14" t="s">
        <v>4657</v>
      </c>
      <c r="M1858" s="14" t="s">
        <v>4504</v>
      </c>
      <c r="N1858" s="14" t="s">
        <v>1237</v>
      </c>
      <c r="O1858" s="14" t="s">
        <v>1220</v>
      </c>
    </row>
    <row r="1859" spans="1:15" x14ac:dyDescent="0.25">
      <c r="A1859" s="14">
        <v>1413</v>
      </c>
      <c r="B1859" s="14" t="s">
        <v>159</v>
      </c>
      <c r="C1859" s="14" t="s">
        <v>4658</v>
      </c>
      <c r="D1859" s="14" t="s">
        <v>4560</v>
      </c>
      <c r="E1859" s="16">
        <v>100</v>
      </c>
      <c r="F1859" s="14" t="s">
        <v>4561</v>
      </c>
      <c r="G1859" s="17">
        <v>1000</v>
      </c>
      <c r="H1859" s="14" t="s">
        <v>4562</v>
      </c>
      <c r="I1859" s="14" t="s">
        <v>1256</v>
      </c>
      <c r="J1859" s="14" t="s">
        <v>1233</v>
      </c>
      <c r="K1859" s="14" t="s">
        <v>1257</v>
      </c>
      <c r="L1859" s="14" t="s">
        <v>4659</v>
      </c>
      <c r="M1859" s="14" t="s">
        <v>4504</v>
      </c>
      <c r="N1859" s="14" t="s">
        <v>1237</v>
      </c>
      <c r="O1859" s="14" t="s">
        <v>1220</v>
      </c>
    </row>
    <row r="1860" spans="1:15" x14ac:dyDescent="0.25">
      <c r="A1860" s="14" t="s">
        <v>4660</v>
      </c>
      <c r="B1860" s="14" t="s">
        <v>4661</v>
      </c>
      <c r="C1860" s="14" t="s">
        <v>4662</v>
      </c>
      <c r="D1860" s="14" t="s">
        <v>4560</v>
      </c>
      <c r="E1860" s="15"/>
      <c r="F1860" s="14" t="s">
        <v>4561</v>
      </c>
      <c r="G1860" s="15"/>
      <c r="H1860" s="14" t="s">
        <v>4562</v>
      </c>
      <c r="I1860" s="14" t="s">
        <v>1262</v>
      </c>
      <c r="J1860" s="14" t="s">
        <v>1262</v>
      </c>
      <c r="K1860" s="14"/>
      <c r="L1860" s="14" t="s">
        <v>4659</v>
      </c>
      <c r="M1860" s="14" t="s">
        <v>4504</v>
      </c>
      <c r="N1860" s="14" t="s">
        <v>1219</v>
      </c>
      <c r="O1860" s="14" t="s">
        <v>1220</v>
      </c>
    </row>
    <row r="1861" spans="1:15" x14ac:dyDescent="0.25">
      <c r="A1861" s="14">
        <v>4802</v>
      </c>
      <c r="B1861" s="14" t="s">
        <v>198</v>
      </c>
      <c r="C1861" s="14" t="s">
        <v>4663</v>
      </c>
      <c r="D1861" s="14" t="s">
        <v>4568</v>
      </c>
      <c r="E1861" s="16">
        <v>100</v>
      </c>
      <c r="F1861" s="14" t="s">
        <v>4561</v>
      </c>
      <c r="G1861" s="17">
        <v>1000</v>
      </c>
      <c r="H1861" s="14" t="s">
        <v>4569</v>
      </c>
      <c r="I1861" s="14" t="s">
        <v>1256</v>
      </c>
      <c r="J1861" s="14" t="s">
        <v>1233</v>
      </c>
      <c r="K1861" s="14" t="s">
        <v>1257</v>
      </c>
      <c r="L1861" s="14" t="s">
        <v>4664</v>
      </c>
      <c r="M1861" s="14" t="s">
        <v>4504</v>
      </c>
      <c r="N1861" s="14" t="s">
        <v>1237</v>
      </c>
      <c r="O1861" s="14" t="s">
        <v>1220</v>
      </c>
    </row>
    <row r="1862" spans="1:15" x14ac:dyDescent="0.25">
      <c r="A1862" s="14" t="s">
        <v>4665</v>
      </c>
      <c r="B1862" s="14" t="s">
        <v>4666</v>
      </c>
      <c r="C1862" s="14" t="s">
        <v>4667</v>
      </c>
      <c r="D1862" s="14" t="s">
        <v>4574</v>
      </c>
      <c r="E1862" s="15"/>
      <c r="F1862" s="14" t="s">
        <v>1350</v>
      </c>
      <c r="G1862" s="15"/>
      <c r="H1862" s="14" t="s">
        <v>4569</v>
      </c>
      <c r="I1862" s="14" t="s">
        <v>1262</v>
      </c>
      <c r="J1862" s="14" t="s">
        <v>1262</v>
      </c>
      <c r="K1862" s="14" t="s">
        <v>1257</v>
      </c>
      <c r="L1862" s="14" t="s">
        <v>4664</v>
      </c>
      <c r="M1862" s="14" t="s">
        <v>4504</v>
      </c>
      <c r="N1862" s="14" t="s">
        <v>1219</v>
      </c>
      <c r="O1862" s="14" t="s">
        <v>1220</v>
      </c>
    </row>
    <row r="1863" spans="1:15" x14ac:dyDescent="0.25">
      <c r="A1863" s="14">
        <v>2356</v>
      </c>
      <c r="B1863" s="14" t="s">
        <v>171</v>
      </c>
      <c r="C1863" s="14" t="s">
        <v>4668</v>
      </c>
      <c r="D1863" s="14" t="s">
        <v>4560</v>
      </c>
      <c r="E1863" s="16">
        <v>20</v>
      </c>
      <c r="F1863" s="14" t="s">
        <v>4561</v>
      </c>
      <c r="G1863" s="16">
        <v>200</v>
      </c>
      <c r="H1863" s="14" t="s">
        <v>4562</v>
      </c>
      <c r="I1863" s="14" t="s">
        <v>1256</v>
      </c>
      <c r="J1863" s="14" t="s">
        <v>1242</v>
      </c>
      <c r="K1863" s="14" t="s">
        <v>1257</v>
      </c>
      <c r="L1863" s="14" t="s">
        <v>4669</v>
      </c>
      <c r="M1863" s="14" t="s">
        <v>4504</v>
      </c>
      <c r="N1863" s="14" t="s">
        <v>1237</v>
      </c>
      <c r="O1863" s="14" t="s">
        <v>1220</v>
      </c>
    </row>
    <row r="1864" spans="1:15" x14ac:dyDescent="0.25">
      <c r="A1864" s="14" t="s">
        <v>4670</v>
      </c>
      <c r="B1864" s="14" t="s">
        <v>4671</v>
      </c>
      <c r="C1864" s="14" t="s">
        <v>4672</v>
      </c>
      <c r="D1864" s="14" t="s">
        <v>4560</v>
      </c>
      <c r="E1864" s="15"/>
      <c r="F1864" s="14" t="s">
        <v>4561</v>
      </c>
      <c r="G1864" s="15"/>
      <c r="H1864" s="14" t="s">
        <v>4562</v>
      </c>
      <c r="I1864" s="14" t="s">
        <v>1262</v>
      </c>
      <c r="J1864" s="14" t="s">
        <v>1262</v>
      </c>
      <c r="K1864" s="14"/>
      <c r="L1864" s="14" t="s">
        <v>4669</v>
      </c>
      <c r="M1864" s="14" t="s">
        <v>4504</v>
      </c>
      <c r="N1864" s="14" t="s">
        <v>1219</v>
      </c>
      <c r="O1864" s="14" t="s">
        <v>1220</v>
      </c>
    </row>
    <row r="1865" spans="1:15" x14ac:dyDescent="0.25">
      <c r="A1865" s="14">
        <v>4814</v>
      </c>
      <c r="B1865" s="14" t="s">
        <v>210</v>
      </c>
      <c r="C1865" s="14" t="s">
        <v>4673</v>
      </c>
      <c r="D1865" s="14" t="s">
        <v>4568</v>
      </c>
      <c r="E1865" s="16">
        <v>20</v>
      </c>
      <c r="F1865" s="14" t="s">
        <v>4561</v>
      </c>
      <c r="G1865" s="16">
        <v>100</v>
      </c>
      <c r="H1865" s="14" t="s">
        <v>4569</v>
      </c>
      <c r="I1865" s="14" t="s">
        <v>1256</v>
      </c>
      <c r="J1865" s="14" t="s">
        <v>1242</v>
      </c>
      <c r="K1865" s="14" t="s">
        <v>1257</v>
      </c>
      <c r="L1865" s="14" t="s">
        <v>4674</v>
      </c>
      <c r="M1865" s="14" t="s">
        <v>4504</v>
      </c>
      <c r="N1865" s="14" t="s">
        <v>1237</v>
      </c>
      <c r="O1865" s="14" t="s">
        <v>1220</v>
      </c>
    </row>
    <row r="1866" spans="1:15" x14ac:dyDescent="0.25">
      <c r="A1866" s="14" t="s">
        <v>4675</v>
      </c>
      <c r="B1866" s="14" t="s">
        <v>4676</v>
      </c>
      <c r="C1866" s="14" t="s">
        <v>4677</v>
      </c>
      <c r="D1866" s="14" t="s">
        <v>4574</v>
      </c>
      <c r="E1866" s="15"/>
      <c r="F1866" s="14" t="s">
        <v>1350</v>
      </c>
      <c r="G1866" s="15"/>
      <c r="H1866" s="14" t="s">
        <v>4569</v>
      </c>
      <c r="I1866" s="14" t="s">
        <v>1262</v>
      </c>
      <c r="J1866" s="14" t="s">
        <v>1262</v>
      </c>
      <c r="K1866" s="14" t="s">
        <v>1257</v>
      </c>
      <c r="L1866" s="14" t="s">
        <v>4674</v>
      </c>
      <c r="M1866" s="14" t="s">
        <v>4504</v>
      </c>
      <c r="N1866" s="14" t="s">
        <v>1219</v>
      </c>
      <c r="O1866" s="14" t="s">
        <v>1220</v>
      </c>
    </row>
    <row r="1867" spans="1:15" x14ac:dyDescent="0.25">
      <c r="A1867" s="14">
        <v>1414</v>
      </c>
      <c r="B1867" s="14" t="s">
        <v>160</v>
      </c>
      <c r="C1867" s="14" t="s">
        <v>4678</v>
      </c>
      <c r="D1867" s="14" t="s">
        <v>4560</v>
      </c>
      <c r="E1867" s="16">
        <v>100</v>
      </c>
      <c r="F1867" s="14" t="s">
        <v>4561</v>
      </c>
      <c r="G1867" s="17">
        <v>1000</v>
      </c>
      <c r="H1867" s="14" t="s">
        <v>4562</v>
      </c>
      <c r="I1867" s="14" t="s">
        <v>1256</v>
      </c>
      <c r="J1867" s="14" t="s">
        <v>1233</v>
      </c>
      <c r="K1867" s="14" t="s">
        <v>1257</v>
      </c>
      <c r="L1867" s="14" t="s">
        <v>4679</v>
      </c>
      <c r="M1867" s="14" t="s">
        <v>4504</v>
      </c>
      <c r="N1867" s="14" t="s">
        <v>1237</v>
      </c>
      <c r="O1867" s="14" t="s">
        <v>1220</v>
      </c>
    </row>
    <row r="1868" spans="1:15" x14ac:dyDescent="0.25">
      <c r="A1868" s="14" t="s">
        <v>4680</v>
      </c>
      <c r="B1868" s="14" t="s">
        <v>4681</v>
      </c>
      <c r="C1868" s="14" t="s">
        <v>4682</v>
      </c>
      <c r="D1868" s="14" t="s">
        <v>4560</v>
      </c>
      <c r="E1868" s="15"/>
      <c r="F1868" s="14" t="s">
        <v>4561</v>
      </c>
      <c r="G1868" s="15"/>
      <c r="H1868" s="14" t="s">
        <v>4562</v>
      </c>
      <c r="I1868" s="14" t="s">
        <v>1262</v>
      </c>
      <c r="J1868" s="14" t="s">
        <v>1262</v>
      </c>
      <c r="K1868" s="14"/>
      <c r="L1868" s="14" t="s">
        <v>4679</v>
      </c>
      <c r="M1868" s="14" t="s">
        <v>4504</v>
      </c>
      <c r="N1868" s="14" t="s">
        <v>1219</v>
      </c>
      <c r="O1868" s="14" t="s">
        <v>1220</v>
      </c>
    </row>
    <row r="1869" spans="1:15" x14ac:dyDescent="0.25">
      <c r="A1869" s="14">
        <v>4803</v>
      </c>
      <c r="B1869" s="14" t="s">
        <v>199</v>
      </c>
      <c r="C1869" s="14" t="s">
        <v>4683</v>
      </c>
      <c r="D1869" s="14" t="s">
        <v>4568</v>
      </c>
      <c r="E1869" s="16">
        <v>100</v>
      </c>
      <c r="F1869" s="14" t="s">
        <v>4561</v>
      </c>
      <c r="G1869" s="17">
        <v>1000</v>
      </c>
      <c r="H1869" s="14" t="s">
        <v>4569</v>
      </c>
      <c r="I1869" s="14" t="s">
        <v>1256</v>
      </c>
      <c r="J1869" s="14" t="s">
        <v>1233</v>
      </c>
      <c r="K1869" s="14" t="s">
        <v>1257</v>
      </c>
      <c r="L1869" s="14" t="s">
        <v>4684</v>
      </c>
      <c r="M1869" s="14" t="s">
        <v>4504</v>
      </c>
      <c r="N1869" s="14" t="s">
        <v>1237</v>
      </c>
      <c r="O1869" s="14" t="s">
        <v>1220</v>
      </c>
    </row>
    <row r="1870" spans="1:15" x14ac:dyDescent="0.25">
      <c r="A1870" s="14" t="s">
        <v>4685</v>
      </c>
      <c r="B1870" s="14" t="s">
        <v>4686</v>
      </c>
      <c r="C1870" s="14" t="s">
        <v>4687</v>
      </c>
      <c r="D1870" s="14" t="s">
        <v>4574</v>
      </c>
      <c r="E1870" s="15"/>
      <c r="F1870" s="14" t="s">
        <v>1350</v>
      </c>
      <c r="G1870" s="15"/>
      <c r="H1870" s="14" t="s">
        <v>4569</v>
      </c>
      <c r="I1870" s="14" t="s">
        <v>1262</v>
      </c>
      <c r="J1870" s="14" t="s">
        <v>1262</v>
      </c>
      <c r="K1870" s="14" t="s">
        <v>1257</v>
      </c>
      <c r="L1870" s="14" t="s">
        <v>4684</v>
      </c>
      <c r="M1870" s="14" t="s">
        <v>4504</v>
      </c>
      <c r="N1870" s="14" t="s">
        <v>1219</v>
      </c>
      <c r="O1870" s="14" t="s">
        <v>1220</v>
      </c>
    </row>
    <row r="1871" spans="1:15" x14ac:dyDescent="0.25">
      <c r="A1871" s="14">
        <v>1415</v>
      </c>
      <c r="B1871" s="14" t="s">
        <v>161</v>
      </c>
      <c r="C1871" s="14" t="s">
        <v>4688</v>
      </c>
      <c r="D1871" s="14" t="s">
        <v>4560</v>
      </c>
      <c r="E1871" s="16">
        <v>100</v>
      </c>
      <c r="F1871" s="14" t="s">
        <v>4561</v>
      </c>
      <c r="G1871" s="17">
        <v>1000</v>
      </c>
      <c r="H1871" s="14" t="s">
        <v>4562</v>
      </c>
      <c r="I1871" s="14" t="s">
        <v>1256</v>
      </c>
      <c r="J1871" s="14" t="s">
        <v>1233</v>
      </c>
      <c r="K1871" s="14" t="s">
        <v>1257</v>
      </c>
      <c r="L1871" s="14" t="s">
        <v>4689</v>
      </c>
      <c r="M1871" s="14" t="s">
        <v>4504</v>
      </c>
      <c r="N1871" s="14" t="s">
        <v>1237</v>
      </c>
      <c r="O1871" s="14" t="s">
        <v>1220</v>
      </c>
    </row>
    <row r="1872" spans="1:15" x14ac:dyDescent="0.25">
      <c r="A1872" s="14" t="s">
        <v>4690</v>
      </c>
      <c r="B1872" s="14" t="s">
        <v>4691</v>
      </c>
      <c r="C1872" s="14" t="s">
        <v>4692</v>
      </c>
      <c r="D1872" s="14" t="s">
        <v>4560</v>
      </c>
      <c r="E1872" s="15"/>
      <c r="F1872" s="14" t="s">
        <v>4561</v>
      </c>
      <c r="G1872" s="15"/>
      <c r="H1872" s="14" t="s">
        <v>4562</v>
      </c>
      <c r="I1872" s="14" t="s">
        <v>1262</v>
      </c>
      <c r="J1872" s="14" t="s">
        <v>1262</v>
      </c>
      <c r="K1872" s="14"/>
      <c r="L1872" s="14" t="s">
        <v>4689</v>
      </c>
      <c r="M1872" s="14" t="s">
        <v>4504</v>
      </c>
      <c r="N1872" s="14" t="s">
        <v>1219</v>
      </c>
      <c r="O1872" s="14" t="s">
        <v>1220</v>
      </c>
    </row>
    <row r="1873" spans="1:15" x14ac:dyDescent="0.25">
      <c r="A1873" s="14">
        <v>4804</v>
      </c>
      <c r="B1873" s="14" t="s">
        <v>200</v>
      </c>
      <c r="C1873" s="14" t="s">
        <v>4693</v>
      </c>
      <c r="D1873" s="14" t="s">
        <v>4568</v>
      </c>
      <c r="E1873" s="16">
        <v>100</v>
      </c>
      <c r="F1873" s="14" t="s">
        <v>4561</v>
      </c>
      <c r="G1873" s="17">
        <v>1000</v>
      </c>
      <c r="H1873" s="14" t="s">
        <v>4569</v>
      </c>
      <c r="I1873" s="14" t="s">
        <v>1256</v>
      </c>
      <c r="J1873" s="14" t="s">
        <v>1233</v>
      </c>
      <c r="K1873" s="14" t="s">
        <v>1257</v>
      </c>
      <c r="L1873" s="14" t="s">
        <v>4694</v>
      </c>
      <c r="M1873" s="14" t="s">
        <v>4504</v>
      </c>
      <c r="N1873" s="14" t="s">
        <v>1237</v>
      </c>
      <c r="O1873" s="14" t="s">
        <v>1220</v>
      </c>
    </row>
    <row r="1874" spans="1:15" x14ac:dyDescent="0.25">
      <c r="A1874" s="14" t="s">
        <v>4695</v>
      </c>
      <c r="B1874" s="14" t="s">
        <v>4696</v>
      </c>
      <c r="C1874" s="14" t="s">
        <v>4697</v>
      </c>
      <c r="D1874" s="14" t="s">
        <v>4574</v>
      </c>
      <c r="E1874" s="15"/>
      <c r="F1874" s="14" t="s">
        <v>1350</v>
      </c>
      <c r="G1874" s="15"/>
      <c r="H1874" s="14" t="s">
        <v>4569</v>
      </c>
      <c r="I1874" s="14" t="s">
        <v>1262</v>
      </c>
      <c r="J1874" s="14" t="s">
        <v>1262</v>
      </c>
      <c r="K1874" s="14" t="s">
        <v>1257</v>
      </c>
      <c r="L1874" s="14" t="s">
        <v>4694</v>
      </c>
      <c r="M1874" s="14" t="s">
        <v>4504</v>
      </c>
      <c r="N1874" s="14" t="s">
        <v>1219</v>
      </c>
      <c r="O1874" s="14" t="s">
        <v>1220</v>
      </c>
    </row>
    <row r="1875" spans="1:15" x14ac:dyDescent="0.25">
      <c r="A1875" s="14">
        <v>1416</v>
      </c>
      <c r="B1875" s="14" t="s">
        <v>162</v>
      </c>
      <c r="C1875" s="14" t="s">
        <v>4698</v>
      </c>
      <c r="D1875" s="14" t="s">
        <v>4560</v>
      </c>
      <c r="E1875" s="16">
        <v>50</v>
      </c>
      <c r="F1875" s="14" t="s">
        <v>4561</v>
      </c>
      <c r="G1875" s="16">
        <v>500</v>
      </c>
      <c r="H1875" s="14" t="s">
        <v>4562</v>
      </c>
      <c r="I1875" s="14" t="s">
        <v>1256</v>
      </c>
      <c r="J1875" s="14" t="s">
        <v>1233</v>
      </c>
      <c r="K1875" s="14" t="s">
        <v>1257</v>
      </c>
      <c r="L1875" s="14" t="s">
        <v>4699</v>
      </c>
      <c r="M1875" s="14" t="s">
        <v>4504</v>
      </c>
      <c r="N1875" s="14" t="s">
        <v>1237</v>
      </c>
      <c r="O1875" s="14" t="s">
        <v>1220</v>
      </c>
    </row>
    <row r="1876" spans="1:15" x14ac:dyDescent="0.25">
      <c r="A1876" s="14" t="s">
        <v>4700</v>
      </c>
      <c r="B1876" s="14" t="s">
        <v>4701</v>
      </c>
      <c r="C1876" s="14" t="s">
        <v>4702</v>
      </c>
      <c r="D1876" s="14" t="s">
        <v>4560</v>
      </c>
      <c r="E1876" s="15"/>
      <c r="F1876" s="14" t="s">
        <v>4561</v>
      </c>
      <c r="G1876" s="15"/>
      <c r="H1876" s="14" t="s">
        <v>4562</v>
      </c>
      <c r="I1876" s="14" t="s">
        <v>1262</v>
      </c>
      <c r="J1876" s="14" t="s">
        <v>1262</v>
      </c>
      <c r="K1876" s="14"/>
      <c r="L1876" s="14" t="s">
        <v>4699</v>
      </c>
      <c r="M1876" s="14" t="s">
        <v>4504</v>
      </c>
      <c r="N1876" s="14" t="s">
        <v>1219</v>
      </c>
      <c r="O1876" s="14" t="s">
        <v>1220</v>
      </c>
    </row>
    <row r="1877" spans="1:15" x14ac:dyDescent="0.25">
      <c r="A1877" s="14">
        <v>4805</v>
      </c>
      <c r="B1877" s="14" t="s">
        <v>201</v>
      </c>
      <c r="C1877" s="14" t="s">
        <v>4703</v>
      </c>
      <c r="D1877" s="14" t="s">
        <v>4568</v>
      </c>
      <c r="E1877" s="16">
        <v>50</v>
      </c>
      <c r="F1877" s="14" t="s">
        <v>4561</v>
      </c>
      <c r="G1877" s="16">
        <v>500</v>
      </c>
      <c r="H1877" s="14" t="s">
        <v>4569</v>
      </c>
      <c r="I1877" s="14" t="s">
        <v>1256</v>
      </c>
      <c r="J1877" s="14" t="s">
        <v>1233</v>
      </c>
      <c r="K1877" s="14" t="s">
        <v>1257</v>
      </c>
      <c r="L1877" s="14" t="s">
        <v>4704</v>
      </c>
      <c r="M1877" s="14" t="s">
        <v>4504</v>
      </c>
      <c r="N1877" s="14" t="s">
        <v>1237</v>
      </c>
      <c r="O1877" s="14" t="s">
        <v>1220</v>
      </c>
    </row>
    <row r="1878" spans="1:15" x14ac:dyDescent="0.25">
      <c r="A1878" s="14" t="s">
        <v>4705</v>
      </c>
      <c r="B1878" s="14" t="s">
        <v>4706</v>
      </c>
      <c r="C1878" s="14" t="s">
        <v>4707</v>
      </c>
      <c r="D1878" s="14" t="s">
        <v>4574</v>
      </c>
      <c r="E1878" s="15"/>
      <c r="F1878" s="14" t="s">
        <v>1350</v>
      </c>
      <c r="G1878" s="15"/>
      <c r="H1878" s="14" t="s">
        <v>4569</v>
      </c>
      <c r="I1878" s="14" t="s">
        <v>1262</v>
      </c>
      <c r="J1878" s="14" t="s">
        <v>1262</v>
      </c>
      <c r="K1878" s="14" t="s">
        <v>1257</v>
      </c>
      <c r="L1878" s="14" t="s">
        <v>4704</v>
      </c>
      <c r="M1878" s="14" t="s">
        <v>4504</v>
      </c>
      <c r="N1878" s="14" t="s">
        <v>1219</v>
      </c>
      <c r="O1878" s="14" t="s">
        <v>1220</v>
      </c>
    </row>
    <row r="1879" spans="1:15" x14ac:dyDescent="0.25">
      <c r="A1879" s="14">
        <v>1432</v>
      </c>
      <c r="B1879" s="14" t="s">
        <v>178</v>
      </c>
      <c r="C1879" s="14" t="s">
        <v>4708</v>
      </c>
      <c r="D1879" s="14" t="s">
        <v>4560</v>
      </c>
      <c r="E1879" s="16">
        <v>50</v>
      </c>
      <c r="F1879" s="14" t="s">
        <v>4561</v>
      </c>
      <c r="G1879" s="16">
        <v>500</v>
      </c>
      <c r="H1879" s="14" t="s">
        <v>4562</v>
      </c>
      <c r="I1879" s="14" t="s">
        <v>1256</v>
      </c>
      <c r="J1879" s="14" t="s">
        <v>1233</v>
      </c>
      <c r="K1879" s="14" t="s">
        <v>1257</v>
      </c>
      <c r="L1879" s="14" t="s">
        <v>4709</v>
      </c>
      <c r="M1879" s="14" t="s">
        <v>4504</v>
      </c>
      <c r="N1879" s="14" t="s">
        <v>1237</v>
      </c>
      <c r="O1879" s="14" t="s">
        <v>1220</v>
      </c>
    </row>
    <row r="1880" spans="1:15" x14ac:dyDescent="0.25">
      <c r="A1880" s="14" t="s">
        <v>4710</v>
      </c>
      <c r="B1880" s="14" t="s">
        <v>4711</v>
      </c>
      <c r="C1880" s="14" t="s">
        <v>4712</v>
      </c>
      <c r="D1880" s="14" t="s">
        <v>4560</v>
      </c>
      <c r="E1880" s="15"/>
      <c r="F1880" s="14" t="s">
        <v>4561</v>
      </c>
      <c r="G1880" s="15"/>
      <c r="H1880" s="14" t="s">
        <v>4562</v>
      </c>
      <c r="I1880" s="14" t="s">
        <v>1262</v>
      </c>
      <c r="J1880" s="14" t="s">
        <v>1262</v>
      </c>
      <c r="K1880" s="14"/>
      <c r="L1880" s="14" t="s">
        <v>4709</v>
      </c>
      <c r="M1880" s="14" t="s">
        <v>4504</v>
      </c>
      <c r="N1880" s="14" t="s">
        <v>1219</v>
      </c>
      <c r="O1880" s="14" t="s">
        <v>1220</v>
      </c>
    </row>
    <row r="1881" spans="1:15" x14ac:dyDescent="0.25">
      <c r="A1881" s="14">
        <v>4821</v>
      </c>
      <c r="B1881" s="14" t="s">
        <v>211</v>
      </c>
      <c r="C1881" s="14" t="s">
        <v>4713</v>
      </c>
      <c r="D1881" s="14" t="s">
        <v>4568</v>
      </c>
      <c r="E1881" s="16">
        <v>50</v>
      </c>
      <c r="F1881" s="14" t="s">
        <v>4561</v>
      </c>
      <c r="G1881" s="16">
        <v>500</v>
      </c>
      <c r="H1881" s="14" t="s">
        <v>4569</v>
      </c>
      <c r="I1881" s="14" t="s">
        <v>1256</v>
      </c>
      <c r="J1881" s="14" t="s">
        <v>1233</v>
      </c>
      <c r="K1881" s="14" t="s">
        <v>1257</v>
      </c>
      <c r="L1881" s="14" t="s">
        <v>4714</v>
      </c>
      <c r="M1881" s="14" t="s">
        <v>4504</v>
      </c>
      <c r="N1881" s="14" t="s">
        <v>1237</v>
      </c>
      <c r="O1881" s="14" t="s">
        <v>1220</v>
      </c>
    </row>
    <row r="1882" spans="1:15" x14ac:dyDescent="0.25">
      <c r="A1882" s="14" t="s">
        <v>4715</v>
      </c>
      <c r="B1882" s="14" t="s">
        <v>4716</v>
      </c>
      <c r="C1882" s="14" t="s">
        <v>4717</v>
      </c>
      <c r="D1882" s="14" t="s">
        <v>4574</v>
      </c>
      <c r="E1882" s="15"/>
      <c r="F1882" s="14" t="s">
        <v>1350</v>
      </c>
      <c r="G1882" s="15"/>
      <c r="H1882" s="14" t="s">
        <v>4569</v>
      </c>
      <c r="I1882" s="14" t="s">
        <v>1262</v>
      </c>
      <c r="J1882" s="14" t="s">
        <v>1262</v>
      </c>
      <c r="K1882" s="14" t="s">
        <v>1257</v>
      </c>
      <c r="L1882" s="14" t="s">
        <v>4714</v>
      </c>
      <c r="M1882" s="14" t="s">
        <v>4504</v>
      </c>
      <c r="N1882" s="14" t="s">
        <v>1219</v>
      </c>
      <c r="O1882" s="14" t="s">
        <v>1220</v>
      </c>
    </row>
    <row r="1883" spans="1:15" x14ac:dyDescent="0.25">
      <c r="A1883" s="14">
        <v>1433</v>
      </c>
      <c r="B1883" s="14" t="s">
        <v>179</v>
      </c>
      <c r="C1883" s="14" t="s">
        <v>4718</v>
      </c>
      <c r="D1883" s="14" t="s">
        <v>4560</v>
      </c>
      <c r="E1883" s="16">
        <v>50</v>
      </c>
      <c r="F1883" s="14" t="s">
        <v>4561</v>
      </c>
      <c r="G1883" s="16">
        <v>500</v>
      </c>
      <c r="H1883" s="14" t="s">
        <v>4562</v>
      </c>
      <c r="I1883" s="14" t="s">
        <v>1256</v>
      </c>
      <c r="J1883" s="14" t="s">
        <v>1242</v>
      </c>
      <c r="K1883" s="14" t="s">
        <v>1257</v>
      </c>
      <c r="L1883" s="14" t="s">
        <v>4719</v>
      </c>
      <c r="M1883" s="14" t="s">
        <v>4504</v>
      </c>
      <c r="N1883" s="14" t="s">
        <v>1237</v>
      </c>
      <c r="O1883" s="14" t="s">
        <v>1220</v>
      </c>
    </row>
    <row r="1884" spans="1:15" x14ac:dyDescent="0.25">
      <c r="A1884" s="14" t="s">
        <v>4720</v>
      </c>
      <c r="B1884" s="14" t="s">
        <v>4721</v>
      </c>
      <c r="C1884" s="14" t="s">
        <v>4722</v>
      </c>
      <c r="D1884" s="14" t="s">
        <v>4560</v>
      </c>
      <c r="E1884" s="15"/>
      <c r="F1884" s="14" t="s">
        <v>4561</v>
      </c>
      <c r="G1884" s="15"/>
      <c r="H1884" s="14" t="s">
        <v>4562</v>
      </c>
      <c r="I1884" s="14" t="s">
        <v>1262</v>
      </c>
      <c r="J1884" s="14" t="s">
        <v>1262</v>
      </c>
      <c r="K1884" s="14"/>
      <c r="L1884" s="14" t="s">
        <v>4719</v>
      </c>
      <c r="M1884" s="14" t="s">
        <v>4504</v>
      </c>
      <c r="N1884" s="14" t="s">
        <v>1219</v>
      </c>
      <c r="O1884" s="14" t="s">
        <v>1220</v>
      </c>
    </row>
    <row r="1885" spans="1:15" x14ac:dyDescent="0.25">
      <c r="A1885" s="14">
        <v>4822</v>
      </c>
      <c r="B1885" s="14" t="s">
        <v>212</v>
      </c>
      <c r="C1885" s="14" t="s">
        <v>4723</v>
      </c>
      <c r="D1885" s="14" t="s">
        <v>4568</v>
      </c>
      <c r="E1885" s="16">
        <v>50</v>
      </c>
      <c r="F1885" s="14" t="s">
        <v>4561</v>
      </c>
      <c r="G1885" s="16">
        <v>500</v>
      </c>
      <c r="H1885" s="14" t="s">
        <v>4569</v>
      </c>
      <c r="I1885" s="14" t="s">
        <v>1256</v>
      </c>
      <c r="J1885" s="14" t="s">
        <v>1242</v>
      </c>
      <c r="K1885" s="14" t="s">
        <v>1257</v>
      </c>
      <c r="L1885" s="14" t="s">
        <v>4724</v>
      </c>
      <c r="M1885" s="14" t="s">
        <v>4504</v>
      </c>
      <c r="N1885" s="14" t="s">
        <v>1237</v>
      </c>
      <c r="O1885" s="14" t="s">
        <v>1220</v>
      </c>
    </row>
    <row r="1886" spans="1:15" x14ac:dyDescent="0.25">
      <c r="A1886" s="14" t="s">
        <v>4725</v>
      </c>
      <c r="B1886" s="14" t="s">
        <v>4726</v>
      </c>
      <c r="C1886" s="14" t="s">
        <v>4727</v>
      </c>
      <c r="D1886" s="14" t="s">
        <v>4574</v>
      </c>
      <c r="E1886" s="15"/>
      <c r="F1886" s="14" t="s">
        <v>1350</v>
      </c>
      <c r="G1886" s="15"/>
      <c r="H1886" s="14" t="s">
        <v>4569</v>
      </c>
      <c r="I1886" s="14" t="s">
        <v>1262</v>
      </c>
      <c r="J1886" s="14" t="s">
        <v>1262</v>
      </c>
      <c r="K1886" s="14" t="s">
        <v>1257</v>
      </c>
      <c r="L1886" s="14" t="s">
        <v>4724</v>
      </c>
      <c r="M1886" s="14" t="s">
        <v>4504</v>
      </c>
      <c r="N1886" s="14" t="s">
        <v>1219</v>
      </c>
      <c r="O1886" s="14" t="s">
        <v>1220</v>
      </c>
    </row>
    <row r="1887" spans="1:15" x14ac:dyDescent="0.25">
      <c r="A1887" s="14">
        <v>1434</v>
      </c>
      <c r="B1887" s="14" t="s">
        <v>180</v>
      </c>
      <c r="C1887" s="14" t="s">
        <v>4728</v>
      </c>
      <c r="D1887" s="14" t="s">
        <v>4560</v>
      </c>
      <c r="E1887" s="16">
        <v>50</v>
      </c>
      <c r="F1887" s="14" t="s">
        <v>4561</v>
      </c>
      <c r="G1887" s="16">
        <v>500</v>
      </c>
      <c r="H1887" s="14" t="s">
        <v>4562</v>
      </c>
      <c r="I1887" s="14" t="s">
        <v>1256</v>
      </c>
      <c r="J1887" s="14" t="s">
        <v>1242</v>
      </c>
      <c r="K1887" s="14" t="s">
        <v>1257</v>
      </c>
      <c r="L1887" s="14" t="s">
        <v>4729</v>
      </c>
      <c r="M1887" s="14" t="s">
        <v>4504</v>
      </c>
      <c r="N1887" s="14" t="s">
        <v>1237</v>
      </c>
      <c r="O1887" s="14" t="s">
        <v>1220</v>
      </c>
    </row>
    <row r="1888" spans="1:15" x14ac:dyDescent="0.25">
      <c r="A1888" s="14" t="s">
        <v>4730</v>
      </c>
      <c r="B1888" s="14" t="s">
        <v>4731</v>
      </c>
      <c r="C1888" s="14" t="s">
        <v>4732</v>
      </c>
      <c r="D1888" s="14" t="s">
        <v>4560</v>
      </c>
      <c r="E1888" s="15"/>
      <c r="F1888" s="14" t="s">
        <v>4561</v>
      </c>
      <c r="G1888" s="15"/>
      <c r="H1888" s="14" t="s">
        <v>4562</v>
      </c>
      <c r="I1888" s="14" t="s">
        <v>1262</v>
      </c>
      <c r="J1888" s="14" t="s">
        <v>1262</v>
      </c>
      <c r="K1888" s="14"/>
      <c r="L1888" s="14" t="s">
        <v>4729</v>
      </c>
      <c r="M1888" s="14" t="s">
        <v>4504</v>
      </c>
      <c r="N1888" s="14" t="s">
        <v>1219</v>
      </c>
      <c r="O1888" s="14" t="s">
        <v>1220</v>
      </c>
    </row>
    <row r="1889" spans="1:15" x14ac:dyDescent="0.25">
      <c r="A1889" s="14">
        <v>4823</v>
      </c>
      <c r="B1889" s="14" t="s">
        <v>213</v>
      </c>
      <c r="C1889" s="14" t="s">
        <v>4733</v>
      </c>
      <c r="D1889" s="14" t="s">
        <v>4568</v>
      </c>
      <c r="E1889" s="16">
        <v>50</v>
      </c>
      <c r="F1889" s="14" t="s">
        <v>4561</v>
      </c>
      <c r="G1889" s="16">
        <v>500</v>
      </c>
      <c r="H1889" s="14" t="s">
        <v>4569</v>
      </c>
      <c r="I1889" s="14" t="s">
        <v>1256</v>
      </c>
      <c r="J1889" s="14" t="s">
        <v>1233</v>
      </c>
      <c r="K1889" s="14" t="s">
        <v>1257</v>
      </c>
      <c r="L1889" s="14" t="s">
        <v>4734</v>
      </c>
      <c r="M1889" s="14" t="s">
        <v>4504</v>
      </c>
      <c r="N1889" s="14" t="s">
        <v>1237</v>
      </c>
      <c r="O1889" s="14" t="s">
        <v>1220</v>
      </c>
    </row>
    <row r="1890" spans="1:15" x14ac:dyDescent="0.25">
      <c r="A1890" s="14" t="s">
        <v>4735</v>
      </c>
      <c r="B1890" s="14" t="s">
        <v>4736</v>
      </c>
      <c r="C1890" s="14" t="s">
        <v>4737</v>
      </c>
      <c r="D1890" s="14" t="s">
        <v>4574</v>
      </c>
      <c r="E1890" s="15"/>
      <c r="F1890" s="14" t="s">
        <v>1350</v>
      </c>
      <c r="G1890" s="15"/>
      <c r="H1890" s="14" t="s">
        <v>4569</v>
      </c>
      <c r="I1890" s="14" t="s">
        <v>1262</v>
      </c>
      <c r="J1890" s="14" t="s">
        <v>1262</v>
      </c>
      <c r="K1890" s="14" t="s">
        <v>1257</v>
      </c>
      <c r="L1890" s="14" t="s">
        <v>4734</v>
      </c>
      <c r="M1890" s="14" t="s">
        <v>4504</v>
      </c>
      <c r="N1890" s="14" t="s">
        <v>1219</v>
      </c>
      <c r="O1890" s="14" t="s">
        <v>1220</v>
      </c>
    </row>
    <row r="1891" spans="1:15" x14ac:dyDescent="0.25">
      <c r="A1891" s="14">
        <v>1435</v>
      </c>
      <c r="B1891" s="14" t="s">
        <v>181</v>
      </c>
      <c r="C1891" s="14" t="s">
        <v>4738</v>
      </c>
      <c r="D1891" s="14" t="s">
        <v>4560</v>
      </c>
      <c r="E1891" s="16">
        <v>50</v>
      </c>
      <c r="F1891" s="14" t="s">
        <v>4561</v>
      </c>
      <c r="G1891" s="16">
        <v>500</v>
      </c>
      <c r="H1891" s="14" t="s">
        <v>4562</v>
      </c>
      <c r="I1891" s="14" t="s">
        <v>1256</v>
      </c>
      <c r="J1891" s="14" t="s">
        <v>1296</v>
      </c>
      <c r="K1891" s="14" t="s">
        <v>1257</v>
      </c>
      <c r="L1891" s="14" t="s">
        <v>4739</v>
      </c>
      <c r="M1891" s="14" t="s">
        <v>4504</v>
      </c>
      <c r="N1891" s="14" t="s">
        <v>1237</v>
      </c>
      <c r="O1891" s="14" t="s">
        <v>1220</v>
      </c>
    </row>
    <row r="1892" spans="1:15" x14ac:dyDescent="0.25">
      <c r="A1892" s="14" t="s">
        <v>4740</v>
      </c>
      <c r="B1892" s="14" t="s">
        <v>4741</v>
      </c>
      <c r="C1892" s="14" t="s">
        <v>4742</v>
      </c>
      <c r="D1892" s="14" t="s">
        <v>4560</v>
      </c>
      <c r="E1892" s="15"/>
      <c r="F1892" s="14" t="s">
        <v>4561</v>
      </c>
      <c r="G1892" s="15"/>
      <c r="H1892" s="14" t="s">
        <v>4562</v>
      </c>
      <c r="I1892" s="14" t="s">
        <v>1262</v>
      </c>
      <c r="J1892" s="14" t="s">
        <v>1262</v>
      </c>
      <c r="K1892" s="14"/>
      <c r="L1892" s="14" t="s">
        <v>4739</v>
      </c>
      <c r="M1892" s="14" t="s">
        <v>4504</v>
      </c>
      <c r="N1892" s="14" t="s">
        <v>1219</v>
      </c>
      <c r="O1892" s="14" t="s">
        <v>1220</v>
      </c>
    </row>
    <row r="1893" spans="1:15" x14ac:dyDescent="0.25">
      <c r="A1893" s="14">
        <v>4824</v>
      </c>
      <c r="B1893" s="14" t="s">
        <v>214</v>
      </c>
      <c r="C1893" s="14" t="s">
        <v>4743</v>
      </c>
      <c r="D1893" s="14" t="s">
        <v>4568</v>
      </c>
      <c r="E1893" s="16">
        <v>50</v>
      </c>
      <c r="F1893" s="14" t="s">
        <v>4561</v>
      </c>
      <c r="G1893" s="16">
        <v>250</v>
      </c>
      <c r="H1893" s="14" t="s">
        <v>4569</v>
      </c>
      <c r="I1893" s="14" t="s">
        <v>1256</v>
      </c>
      <c r="J1893" s="14" t="s">
        <v>1296</v>
      </c>
      <c r="K1893" s="14" t="s">
        <v>1257</v>
      </c>
      <c r="L1893" s="14" t="s">
        <v>4744</v>
      </c>
      <c r="M1893" s="14" t="s">
        <v>4504</v>
      </c>
      <c r="N1893" s="14" t="s">
        <v>1237</v>
      </c>
      <c r="O1893" s="14" t="s">
        <v>1220</v>
      </c>
    </row>
    <row r="1894" spans="1:15" x14ac:dyDescent="0.25">
      <c r="A1894" s="14">
        <v>2357</v>
      </c>
      <c r="B1894" s="14" t="s">
        <v>172</v>
      </c>
      <c r="C1894" s="14" t="s">
        <v>4745</v>
      </c>
      <c r="D1894" s="14" t="s">
        <v>4560</v>
      </c>
      <c r="E1894" s="16">
        <v>150</v>
      </c>
      <c r="F1894" s="14" t="s">
        <v>4561</v>
      </c>
      <c r="G1894" s="16">
        <v>400</v>
      </c>
      <c r="H1894" s="14" t="s">
        <v>4562</v>
      </c>
      <c r="I1894" s="14" t="s">
        <v>1256</v>
      </c>
      <c r="J1894" s="14" t="s">
        <v>1296</v>
      </c>
      <c r="K1894" s="14" t="s">
        <v>1257</v>
      </c>
      <c r="L1894" s="14" t="s">
        <v>4746</v>
      </c>
      <c r="M1894" s="14" t="s">
        <v>4504</v>
      </c>
      <c r="N1894" s="14" t="s">
        <v>1237</v>
      </c>
      <c r="O1894" s="14" t="s">
        <v>1220</v>
      </c>
    </row>
    <row r="1895" spans="1:15" x14ac:dyDescent="0.25">
      <c r="A1895" s="14" t="s">
        <v>4747</v>
      </c>
      <c r="B1895" s="14" t="s">
        <v>4748</v>
      </c>
      <c r="C1895" s="14" t="s">
        <v>4749</v>
      </c>
      <c r="D1895" s="14" t="s">
        <v>4560</v>
      </c>
      <c r="E1895" s="15"/>
      <c r="F1895" s="14" t="s">
        <v>4561</v>
      </c>
      <c r="G1895" s="15"/>
      <c r="H1895" s="14" t="s">
        <v>4562</v>
      </c>
      <c r="I1895" s="14" t="s">
        <v>1262</v>
      </c>
      <c r="J1895" s="14" t="s">
        <v>1262</v>
      </c>
      <c r="K1895" s="14"/>
      <c r="L1895" s="14" t="s">
        <v>4746</v>
      </c>
      <c r="M1895" s="14" t="s">
        <v>4504</v>
      </c>
      <c r="N1895" s="14" t="s">
        <v>1219</v>
      </c>
      <c r="O1895" s="14" t="s">
        <v>1220</v>
      </c>
    </row>
    <row r="1896" spans="1:15" x14ac:dyDescent="0.25">
      <c r="A1896" s="14">
        <v>4815</v>
      </c>
      <c r="B1896" s="14" t="s">
        <v>215</v>
      </c>
      <c r="C1896" s="14" t="s">
        <v>4750</v>
      </c>
      <c r="D1896" s="14" t="s">
        <v>4568</v>
      </c>
      <c r="E1896" s="16">
        <v>150</v>
      </c>
      <c r="F1896" s="14" t="s">
        <v>4561</v>
      </c>
      <c r="G1896" s="16">
        <v>300</v>
      </c>
      <c r="H1896" s="14" t="s">
        <v>4569</v>
      </c>
      <c r="I1896" s="14" t="s">
        <v>1256</v>
      </c>
      <c r="J1896" s="14" t="s">
        <v>1296</v>
      </c>
      <c r="K1896" s="14" t="s">
        <v>1257</v>
      </c>
      <c r="L1896" s="14" t="s">
        <v>4751</v>
      </c>
      <c r="M1896" s="14" t="s">
        <v>4504</v>
      </c>
      <c r="N1896" s="14" t="s">
        <v>1237</v>
      </c>
      <c r="O1896" s="14" t="s">
        <v>1220</v>
      </c>
    </row>
    <row r="1897" spans="1:15" x14ac:dyDescent="0.25">
      <c r="A1897" s="14">
        <v>1436</v>
      </c>
      <c r="B1897" s="14" t="s">
        <v>182</v>
      </c>
      <c r="C1897" s="14" t="s">
        <v>4752</v>
      </c>
      <c r="D1897" s="14" t="s">
        <v>4560</v>
      </c>
      <c r="E1897" s="16">
        <v>50</v>
      </c>
      <c r="F1897" s="14" t="s">
        <v>4561</v>
      </c>
      <c r="G1897" s="16">
        <v>500</v>
      </c>
      <c r="H1897" s="14" t="s">
        <v>4562</v>
      </c>
      <c r="I1897" s="14" t="s">
        <v>1256</v>
      </c>
      <c r="J1897" s="14" t="s">
        <v>1242</v>
      </c>
      <c r="K1897" s="14" t="s">
        <v>1257</v>
      </c>
      <c r="L1897" s="14" t="s">
        <v>4753</v>
      </c>
      <c r="M1897" s="14" t="s">
        <v>4504</v>
      </c>
      <c r="N1897" s="14" t="s">
        <v>1237</v>
      </c>
      <c r="O1897" s="14" t="s">
        <v>1220</v>
      </c>
    </row>
    <row r="1898" spans="1:15" x14ac:dyDescent="0.25">
      <c r="A1898" s="14" t="s">
        <v>4754</v>
      </c>
      <c r="B1898" s="14" t="s">
        <v>4755</v>
      </c>
      <c r="C1898" s="14" t="s">
        <v>4756</v>
      </c>
      <c r="D1898" s="14" t="s">
        <v>4560</v>
      </c>
      <c r="E1898" s="15"/>
      <c r="F1898" s="14" t="s">
        <v>4561</v>
      </c>
      <c r="G1898" s="15"/>
      <c r="H1898" s="14" t="s">
        <v>4562</v>
      </c>
      <c r="I1898" s="14" t="s">
        <v>1262</v>
      </c>
      <c r="J1898" s="14" t="s">
        <v>1262</v>
      </c>
      <c r="K1898" s="14"/>
      <c r="L1898" s="14" t="s">
        <v>4753</v>
      </c>
      <c r="M1898" s="14" t="s">
        <v>4504</v>
      </c>
      <c r="N1898" s="14" t="s">
        <v>1219</v>
      </c>
      <c r="O1898" s="14" t="s">
        <v>1220</v>
      </c>
    </row>
    <row r="1899" spans="1:15" x14ac:dyDescent="0.25">
      <c r="A1899" s="14">
        <v>4825</v>
      </c>
      <c r="B1899" s="14" t="s">
        <v>216</v>
      </c>
      <c r="C1899" s="14" t="s">
        <v>4757</v>
      </c>
      <c r="D1899" s="14" t="s">
        <v>4568</v>
      </c>
      <c r="E1899" s="16">
        <v>50</v>
      </c>
      <c r="F1899" s="14" t="s">
        <v>4561</v>
      </c>
      <c r="G1899" s="16">
        <v>500</v>
      </c>
      <c r="H1899" s="14" t="s">
        <v>4569</v>
      </c>
      <c r="I1899" s="14" t="s">
        <v>1256</v>
      </c>
      <c r="J1899" s="14" t="s">
        <v>1233</v>
      </c>
      <c r="K1899" s="14" t="s">
        <v>1257</v>
      </c>
      <c r="L1899" s="14" t="s">
        <v>4758</v>
      </c>
      <c r="M1899" s="14" t="s">
        <v>4504</v>
      </c>
      <c r="N1899" s="14" t="s">
        <v>1237</v>
      </c>
      <c r="O1899" s="14" t="s">
        <v>1220</v>
      </c>
    </row>
    <row r="1900" spans="1:15" x14ac:dyDescent="0.25">
      <c r="A1900" s="14" t="s">
        <v>4759</v>
      </c>
      <c r="B1900" s="14" t="s">
        <v>4760</v>
      </c>
      <c r="C1900" s="14" t="s">
        <v>4761</v>
      </c>
      <c r="D1900" s="14" t="s">
        <v>4574</v>
      </c>
      <c r="E1900" s="15"/>
      <c r="F1900" s="14" t="s">
        <v>1350</v>
      </c>
      <c r="G1900" s="15"/>
      <c r="H1900" s="14" t="s">
        <v>4569</v>
      </c>
      <c r="I1900" s="14" t="s">
        <v>1262</v>
      </c>
      <c r="J1900" s="14" t="s">
        <v>1262</v>
      </c>
      <c r="K1900" s="14" t="s">
        <v>1257</v>
      </c>
      <c r="L1900" s="14" t="s">
        <v>4758</v>
      </c>
      <c r="M1900" s="14" t="s">
        <v>4504</v>
      </c>
      <c r="N1900" s="14" t="s">
        <v>1219</v>
      </c>
      <c r="O1900" s="14" t="s">
        <v>1220</v>
      </c>
    </row>
    <row r="1901" spans="1:15" x14ac:dyDescent="0.25">
      <c r="A1901" s="14">
        <v>1437</v>
      </c>
      <c r="B1901" s="14" t="s">
        <v>183</v>
      </c>
      <c r="C1901" s="14" t="s">
        <v>4762</v>
      </c>
      <c r="D1901" s="14" t="s">
        <v>4560</v>
      </c>
      <c r="E1901" s="16">
        <v>40</v>
      </c>
      <c r="F1901" s="14" t="s">
        <v>4561</v>
      </c>
      <c r="G1901" s="16">
        <v>400</v>
      </c>
      <c r="H1901" s="14" t="s">
        <v>4562</v>
      </c>
      <c r="I1901" s="14" t="s">
        <v>1256</v>
      </c>
      <c r="J1901" s="14" t="s">
        <v>1296</v>
      </c>
      <c r="K1901" s="14" t="s">
        <v>1257</v>
      </c>
      <c r="L1901" s="14" t="s">
        <v>4763</v>
      </c>
      <c r="M1901" s="14" t="s">
        <v>4504</v>
      </c>
      <c r="N1901" s="14" t="s">
        <v>1237</v>
      </c>
      <c r="O1901" s="14" t="s">
        <v>1220</v>
      </c>
    </row>
    <row r="1902" spans="1:15" x14ac:dyDescent="0.25">
      <c r="A1902" s="14" t="s">
        <v>4764</v>
      </c>
      <c r="B1902" s="14" t="s">
        <v>4765</v>
      </c>
      <c r="C1902" s="14" t="s">
        <v>4766</v>
      </c>
      <c r="D1902" s="14" t="s">
        <v>4560</v>
      </c>
      <c r="E1902" s="15"/>
      <c r="F1902" s="14" t="s">
        <v>4561</v>
      </c>
      <c r="G1902" s="15"/>
      <c r="H1902" s="14" t="s">
        <v>4562</v>
      </c>
      <c r="I1902" s="14" t="s">
        <v>1262</v>
      </c>
      <c r="J1902" s="14" t="s">
        <v>1262</v>
      </c>
      <c r="K1902" s="14"/>
      <c r="L1902" s="14" t="s">
        <v>4763</v>
      </c>
      <c r="M1902" s="14" t="s">
        <v>4504</v>
      </c>
      <c r="N1902" s="14" t="s">
        <v>1219</v>
      </c>
      <c r="O1902" s="14" t="s">
        <v>1220</v>
      </c>
    </row>
    <row r="1903" spans="1:15" x14ac:dyDescent="0.25">
      <c r="A1903" s="14">
        <v>4826</v>
      </c>
      <c r="B1903" s="14" t="s">
        <v>217</v>
      </c>
      <c r="C1903" s="14" t="s">
        <v>4767</v>
      </c>
      <c r="D1903" s="14" t="s">
        <v>4568</v>
      </c>
      <c r="E1903" s="16">
        <v>40</v>
      </c>
      <c r="F1903" s="14" t="s">
        <v>4561</v>
      </c>
      <c r="G1903" s="16">
        <v>400</v>
      </c>
      <c r="H1903" s="14" t="s">
        <v>4569</v>
      </c>
      <c r="I1903" s="14" t="s">
        <v>1256</v>
      </c>
      <c r="J1903" s="14" t="s">
        <v>1242</v>
      </c>
      <c r="K1903" s="14" t="s">
        <v>1257</v>
      </c>
      <c r="L1903" s="14" t="s">
        <v>4768</v>
      </c>
      <c r="M1903" s="14" t="s">
        <v>4504</v>
      </c>
      <c r="N1903" s="14" t="s">
        <v>1237</v>
      </c>
      <c r="O1903" s="14" t="s">
        <v>1220</v>
      </c>
    </row>
    <row r="1904" spans="1:15" x14ac:dyDescent="0.25">
      <c r="A1904" s="14">
        <v>1426</v>
      </c>
      <c r="B1904" s="14" t="s">
        <v>173</v>
      </c>
      <c r="C1904" s="14" t="s">
        <v>4769</v>
      </c>
      <c r="D1904" s="14" t="s">
        <v>4560</v>
      </c>
      <c r="E1904" s="16">
        <v>100</v>
      </c>
      <c r="F1904" s="14" t="s">
        <v>4561</v>
      </c>
      <c r="G1904" s="17">
        <v>1000</v>
      </c>
      <c r="H1904" s="14" t="s">
        <v>4562</v>
      </c>
      <c r="I1904" s="14" t="s">
        <v>1256</v>
      </c>
      <c r="J1904" s="14" t="s">
        <v>1242</v>
      </c>
      <c r="K1904" s="14" t="s">
        <v>1257</v>
      </c>
      <c r="L1904" s="14" t="s">
        <v>4770</v>
      </c>
      <c r="M1904" s="14" t="s">
        <v>4504</v>
      </c>
      <c r="N1904" s="14" t="s">
        <v>1237</v>
      </c>
      <c r="O1904" s="14" t="s">
        <v>1220</v>
      </c>
    </row>
    <row r="1905" spans="1:15" x14ac:dyDescent="0.25">
      <c r="A1905" s="14" t="s">
        <v>4771</v>
      </c>
      <c r="B1905" s="14" t="s">
        <v>4772</v>
      </c>
      <c r="C1905" s="14" t="s">
        <v>4773</v>
      </c>
      <c r="D1905" s="14" t="s">
        <v>4560</v>
      </c>
      <c r="E1905" s="15"/>
      <c r="F1905" s="14" t="s">
        <v>4561</v>
      </c>
      <c r="G1905" s="15"/>
      <c r="H1905" s="14" t="s">
        <v>4562</v>
      </c>
      <c r="I1905" s="14" t="s">
        <v>1262</v>
      </c>
      <c r="J1905" s="14" t="s">
        <v>1262</v>
      </c>
      <c r="K1905" s="14"/>
      <c r="L1905" s="14" t="s">
        <v>4770</v>
      </c>
      <c r="M1905" s="14" t="s">
        <v>4504</v>
      </c>
      <c r="N1905" s="14" t="s">
        <v>1219</v>
      </c>
      <c r="O1905" s="14" t="s">
        <v>1220</v>
      </c>
    </row>
    <row r="1906" spans="1:15" x14ac:dyDescent="0.25">
      <c r="A1906" s="14">
        <v>4816</v>
      </c>
      <c r="B1906" s="14" t="s">
        <v>218</v>
      </c>
      <c r="C1906" s="14" t="s">
        <v>4774</v>
      </c>
      <c r="D1906" s="14" t="s">
        <v>4568</v>
      </c>
      <c r="E1906" s="16">
        <v>100</v>
      </c>
      <c r="F1906" s="14" t="s">
        <v>4561</v>
      </c>
      <c r="G1906" s="17">
        <v>1000</v>
      </c>
      <c r="H1906" s="14" t="s">
        <v>4569</v>
      </c>
      <c r="I1906" s="14" t="s">
        <v>1256</v>
      </c>
      <c r="J1906" s="14" t="s">
        <v>1242</v>
      </c>
      <c r="K1906" s="14" t="s">
        <v>1257</v>
      </c>
      <c r="L1906" s="14" t="s">
        <v>4775</v>
      </c>
      <c r="M1906" s="14" t="s">
        <v>4504</v>
      </c>
      <c r="N1906" s="14" t="s">
        <v>1237</v>
      </c>
      <c r="O1906" s="14" t="s">
        <v>1220</v>
      </c>
    </row>
    <row r="1907" spans="1:15" x14ac:dyDescent="0.25">
      <c r="A1907" s="14" t="s">
        <v>4776</v>
      </c>
      <c r="B1907" s="14" t="s">
        <v>4777</v>
      </c>
      <c r="C1907" s="14" t="s">
        <v>4778</v>
      </c>
      <c r="D1907" s="14" t="s">
        <v>4574</v>
      </c>
      <c r="E1907" s="15"/>
      <c r="F1907" s="14" t="s">
        <v>1350</v>
      </c>
      <c r="G1907" s="15"/>
      <c r="H1907" s="14" t="s">
        <v>4569</v>
      </c>
      <c r="I1907" s="14" t="s">
        <v>1262</v>
      </c>
      <c r="J1907" s="14" t="s">
        <v>1262</v>
      </c>
      <c r="K1907" s="14" t="s">
        <v>1257</v>
      </c>
      <c r="L1907" s="14" t="s">
        <v>4775</v>
      </c>
      <c r="M1907" s="14" t="s">
        <v>4504</v>
      </c>
      <c r="N1907" s="14" t="s">
        <v>1219</v>
      </c>
      <c r="O1907" s="14" t="s">
        <v>1220</v>
      </c>
    </row>
    <row r="1908" spans="1:15" x14ac:dyDescent="0.25">
      <c r="A1908" s="14">
        <v>1438</v>
      </c>
      <c r="B1908" s="14" t="s">
        <v>184</v>
      </c>
      <c r="C1908" s="14" t="s">
        <v>4779</v>
      </c>
      <c r="D1908" s="14" t="s">
        <v>4560</v>
      </c>
      <c r="E1908" s="16">
        <v>30</v>
      </c>
      <c r="F1908" s="14" t="s">
        <v>4561</v>
      </c>
      <c r="G1908" s="16">
        <v>300</v>
      </c>
      <c r="H1908" s="14" t="s">
        <v>4562</v>
      </c>
      <c r="I1908" s="14" t="s">
        <v>1256</v>
      </c>
      <c r="J1908" s="14" t="s">
        <v>1296</v>
      </c>
      <c r="K1908" s="14" t="s">
        <v>1257</v>
      </c>
      <c r="L1908" s="14" t="s">
        <v>4780</v>
      </c>
      <c r="M1908" s="14" t="s">
        <v>4504</v>
      </c>
      <c r="N1908" s="14" t="s">
        <v>1237</v>
      </c>
      <c r="O1908" s="14" t="s">
        <v>1220</v>
      </c>
    </row>
    <row r="1909" spans="1:15" x14ac:dyDescent="0.25">
      <c r="A1909" s="14" t="s">
        <v>4781</v>
      </c>
      <c r="B1909" s="14" t="s">
        <v>4782</v>
      </c>
      <c r="C1909" s="14" t="s">
        <v>4783</v>
      </c>
      <c r="D1909" s="14" t="s">
        <v>4560</v>
      </c>
      <c r="E1909" s="15"/>
      <c r="F1909" s="14" t="s">
        <v>4561</v>
      </c>
      <c r="G1909" s="15"/>
      <c r="H1909" s="14" t="s">
        <v>4562</v>
      </c>
      <c r="I1909" s="14" t="s">
        <v>1262</v>
      </c>
      <c r="J1909" s="14" t="s">
        <v>1262</v>
      </c>
      <c r="K1909" s="14"/>
      <c r="L1909" s="14" t="s">
        <v>4780</v>
      </c>
      <c r="M1909" s="14" t="s">
        <v>4504</v>
      </c>
      <c r="N1909" s="14" t="s">
        <v>1219</v>
      </c>
      <c r="O1909" s="14" t="s">
        <v>1220</v>
      </c>
    </row>
    <row r="1910" spans="1:15" x14ac:dyDescent="0.25">
      <c r="A1910" s="14">
        <v>4827</v>
      </c>
      <c r="B1910" s="14" t="s">
        <v>219</v>
      </c>
      <c r="C1910" s="14" t="s">
        <v>4784</v>
      </c>
      <c r="D1910" s="14" t="s">
        <v>4568</v>
      </c>
      <c r="E1910" s="16">
        <v>30</v>
      </c>
      <c r="F1910" s="14" t="s">
        <v>4561</v>
      </c>
      <c r="G1910" s="16">
        <v>300</v>
      </c>
      <c r="H1910" s="14" t="s">
        <v>4569</v>
      </c>
      <c r="I1910" s="14" t="s">
        <v>1256</v>
      </c>
      <c r="J1910" s="14" t="s">
        <v>1242</v>
      </c>
      <c r="K1910" s="14" t="s">
        <v>1257</v>
      </c>
      <c r="L1910" s="14" t="s">
        <v>4785</v>
      </c>
      <c r="M1910" s="14" t="s">
        <v>4504</v>
      </c>
      <c r="N1910" s="14" t="s">
        <v>1237</v>
      </c>
      <c r="O1910" s="14" t="s">
        <v>1220</v>
      </c>
    </row>
    <row r="1911" spans="1:15" x14ac:dyDescent="0.25">
      <c r="A1911" s="14">
        <v>1439</v>
      </c>
      <c r="B1911" s="14" t="s">
        <v>185</v>
      </c>
      <c r="C1911" s="14" t="s">
        <v>4786</v>
      </c>
      <c r="D1911" s="14" t="s">
        <v>4560</v>
      </c>
      <c r="E1911" s="16">
        <v>30</v>
      </c>
      <c r="F1911" s="14" t="s">
        <v>4561</v>
      </c>
      <c r="G1911" s="16">
        <v>300</v>
      </c>
      <c r="H1911" s="14" t="s">
        <v>4562</v>
      </c>
      <c r="I1911" s="14" t="s">
        <v>1256</v>
      </c>
      <c r="J1911" s="14" t="s">
        <v>1296</v>
      </c>
      <c r="K1911" s="14" t="s">
        <v>1257</v>
      </c>
      <c r="L1911" s="14" t="s">
        <v>4787</v>
      </c>
      <c r="M1911" s="14" t="s">
        <v>4504</v>
      </c>
      <c r="N1911" s="14" t="s">
        <v>1237</v>
      </c>
      <c r="O1911" s="14" t="s">
        <v>1220</v>
      </c>
    </row>
    <row r="1912" spans="1:15" x14ac:dyDescent="0.25">
      <c r="A1912" s="14" t="s">
        <v>4788</v>
      </c>
      <c r="B1912" s="14" t="s">
        <v>4789</v>
      </c>
      <c r="C1912" s="14" t="s">
        <v>4790</v>
      </c>
      <c r="D1912" s="14" t="s">
        <v>4560</v>
      </c>
      <c r="E1912" s="15"/>
      <c r="F1912" s="14" t="s">
        <v>4561</v>
      </c>
      <c r="G1912" s="15"/>
      <c r="H1912" s="14" t="s">
        <v>4562</v>
      </c>
      <c r="I1912" s="14" t="s">
        <v>1262</v>
      </c>
      <c r="J1912" s="14" t="s">
        <v>1262</v>
      </c>
      <c r="K1912" s="14"/>
      <c r="L1912" s="14" t="s">
        <v>4787</v>
      </c>
      <c r="M1912" s="14" t="s">
        <v>4504</v>
      </c>
      <c r="N1912" s="14" t="s">
        <v>1219</v>
      </c>
      <c r="O1912" s="14" t="s">
        <v>1220</v>
      </c>
    </row>
    <row r="1913" spans="1:15" x14ac:dyDescent="0.25">
      <c r="A1913" s="14">
        <v>4828</v>
      </c>
      <c r="B1913" s="14" t="s">
        <v>220</v>
      </c>
      <c r="C1913" s="14" t="s">
        <v>4791</v>
      </c>
      <c r="D1913" s="14" t="s">
        <v>4568</v>
      </c>
      <c r="E1913" s="16">
        <v>30</v>
      </c>
      <c r="F1913" s="14" t="s">
        <v>4561</v>
      </c>
      <c r="G1913" s="16">
        <v>150</v>
      </c>
      <c r="H1913" s="14" t="s">
        <v>4569</v>
      </c>
      <c r="I1913" s="14" t="s">
        <v>1256</v>
      </c>
      <c r="J1913" s="14" t="s">
        <v>1296</v>
      </c>
      <c r="K1913" s="14" t="s">
        <v>1257</v>
      </c>
      <c r="L1913" s="14" t="s">
        <v>4792</v>
      </c>
      <c r="M1913" s="14" t="s">
        <v>4504</v>
      </c>
      <c r="N1913" s="14" t="s">
        <v>1237</v>
      </c>
      <c r="O1913" s="14" t="s">
        <v>1220</v>
      </c>
    </row>
    <row r="1914" spans="1:15" x14ac:dyDescent="0.25">
      <c r="A1914" s="14">
        <v>1427</v>
      </c>
      <c r="B1914" s="14" t="s">
        <v>174</v>
      </c>
      <c r="C1914" s="14" t="s">
        <v>4793</v>
      </c>
      <c r="D1914" s="14" t="s">
        <v>4560</v>
      </c>
      <c r="E1914" s="16">
        <v>100</v>
      </c>
      <c r="F1914" s="14" t="s">
        <v>4561</v>
      </c>
      <c r="G1914" s="17">
        <v>1000</v>
      </c>
      <c r="H1914" s="14" t="s">
        <v>4562</v>
      </c>
      <c r="I1914" s="14" t="s">
        <v>1256</v>
      </c>
      <c r="J1914" s="14" t="s">
        <v>1242</v>
      </c>
      <c r="K1914" s="14" t="s">
        <v>1257</v>
      </c>
      <c r="L1914" s="14" t="s">
        <v>4794</v>
      </c>
      <c r="M1914" s="14" t="s">
        <v>4504</v>
      </c>
      <c r="N1914" s="14" t="s">
        <v>1237</v>
      </c>
      <c r="O1914" s="14" t="s">
        <v>1220</v>
      </c>
    </row>
    <row r="1915" spans="1:15" x14ac:dyDescent="0.25">
      <c r="A1915" s="14" t="s">
        <v>4795</v>
      </c>
      <c r="B1915" s="14" t="s">
        <v>4796</v>
      </c>
      <c r="C1915" s="14" t="s">
        <v>4797</v>
      </c>
      <c r="D1915" s="14" t="s">
        <v>4560</v>
      </c>
      <c r="E1915" s="15"/>
      <c r="F1915" s="14" t="s">
        <v>4561</v>
      </c>
      <c r="G1915" s="15"/>
      <c r="H1915" s="14" t="s">
        <v>4562</v>
      </c>
      <c r="I1915" s="14" t="s">
        <v>1262</v>
      </c>
      <c r="J1915" s="14" t="s">
        <v>1262</v>
      </c>
      <c r="K1915" s="14"/>
      <c r="L1915" s="14" t="s">
        <v>4794</v>
      </c>
      <c r="M1915" s="14" t="s">
        <v>4504</v>
      </c>
      <c r="N1915" s="14" t="s">
        <v>1219</v>
      </c>
      <c r="O1915" s="14" t="s">
        <v>1220</v>
      </c>
    </row>
    <row r="1916" spans="1:15" x14ac:dyDescent="0.25">
      <c r="A1916" s="14">
        <v>4817</v>
      </c>
      <c r="B1916" s="14" t="s">
        <v>221</v>
      </c>
      <c r="C1916" s="14" t="s">
        <v>4798</v>
      </c>
      <c r="D1916" s="14" t="s">
        <v>4568</v>
      </c>
      <c r="E1916" s="16">
        <v>100</v>
      </c>
      <c r="F1916" s="14" t="s">
        <v>4561</v>
      </c>
      <c r="G1916" s="17">
        <v>1000</v>
      </c>
      <c r="H1916" s="14" t="s">
        <v>4569</v>
      </c>
      <c r="I1916" s="14" t="s">
        <v>1256</v>
      </c>
      <c r="J1916" s="14" t="s">
        <v>1233</v>
      </c>
      <c r="K1916" s="14" t="s">
        <v>1257</v>
      </c>
      <c r="L1916" s="14" t="s">
        <v>4799</v>
      </c>
      <c r="M1916" s="14" t="s">
        <v>4504</v>
      </c>
      <c r="N1916" s="14" t="s">
        <v>1237</v>
      </c>
      <c r="O1916" s="14" t="s">
        <v>1220</v>
      </c>
    </row>
    <row r="1917" spans="1:15" x14ac:dyDescent="0.25">
      <c r="A1917" s="14" t="s">
        <v>4800</v>
      </c>
      <c r="B1917" s="14" t="s">
        <v>4801</v>
      </c>
      <c r="C1917" s="14" t="s">
        <v>4802</v>
      </c>
      <c r="D1917" s="14" t="s">
        <v>4574</v>
      </c>
      <c r="E1917" s="15"/>
      <c r="F1917" s="14" t="s">
        <v>1350</v>
      </c>
      <c r="G1917" s="15"/>
      <c r="H1917" s="14" t="s">
        <v>4569</v>
      </c>
      <c r="I1917" s="14" t="s">
        <v>1262</v>
      </c>
      <c r="J1917" s="14" t="s">
        <v>1262</v>
      </c>
      <c r="K1917" s="14" t="s">
        <v>1257</v>
      </c>
      <c r="L1917" s="14" t="s">
        <v>4799</v>
      </c>
      <c r="M1917" s="14" t="s">
        <v>4504</v>
      </c>
      <c r="N1917" s="14" t="s">
        <v>1219</v>
      </c>
      <c r="O1917" s="14" t="s">
        <v>1220</v>
      </c>
    </row>
    <row r="1918" spans="1:15" x14ac:dyDescent="0.25">
      <c r="A1918" s="14">
        <v>2358</v>
      </c>
      <c r="B1918" s="14" t="s">
        <v>186</v>
      </c>
      <c r="C1918" s="14" t="s">
        <v>4803</v>
      </c>
      <c r="D1918" s="14" t="s">
        <v>4560</v>
      </c>
      <c r="E1918" s="16">
        <v>20</v>
      </c>
      <c r="F1918" s="14" t="s">
        <v>4561</v>
      </c>
      <c r="G1918" s="16">
        <v>200</v>
      </c>
      <c r="H1918" s="14" t="s">
        <v>4562</v>
      </c>
      <c r="I1918" s="14" t="s">
        <v>1256</v>
      </c>
      <c r="J1918" s="14" t="s">
        <v>1296</v>
      </c>
      <c r="K1918" s="14" t="s">
        <v>1257</v>
      </c>
      <c r="L1918" s="14" t="s">
        <v>4804</v>
      </c>
      <c r="M1918" s="14" t="s">
        <v>4504</v>
      </c>
      <c r="N1918" s="14" t="s">
        <v>1237</v>
      </c>
      <c r="O1918" s="14" t="s">
        <v>1220</v>
      </c>
    </row>
    <row r="1919" spans="1:15" x14ac:dyDescent="0.25">
      <c r="A1919" s="14" t="s">
        <v>4805</v>
      </c>
      <c r="B1919" s="14" t="s">
        <v>4806</v>
      </c>
      <c r="C1919" s="14" t="s">
        <v>4807</v>
      </c>
      <c r="D1919" s="14" t="s">
        <v>4560</v>
      </c>
      <c r="E1919" s="15"/>
      <c r="F1919" s="14" t="s">
        <v>4561</v>
      </c>
      <c r="G1919" s="15"/>
      <c r="H1919" s="14" t="s">
        <v>4562</v>
      </c>
      <c r="I1919" s="14" t="s">
        <v>1262</v>
      </c>
      <c r="J1919" s="14" t="s">
        <v>1262</v>
      </c>
      <c r="K1919" s="14"/>
      <c r="L1919" s="14" t="s">
        <v>4804</v>
      </c>
      <c r="M1919" s="14" t="s">
        <v>4504</v>
      </c>
      <c r="N1919" s="14" t="s">
        <v>1219</v>
      </c>
      <c r="O1919" s="14" t="s">
        <v>1220</v>
      </c>
    </row>
    <row r="1920" spans="1:15" x14ac:dyDescent="0.25">
      <c r="A1920" s="14">
        <v>4829</v>
      </c>
      <c r="B1920" s="14" t="s">
        <v>222</v>
      </c>
      <c r="C1920" s="14" t="s">
        <v>4808</v>
      </c>
      <c r="D1920" s="14" t="s">
        <v>4568</v>
      </c>
      <c r="E1920" s="16">
        <v>20</v>
      </c>
      <c r="F1920" s="14" t="s">
        <v>4561</v>
      </c>
      <c r="G1920" s="16">
        <v>100</v>
      </c>
      <c r="H1920" s="14" t="s">
        <v>4569</v>
      </c>
      <c r="I1920" s="14" t="s">
        <v>1256</v>
      </c>
      <c r="J1920" s="14" t="s">
        <v>1296</v>
      </c>
      <c r="K1920" s="14" t="s">
        <v>1257</v>
      </c>
      <c r="L1920" s="14" t="s">
        <v>4809</v>
      </c>
      <c r="M1920" s="14" t="s">
        <v>4504</v>
      </c>
      <c r="N1920" s="14" t="s">
        <v>1237</v>
      </c>
      <c r="O1920" s="14" t="s">
        <v>1220</v>
      </c>
    </row>
    <row r="1921" spans="1:15" x14ac:dyDescent="0.25">
      <c r="A1921" s="14">
        <v>1428</v>
      </c>
      <c r="B1921" s="14" t="s">
        <v>175</v>
      </c>
      <c r="C1921" s="14" t="s">
        <v>4810</v>
      </c>
      <c r="D1921" s="14" t="s">
        <v>4560</v>
      </c>
      <c r="E1921" s="16">
        <v>100</v>
      </c>
      <c r="F1921" s="14" t="s">
        <v>4561</v>
      </c>
      <c r="G1921" s="17">
        <v>1000</v>
      </c>
      <c r="H1921" s="14" t="s">
        <v>4562</v>
      </c>
      <c r="I1921" s="14" t="s">
        <v>1256</v>
      </c>
      <c r="J1921" s="14" t="s">
        <v>1233</v>
      </c>
      <c r="K1921" s="14" t="s">
        <v>1257</v>
      </c>
      <c r="L1921" s="14" t="s">
        <v>4811</v>
      </c>
      <c r="M1921" s="14" t="s">
        <v>4504</v>
      </c>
      <c r="N1921" s="14" t="s">
        <v>1237</v>
      </c>
      <c r="O1921" s="14" t="s">
        <v>1220</v>
      </c>
    </row>
    <row r="1922" spans="1:15" x14ac:dyDescent="0.25">
      <c r="A1922" s="14" t="s">
        <v>4812</v>
      </c>
      <c r="B1922" s="14" t="s">
        <v>4813</v>
      </c>
      <c r="C1922" s="14" t="s">
        <v>4814</v>
      </c>
      <c r="D1922" s="14" t="s">
        <v>4560</v>
      </c>
      <c r="E1922" s="15"/>
      <c r="F1922" s="14" t="s">
        <v>4561</v>
      </c>
      <c r="G1922" s="15"/>
      <c r="H1922" s="14" t="s">
        <v>4562</v>
      </c>
      <c r="I1922" s="14" t="s">
        <v>1262</v>
      </c>
      <c r="J1922" s="14" t="s">
        <v>1262</v>
      </c>
      <c r="K1922" s="14"/>
      <c r="L1922" s="14" t="s">
        <v>4811</v>
      </c>
      <c r="M1922" s="14" t="s">
        <v>4504</v>
      </c>
      <c r="N1922" s="14" t="s">
        <v>1219</v>
      </c>
      <c r="O1922" s="14" t="s">
        <v>1220</v>
      </c>
    </row>
    <row r="1923" spans="1:15" x14ac:dyDescent="0.25">
      <c r="A1923" s="14">
        <v>4818</v>
      </c>
      <c r="B1923" s="14" t="s">
        <v>223</v>
      </c>
      <c r="C1923" s="14" t="s">
        <v>4815</v>
      </c>
      <c r="D1923" s="14" t="s">
        <v>4568</v>
      </c>
      <c r="E1923" s="16">
        <v>100</v>
      </c>
      <c r="F1923" s="14" t="s">
        <v>4561</v>
      </c>
      <c r="G1923" s="17">
        <v>1000</v>
      </c>
      <c r="H1923" s="14" t="s">
        <v>4569</v>
      </c>
      <c r="I1923" s="14" t="s">
        <v>1256</v>
      </c>
      <c r="J1923" s="14" t="s">
        <v>1233</v>
      </c>
      <c r="K1923" s="14" t="s">
        <v>1257</v>
      </c>
      <c r="L1923" s="14" t="s">
        <v>4816</v>
      </c>
      <c r="M1923" s="14" t="s">
        <v>4504</v>
      </c>
      <c r="N1923" s="14" t="s">
        <v>1237</v>
      </c>
      <c r="O1923" s="14" t="s">
        <v>1220</v>
      </c>
    </row>
    <row r="1924" spans="1:15" x14ac:dyDescent="0.25">
      <c r="A1924" s="14" t="s">
        <v>4817</v>
      </c>
      <c r="B1924" s="14" t="s">
        <v>4818</v>
      </c>
      <c r="C1924" s="14" t="s">
        <v>4819</v>
      </c>
      <c r="D1924" s="14" t="s">
        <v>4574</v>
      </c>
      <c r="E1924" s="15"/>
      <c r="F1924" s="14" t="s">
        <v>1350</v>
      </c>
      <c r="G1924" s="15"/>
      <c r="H1924" s="14" t="s">
        <v>4569</v>
      </c>
      <c r="I1924" s="14" t="s">
        <v>1262</v>
      </c>
      <c r="J1924" s="14" t="s">
        <v>1262</v>
      </c>
      <c r="K1924" s="14" t="s">
        <v>1257</v>
      </c>
      <c r="L1924" s="14" t="s">
        <v>4816</v>
      </c>
      <c r="M1924" s="14" t="s">
        <v>4504</v>
      </c>
      <c r="N1924" s="14" t="s">
        <v>1219</v>
      </c>
      <c r="O1924" s="14" t="s">
        <v>1220</v>
      </c>
    </row>
    <row r="1925" spans="1:15" x14ac:dyDescent="0.25">
      <c r="A1925" s="14">
        <v>1429</v>
      </c>
      <c r="B1925" s="14" t="s">
        <v>176</v>
      </c>
      <c r="C1925" s="14" t="s">
        <v>4820</v>
      </c>
      <c r="D1925" s="14" t="s">
        <v>4560</v>
      </c>
      <c r="E1925" s="16">
        <v>100</v>
      </c>
      <c r="F1925" s="14" t="s">
        <v>4561</v>
      </c>
      <c r="G1925" s="17">
        <v>1000</v>
      </c>
      <c r="H1925" s="14" t="s">
        <v>4562</v>
      </c>
      <c r="I1925" s="14" t="s">
        <v>1256</v>
      </c>
      <c r="J1925" s="14" t="s">
        <v>1233</v>
      </c>
      <c r="K1925" s="14" t="s">
        <v>1257</v>
      </c>
      <c r="L1925" s="14" t="s">
        <v>4821</v>
      </c>
      <c r="M1925" s="14" t="s">
        <v>4504</v>
      </c>
      <c r="N1925" s="14" t="s">
        <v>1237</v>
      </c>
      <c r="O1925" s="14" t="s">
        <v>1220</v>
      </c>
    </row>
    <row r="1926" spans="1:15" x14ac:dyDescent="0.25">
      <c r="A1926" s="14" t="s">
        <v>4822</v>
      </c>
      <c r="B1926" s="14" t="s">
        <v>4823</v>
      </c>
      <c r="C1926" s="14" t="s">
        <v>4824</v>
      </c>
      <c r="D1926" s="14" t="s">
        <v>4560</v>
      </c>
      <c r="E1926" s="15"/>
      <c r="F1926" s="14" t="s">
        <v>4561</v>
      </c>
      <c r="G1926" s="15"/>
      <c r="H1926" s="14" t="s">
        <v>4562</v>
      </c>
      <c r="I1926" s="14" t="s">
        <v>1262</v>
      </c>
      <c r="J1926" s="14" t="s">
        <v>1262</v>
      </c>
      <c r="K1926" s="14"/>
      <c r="L1926" s="14" t="s">
        <v>4821</v>
      </c>
      <c r="M1926" s="14" t="s">
        <v>4504</v>
      </c>
      <c r="N1926" s="14" t="s">
        <v>1219</v>
      </c>
      <c r="O1926" s="14" t="s">
        <v>1220</v>
      </c>
    </row>
    <row r="1927" spans="1:15" x14ac:dyDescent="0.25">
      <c r="A1927" s="14">
        <v>4819</v>
      </c>
      <c r="B1927" s="14" t="s">
        <v>224</v>
      </c>
      <c r="C1927" s="14" t="s">
        <v>4825</v>
      </c>
      <c r="D1927" s="14" t="s">
        <v>4568</v>
      </c>
      <c r="E1927" s="16">
        <v>100</v>
      </c>
      <c r="F1927" s="14" t="s">
        <v>4561</v>
      </c>
      <c r="G1927" s="17">
        <v>1000</v>
      </c>
      <c r="H1927" s="14" t="s">
        <v>4569</v>
      </c>
      <c r="I1927" s="14" t="s">
        <v>1256</v>
      </c>
      <c r="J1927" s="14" t="s">
        <v>1233</v>
      </c>
      <c r="K1927" s="14" t="s">
        <v>1257</v>
      </c>
      <c r="L1927" s="14" t="s">
        <v>4826</v>
      </c>
      <c r="M1927" s="14" t="s">
        <v>4504</v>
      </c>
      <c r="N1927" s="14" t="s">
        <v>1237</v>
      </c>
      <c r="O1927" s="14" t="s">
        <v>1220</v>
      </c>
    </row>
    <row r="1928" spans="1:15" x14ac:dyDescent="0.25">
      <c r="A1928" s="14" t="s">
        <v>4827</v>
      </c>
      <c r="B1928" s="14" t="s">
        <v>4828</v>
      </c>
      <c r="C1928" s="14" t="s">
        <v>4829</v>
      </c>
      <c r="D1928" s="14" t="s">
        <v>4574</v>
      </c>
      <c r="E1928" s="15"/>
      <c r="F1928" s="14" t="s">
        <v>1350</v>
      </c>
      <c r="G1928" s="15"/>
      <c r="H1928" s="14" t="s">
        <v>4569</v>
      </c>
      <c r="I1928" s="14" t="s">
        <v>1262</v>
      </c>
      <c r="J1928" s="14" t="s">
        <v>1262</v>
      </c>
      <c r="K1928" s="14" t="s">
        <v>1257</v>
      </c>
      <c r="L1928" s="14" t="s">
        <v>4826</v>
      </c>
      <c r="M1928" s="14" t="s">
        <v>4504</v>
      </c>
      <c r="N1928" s="14" t="s">
        <v>1219</v>
      </c>
      <c r="O1928" s="14" t="s">
        <v>1220</v>
      </c>
    </row>
    <row r="1929" spans="1:15" x14ac:dyDescent="0.25">
      <c r="A1929" s="14">
        <v>1430</v>
      </c>
      <c r="B1929" s="14" t="s">
        <v>177</v>
      </c>
      <c r="C1929" s="14" t="s">
        <v>4830</v>
      </c>
      <c r="D1929" s="14" t="s">
        <v>4560</v>
      </c>
      <c r="E1929" s="16">
        <v>50</v>
      </c>
      <c r="F1929" s="14" t="s">
        <v>4561</v>
      </c>
      <c r="G1929" s="16">
        <v>500</v>
      </c>
      <c r="H1929" s="14" t="s">
        <v>4562</v>
      </c>
      <c r="I1929" s="14" t="s">
        <v>1256</v>
      </c>
      <c r="J1929" s="14" t="s">
        <v>1233</v>
      </c>
      <c r="K1929" s="14" t="s">
        <v>1257</v>
      </c>
      <c r="L1929" s="14" t="s">
        <v>4831</v>
      </c>
      <c r="M1929" s="14" t="s">
        <v>4504</v>
      </c>
      <c r="N1929" s="14" t="s">
        <v>1237</v>
      </c>
      <c r="O1929" s="14" t="s">
        <v>1220</v>
      </c>
    </row>
    <row r="1930" spans="1:15" x14ac:dyDescent="0.25">
      <c r="A1930" s="14" t="s">
        <v>4832</v>
      </c>
      <c r="B1930" s="14" t="s">
        <v>4833</v>
      </c>
      <c r="C1930" s="14" t="s">
        <v>4834</v>
      </c>
      <c r="D1930" s="14" t="s">
        <v>4560</v>
      </c>
      <c r="E1930" s="15"/>
      <c r="F1930" s="14" t="s">
        <v>4561</v>
      </c>
      <c r="G1930" s="15"/>
      <c r="H1930" s="14" t="s">
        <v>4562</v>
      </c>
      <c r="I1930" s="14" t="s">
        <v>1262</v>
      </c>
      <c r="J1930" s="14" t="s">
        <v>1262</v>
      </c>
      <c r="K1930" s="14"/>
      <c r="L1930" s="14" t="s">
        <v>4831</v>
      </c>
      <c r="M1930" s="14" t="s">
        <v>4504</v>
      </c>
      <c r="N1930" s="14" t="s">
        <v>1219</v>
      </c>
      <c r="O1930" s="14" t="s">
        <v>1220</v>
      </c>
    </row>
    <row r="1931" spans="1:15" x14ac:dyDescent="0.25">
      <c r="A1931" s="14">
        <v>4820</v>
      </c>
      <c r="B1931" s="14" t="s">
        <v>225</v>
      </c>
      <c r="C1931" s="14" t="s">
        <v>4835</v>
      </c>
      <c r="D1931" s="14" t="s">
        <v>4568</v>
      </c>
      <c r="E1931" s="16">
        <v>50</v>
      </c>
      <c r="F1931" s="14" t="s">
        <v>4561</v>
      </c>
      <c r="G1931" s="16">
        <v>500</v>
      </c>
      <c r="H1931" s="14" t="s">
        <v>4569</v>
      </c>
      <c r="I1931" s="14" t="s">
        <v>1256</v>
      </c>
      <c r="J1931" s="14" t="s">
        <v>1233</v>
      </c>
      <c r="K1931" s="14" t="s">
        <v>1257</v>
      </c>
      <c r="L1931" s="14" t="s">
        <v>4836</v>
      </c>
      <c r="M1931" s="14" t="s">
        <v>4504</v>
      </c>
      <c r="N1931" s="14" t="s">
        <v>1237</v>
      </c>
      <c r="O1931" s="14" t="s">
        <v>1220</v>
      </c>
    </row>
    <row r="1932" spans="1:15" x14ac:dyDescent="0.25">
      <c r="A1932" s="14" t="s">
        <v>4837</v>
      </c>
      <c r="B1932" s="14" t="s">
        <v>4838</v>
      </c>
      <c r="C1932" s="14" t="s">
        <v>4839</v>
      </c>
      <c r="D1932" s="14" t="s">
        <v>4574</v>
      </c>
      <c r="E1932" s="15"/>
      <c r="F1932" s="14" t="s">
        <v>1350</v>
      </c>
      <c r="G1932" s="15"/>
      <c r="H1932" s="14" t="s">
        <v>4569</v>
      </c>
      <c r="I1932" s="14" t="s">
        <v>1262</v>
      </c>
      <c r="J1932" s="14" t="s">
        <v>1262</v>
      </c>
      <c r="K1932" s="14" t="s">
        <v>1257</v>
      </c>
      <c r="L1932" s="14" t="s">
        <v>4836</v>
      </c>
      <c r="M1932" s="14" t="s">
        <v>4504</v>
      </c>
      <c r="N1932" s="14" t="s">
        <v>1219</v>
      </c>
      <c r="O1932" s="14" t="s">
        <v>1220</v>
      </c>
    </row>
    <row r="1933" spans="1:15" x14ac:dyDescent="0.25">
      <c r="A1933" s="14">
        <v>4835</v>
      </c>
      <c r="B1933" s="14" t="s">
        <v>226</v>
      </c>
      <c r="C1933" s="14" t="s">
        <v>4840</v>
      </c>
      <c r="D1933" s="14" t="s">
        <v>4568</v>
      </c>
      <c r="E1933" s="16">
        <v>25</v>
      </c>
      <c r="F1933" s="14" t="s">
        <v>4561</v>
      </c>
      <c r="G1933" s="16">
        <v>250</v>
      </c>
      <c r="H1933" s="14" t="s">
        <v>4569</v>
      </c>
      <c r="I1933" s="14" t="s">
        <v>1256</v>
      </c>
      <c r="J1933" s="14" t="s">
        <v>1233</v>
      </c>
      <c r="K1933" s="14" t="s">
        <v>1257</v>
      </c>
      <c r="L1933" s="14" t="s">
        <v>4841</v>
      </c>
      <c r="M1933" s="14" t="s">
        <v>4504</v>
      </c>
      <c r="N1933" s="14" t="s">
        <v>1237</v>
      </c>
      <c r="O1933" s="14" t="s">
        <v>1220</v>
      </c>
    </row>
    <row r="1934" spans="1:15" x14ac:dyDescent="0.25">
      <c r="A1934" s="14" t="s">
        <v>4842</v>
      </c>
      <c r="B1934" s="14" t="s">
        <v>4843</v>
      </c>
      <c r="C1934" s="14" t="s">
        <v>4844</v>
      </c>
      <c r="D1934" s="14" t="s">
        <v>4574</v>
      </c>
      <c r="E1934" s="15"/>
      <c r="F1934" s="14" t="s">
        <v>4561</v>
      </c>
      <c r="G1934" s="15"/>
      <c r="H1934" s="14" t="s">
        <v>4569</v>
      </c>
      <c r="I1934" s="14" t="s">
        <v>1262</v>
      </c>
      <c r="J1934" s="14" t="s">
        <v>1262</v>
      </c>
      <c r="K1934" s="14" t="s">
        <v>1257</v>
      </c>
      <c r="L1934" s="14" t="s">
        <v>4841</v>
      </c>
      <c r="M1934" s="14" t="s">
        <v>4504</v>
      </c>
      <c r="N1934" s="14" t="s">
        <v>1219</v>
      </c>
      <c r="O1934" s="14" t="s">
        <v>1220</v>
      </c>
    </row>
    <row r="1935" spans="1:15" x14ac:dyDescent="0.25">
      <c r="A1935" s="14">
        <v>1446</v>
      </c>
      <c r="B1935" s="14" t="s">
        <v>192</v>
      </c>
      <c r="C1935" s="14" t="s">
        <v>4845</v>
      </c>
      <c r="D1935" s="14" t="s">
        <v>4560</v>
      </c>
      <c r="E1935" s="16">
        <v>25</v>
      </c>
      <c r="F1935" s="14" t="s">
        <v>4561</v>
      </c>
      <c r="G1935" s="16">
        <v>250</v>
      </c>
      <c r="H1935" s="14" t="s">
        <v>4562</v>
      </c>
      <c r="I1935" s="14" t="s">
        <v>1256</v>
      </c>
      <c r="J1935" s="14" t="s">
        <v>1233</v>
      </c>
      <c r="K1935" s="14" t="s">
        <v>1257</v>
      </c>
      <c r="L1935" s="14" t="s">
        <v>4846</v>
      </c>
      <c r="M1935" s="14" t="s">
        <v>4504</v>
      </c>
      <c r="N1935" s="14" t="s">
        <v>1237</v>
      </c>
      <c r="O1935" s="14" t="s">
        <v>1220</v>
      </c>
    </row>
    <row r="1936" spans="1:15" x14ac:dyDescent="0.25">
      <c r="A1936" s="14" t="s">
        <v>4847</v>
      </c>
      <c r="B1936" s="14" t="s">
        <v>4848</v>
      </c>
      <c r="C1936" s="14" t="s">
        <v>4849</v>
      </c>
      <c r="D1936" s="14" t="s">
        <v>4560</v>
      </c>
      <c r="E1936" s="15"/>
      <c r="F1936" s="14" t="s">
        <v>4561</v>
      </c>
      <c r="G1936" s="15"/>
      <c r="H1936" s="14" t="s">
        <v>4562</v>
      </c>
      <c r="I1936" s="14" t="s">
        <v>1262</v>
      </c>
      <c r="J1936" s="14" t="s">
        <v>1262</v>
      </c>
      <c r="K1936" s="14"/>
      <c r="L1936" s="14" t="s">
        <v>4846</v>
      </c>
      <c r="M1936" s="14" t="s">
        <v>4504</v>
      </c>
      <c r="N1936" s="14" t="s">
        <v>1219</v>
      </c>
      <c r="O1936" s="14" t="s">
        <v>1220</v>
      </c>
    </row>
    <row r="1937" spans="1:15" x14ac:dyDescent="0.25">
      <c r="A1937" s="14">
        <v>4836</v>
      </c>
      <c r="B1937" s="14" t="s">
        <v>227</v>
      </c>
      <c r="C1937" s="14" t="s">
        <v>4850</v>
      </c>
      <c r="D1937" s="14" t="s">
        <v>4568</v>
      </c>
      <c r="E1937" s="16">
        <v>25</v>
      </c>
      <c r="F1937" s="14" t="s">
        <v>4561</v>
      </c>
      <c r="G1937" s="16">
        <v>250</v>
      </c>
      <c r="H1937" s="14" t="s">
        <v>4569</v>
      </c>
      <c r="I1937" s="14" t="s">
        <v>1256</v>
      </c>
      <c r="J1937" s="14" t="s">
        <v>1233</v>
      </c>
      <c r="K1937" s="14" t="s">
        <v>1257</v>
      </c>
      <c r="L1937" s="14" t="s">
        <v>4851</v>
      </c>
      <c r="M1937" s="14" t="s">
        <v>4504</v>
      </c>
      <c r="N1937" s="14" t="s">
        <v>1237</v>
      </c>
      <c r="O1937" s="14" t="s">
        <v>1220</v>
      </c>
    </row>
    <row r="1938" spans="1:15" x14ac:dyDescent="0.25">
      <c r="A1938" s="14" t="s">
        <v>4852</v>
      </c>
      <c r="B1938" s="14" t="s">
        <v>4853</v>
      </c>
      <c r="C1938" s="14" t="s">
        <v>4854</v>
      </c>
      <c r="D1938" s="14" t="s">
        <v>4574</v>
      </c>
      <c r="E1938" s="15"/>
      <c r="F1938" s="14" t="s">
        <v>1350</v>
      </c>
      <c r="G1938" s="15"/>
      <c r="H1938" s="14" t="s">
        <v>4569</v>
      </c>
      <c r="I1938" s="14" t="s">
        <v>1262</v>
      </c>
      <c r="J1938" s="14" t="s">
        <v>1262</v>
      </c>
      <c r="K1938" s="14" t="s">
        <v>1257</v>
      </c>
      <c r="L1938" s="14" t="s">
        <v>4851</v>
      </c>
      <c r="M1938" s="14" t="s">
        <v>4504</v>
      </c>
      <c r="N1938" s="14" t="s">
        <v>1219</v>
      </c>
      <c r="O1938" s="14" t="s">
        <v>1220</v>
      </c>
    </row>
    <row r="1939" spans="1:15" x14ac:dyDescent="0.25">
      <c r="A1939" s="14">
        <v>1447</v>
      </c>
      <c r="B1939" s="14" t="s">
        <v>193</v>
      </c>
      <c r="C1939" s="14" t="s">
        <v>4855</v>
      </c>
      <c r="D1939" s="14" t="s">
        <v>4560</v>
      </c>
      <c r="E1939" s="16">
        <v>25</v>
      </c>
      <c r="F1939" s="14" t="s">
        <v>4561</v>
      </c>
      <c r="G1939" s="16">
        <v>250</v>
      </c>
      <c r="H1939" s="14" t="s">
        <v>4562</v>
      </c>
      <c r="I1939" s="14" t="s">
        <v>1256</v>
      </c>
      <c r="J1939" s="14" t="s">
        <v>1233</v>
      </c>
      <c r="K1939" s="14" t="s">
        <v>1257</v>
      </c>
      <c r="L1939" s="14" t="s">
        <v>4856</v>
      </c>
      <c r="M1939" s="14" t="s">
        <v>4504</v>
      </c>
      <c r="N1939" s="14" t="s">
        <v>1237</v>
      </c>
      <c r="O1939" s="14" t="s">
        <v>1220</v>
      </c>
    </row>
    <row r="1940" spans="1:15" x14ac:dyDescent="0.25">
      <c r="A1940" s="14" t="s">
        <v>4857</v>
      </c>
      <c r="B1940" s="14" t="s">
        <v>4858</v>
      </c>
      <c r="C1940" s="14" t="s">
        <v>4859</v>
      </c>
      <c r="D1940" s="14" t="s">
        <v>4560</v>
      </c>
      <c r="E1940" s="15"/>
      <c r="F1940" s="14" t="s">
        <v>4561</v>
      </c>
      <c r="G1940" s="15"/>
      <c r="H1940" s="14" t="s">
        <v>4562</v>
      </c>
      <c r="I1940" s="14" t="s">
        <v>1262</v>
      </c>
      <c r="J1940" s="14" t="s">
        <v>1262</v>
      </c>
      <c r="K1940" s="14"/>
      <c r="L1940" s="14" t="s">
        <v>4856</v>
      </c>
      <c r="M1940" s="14" t="s">
        <v>4504</v>
      </c>
      <c r="N1940" s="14" t="s">
        <v>1219</v>
      </c>
      <c r="O1940" s="14" t="s">
        <v>1220</v>
      </c>
    </row>
    <row r="1941" spans="1:15" x14ac:dyDescent="0.25">
      <c r="A1941" s="14">
        <v>4837</v>
      </c>
      <c r="B1941" s="14" t="s">
        <v>228</v>
      </c>
      <c r="C1941" s="14" t="s">
        <v>4860</v>
      </c>
      <c r="D1941" s="14" t="s">
        <v>4568</v>
      </c>
      <c r="E1941" s="16">
        <v>25</v>
      </c>
      <c r="F1941" s="14" t="s">
        <v>4561</v>
      </c>
      <c r="G1941" s="16">
        <v>250</v>
      </c>
      <c r="H1941" s="14" t="s">
        <v>4569</v>
      </c>
      <c r="I1941" s="14" t="s">
        <v>1256</v>
      </c>
      <c r="J1941" s="14" t="s">
        <v>1233</v>
      </c>
      <c r="K1941" s="14" t="s">
        <v>1257</v>
      </c>
      <c r="L1941" s="14" t="s">
        <v>4861</v>
      </c>
      <c r="M1941" s="14" t="s">
        <v>4504</v>
      </c>
      <c r="N1941" s="14" t="s">
        <v>1237</v>
      </c>
      <c r="O1941" s="14" t="s">
        <v>1220</v>
      </c>
    </row>
    <row r="1942" spans="1:15" x14ac:dyDescent="0.25">
      <c r="A1942" s="14" t="s">
        <v>4862</v>
      </c>
      <c r="B1942" s="14" t="s">
        <v>4863</v>
      </c>
      <c r="C1942" s="14" t="s">
        <v>4864</v>
      </c>
      <c r="D1942" s="14" t="s">
        <v>4574</v>
      </c>
      <c r="E1942" s="15"/>
      <c r="F1942" s="14" t="s">
        <v>1350</v>
      </c>
      <c r="G1942" s="15"/>
      <c r="H1942" s="14" t="s">
        <v>4569</v>
      </c>
      <c r="I1942" s="14" t="s">
        <v>1262</v>
      </c>
      <c r="J1942" s="14" t="s">
        <v>1262</v>
      </c>
      <c r="K1942" s="14" t="s">
        <v>1257</v>
      </c>
      <c r="L1942" s="14" t="s">
        <v>4861</v>
      </c>
      <c r="M1942" s="14" t="s">
        <v>4504</v>
      </c>
      <c r="N1942" s="14" t="s">
        <v>1219</v>
      </c>
      <c r="O1942" s="14" t="s">
        <v>1220</v>
      </c>
    </row>
    <row r="1943" spans="1:15" x14ac:dyDescent="0.25">
      <c r="A1943" s="14">
        <v>1448</v>
      </c>
      <c r="B1943" s="14" t="s">
        <v>194</v>
      </c>
      <c r="C1943" s="14" t="s">
        <v>4865</v>
      </c>
      <c r="D1943" s="14" t="s">
        <v>4560</v>
      </c>
      <c r="E1943" s="16">
        <v>25</v>
      </c>
      <c r="F1943" s="14" t="s">
        <v>4561</v>
      </c>
      <c r="G1943" s="16">
        <v>250</v>
      </c>
      <c r="H1943" s="14" t="s">
        <v>4562</v>
      </c>
      <c r="I1943" s="14" t="s">
        <v>1256</v>
      </c>
      <c r="J1943" s="14" t="s">
        <v>1233</v>
      </c>
      <c r="K1943" s="14" t="s">
        <v>1257</v>
      </c>
      <c r="L1943" s="14" t="s">
        <v>4866</v>
      </c>
      <c r="M1943" s="14" t="s">
        <v>4504</v>
      </c>
      <c r="N1943" s="14" t="s">
        <v>1237</v>
      </c>
      <c r="O1943" s="14" t="s">
        <v>1220</v>
      </c>
    </row>
    <row r="1944" spans="1:15" x14ac:dyDescent="0.25">
      <c r="A1944" s="14" t="s">
        <v>4867</v>
      </c>
      <c r="B1944" s="14" t="s">
        <v>4868</v>
      </c>
      <c r="C1944" s="14" t="s">
        <v>4869</v>
      </c>
      <c r="D1944" s="14" t="s">
        <v>4560</v>
      </c>
      <c r="E1944" s="15"/>
      <c r="F1944" s="14" t="s">
        <v>4561</v>
      </c>
      <c r="G1944" s="15"/>
      <c r="H1944" s="14" t="s">
        <v>4562</v>
      </c>
      <c r="I1944" s="14" t="s">
        <v>1262</v>
      </c>
      <c r="J1944" s="14" t="s">
        <v>1262</v>
      </c>
      <c r="K1944" s="14"/>
      <c r="L1944" s="14" t="s">
        <v>4866</v>
      </c>
      <c r="M1944" s="14" t="s">
        <v>4504</v>
      </c>
      <c r="N1944" s="14" t="s">
        <v>1219</v>
      </c>
      <c r="O1944" s="14" t="s">
        <v>1220</v>
      </c>
    </row>
    <row r="1945" spans="1:15" x14ac:dyDescent="0.25">
      <c r="A1945" s="14">
        <v>4838</v>
      </c>
      <c r="B1945" s="14" t="s">
        <v>229</v>
      </c>
      <c r="C1945" s="14" t="s">
        <v>4870</v>
      </c>
      <c r="D1945" s="14" t="s">
        <v>4568</v>
      </c>
      <c r="E1945" s="16">
        <v>25</v>
      </c>
      <c r="F1945" s="14" t="s">
        <v>4561</v>
      </c>
      <c r="G1945" s="16">
        <v>250</v>
      </c>
      <c r="H1945" s="14" t="s">
        <v>4569</v>
      </c>
      <c r="I1945" s="14" t="s">
        <v>1256</v>
      </c>
      <c r="J1945" s="14" t="s">
        <v>1242</v>
      </c>
      <c r="K1945" s="14" t="s">
        <v>1257</v>
      </c>
      <c r="L1945" s="14" t="s">
        <v>4871</v>
      </c>
      <c r="M1945" s="14" t="s">
        <v>4504</v>
      </c>
      <c r="N1945" s="14" t="s">
        <v>1237</v>
      </c>
      <c r="O1945" s="14" t="s">
        <v>1220</v>
      </c>
    </row>
    <row r="1946" spans="1:15" x14ac:dyDescent="0.25">
      <c r="A1946" s="14">
        <v>2359</v>
      </c>
      <c r="B1946" s="14" t="s">
        <v>195</v>
      </c>
      <c r="C1946" s="14" t="s">
        <v>4872</v>
      </c>
      <c r="D1946" s="14" t="s">
        <v>4560</v>
      </c>
      <c r="E1946" s="16">
        <v>25</v>
      </c>
      <c r="F1946" s="14" t="s">
        <v>4561</v>
      </c>
      <c r="G1946" s="16">
        <v>250</v>
      </c>
      <c r="H1946" s="14" t="s">
        <v>4562</v>
      </c>
      <c r="I1946" s="14" t="s">
        <v>1256</v>
      </c>
      <c r="J1946" s="14" t="s">
        <v>1242</v>
      </c>
      <c r="K1946" s="14" t="s">
        <v>1257</v>
      </c>
      <c r="L1946" s="14" t="s">
        <v>4873</v>
      </c>
      <c r="M1946" s="14" t="s">
        <v>4504</v>
      </c>
      <c r="N1946" s="14" t="s">
        <v>1237</v>
      </c>
      <c r="O1946" s="14" t="s">
        <v>1220</v>
      </c>
    </row>
    <row r="1947" spans="1:15" x14ac:dyDescent="0.25">
      <c r="A1947" s="14" t="s">
        <v>4874</v>
      </c>
      <c r="B1947" s="14" t="s">
        <v>4875</v>
      </c>
      <c r="C1947" s="14" t="s">
        <v>4876</v>
      </c>
      <c r="D1947" s="14" t="s">
        <v>4560</v>
      </c>
      <c r="E1947" s="15"/>
      <c r="F1947" s="14" t="s">
        <v>4561</v>
      </c>
      <c r="G1947" s="15"/>
      <c r="H1947" s="14" t="s">
        <v>4562</v>
      </c>
      <c r="I1947" s="14" t="s">
        <v>1262</v>
      </c>
      <c r="J1947" s="14" t="s">
        <v>1262</v>
      </c>
      <c r="K1947" s="14"/>
      <c r="L1947" s="14" t="s">
        <v>4873</v>
      </c>
      <c r="M1947" s="14" t="s">
        <v>4504</v>
      </c>
      <c r="N1947" s="14" t="s">
        <v>1219</v>
      </c>
      <c r="O1947" s="14" t="s">
        <v>1220</v>
      </c>
    </row>
    <row r="1948" spans="1:15" x14ac:dyDescent="0.25">
      <c r="A1948" s="14">
        <v>4830</v>
      </c>
      <c r="B1948" s="14" t="s">
        <v>230</v>
      </c>
      <c r="C1948" s="14" t="s">
        <v>4877</v>
      </c>
      <c r="D1948" s="14" t="s">
        <v>4568</v>
      </c>
      <c r="E1948" s="16">
        <v>50</v>
      </c>
      <c r="F1948" s="14" t="s">
        <v>4561</v>
      </c>
      <c r="G1948" s="16">
        <v>500</v>
      </c>
      <c r="H1948" s="14" t="s">
        <v>4569</v>
      </c>
      <c r="I1948" s="14" t="s">
        <v>1256</v>
      </c>
      <c r="J1948" s="14" t="s">
        <v>1242</v>
      </c>
      <c r="K1948" s="14" t="s">
        <v>1257</v>
      </c>
      <c r="L1948" s="14" t="s">
        <v>4878</v>
      </c>
      <c r="M1948" s="14" t="s">
        <v>4504</v>
      </c>
      <c r="N1948" s="14" t="s">
        <v>1237</v>
      </c>
      <c r="O1948" s="14" t="s">
        <v>1220</v>
      </c>
    </row>
    <row r="1949" spans="1:15" x14ac:dyDescent="0.25">
      <c r="A1949" s="14" t="s">
        <v>4879</v>
      </c>
      <c r="B1949" s="14" t="s">
        <v>4880</v>
      </c>
      <c r="C1949" s="14" t="s">
        <v>4881</v>
      </c>
      <c r="D1949" s="14" t="s">
        <v>4574</v>
      </c>
      <c r="E1949" s="15"/>
      <c r="F1949" s="14" t="s">
        <v>1350</v>
      </c>
      <c r="G1949" s="15"/>
      <c r="H1949" s="14" t="s">
        <v>4569</v>
      </c>
      <c r="I1949" s="14" t="s">
        <v>1262</v>
      </c>
      <c r="J1949" s="14" t="s">
        <v>1262</v>
      </c>
      <c r="K1949" s="14" t="s">
        <v>1257</v>
      </c>
      <c r="L1949" s="14" t="s">
        <v>4878</v>
      </c>
      <c r="M1949" s="14" t="s">
        <v>4504</v>
      </c>
      <c r="N1949" s="14" t="s">
        <v>1219</v>
      </c>
      <c r="O1949" s="14" t="s">
        <v>1220</v>
      </c>
    </row>
    <row r="1950" spans="1:15" x14ac:dyDescent="0.25">
      <c r="A1950" s="14">
        <v>1440</v>
      </c>
      <c r="B1950" s="14" t="s">
        <v>187</v>
      </c>
      <c r="C1950" s="14" t="s">
        <v>4882</v>
      </c>
      <c r="D1950" s="14" t="s">
        <v>4560</v>
      </c>
      <c r="E1950" s="16">
        <v>50</v>
      </c>
      <c r="F1950" s="14" t="s">
        <v>4561</v>
      </c>
      <c r="G1950" s="16">
        <v>500</v>
      </c>
      <c r="H1950" s="14" t="s">
        <v>4562</v>
      </c>
      <c r="I1950" s="14" t="s">
        <v>1256</v>
      </c>
      <c r="J1950" s="14" t="s">
        <v>1242</v>
      </c>
      <c r="K1950" s="14" t="s">
        <v>1257</v>
      </c>
      <c r="L1950" s="14" t="s">
        <v>4883</v>
      </c>
      <c r="M1950" s="14" t="s">
        <v>4504</v>
      </c>
      <c r="N1950" s="14" t="s">
        <v>1237</v>
      </c>
      <c r="O1950" s="14" t="s">
        <v>1220</v>
      </c>
    </row>
    <row r="1951" spans="1:15" x14ac:dyDescent="0.25">
      <c r="A1951" s="14" t="s">
        <v>4884</v>
      </c>
      <c r="B1951" s="14" t="s">
        <v>4885</v>
      </c>
      <c r="C1951" s="14" t="s">
        <v>4886</v>
      </c>
      <c r="D1951" s="14" t="s">
        <v>4560</v>
      </c>
      <c r="E1951" s="15"/>
      <c r="F1951" s="14" t="s">
        <v>4561</v>
      </c>
      <c r="G1951" s="15"/>
      <c r="H1951" s="14" t="s">
        <v>4562</v>
      </c>
      <c r="I1951" s="14" t="s">
        <v>1262</v>
      </c>
      <c r="J1951" s="14" t="s">
        <v>1262</v>
      </c>
      <c r="K1951" s="14"/>
      <c r="L1951" s="14" t="s">
        <v>4883</v>
      </c>
      <c r="M1951" s="14" t="s">
        <v>4504</v>
      </c>
      <c r="N1951" s="14" t="s">
        <v>1219</v>
      </c>
      <c r="O1951" s="14" t="s">
        <v>1220</v>
      </c>
    </row>
    <row r="1952" spans="1:15" x14ac:dyDescent="0.25">
      <c r="A1952" s="14">
        <v>4831</v>
      </c>
      <c r="B1952" s="14" t="s">
        <v>231</v>
      </c>
      <c r="C1952" s="14" t="s">
        <v>4887</v>
      </c>
      <c r="D1952" s="14" t="s">
        <v>4568</v>
      </c>
      <c r="E1952" s="16">
        <v>50</v>
      </c>
      <c r="F1952" s="14" t="s">
        <v>4561</v>
      </c>
      <c r="G1952" s="16">
        <v>500</v>
      </c>
      <c r="H1952" s="14" t="s">
        <v>4569</v>
      </c>
      <c r="I1952" s="14" t="s">
        <v>1256</v>
      </c>
      <c r="J1952" s="14" t="s">
        <v>1233</v>
      </c>
      <c r="K1952" s="14" t="s">
        <v>1257</v>
      </c>
      <c r="L1952" s="14" t="s">
        <v>4888</v>
      </c>
      <c r="M1952" s="14" t="s">
        <v>4504</v>
      </c>
      <c r="N1952" s="14" t="s">
        <v>1237</v>
      </c>
      <c r="O1952" s="14" t="s">
        <v>1220</v>
      </c>
    </row>
    <row r="1953" spans="1:15" x14ac:dyDescent="0.25">
      <c r="A1953" s="14" t="s">
        <v>4889</v>
      </c>
      <c r="B1953" s="14" t="s">
        <v>4890</v>
      </c>
      <c r="C1953" s="14" t="s">
        <v>4891</v>
      </c>
      <c r="D1953" s="14" t="s">
        <v>4574</v>
      </c>
      <c r="E1953" s="15"/>
      <c r="F1953" s="14" t="s">
        <v>1350</v>
      </c>
      <c r="G1953" s="15"/>
      <c r="H1953" s="14" t="s">
        <v>4569</v>
      </c>
      <c r="I1953" s="14" t="s">
        <v>1262</v>
      </c>
      <c r="J1953" s="14" t="s">
        <v>1262</v>
      </c>
      <c r="K1953" s="14" t="s">
        <v>1257</v>
      </c>
      <c r="L1953" s="14" t="s">
        <v>4888</v>
      </c>
      <c r="M1953" s="14" t="s">
        <v>4504</v>
      </c>
      <c r="N1953" s="14" t="s">
        <v>1219</v>
      </c>
      <c r="O1953" s="14" t="s">
        <v>1220</v>
      </c>
    </row>
    <row r="1954" spans="1:15" x14ac:dyDescent="0.25">
      <c r="A1954" s="14">
        <v>1441</v>
      </c>
      <c r="B1954" s="14" t="s">
        <v>188</v>
      </c>
      <c r="C1954" s="14" t="s">
        <v>4892</v>
      </c>
      <c r="D1954" s="14" t="s">
        <v>4560</v>
      </c>
      <c r="E1954" s="16">
        <v>50</v>
      </c>
      <c r="F1954" s="14" t="s">
        <v>4561</v>
      </c>
      <c r="G1954" s="16">
        <v>500</v>
      </c>
      <c r="H1954" s="14" t="s">
        <v>4562</v>
      </c>
      <c r="I1954" s="14" t="s">
        <v>1256</v>
      </c>
      <c r="J1954" s="14" t="s">
        <v>1233</v>
      </c>
      <c r="K1954" s="14" t="s">
        <v>1257</v>
      </c>
      <c r="L1954" s="14" t="s">
        <v>4893</v>
      </c>
      <c r="M1954" s="14" t="s">
        <v>4504</v>
      </c>
      <c r="N1954" s="14" t="s">
        <v>1237</v>
      </c>
      <c r="O1954" s="14" t="s">
        <v>1220</v>
      </c>
    </row>
    <row r="1955" spans="1:15" x14ac:dyDescent="0.25">
      <c r="A1955" s="14" t="s">
        <v>4894</v>
      </c>
      <c r="B1955" s="14" t="s">
        <v>4895</v>
      </c>
      <c r="C1955" s="14" t="s">
        <v>4896</v>
      </c>
      <c r="D1955" s="14" t="s">
        <v>4560</v>
      </c>
      <c r="E1955" s="15"/>
      <c r="F1955" s="14" t="s">
        <v>4561</v>
      </c>
      <c r="G1955" s="15"/>
      <c r="H1955" s="14" t="s">
        <v>4562</v>
      </c>
      <c r="I1955" s="14" t="s">
        <v>1262</v>
      </c>
      <c r="J1955" s="14" t="s">
        <v>1262</v>
      </c>
      <c r="K1955" s="14"/>
      <c r="L1955" s="14" t="s">
        <v>4893</v>
      </c>
      <c r="M1955" s="14" t="s">
        <v>4504</v>
      </c>
      <c r="N1955" s="14" t="s">
        <v>1219</v>
      </c>
      <c r="O1955" s="14" t="s">
        <v>1220</v>
      </c>
    </row>
    <row r="1956" spans="1:15" x14ac:dyDescent="0.25">
      <c r="A1956" s="14">
        <v>4832</v>
      </c>
      <c r="B1956" s="14" t="s">
        <v>232</v>
      </c>
      <c r="C1956" s="14" t="s">
        <v>4897</v>
      </c>
      <c r="D1956" s="14" t="s">
        <v>4568</v>
      </c>
      <c r="E1956" s="16">
        <v>50</v>
      </c>
      <c r="F1956" s="14" t="s">
        <v>4561</v>
      </c>
      <c r="G1956" s="16">
        <v>500</v>
      </c>
      <c r="H1956" s="14" t="s">
        <v>4569</v>
      </c>
      <c r="I1956" s="14" t="s">
        <v>1256</v>
      </c>
      <c r="J1956" s="14" t="s">
        <v>1233</v>
      </c>
      <c r="K1956" s="14" t="s">
        <v>1257</v>
      </c>
      <c r="L1956" s="14" t="s">
        <v>4898</v>
      </c>
      <c r="M1956" s="14" t="s">
        <v>4504</v>
      </c>
      <c r="N1956" s="14" t="s">
        <v>1237</v>
      </c>
      <c r="O1956" s="14" t="s">
        <v>1220</v>
      </c>
    </row>
    <row r="1957" spans="1:15" x14ac:dyDescent="0.25">
      <c r="A1957" s="14" t="s">
        <v>4899</v>
      </c>
      <c r="B1957" s="14" t="s">
        <v>4900</v>
      </c>
      <c r="C1957" s="14" t="s">
        <v>4901</v>
      </c>
      <c r="D1957" s="14" t="s">
        <v>4574</v>
      </c>
      <c r="E1957" s="15"/>
      <c r="F1957" s="14" t="s">
        <v>1350</v>
      </c>
      <c r="G1957" s="15"/>
      <c r="H1957" s="14" t="s">
        <v>4569</v>
      </c>
      <c r="I1957" s="14" t="s">
        <v>1262</v>
      </c>
      <c r="J1957" s="14" t="s">
        <v>1262</v>
      </c>
      <c r="K1957" s="14" t="s">
        <v>1257</v>
      </c>
      <c r="L1957" s="14" t="s">
        <v>4898</v>
      </c>
      <c r="M1957" s="14" t="s">
        <v>4504</v>
      </c>
      <c r="N1957" s="14" t="s">
        <v>1219</v>
      </c>
      <c r="O1957" s="14" t="s">
        <v>1220</v>
      </c>
    </row>
    <row r="1958" spans="1:15" x14ac:dyDescent="0.25">
      <c r="A1958" s="14">
        <v>1442</v>
      </c>
      <c r="B1958" s="14" t="s">
        <v>189</v>
      </c>
      <c r="C1958" s="14" t="s">
        <v>4902</v>
      </c>
      <c r="D1958" s="14" t="s">
        <v>4560</v>
      </c>
      <c r="E1958" s="16">
        <v>50</v>
      </c>
      <c r="F1958" s="14" t="s">
        <v>4561</v>
      </c>
      <c r="G1958" s="16">
        <v>500</v>
      </c>
      <c r="H1958" s="14" t="s">
        <v>4562</v>
      </c>
      <c r="I1958" s="14" t="s">
        <v>1256</v>
      </c>
      <c r="J1958" s="14" t="s">
        <v>1233</v>
      </c>
      <c r="K1958" s="14" t="s">
        <v>1257</v>
      </c>
      <c r="L1958" s="14" t="s">
        <v>4903</v>
      </c>
      <c r="M1958" s="14" t="s">
        <v>4504</v>
      </c>
      <c r="N1958" s="14" t="s">
        <v>1237</v>
      </c>
      <c r="O1958" s="14" t="s">
        <v>1220</v>
      </c>
    </row>
    <row r="1959" spans="1:15" x14ac:dyDescent="0.25">
      <c r="A1959" s="14" t="s">
        <v>4904</v>
      </c>
      <c r="B1959" s="14" t="s">
        <v>4905</v>
      </c>
      <c r="C1959" s="14" t="s">
        <v>4906</v>
      </c>
      <c r="D1959" s="14" t="s">
        <v>4560</v>
      </c>
      <c r="E1959" s="15"/>
      <c r="F1959" s="14" t="s">
        <v>4561</v>
      </c>
      <c r="G1959" s="15"/>
      <c r="H1959" s="14" t="s">
        <v>4562</v>
      </c>
      <c r="I1959" s="14" t="s">
        <v>1262</v>
      </c>
      <c r="J1959" s="14" t="s">
        <v>1262</v>
      </c>
      <c r="K1959" s="14"/>
      <c r="L1959" s="14" t="s">
        <v>4903</v>
      </c>
      <c r="M1959" s="14" t="s">
        <v>4504</v>
      </c>
      <c r="N1959" s="14" t="s">
        <v>1219</v>
      </c>
      <c r="O1959" s="14" t="s">
        <v>1220</v>
      </c>
    </row>
    <row r="1960" spans="1:15" x14ac:dyDescent="0.25">
      <c r="A1960" s="14">
        <v>4833</v>
      </c>
      <c r="B1960" s="14" t="s">
        <v>233</v>
      </c>
      <c r="C1960" s="14" t="s">
        <v>4907</v>
      </c>
      <c r="D1960" s="14" t="s">
        <v>4568</v>
      </c>
      <c r="E1960" s="16">
        <v>50</v>
      </c>
      <c r="F1960" s="14" t="s">
        <v>4561</v>
      </c>
      <c r="G1960" s="16">
        <v>500</v>
      </c>
      <c r="H1960" s="14" t="s">
        <v>4569</v>
      </c>
      <c r="I1960" s="14" t="s">
        <v>1256</v>
      </c>
      <c r="J1960" s="14" t="s">
        <v>1233</v>
      </c>
      <c r="K1960" s="14" t="s">
        <v>1257</v>
      </c>
      <c r="L1960" s="14" t="s">
        <v>4908</v>
      </c>
      <c r="M1960" s="14" t="s">
        <v>4504</v>
      </c>
      <c r="N1960" s="14" t="s">
        <v>1237</v>
      </c>
      <c r="O1960" s="14" t="s">
        <v>1220</v>
      </c>
    </row>
    <row r="1961" spans="1:15" x14ac:dyDescent="0.25">
      <c r="A1961" s="14" t="s">
        <v>4909</v>
      </c>
      <c r="B1961" s="14" t="s">
        <v>4910</v>
      </c>
      <c r="C1961" s="14" t="s">
        <v>4911</v>
      </c>
      <c r="D1961" s="14" t="s">
        <v>4574</v>
      </c>
      <c r="E1961" s="15"/>
      <c r="F1961" s="14" t="s">
        <v>1350</v>
      </c>
      <c r="G1961" s="15"/>
      <c r="H1961" s="14" t="s">
        <v>4569</v>
      </c>
      <c r="I1961" s="14" t="s">
        <v>1262</v>
      </c>
      <c r="J1961" s="14" t="s">
        <v>1262</v>
      </c>
      <c r="K1961" s="14" t="s">
        <v>1257</v>
      </c>
      <c r="L1961" s="14" t="s">
        <v>4908</v>
      </c>
      <c r="M1961" s="14" t="s">
        <v>4504</v>
      </c>
      <c r="N1961" s="14" t="s">
        <v>1219</v>
      </c>
      <c r="O1961" s="14" t="s">
        <v>1220</v>
      </c>
    </row>
    <row r="1962" spans="1:15" x14ac:dyDescent="0.25">
      <c r="A1962" s="14">
        <v>1443</v>
      </c>
      <c r="B1962" s="14" t="s">
        <v>190</v>
      </c>
      <c r="C1962" s="14" t="s">
        <v>4912</v>
      </c>
      <c r="D1962" s="14" t="s">
        <v>4560</v>
      </c>
      <c r="E1962" s="16">
        <v>50</v>
      </c>
      <c r="F1962" s="14" t="s">
        <v>4561</v>
      </c>
      <c r="G1962" s="16">
        <v>500</v>
      </c>
      <c r="H1962" s="14" t="s">
        <v>4562</v>
      </c>
      <c r="I1962" s="14" t="s">
        <v>1256</v>
      </c>
      <c r="J1962" s="14" t="s">
        <v>1233</v>
      </c>
      <c r="K1962" s="14" t="s">
        <v>1257</v>
      </c>
      <c r="L1962" s="14" t="s">
        <v>4913</v>
      </c>
      <c r="M1962" s="14" t="s">
        <v>4504</v>
      </c>
      <c r="N1962" s="14" t="s">
        <v>1237</v>
      </c>
      <c r="O1962" s="14" t="s">
        <v>1220</v>
      </c>
    </row>
    <row r="1963" spans="1:15" x14ac:dyDescent="0.25">
      <c r="A1963" s="14" t="s">
        <v>4914</v>
      </c>
      <c r="B1963" s="14" t="s">
        <v>4915</v>
      </c>
      <c r="C1963" s="14" t="s">
        <v>4916</v>
      </c>
      <c r="D1963" s="14" t="s">
        <v>4560</v>
      </c>
      <c r="E1963" s="15"/>
      <c r="F1963" s="14" t="s">
        <v>4561</v>
      </c>
      <c r="G1963" s="15"/>
      <c r="H1963" s="14" t="s">
        <v>4562</v>
      </c>
      <c r="I1963" s="14" t="s">
        <v>1262</v>
      </c>
      <c r="J1963" s="14" t="s">
        <v>1262</v>
      </c>
      <c r="K1963" s="14"/>
      <c r="L1963" s="14" t="s">
        <v>4913</v>
      </c>
      <c r="M1963" s="14" t="s">
        <v>4504</v>
      </c>
      <c r="N1963" s="14" t="s">
        <v>1219</v>
      </c>
      <c r="O1963" s="14" t="s">
        <v>1220</v>
      </c>
    </row>
    <row r="1964" spans="1:15" x14ac:dyDescent="0.25">
      <c r="A1964" s="14">
        <v>4834</v>
      </c>
      <c r="B1964" s="14" t="s">
        <v>234</v>
      </c>
      <c r="C1964" s="14" t="s">
        <v>4917</v>
      </c>
      <c r="D1964" s="14" t="s">
        <v>4568</v>
      </c>
      <c r="E1964" s="16">
        <v>25</v>
      </c>
      <c r="F1964" s="14" t="s">
        <v>4561</v>
      </c>
      <c r="G1964" s="16">
        <v>250</v>
      </c>
      <c r="H1964" s="14" t="s">
        <v>4569</v>
      </c>
      <c r="I1964" s="14" t="s">
        <v>1256</v>
      </c>
      <c r="J1964" s="14" t="s">
        <v>1233</v>
      </c>
      <c r="K1964" s="14" t="s">
        <v>1257</v>
      </c>
      <c r="L1964" s="14" t="s">
        <v>4918</v>
      </c>
      <c r="M1964" s="14" t="s">
        <v>4504</v>
      </c>
      <c r="N1964" s="14" t="s">
        <v>1237</v>
      </c>
      <c r="O1964" s="14" t="s">
        <v>1220</v>
      </c>
    </row>
    <row r="1965" spans="1:15" x14ac:dyDescent="0.25">
      <c r="A1965" s="14" t="s">
        <v>4919</v>
      </c>
      <c r="B1965" s="14" t="s">
        <v>4920</v>
      </c>
      <c r="C1965" s="14" t="s">
        <v>4921</v>
      </c>
      <c r="D1965" s="14" t="s">
        <v>4574</v>
      </c>
      <c r="E1965" s="15"/>
      <c r="F1965" s="14" t="s">
        <v>1350</v>
      </c>
      <c r="G1965" s="15"/>
      <c r="H1965" s="14" t="s">
        <v>4569</v>
      </c>
      <c r="I1965" s="14" t="s">
        <v>1262</v>
      </c>
      <c r="J1965" s="14" t="s">
        <v>1262</v>
      </c>
      <c r="K1965" s="14" t="s">
        <v>1257</v>
      </c>
      <c r="L1965" s="14" t="s">
        <v>4918</v>
      </c>
      <c r="M1965" s="14" t="s">
        <v>4504</v>
      </c>
      <c r="N1965" s="14" t="s">
        <v>1219</v>
      </c>
      <c r="O1965" s="14" t="s">
        <v>1220</v>
      </c>
    </row>
    <row r="1966" spans="1:15" x14ac:dyDescent="0.25">
      <c r="A1966" s="14">
        <v>1444</v>
      </c>
      <c r="B1966" s="14" t="s">
        <v>191</v>
      </c>
      <c r="C1966" s="14" t="s">
        <v>4922</v>
      </c>
      <c r="D1966" s="14" t="s">
        <v>4560</v>
      </c>
      <c r="E1966" s="16">
        <v>25</v>
      </c>
      <c r="F1966" s="14" t="s">
        <v>4561</v>
      </c>
      <c r="G1966" s="16">
        <v>250</v>
      </c>
      <c r="H1966" s="14" t="s">
        <v>4562</v>
      </c>
      <c r="I1966" s="14" t="s">
        <v>1256</v>
      </c>
      <c r="J1966" s="14" t="s">
        <v>1233</v>
      </c>
      <c r="K1966" s="14" t="s">
        <v>1257</v>
      </c>
      <c r="L1966" s="14" t="s">
        <v>4923</v>
      </c>
      <c r="M1966" s="14" t="s">
        <v>4504</v>
      </c>
      <c r="N1966" s="14" t="s">
        <v>1237</v>
      </c>
      <c r="O1966" s="14" t="s">
        <v>1220</v>
      </c>
    </row>
    <row r="1967" spans="1:15" x14ac:dyDescent="0.25">
      <c r="A1967" s="14" t="s">
        <v>4924</v>
      </c>
      <c r="B1967" s="14" t="s">
        <v>4925</v>
      </c>
      <c r="C1967" s="14" t="s">
        <v>4926</v>
      </c>
      <c r="D1967" s="14" t="s">
        <v>4560</v>
      </c>
      <c r="E1967" s="15"/>
      <c r="F1967" s="14" t="s">
        <v>4561</v>
      </c>
      <c r="G1967" s="15"/>
      <c r="H1967" s="14" t="s">
        <v>4562</v>
      </c>
      <c r="I1967" s="14" t="s">
        <v>1262</v>
      </c>
      <c r="J1967" s="14" t="s">
        <v>1262</v>
      </c>
      <c r="K1967" s="14"/>
      <c r="L1967" s="14" t="s">
        <v>4923</v>
      </c>
      <c r="M1967" s="14" t="s">
        <v>4504</v>
      </c>
      <c r="N1967" s="14" t="s">
        <v>1219</v>
      </c>
      <c r="O1967" s="14" t="s">
        <v>1220</v>
      </c>
    </row>
    <row r="1968" spans="1:15" x14ac:dyDescent="0.25">
      <c r="A1968" s="14">
        <v>4854</v>
      </c>
      <c r="B1968" s="14" t="s">
        <v>4927</v>
      </c>
      <c r="C1968" s="14" t="s">
        <v>4928</v>
      </c>
      <c r="D1968" s="14" t="s">
        <v>4568</v>
      </c>
      <c r="E1968" s="15"/>
      <c r="F1968" s="14" t="s">
        <v>4561</v>
      </c>
      <c r="G1968" s="15"/>
      <c r="H1968" s="14" t="s">
        <v>4569</v>
      </c>
      <c r="I1968" s="14" t="s">
        <v>1217</v>
      </c>
      <c r="J1968" s="14" t="s">
        <v>1242</v>
      </c>
      <c r="K1968" s="14" t="s">
        <v>1257</v>
      </c>
      <c r="L1968" s="14" t="s">
        <v>4929</v>
      </c>
      <c r="M1968" s="14" t="s">
        <v>4504</v>
      </c>
      <c r="N1968" s="14" t="s">
        <v>1219</v>
      </c>
      <c r="O1968" s="14" t="s">
        <v>1220</v>
      </c>
    </row>
    <row r="1969" spans="1:15" x14ac:dyDescent="0.25">
      <c r="A1969" s="14">
        <v>4855</v>
      </c>
      <c r="B1969" s="14" t="s">
        <v>4930</v>
      </c>
      <c r="C1969" s="14" t="s">
        <v>4931</v>
      </c>
      <c r="D1969" s="14" t="s">
        <v>4568</v>
      </c>
      <c r="E1969" s="15"/>
      <c r="F1969" s="14" t="s">
        <v>4561</v>
      </c>
      <c r="G1969" s="15"/>
      <c r="H1969" s="14" t="s">
        <v>4569</v>
      </c>
      <c r="I1969" s="14" t="s">
        <v>1217</v>
      </c>
      <c r="J1969" s="14" t="s">
        <v>1296</v>
      </c>
      <c r="K1969" s="14" t="s">
        <v>1257</v>
      </c>
      <c r="L1969" s="14" t="s">
        <v>4932</v>
      </c>
      <c r="M1969" s="14" t="s">
        <v>4504</v>
      </c>
      <c r="N1969" s="14" t="s">
        <v>1219</v>
      </c>
      <c r="O1969" s="14" t="s">
        <v>1220</v>
      </c>
    </row>
    <row r="1970" spans="1:15" x14ac:dyDescent="0.25">
      <c r="A1970" s="14">
        <v>4856</v>
      </c>
      <c r="B1970" s="14" t="s">
        <v>4933</v>
      </c>
      <c r="C1970" s="14" t="s">
        <v>4934</v>
      </c>
      <c r="D1970" s="14" t="s">
        <v>4568</v>
      </c>
      <c r="E1970" s="15"/>
      <c r="F1970" s="14" t="s">
        <v>4561</v>
      </c>
      <c r="G1970" s="15"/>
      <c r="H1970" s="14" t="s">
        <v>4569</v>
      </c>
      <c r="I1970" s="14" t="s">
        <v>1217</v>
      </c>
      <c r="J1970" s="14" t="s">
        <v>1296</v>
      </c>
      <c r="K1970" s="14" t="s">
        <v>1257</v>
      </c>
      <c r="L1970" s="14" t="s">
        <v>4935</v>
      </c>
      <c r="M1970" s="14" t="s">
        <v>4504</v>
      </c>
      <c r="N1970" s="14" t="s">
        <v>1219</v>
      </c>
      <c r="O1970" s="14" t="s">
        <v>1220</v>
      </c>
    </row>
    <row r="1971" spans="1:15" x14ac:dyDescent="0.25">
      <c r="A1971" s="14">
        <v>4857</v>
      </c>
      <c r="B1971" s="14" t="s">
        <v>4936</v>
      </c>
      <c r="C1971" s="14" t="s">
        <v>4937</v>
      </c>
      <c r="D1971" s="14" t="s">
        <v>4568</v>
      </c>
      <c r="E1971" s="15"/>
      <c r="F1971" s="14" t="s">
        <v>1350</v>
      </c>
      <c r="G1971" s="15"/>
      <c r="H1971" s="14" t="s">
        <v>4569</v>
      </c>
      <c r="I1971" s="14" t="s">
        <v>1217</v>
      </c>
      <c r="J1971" s="14" t="s">
        <v>1296</v>
      </c>
      <c r="K1971" s="14" t="s">
        <v>1257</v>
      </c>
      <c r="L1971" s="14" t="s">
        <v>4938</v>
      </c>
      <c r="M1971" s="14" t="s">
        <v>4504</v>
      </c>
      <c r="N1971" s="14" t="s">
        <v>1219</v>
      </c>
      <c r="O1971" s="14" t="s">
        <v>1220</v>
      </c>
    </row>
    <row r="1972" spans="1:15" x14ac:dyDescent="0.25">
      <c r="A1972" s="14">
        <v>4849</v>
      </c>
      <c r="B1972" s="14" t="s">
        <v>4939</v>
      </c>
      <c r="C1972" s="14" t="s">
        <v>4940</v>
      </c>
      <c r="D1972" s="14" t="s">
        <v>4568</v>
      </c>
      <c r="E1972" s="15"/>
      <c r="F1972" s="14" t="s">
        <v>4561</v>
      </c>
      <c r="G1972" s="15"/>
      <c r="H1972" s="14" t="s">
        <v>4569</v>
      </c>
      <c r="I1972" s="14" t="s">
        <v>1217</v>
      </c>
      <c r="J1972" s="14" t="s">
        <v>1296</v>
      </c>
      <c r="K1972" s="14" t="s">
        <v>1257</v>
      </c>
      <c r="L1972" s="14" t="s">
        <v>4941</v>
      </c>
      <c r="M1972" s="14" t="s">
        <v>4504</v>
      </c>
      <c r="N1972" s="14" t="s">
        <v>1219</v>
      </c>
      <c r="O1972" s="14" t="s">
        <v>1220</v>
      </c>
    </row>
    <row r="1973" spans="1:15" x14ac:dyDescent="0.25">
      <c r="A1973" s="14">
        <v>4850</v>
      </c>
      <c r="B1973" s="14" t="s">
        <v>4942</v>
      </c>
      <c r="C1973" s="14" t="s">
        <v>4943</v>
      </c>
      <c r="D1973" s="14" t="s">
        <v>4568</v>
      </c>
      <c r="E1973" s="15"/>
      <c r="F1973" s="14" t="s">
        <v>4561</v>
      </c>
      <c r="G1973" s="15"/>
      <c r="H1973" s="14" t="s">
        <v>4569</v>
      </c>
      <c r="I1973" s="14" t="s">
        <v>1217</v>
      </c>
      <c r="J1973" s="14" t="s">
        <v>1296</v>
      </c>
      <c r="K1973" s="14"/>
      <c r="L1973" s="14" t="s">
        <v>4944</v>
      </c>
      <c r="M1973" s="14" t="s">
        <v>4504</v>
      </c>
      <c r="N1973" s="14" t="s">
        <v>1219</v>
      </c>
      <c r="O1973" s="14" t="s">
        <v>1220</v>
      </c>
    </row>
    <row r="1974" spans="1:15" x14ac:dyDescent="0.25">
      <c r="A1974" s="14">
        <v>4851</v>
      </c>
      <c r="B1974" s="14" t="s">
        <v>4945</v>
      </c>
      <c r="C1974" s="14" t="s">
        <v>4946</v>
      </c>
      <c r="D1974" s="14" t="s">
        <v>4568</v>
      </c>
      <c r="E1974" s="15"/>
      <c r="F1974" s="14" t="s">
        <v>4561</v>
      </c>
      <c r="G1974" s="15"/>
      <c r="H1974" s="14" t="s">
        <v>4569</v>
      </c>
      <c r="I1974" s="14" t="s">
        <v>1217</v>
      </c>
      <c r="J1974" s="14" t="s">
        <v>1296</v>
      </c>
      <c r="K1974" s="14" t="s">
        <v>1257</v>
      </c>
      <c r="L1974" s="14" t="s">
        <v>4947</v>
      </c>
      <c r="M1974" s="14" t="s">
        <v>4504</v>
      </c>
      <c r="N1974" s="14" t="s">
        <v>1219</v>
      </c>
      <c r="O1974" s="14" t="s">
        <v>1220</v>
      </c>
    </row>
    <row r="1975" spans="1:15" x14ac:dyDescent="0.25">
      <c r="A1975" s="14">
        <v>4852</v>
      </c>
      <c r="B1975" s="14" t="s">
        <v>4948</v>
      </c>
      <c r="C1975" s="14" t="s">
        <v>4949</v>
      </c>
      <c r="D1975" s="14" t="s">
        <v>4568</v>
      </c>
      <c r="E1975" s="15"/>
      <c r="F1975" s="14" t="s">
        <v>4561</v>
      </c>
      <c r="G1975" s="15"/>
      <c r="H1975" s="14" t="s">
        <v>4569</v>
      </c>
      <c r="I1975" s="14" t="s">
        <v>1217</v>
      </c>
      <c r="J1975" s="14" t="s">
        <v>1296</v>
      </c>
      <c r="K1975" s="14"/>
      <c r="L1975" s="14" t="s">
        <v>4950</v>
      </c>
      <c r="M1975" s="14" t="s">
        <v>4504</v>
      </c>
      <c r="N1975" s="14" t="s">
        <v>1219</v>
      </c>
      <c r="O1975" s="14" t="s">
        <v>1220</v>
      </c>
    </row>
    <row r="1976" spans="1:15" x14ac:dyDescent="0.25">
      <c r="A1976" s="14">
        <v>4853</v>
      </c>
      <c r="B1976" s="14" t="s">
        <v>4951</v>
      </c>
      <c r="C1976" s="14" t="s">
        <v>4952</v>
      </c>
      <c r="D1976" s="14" t="s">
        <v>4568</v>
      </c>
      <c r="E1976" s="15"/>
      <c r="F1976" s="14" t="s">
        <v>4561</v>
      </c>
      <c r="G1976" s="15"/>
      <c r="H1976" s="14" t="s">
        <v>4569</v>
      </c>
      <c r="I1976" s="14" t="s">
        <v>1217</v>
      </c>
      <c r="J1976" s="14" t="s">
        <v>1242</v>
      </c>
      <c r="K1976" s="14"/>
      <c r="L1976" s="14" t="s">
        <v>4953</v>
      </c>
      <c r="M1976" s="14" t="s">
        <v>4504</v>
      </c>
      <c r="N1976" s="14" t="s">
        <v>1219</v>
      </c>
      <c r="O1976" s="14" t="s">
        <v>1220</v>
      </c>
    </row>
    <row r="1977" spans="1:15" x14ac:dyDescent="0.25">
      <c r="A1977" s="14">
        <v>4845</v>
      </c>
      <c r="B1977" s="14" t="s">
        <v>4954</v>
      </c>
      <c r="C1977" s="14" t="s">
        <v>4955</v>
      </c>
      <c r="D1977" s="14" t="s">
        <v>4568</v>
      </c>
      <c r="E1977" s="15"/>
      <c r="F1977" s="14" t="s">
        <v>4561</v>
      </c>
      <c r="G1977" s="15"/>
      <c r="H1977" s="14" t="s">
        <v>4569</v>
      </c>
      <c r="I1977" s="14" t="s">
        <v>1217</v>
      </c>
      <c r="J1977" s="14" t="s">
        <v>1242</v>
      </c>
      <c r="K1977" s="14" t="s">
        <v>1257</v>
      </c>
      <c r="L1977" s="14" t="s">
        <v>4956</v>
      </c>
      <c r="M1977" s="14" t="s">
        <v>4504</v>
      </c>
      <c r="N1977" s="14" t="s">
        <v>1219</v>
      </c>
      <c r="O1977" s="14" t="s">
        <v>1220</v>
      </c>
    </row>
    <row r="1978" spans="1:15" x14ac:dyDescent="0.25">
      <c r="A1978" s="14">
        <v>4846</v>
      </c>
      <c r="B1978" s="14" t="s">
        <v>4957</v>
      </c>
      <c r="C1978" s="14" t="s">
        <v>4958</v>
      </c>
      <c r="D1978" s="14" t="s">
        <v>1349</v>
      </c>
      <c r="E1978" s="15"/>
      <c r="F1978" s="14"/>
      <c r="G1978" s="15"/>
      <c r="H1978" s="14" t="s">
        <v>4569</v>
      </c>
      <c r="I1978" s="14" t="s">
        <v>1360</v>
      </c>
      <c r="J1978" s="14" t="s">
        <v>1360</v>
      </c>
      <c r="K1978" s="14"/>
      <c r="L1978" s="14" t="s">
        <v>4959</v>
      </c>
      <c r="M1978" s="14" t="s">
        <v>4504</v>
      </c>
      <c r="N1978" s="14" t="s">
        <v>1219</v>
      </c>
      <c r="O1978" s="14" t="s">
        <v>1220</v>
      </c>
    </row>
    <row r="1979" spans="1:15" x14ac:dyDescent="0.25">
      <c r="A1979" s="14">
        <v>4847</v>
      </c>
      <c r="B1979" s="14" t="s">
        <v>4960</v>
      </c>
      <c r="C1979" s="14" t="s">
        <v>4961</v>
      </c>
      <c r="D1979" s="14" t="s">
        <v>4568</v>
      </c>
      <c r="E1979" s="15"/>
      <c r="F1979" s="14" t="s">
        <v>4561</v>
      </c>
      <c r="G1979" s="15"/>
      <c r="H1979" s="14" t="s">
        <v>4569</v>
      </c>
      <c r="I1979" s="14" t="s">
        <v>1217</v>
      </c>
      <c r="J1979" s="14" t="s">
        <v>1296</v>
      </c>
      <c r="K1979" s="14"/>
      <c r="L1979" s="14" t="s">
        <v>4962</v>
      </c>
      <c r="M1979" s="14" t="s">
        <v>4504</v>
      </c>
      <c r="N1979" s="14" t="s">
        <v>1219</v>
      </c>
      <c r="O1979" s="14" t="s">
        <v>1220</v>
      </c>
    </row>
    <row r="1980" spans="1:15" x14ac:dyDescent="0.25">
      <c r="A1980" s="14">
        <v>4848</v>
      </c>
      <c r="B1980" s="14" t="s">
        <v>4963</v>
      </c>
      <c r="C1980" s="14" t="s">
        <v>4964</v>
      </c>
      <c r="D1980" s="14" t="s">
        <v>4568</v>
      </c>
      <c r="E1980" s="15"/>
      <c r="F1980" s="14" t="s">
        <v>4561</v>
      </c>
      <c r="G1980" s="15"/>
      <c r="H1980" s="14" t="s">
        <v>4569</v>
      </c>
      <c r="I1980" s="14" t="s">
        <v>1217</v>
      </c>
      <c r="J1980" s="14" t="s">
        <v>1296</v>
      </c>
      <c r="K1980" s="14" t="s">
        <v>1257</v>
      </c>
      <c r="L1980" s="14" t="s">
        <v>4965</v>
      </c>
      <c r="M1980" s="14" t="s">
        <v>4504</v>
      </c>
      <c r="N1980" s="14" t="s">
        <v>1219</v>
      </c>
      <c r="O1980" s="14" t="s">
        <v>1220</v>
      </c>
    </row>
    <row r="1981" spans="1:15" x14ac:dyDescent="0.25">
      <c r="A1981" s="14">
        <v>4841</v>
      </c>
      <c r="B1981" s="14" t="s">
        <v>4966</v>
      </c>
      <c r="C1981" s="14" t="s">
        <v>4967</v>
      </c>
      <c r="D1981" s="14" t="s">
        <v>4568</v>
      </c>
      <c r="E1981" s="15"/>
      <c r="F1981" s="14" t="s">
        <v>4561</v>
      </c>
      <c r="G1981" s="15"/>
      <c r="H1981" s="14" t="s">
        <v>4569</v>
      </c>
      <c r="I1981" s="14" t="s">
        <v>1217</v>
      </c>
      <c r="J1981" s="14" t="s">
        <v>1296</v>
      </c>
      <c r="K1981" s="14"/>
      <c r="L1981" s="14" t="s">
        <v>4968</v>
      </c>
      <c r="M1981" s="14" t="s">
        <v>4504</v>
      </c>
      <c r="N1981" s="14" t="s">
        <v>1219</v>
      </c>
      <c r="O1981" s="14" t="s">
        <v>1220</v>
      </c>
    </row>
    <row r="1982" spans="1:15" x14ac:dyDescent="0.25">
      <c r="A1982" s="14">
        <v>4842</v>
      </c>
      <c r="B1982" s="14" t="s">
        <v>4969</v>
      </c>
      <c r="C1982" s="14" t="s">
        <v>4970</v>
      </c>
      <c r="D1982" s="14" t="s">
        <v>4568</v>
      </c>
      <c r="E1982" s="15"/>
      <c r="F1982" s="14" t="s">
        <v>4561</v>
      </c>
      <c r="G1982" s="15"/>
      <c r="H1982" s="14" t="s">
        <v>4569</v>
      </c>
      <c r="I1982" s="14" t="s">
        <v>1217</v>
      </c>
      <c r="J1982" s="14" t="s">
        <v>1296</v>
      </c>
      <c r="K1982" s="14" t="s">
        <v>1257</v>
      </c>
      <c r="L1982" s="14" t="s">
        <v>4971</v>
      </c>
      <c r="M1982" s="14" t="s">
        <v>4504</v>
      </c>
      <c r="N1982" s="14" t="s">
        <v>1219</v>
      </c>
      <c r="O1982" s="14" t="s">
        <v>1220</v>
      </c>
    </row>
    <row r="1983" spans="1:15" x14ac:dyDescent="0.25">
      <c r="A1983" s="14">
        <v>4843</v>
      </c>
      <c r="B1983" s="14" t="s">
        <v>4972</v>
      </c>
      <c r="C1983" s="14" t="s">
        <v>4973</v>
      </c>
      <c r="D1983" s="14" t="s">
        <v>4568</v>
      </c>
      <c r="E1983" s="15"/>
      <c r="F1983" s="14" t="s">
        <v>4561</v>
      </c>
      <c r="G1983" s="15"/>
      <c r="H1983" s="14" t="s">
        <v>4569</v>
      </c>
      <c r="I1983" s="14" t="s">
        <v>1217</v>
      </c>
      <c r="J1983" s="14" t="s">
        <v>1242</v>
      </c>
      <c r="K1983" s="14"/>
      <c r="L1983" s="14" t="s">
        <v>4974</v>
      </c>
      <c r="M1983" s="14" t="s">
        <v>4504</v>
      </c>
      <c r="N1983" s="14" t="s">
        <v>1219</v>
      </c>
      <c r="O1983" s="14" t="s">
        <v>1220</v>
      </c>
    </row>
    <row r="1984" spans="1:15" x14ac:dyDescent="0.25">
      <c r="A1984" s="14">
        <v>4844</v>
      </c>
      <c r="B1984" s="14" t="s">
        <v>4975</v>
      </c>
      <c r="C1984" s="14" t="s">
        <v>4976</v>
      </c>
      <c r="D1984" s="14" t="s">
        <v>4568</v>
      </c>
      <c r="E1984" s="15"/>
      <c r="F1984" s="14" t="s">
        <v>4561</v>
      </c>
      <c r="G1984" s="15"/>
      <c r="H1984" s="14" t="s">
        <v>4569</v>
      </c>
      <c r="I1984" s="14" t="s">
        <v>1217</v>
      </c>
      <c r="J1984" s="14" t="s">
        <v>1242</v>
      </c>
      <c r="K1984" s="14"/>
      <c r="L1984" s="14" t="s">
        <v>4977</v>
      </c>
      <c r="M1984" s="14" t="s">
        <v>4504</v>
      </c>
      <c r="N1984" s="14" t="s">
        <v>1219</v>
      </c>
      <c r="O1984" s="14" t="s">
        <v>1220</v>
      </c>
    </row>
    <row r="1985" spans="1:15" x14ac:dyDescent="0.25">
      <c r="A1985" s="14">
        <v>4840</v>
      </c>
      <c r="B1985" s="14" t="s">
        <v>4978</v>
      </c>
      <c r="C1985" s="14" t="s">
        <v>4978</v>
      </c>
      <c r="D1985" s="14" t="s">
        <v>4568</v>
      </c>
      <c r="E1985" s="15"/>
      <c r="F1985" s="14" t="s">
        <v>4561</v>
      </c>
      <c r="G1985" s="15"/>
      <c r="H1985" s="14" t="s">
        <v>4569</v>
      </c>
      <c r="I1985" s="14" t="s">
        <v>1217</v>
      </c>
      <c r="J1985" s="14" t="s">
        <v>1296</v>
      </c>
      <c r="K1985" s="14"/>
      <c r="L1985" s="14" t="s">
        <v>4979</v>
      </c>
      <c r="M1985" s="14" t="s">
        <v>4504</v>
      </c>
      <c r="N1985" s="14" t="s">
        <v>1219</v>
      </c>
      <c r="O1985" s="14" t="s">
        <v>1220</v>
      </c>
    </row>
    <row r="1986" spans="1:15" x14ac:dyDescent="0.25">
      <c r="A1986" s="14">
        <v>7052</v>
      </c>
      <c r="B1986" s="14" t="s">
        <v>4980</v>
      </c>
      <c r="C1986" s="14" t="s">
        <v>4980</v>
      </c>
      <c r="D1986" s="14" t="s">
        <v>4981</v>
      </c>
      <c r="E1986" s="16">
        <v>200</v>
      </c>
      <c r="F1986" s="14" t="s">
        <v>1638</v>
      </c>
      <c r="G1986" s="16">
        <v>200</v>
      </c>
      <c r="H1986" s="14" t="s">
        <v>4982</v>
      </c>
      <c r="I1986" s="14" t="s">
        <v>1256</v>
      </c>
      <c r="J1986" s="14" t="s">
        <v>1296</v>
      </c>
      <c r="K1986" s="14" t="s">
        <v>4502</v>
      </c>
      <c r="L1986" s="14" t="s">
        <v>4983</v>
      </c>
      <c r="M1986" s="14" t="s">
        <v>3330</v>
      </c>
      <c r="N1986" s="14" t="s">
        <v>1237</v>
      </c>
      <c r="O1986" s="14" t="s">
        <v>1220</v>
      </c>
    </row>
    <row r="1987" spans="1:15" x14ac:dyDescent="0.25">
      <c r="A1987" s="14">
        <v>7053</v>
      </c>
      <c r="B1987" s="14" t="s">
        <v>4984</v>
      </c>
      <c r="C1987" s="14" t="s">
        <v>4984</v>
      </c>
      <c r="D1987" s="14" t="s">
        <v>4981</v>
      </c>
      <c r="E1987" s="16">
        <v>180</v>
      </c>
      <c r="F1987" s="14" t="s">
        <v>1638</v>
      </c>
      <c r="G1987" s="16">
        <v>180</v>
      </c>
      <c r="H1987" s="14" t="s">
        <v>4982</v>
      </c>
      <c r="I1987" s="14" t="s">
        <v>1256</v>
      </c>
      <c r="J1987" s="14" t="s">
        <v>1296</v>
      </c>
      <c r="K1987" s="14" t="s">
        <v>4502</v>
      </c>
      <c r="L1987" s="14" t="s">
        <v>4985</v>
      </c>
      <c r="M1987" s="14" t="s">
        <v>3330</v>
      </c>
      <c r="N1987" s="14" t="s">
        <v>1237</v>
      </c>
      <c r="O1987" s="14" t="s">
        <v>1220</v>
      </c>
    </row>
    <row r="1988" spans="1:15" x14ac:dyDescent="0.25">
      <c r="A1988" s="14">
        <v>7054</v>
      </c>
      <c r="B1988" s="14" t="s">
        <v>4986</v>
      </c>
      <c r="C1988" s="14" t="s">
        <v>4986</v>
      </c>
      <c r="D1988" s="14" t="s">
        <v>4981</v>
      </c>
      <c r="E1988" s="16">
        <v>160</v>
      </c>
      <c r="F1988" s="14" t="s">
        <v>1638</v>
      </c>
      <c r="G1988" s="16">
        <v>160</v>
      </c>
      <c r="H1988" s="14" t="s">
        <v>4982</v>
      </c>
      <c r="I1988" s="14" t="s">
        <v>1256</v>
      </c>
      <c r="J1988" s="14" t="s">
        <v>1296</v>
      </c>
      <c r="K1988" s="14" t="s">
        <v>4502</v>
      </c>
      <c r="L1988" s="14" t="s">
        <v>4987</v>
      </c>
      <c r="M1988" s="14" t="s">
        <v>3330</v>
      </c>
      <c r="N1988" s="14" t="s">
        <v>1237</v>
      </c>
      <c r="O1988" s="14" t="s">
        <v>1220</v>
      </c>
    </row>
    <row r="1989" spans="1:15" x14ac:dyDescent="0.25">
      <c r="A1989" s="14">
        <v>7055</v>
      </c>
      <c r="B1989" s="14" t="s">
        <v>4988</v>
      </c>
      <c r="C1989" s="14" t="s">
        <v>4988</v>
      </c>
      <c r="D1989" s="14" t="s">
        <v>4981</v>
      </c>
      <c r="E1989" s="16">
        <v>120</v>
      </c>
      <c r="F1989" s="14" t="s">
        <v>1638</v>
      </c>
      <c r="G1989" s="16">
        <v>120</v>
      </c>
      <c r="H1989" s="14" t="s">
        <v>4982</v>
      </c>
      <c r="I1989" s="14" t="s">
        <v>1256</v>
      </c>
      <c r="J1989" s="14" t="s">
        <v>1296</v>
      </c>
      <c r="K1989" s="14" t="s">
        <v>4502</v>
      </c>
      <c r="L1989" s="14" t="s">
        <v>4989</v>
      </c>
      <c r="M1989" s="14" t="s">
        <v>3330</v>
      </c>
      <c r="N1989" s="14" t="s">
        <v>1237</v>
      </c>
      <c r="O1989" s="14" t="s">
        <v>1220</v>
      </c>
    </row>
    <row r="1990" spans="1:15" x14ac:dyDescent="0.25">
      <c r="A1990" s="14">
        <v>7056</v>
      </c>
      <c r="B1990" s="14" t="s">
        <v>4990</v>
      </c>
      <c r="C1990" s="14" t="s">
        <v>4990</v>
      </c>
      <c r="D1990" s="14" t="s">
        <v>4981</v>
      </c>
      <c r="E1990" s="16">
        <v>100</v>
      </c>
      <c r="F1990" s="14" t="s">
        <v>1638</v>
      </c>
      <c r="G1990" s="16">
        <v>100</v>
      </c>
      <c r="H1990" s="14" t="s">
        <v>4982</v>
      </c>
      <c r="I1990" s="14" t="s">
        <v>1256</v>
      </c>
      <c r="J1990" s="14" t="s">
        <v>1242</v>
      </c>
      <c r="K1990" s="14" t="s">
        <v>4502</v>
      </c>
      <c r="L1990" s="14" t="s">
        <v>4991</v>
      </c>
      <c r="M1990" s="14" t="s">
        <v>3330</v>
      </c>
      <c r="N1990" s="14" t="s">
        <v>1237</v>
      </c>
      <c r="O1990" s="14" t="s">
        <v>1220</v>
      </c>
    </row>
    <row r="1991" spans="1:15" x14ac:dyDescent="0.25">
      <c r="A1991" s="14">
        <v>7057</v>
      </c>
      <c r="B1991" s="14" t="s">
        <v>129</v>
      </c>
      <c r="C1991" s="14" t="s">
        <v>129</v>
      </c>
      <c r="D1991" s="14" t="s">
        <v>4981</v>
      </c>
      <c r="E1991" s="16">
        <v>80</v>
      </c>
      <c r="F1991" s="14" t="s">
        <v>1638</v>
      </c>
      <c r="G1991" s="16">
        <v>80</v>
      </c>
      <c r="H1991" s="14" t="s">
        <v>4982</v>
      </c>
      <c r="I1991" s="14" t="s">
        <v>1256</v>
      </c>
      <c r="J1991" s="14" t="s">
        <v>1233</v>
      </c>
      <c r="K1991" s="14" t="s">
        <v>4502</v>
      </c>
      <c r="L1991" s="14" t="s">
        <v>4992</v>
      </c>
      <c r="M1991" s="14" t="s">
        <v>3330</v>
      </c>
      <c r="N1991" s="14" t="s">
        <v>1237</v>
      </c>
      <c r="O1991" s="14" t="s">
        <v>1220</v>
      </c>
    </row>
    <row r="1992" spans="1:15" x14ac:dyDescent="0.25">
      <c r="A1992" s="14">
        <v>7058</v>
      </c>
      <c r="B1992" s="14" t="s">
        <v>130</v>
      </c>
      <c r="C1992" s="14" t="s">
        <v>130</v>
      </c>
      <c r="D1992" s="14" t="s">
        <v>4981</v>
      </c>
      <c r="E1992" s="16">
        <v>65</v>
      </c>
      <c r="F1992" s="14" t="s">
        <v>1638</v>
      </c>
      <c r="G1992" s="16">
        <v>65</v>
      </c>
      <c r="H1992" s="14" t="s">
        <v>4982</v>
      </c>
      <c r="I1992" s="14" t="s">
        <v>1256</v>
      </c>
      <c r="J1992" s="14" t="s">
        <v>1242</v>
      </c>
      <c r="K1992" s="14" t="s">
        <v>4502</v>
      </c>
      <c r="L1992" s="14" t="s">
        <v>4993</v>
      </c>
      <c r="M1992" s="14" t="s">
        <v>3330</v>
      </c>
      <c r="N1992" s="14" t="s">
        <v>1237</v>
      </c>
      <c r="O1992" s="14" t="s">
        <v>1220</v>
      </c>
    </row>
    <row r="1993" spans="1:15" x14ac:dyDescent="0.25">
      <c r="A1993" s="14">
        <v>7059</v>
      </c>
      <c r="B1993" s="14" t="s">
        <v>131</v>
      </c>
      <c r="C1993" s="14" t="s">
        <v>131</v>
      </c>
      <c r="D1993" s="14" t="s">
        <v>4981</v>
      </c>
      <c r="E1993" s="16">
        <v>60</v>
      </c>
      <c r="F1993" s="14" t="s">
        <v>1638</v>
      </c>
      <c r="G1993" s="16">
        <v>60</v>
      </c>
      <c r="H1993" s="14" t="s">
        <v>4982</v>
      </c>
      <c r="I1993" s="14" t="s">
        <v>1256</v>
      </c>
      <c r="J1993" s="14" t="s">
        <v>1233</v>
      </c>
      <c r="K1993" s="14" t="s">
        <v>4502</v>
      </c>
      <c r="L1993" s="14" t="s">
        <v>4994</v>
      </c>
      <c r="M1993" s="14" t="s">
        <v>3330</v>
      </c>
      <c r="N1993" s="14" t="s">
        <v>1237</v>
      </c>
      <c r="O1993" s="14" t="s">
        <v>1220</v>
      </c>
    </row>
    <row r="1994" spans="1:15" x14ac:dyDescent="0.25">
      <c r="A1994" s="14">
        <v>7060</v>
      </c>
      <c r="B1994" s="14" t="s">
        <v>132</v>
      </c>
      <c r="C1994" s="14" t="s">
        <v>132</v>
      </c>
      <c r="D1994" s="14" t="s">
        <v>4981</v>
      </c>
      <c r="E1994" s="16">
        <v>50</v>
      </c>
      <c r="F1994" s="14" t="s">
        <v>1638</v>
      </c>
      <c r="G1994" s="16">
        <v>50</v>
      </c>
      <c r="H1994" s="14" t="s">
        <v>4982</v>
      </c>
      <c r="I1994" s="14" t="s">
        <v>1256</v>
      </c>
      <c r="J1994" s="14" t="s">
        <v>1242</v>
      </c>
      <c r="K1994" s="14" t="s">
        <v>4502</v>
      </c>
      <c r="L1994" s="14" t="s">
        <v>4995</v>
      </c>
      <c r="M1994" s="14" t="s">
        <v>3330</v>
      </c>
      <c r="N1994" s="14" t="s">
        <v>1237</v>
      </c>
      <c r="O1994" s="14" t="s">
        <v>1220</v>
      </c>
    </row>
    <row r="1995" spans="1:15" x14ac:dyDescent="0.25">
      <c r="A1995" s="14">
        <v>7061</v>
      </c>
      <c r="B1995" s="14" t="s">
        <v>133</v>
      </c>
      <c r="C1995" s="14" t="s">
        <v>133</v>
      </c>
      <c r="D1995" s="14" t="s">
        <v>4981</v>
      </c>
      <c r="E1995" s="16">
        <v>40</v>
      </c>
      <c r="F1995" s="14" t="s">
        <v>1638</v>
      </c>
      <c r="G1995" s="16">
        <v>40</v>
      </c>
      <c r="H1995" s="14" t="s">
        <v>4982</v>
      </c>
      <c r="I1995" s="14" t="s">
        <v>1256</v>
      </c>
      <c r="J1995" s="14" t="s">
        <v>1233</v>
      </c>
      <c r="K1995" s="14" t="s">
        <v>4502</v>
      </c>
      <c r="L1995" s="14" t="s">
        <v>4996</v>
      </c>
      <c r="M1995" s="14" t="s">
        <v>3330</v>
      </c>
      <c r="N1995" s="14" t="s">
        <v>1237</v>
      </c>
      <c r="O1995" s="14" t="s">
        <v>1220</v>
      </c>
    </row>
    <row r="1996" spans="1:15" x14ac:dyDescent="0.25">
      <c r="A1996" s="14">
        <v>7062</v>
      </c>
      <c r="B1996" s="14" t="s">
        <v>134</v>
      </c>
      <c r="C1996" s="14" t="s">
        <v>134</v>
      </c>
      <c r="D1996" s="14" t="s">
        <v>4981</v>
      </c>
      <c r="E1996" s="16">
        <v>35</v>
      </c>
      <c r="F1996" s="14" t="s">
        <v>1638</v>
      </c>
      <c r="G1996" s="16">
        <v>35</v>
      </c>
      <c r="H1996" s="14" t="s">
        <v>4982</v>
      </c>
      <c r="I1996" s="14" t="s">
        <v>1256</v>
      </c>
      <c r="J1996" s="14" t="s">
        <v>1242</v>
      </c>
      <c r="K1996" s="14" t="s">
        <v>4502</v>
      </c>
      <c r="L1996" s="14" t="s">
        <v>4997</v>
      </c>
      <c r="M1996" s="14" t="s">
        <v>3330</v>
      </c>
      <c r="N1996" s="14" t="s">
        <v>1237</v>
      </c>
      <c r="O1996" s="14" t="s">
        <v>1220</v>
      </c>
    </row>
    <row r="1997" spans="1:15" x14ac:dyDescent="0.25">
      <c r="A1997" s="14">
        <v>7063</v>
      </c>
      <c r="B1997" s="14" t="s">
        <v>136</v>
      </c>
      <c r="C1997" s="14" t="s">
        <v>136</v>
      </c>
      <c r="D1997" s="14" t="s">
        <v>4981</v>
      </c>
      <c r="E1997" s="16">
        <v>30</v>
      </c>
      <c r="F1997" s="14" t="s">
        <v>1638</v>
      </c>
      <c r="G1997" s="16">
        <v>30</v>
      </c>
      <c r="H1997" s="14" t="s">
        <v>4982</v>
      </c>
      <c r="I1997" s="14" t="s">
        <v>1256</v>
      </c>
      <c r="J1997" s="14" t="s">
        <v>1242</v>
      </c>
      <c r="K1997" s="14" t="s">
        <v>4502</v>
      </c>
      <c r="L1997" s="14" t="s">
        <v>4998</v>
      </c>
      <c r="M1997" s="14" t="s">
        <v>3330</v>
      </c>
      <c r="N1997" s="14" t="s">
        <v>1237</v>
      </c>
      <c r="O1997" s="14" t="s">
        <v>1220</v>
      </c>
    </row>
    <row r="1998" spans="1:15" x14ac:dyDescent="0.25">
      <c r="A1998" s="14">
        <v>7064</v>
      </c>
      <c r="B1998" s="14" t="s">
        <v>138</v>
      </c>
      <c r="C1998" s="14" t="s">
        <v>138</v>
      </c>
      <c r="D1998" s="14" t="s">
        <v>4981</v>
      </c>
      <c r="E1998" s="16">
        <v>25</v>
      </c>
      <c r="F1998" s="14" t="s">
        <v>1638</v>
      </c>
      <c r="G1998" s="16">
        <v>25</v>
      </c>
      <c r="H1998" s="14" t="s">
        <v>4982</v>
      </c>
      <c r="I1998" s="14" t="s">
        <v>1256</v>
      </c>
      <c r="J1998" s="14" t="s">
        <v>1242</v>
      </c>
      <c r="K1998" s="14" t="s">
        <v>4502</v>
      </c>
      <c r="L1998" s="14" t="s">
        <v>4999</v>
      </c>
      <c r="M1998" s="14" t="s">
        <v>3330</v>
      </c>
      <c r="N1998" s="14" t="s">
        <v>1237</v>
      </c>
      <c r="O1998" s="14" t="s">
        <v>1220</v>
      </c>
    </row>
    <row r="1999" spans="1:15" x14ac:dyDescent="0.25">
      <c r="A1999" s="14">
        <v>7065</v>
      </c>
      <c r="B1999" s="14" t="s">
        <v>140</v>
      </c>
      <c r="C1999" s="14" t="s">
        <v>140</v>
      </c>
      <c r="D1999" s="14" t="s">
        <v>4981</v>
      </c>
      <c r="E1999" s="16">
        <v>20</v>
      </c>
      <c r="F1999" s="14" t="s">
        <v>1638</v>
      </c>
      <c r="G1999" s="16">
        <v>20</v>
      </c>
      <c r="H1999" s="14" t="s">
        <v>4982</v>
      </c>
      <c r="I1999" s="14" t="s">
        <v>1256</v>
      </c>
      <c r="J1999" s="14" t="s">
        <v>1242</v>
      </c>
      <c r="K1999" s="14" t="s">
        <v>4502</v>
      </c>
      <c r="L1999" s="14" t="s">
        <v>5000</v>
      </c>
      <c r="M1999" s="14" t="s">
        <v>3330</v>
      </c>
      <c r="N1999" s="14" t="s">
        <v>1237</v>
      </c>
      <c r="O1999" s="14" t="s">
        <v>1220</v>
      </c>
    </row>
    <row r="2000" spans="1:15" x14ac:dyDescent="0.25">
      <c r="A2000" s="14">
        <v>7066</v>
      </c>
      <c r="B2000" s="14" t="s">
        <v>5001</v>
      </c>
      <c r="C2000" s="14" t="s">
        <v>5001</v>
      </c>
      <c r="D2000" s="14" t="s">
        <v>4981</v>
      </c>
      <c r="E2000" s="16">
        <v>200</v>
      </c>
      <c r="F2000" s="14" t="s">
        <v>1638</v>
      </c>
      <c r="G2000" s="16">
        <v>200</v>
      </c>
      <c r="H2000" s="14" t="s">
        <v>4982</v>
      </c>
      <c r="I2000" s="14" t="s">
        <v>1256</v>
      </c>
      <c r="J2000" s="14" t="s">
        <v>1296</v>
      </c>
      <c r="K2000" s="14" t="s">
        <v>4502</v>
      </c>
      <c r="L2000" s="14" t="s">
        <v>5002</v>
      </c>
      <c r="M2000" s="14" t="s">
        <v>3330</v>
      </c>
      <c r="N2000" s="14" t="s">
        <v>1237</v>
      </c>
      <c r="O2000" s="14" t="s">
        <v>1220</v>
      </c>
    </row>
    <row r="2001" spans="1:15" x14ac:dyDescent="0.25">
      <c r="A2001" s="14">
        <v>7067</v>
      </c>
      <c r="B2001" s="14" t="s">
        <v>5003</v>
      </c>
      <c r="C2001" s="14" t="s">
        <v>5003</v>
      </c>
      <c r="D2001" s="14" t="s">
        <v>4981</v>
      </c>
      <c r="E2001" s="16">
        <v>180</v>
      </c>
      <c r="F2001" s="14" t="s">
        <v>1638</v>
      </c>
      <c r="G2001" s="16">
        <v>180</v>
      </c>
      <c r="H2001" s="14" t="s">
        <v>4982</v>
      </c>
      <c r="I2001" s="14" t="s">
        <v>1256</v>
      </c>
      <c r="J2001" s="14" t="s">
        <v>1296</v>
      </c>
      <c r="K2001" s="14" t="s">
        <v>4502</v>
      </c>
      <c r="L2001" s="14" t="s">
        <v>5004</v>
      </c>
      <c r="M2001" s="14" t="s">
        <v>3330</v>
      </c>
      <c r="N2001" s="14" t="s">
        <v>1237</v>
      </c>
      <c r="O2001" s="14" t="s">
        <v>1220</v>
      </c>
    </row>
    <row r="2002" spans="1:15" x14ac:dyDescent="0.25">
      <c r="A2002" s="14">
        <v>7068</v>
      </c>
      <c r="B2002" s="14" t="s">
        <v>5005</v>
      </c>
      <c r="C2002" s="14" t="s">
        <v>5005</v>
      </c>
      <c r="D2002" s="14" t="s">
        <v>4981</v>
      </c>
      <c r="E2002" s="16">
        <v>160</v>
      </c>
      <c r="F2002" s="14" t="s">
        <v>1638</v>
      </c>
      <c r="G2002" s="16">
        <v>160</v>
      </c>
      <c r="H2002" s="14" t="s">
        <v>4982</v>
      </c>
      <c r="I2002" s="14" t="s">
        <v>1256</v>
      </c>
      <c r="J2002" s="14" t="s">
        <v>1296</v>
      </c>
      <c r="K2002" s="14" t="s">
        <v>4502</v>
      </c>
      <c r="L2002" s="14" t="s">
        <v>5006</v>
      </c>
      <c r="M2002" s="14" t="s">
        <v>3330</v>
      </c>
      <c r="N2002" s="14" t="s">
        <v>1237</v>
      </c>
      <c r="O2002" s="14" t="s">
        <v>1220</v>
      </c>
    </row>
    <row r="2003" spans="1:15" x14ac:dyDescent="0.25">
      <c r="A2003" s="14">
        <v>7069</v>
      </c>
      <c r="B2003" s="14" t="s">
        <v>5007</v>
      </c>
      <c r="C2003" s="14" t="s">
        <v>5007</v>
      </c>
      <c r="D2003" s="14" t="s">
        <v>4981</v>
      </c>
      <c r="E2003" s="16">
        <v>120</v>
      </c>
      <c r="F2003" s="14" t="s">
        <v>1638</v>
      </c>
      <c r="G2003" s="16">
        <v>120</v>
      </c>
      <c r="H2003" s="14" t="s">
        <v>4982</v>
      </c>
      <c r="I2003" s="14" t="s">
        <v>1256</v>
      </c>
      <c r="J2003" s="14" t="s">
        <v>1296</v>
      </c>
      <c r="K2003" s="14" t="s">
        <v>4502</v>
      </c>
      <c r="L2003" s="14" t="s">
        <v>5008</v>
      </c>
      <c r="M2003" s="14" t="s">
        <v>3330</v>
      </c>
      <c r="N2003" s="14" t="s">
        <v>1237</v>
      </c>
      <c r="O2003" s="14" t="s">
        <v>1220</v>
      </c>
    </row>
    <row r="2004" spans="1:15" x14ac:dyDescent="0.25">
      <c r="A2004" s="14">
        <v>7070</v>
      </c>
      <c r="B2004" s="14" t="s">
        <v>5009</v>
      </c>
      <c r="C2004" s="14" t="s">
        <v>5009</v>
      </c>
      <c r="D2004" s="14" t="s">
        <v>4981</v>
      </c>
      <c r="E2004" s="16">
        <v>100</v>
      </c>
      <c r="F2004" s="14" t="s">
        <v>1638</v>
      </c>
      <c r="G2004" s="16">
        <v>100</v>
      </c>
      <c r="H2004" s="14" t="s">
        <v>4982</v>
      </c>
      <c r="I2004" s="14" t="s">
        <v>1256</v>
      </c>
      <c r="J2004" s="14" t="s">
        <v>1296</v>
      </c>
      <c r="K2004" s="14" t="s">
        <v>4502</v>
      </c>
      <c r="L2004" s="14" t="s">
        <v>5010</v>
      </c>
      <c r="M2004" s="14" t="s">
        <v>3330</v>
      </c>
      <c r="N2004" s="14" t="s">
        <v>1237</v>
      </c>
      <c r="O2004" s="14" t="s">
        <v>1220</v>
      </c>
    </row>
    <row r="2005" spans="1:15" x14ac:dyDescent="0.25">
      <c r="A2005" s="14">
        <v>7071</v>
      </c>
      <c r="B2005" s="14" t="s">
        <v>143</v>
      </c>
      <c r="C2005" s="14" t="s">
        <v>143</v>
      </c>
      <c r="D2005" s="14" t="s">
        <v>4981</v>
      </c>
      <c r="E2005" s="16">
        <v>80</v>
      </c>
      <c r="F2005" s="14" t="s">
        <v>1638</v>
      </c>
      <c r="G2005" s="16">
        <v>80</v>
      </c>
      <c r="H2005" s="14" t="s">
        <v>4982</v>
      </c>
      <c r="I2005" s="14" t="s">
        <v>1256</v>
      </c>
      <c r="J2005" s="14" t="s">
        <v>1242</v>
      </c>
      <c r="K2005" s="14" t="s">
        <v>4502</v>
      </c>
      <c r="L2005" s="14" t="s">
        <v>5011</v>
      </c>
      <c r="M2005" s="14" t="s">
        <v>3330</v>
      </c>
      <c r="N2005" s="14" t="s">
        <v>1237</v>
      </c>
      <c r="O2005" s="14" t="s">
        <v>1220</v>
      </c>
    </row>
    <row r="2006" spans="1:15" x14ac:dyDescent="0.25">
      <c r="A2006" s="14">
        <v>7072</v>
      </c>
      <c r="B2006" s="14" t="s">
        <v>144</v>
      </c>
      <c r="C2006" s="14" t="s">
        <v>144</v>
      </c>
      <c r="D2006" s="14" t="s">
        <v>4981</v>
      </c>
      <c r="E2006" s="16">
        <v>65</v>
      </c>
      <c r="F2006" s="14" t="s">
        <v>1638</v>
      </c>
      <c r="G2006" s="16">
        <v>65</v>
      </c>
      <c r="H2006" s="14" t="s">
        <v>4982</v>
      </c>
      <c r="I2006" s="14" t="s">
        <v>1256</v>
      </c>
      <c r="J2006" s="14" t="s">
        <v>1242</v>
      </c>
      <c r="K2006" s="14" t="s">
        <v>4502</v>
      </c>
      <c r="L2006" s="14" t="s">
        <v>5012</v>
      </c>
      <c r="M2006" s="14" t="s">
        <v>3330</v>
      </c>
      <c r="N2006" s="14" t="s">
        <v>1237</v>
      </c>
      <c r="O2006" s="14" t="s">
        <v>1220</v>
      </c>
    </row>
    <row r="2007" spans="1:15" x14ac:dyDescent="0.25">
      <c r="A2007" s="14">
        <v>7073</v>
      </c>
      <c r="B2007" s="14" t="s">
        <v>145</v>
      </c>
      <c r="C2007" s="14" t="s">
        <v>145</v>
      </c>
      <c r="D2007" s="14" t="s">
        <v>4981</v>
      </c>
      <c r="E2007" s="16">
        <v>60</v>
      </c>
      <c r="F2007" s="14" t="s">
        <v>1638</v>
      </c>
      <c r="G2007" s="16">
        <v>60</v>
      </c>
      <c r="H2007" s="14" t="s">
        <v>4982</v>
      </c>
      <c r="I2007" s="14" t="s">
        <v>1256</v>
      </c>
      <c r="J2007" s="14" t="s">
        <v>1233</v>
      </c>
      <c r="K2007" s="14" t="s">
        <v>4502</v>
      </c>
      <c r="L2007" s="14" t="s">
        <v>5013</v>
      </c>
      <c r="M2007" s="14" t="s">
        <v>3330</v>
      </c>
      <c r="N2007" s="14" t="s">
        <v>1237</v>
      </c>
      <c r="O2007" s="14" t="s">
        <v>1220</v>
      </c>
    </row>
    <row r="2008" spans="1:15" x14ac:dyDescent="0.25">
      <c r="A2008" s="14">
        <v>7074</v>
      </c>
      <c r="B2008" s="14" t="s">
        <v>146</v>
      </c>
      <c r="C2008" s="14" t="s">
        <v>146</v>
      </c>
      <c r="D2008" s="14" t="s">
        <v>4981</v>
      </c>
      <c r="E2008" s="16">
        <v>50</v>
      </c>
      <c r="F2008" s="14" t="s">
        <v>1638</v>
      </c>
      <c r="G2008" s="16">
        <v>50</v>
      </c>
      <c r="H2008" s="14" t="s">
        <v>4982</v>
      </c>
      <c r="I2008" s="14" t="s">
        <v>1256</v>
      </c>
      <c r="J2008" s="14" t="s">
        <v>1296</v>
      </c>
      <c r="K2008" s="14" t="s">
        <v>4502</v>
      </c>
      <c r="L2008" s="14" t="s">
        <v>5014</v>
      </c>
      <c r="M2008" s="14" t="s">
        <v>3330</v>
      </c>
      <c r="N2008" s="14" t="s">
        <v>1237</v>
      </c>
      <c r="O2008" s="14" t="s">
        <v>1220</v>
      </c>
    </row>
    <row r="2009" spans="1:15" x14ac:dyDescent="0.25">
      <c r="A2009" s="14">
        <v>7075</v>
      </c>
      <c r="B2009" s="14" t="s">
        <v>147</v>
      </c>
      <c r="C2009" s="14" t="s">
        <v>147</v>
      </c>
      <c r="D2009" s="14" t="s">
        <v>4981</v>
      </c>
      <c r="E2009" s="16">
        <v>40</v>
      </c>
      <c r="F2009" s="14" t="s">
        <v>1638</v>
      </c>
      <c r="G2009" s="16">
        <v>40</v>
      </c>
      <c r="H2009" s="14" t="s">
        <v>4982</v>
      </c>
      <c r="I2009" s="14" t="s">
        <v>1256</v>
      </c>
      <c r="J2009" s="14" t="s">
        <v>1242</v>
      </c>
      <c r="K2009" s="14" t="s">
        <v>4502</v>
      </c>
      <c r="L2009" s="14" t="s">
        <v>5015</v>
      </c>
      <c r="M2009" s="14" t="s">
        <v>3330</v>
      </c>
      <c r="N2009" s="14" t="s">
        <v>1237</v>
      </c>
      <c r="O2009" s="14" t="s">
        <v>1220</v>
      </c>
    </row>
    <row r="2010" spans="1:15" x14ac:dyDescent="0.25">
      <c r="A2010" s="14">
        <v>7076</v>
      </c>
      <c r="B2010" s="14" t="s">
        <v>148</v>
      </c>
      <c r="C2010" s="14" t="s">
        <v>148</v>
      </c>
      <c r="D2010" s="14" t="s">
        <v>4981</v>
      </c>
      <c r="E2010" s="16">
        <v>35</v>
      </c>
      <c r="F2010" s="14" t="s">
        <v>1638</v>
      </c>
      <c r="G2010" s="16">
        <v>35</v>
      </c>
      <c r="H2010" s="14" t="s">
        <v>4982</v>
      </c>
      <c r="I2010" s="14" t="s">
        <v>1256</v>
      </c>
      <c r="J2010" s="14" t="s">
        <v>1242</v>
      </c>
      <c r="K2010" s="14" t="s">
        <v>4502</v>
      </c>
      <c r="L2010" s="14" t="s">
        <v>5016</v>
      </c>
      <c r="M2010" s="14" t="s">
        <v>3330</v>
      </c>
      <c r="N2010" s="14" t="s">
        <v>1237</v>
      </c>
      <c r="O2010" s="14" t="s">
        <v>1220</v>
      </c>
    </row>
    <row r="2011" spans="1:15" x14ac:dyDescent="0.25">
      <c r="A2011" s="14">
        <v>7077</v>
      </c>
      <c r="B2011" s="14" t="s">
        <v>150</v>
      </c>
      <c r="C2011" s="14" t="s">
        <v>150</v>
      </c>
      <c r="D2011" s="14" t="s">
        <v>4981</v>
      </c>
      <c r="E2011" s="16">
        <v>30</v>
      </c>
      <c r="F2011" s="14" t="s">
        <v>1638</v>
      </c>
      <c r="G2011" s="16">
        <v>30</v>
      </c>
      <c r="H2011" s="14" t="s">
        <v>4982</v>
      </c>
      <c r="I2011" s="14" t="s">
        <v>1256</v>
      </c>
      <c r="J2011" s="14" t="s">
        <v>1242</v>
      </c>
      <c r="K2011" s="14" t="s">
        <v>4502</v>
      </c>
      <c r="L2011" s="14" t="s">
        <v>5017</v>
      </c>
      <c r="M2011" s="14" t="s">
        <v>3330</v>
      </c>
      <c r="N2011" s="14" t="s">
        <v>1237</v>
      </c>
      <c r="O2011" s="14" t="s">
        <v>1220</v>
      </c>
    </row>
    <row r="2012" spans="1:15" x14ac:dyDescent="0.25">
      <c r="A2012" s="14">
        <v>7078</v>
      </c>
      <c r="B2012" s="14" t="s">
        <v>152</v>
      </c>
      <c r="C2012" s="14" t="s">
        <v>152</v>
      </c>
      <c r="D2012" s="14" t="s">
        <v>4981</v>
      </c>
      <c r="E2012" s="16">
        <v>25</v>
      </c>
      <c r="F2012" s="14" t="s">
        <v>1638</v>
      </c>
      <c r="G2012" s="16">
        <v>25</v>
      </c>
      <c r="H2012" s="14" t="s">
        <v>4982</v>
      </c>
      <c r="I2012" s="14" t="s">
        <v>1256</v>
      </c>
      <c r="J2012" s="14" t="s">
        <v>1242</v>
      </c>
      <c r="K2012" s="14" t="s">
        <v>4502</v>
      </c>
      <c r="L2012" s="14" t="s">
        <v>5018</v>
      </c>
      <c r="M2012" s="14" t="s">
        <v>3330</v>
      </c>
      <c r="N2012" s="14" t="s">
        <v>1237</v>
      </c>
      <c r="O2012" s="14" t="s">
        <v>1220</v>
      </c>
    </row>
    <row r="2013" spans="1:15" x14ac:dyDescent="0.25">
      <c r="A2013" s="14">
        <v>7079</v>
      </c>
      <c r="B2013" s="14" t="s">
        <v>154</v>
      </c>
      <c r="C2013" s="14" t="s">
        <v>154</v>
      </c>
      <c r="D2013" s="14" t="s">
        <v>4981</v>
      </c>
      <c r="E2013" s="16">
        <v>20</v>
      </c>
      <c r="F2013" s="14" t="s">
        <v>1638</v>
      </c>
      <c r="G2013" s="16">
        <v>20</v>
      </c>
      <c r="H2013" s="14" t="s">
        <v>4982</v>
      </c>
      <c r="I2013" s="14" t="s">
        <v>1256</v>
      </c>
      <c r="J2013" s="14" t="s">
        <v>1242</v>
      </c>
      <c r="K2013" s="14" t="s">
        <v>4502</v>
      </c>
      <c r="L2013" s="14" t="s">
        <v>5019</v>
      </c>
      <c r="M2013" s="14" t="s">
        <v>3330</v>
      </c>
      <c r="N2013" s="14" t="s">
        <v>1237</v>
      </c>
      <c r="O2013" s="14" t="s">
        <v>1220</v>
      </c>
    </row>
    <row r="2014" spans="1:15" x14ac:dyDescent="0.25">
      <c r="A2014" s="14">
        <v>7084</v>
      </c>
      <c r="B2014" s="14" t="s">
        <v>1127</v>
      </c>
      <c r="C2014" s="14" t="s">
        <v>5020</v>
      </c>
      <c r="D2014" s="14" t="s">
        <v>4981</v>
      </c>
      <c r="E2014" s="16">
        <v>50</v>
      </c>
      <c r="F2014" s="14" t="s">
        <v>1638</v>
      </c>
      <c r="G2014" s="16">
        <v>60</v>
      </c>
      <c r="H2014" s="14" t="s">
        <v>4982</v>
      </c>
      <c r="I2014" s="14" t="s">
        <v>1232</v>
      </c>
      <c r="J2014" s="14" t="s">
        <v>1296</v>
      </c>
      <c r="K2014" s="14" t="s">
        <v>5021</v>
      </c>
      <c r="L2014" s="14" t="s">
        <v>5022</v>
      </c>
      <c r="M2014" s="14" t="s">
        <v>3330</v>
      </c>
      <c r="N2014" s="14" t="s">
        <v>1237</v>
      </c>
      <c r="O2014" s="14" t="s">
        <v>1220</v>
      </c>
    </row>
    <row r="2015" spans="1:15" x14ac:dyDescent="0.25">
      <c r="A2015" s="14">
        <v>7085</v>
      </c>
      <c r="B2015" s="14" t="s">
        <v>1128</v>
      </c>
      <c r="C2015" s="14" t="s">
        <v>5023</v>
      </c>
      <c r="D2015" s="14" t="s">
        <v>4981</v>
      </c>
      <c r="E2015" s="16">
        <v>45</v>
      </c>
      <c r="F2015" s="14" t="s">
        <v>1638</v>
      </c>
      <c r="G2015" s="16">
        <v>50</v>
      </c>
      <c r="H2015" s="14" t="s">
        <v>4982</v>
      </c>
      <c r="I2015" s="14" t="s">
        <v>1232</v>
      </c>
      <c r="J2015" s="14" t="s">
        <v>1296</v>
      </c>
      <c r="K2015" s="14" t="s">
        <v>5021</v>
      </c>
      <c r="L2015" s="14" t="s">
        <v>5024</v>
      </c>
      <c r="M2015" s="14" t="s">
        <v>3330</v>
      </c>
      <c r="N2015" s="14" t="s">
        <v>1237</v>
      </c>
      <c r="O2015" s="14" t="s">
        <v>1220</v>
      </c>
    </row>
    <row r="2016" spans="1:15" x14ac:dyDescent="0.25">
      <c r="A2016" s="14">
        <v>7086</v>
      </c>
      <c r="B2016" s="14" t="s">
        <v>1129</v>
      </c>
      <c r="C2016" s="14" t="s">
        <v>5025</v>
      </c>
      <c r="D2016" s="14" t="s">
        <v>4981</v>
      </c>
      <c r="E2016" s="16">
        <v>40</v>
      </c>
      <c r="F2016" s="14" t="s">
        <v>1638</v>
      </c>
      <c r="G2016" s="16">
        <v>40</v>
      </c>
      <c r="H2016" s="14" t="s">
        <v>4982</v>
      </c>
      <c r="I2016" s="14" t="s">
        <v>1232</v>
      </c>
      <c r="J2016" s="14" t="s">
        <v>1296</v>
      </c>
      <c r="K2016" s="14" t="s">
        <v>5021</v>
      </c>
      <c r="L2016" s="14" t="s">
        <v>5026</v>
      </c>
      <c r="M2016" s="14" t="s">
        <v>3330</v>
      </c>
      <c r="N2016" s="14" t="s">
        <v>1237</v>
      </c>
      <c r="O2016" s="14" t="s">
        <v>1220</v>
      </c>
    </row>
    <row r="2017" spans="1:15" x14ac:dyDescent="0.25">
      <c r="A2017" s="14">
        <v>7080</v>
      </c>
      <c r="B2017" s="14" t="s">
        <v>1123</v>
      </c>
      <c r="C2017" s="14" t="s">
        <v>1123</v>
      </c>
      <c r="D2017" s="14" t="s">
        <v>4981</v>
      </c>
      <c r="E2017" s="16">
        <v>120</v>
      </c>
      <c r="F2017" s="14" t="s">
        <v>1638</v>
      </c>
      <c r="G2017" s="16">
        <v>120</v>
      </c>
      <c r="H2017" s="14" t="s">
        <v>4982</v>
      </c>
      <c r="I2017" s="14" t="s">
        <v>1232</v>
      </c>
      <c r="J2017" s="14" t="s">
        <v>1296</v>
      </c>
      <c r="K2017" s="14" t="s">
        <v>5021</v>
      </c>
      <c r="L2017" s="14" t="s">
        <v>5027</v>
      </c>
      <c r="M2017" s="14" t="s">
        <v>3330</v>
      </c>
      <c r="N2017" s="14" t="s">
        <v>1237</v>
      </c>
      <c r="O2017" s="14" t="s">
        <v>1220</v>
      </c>
    </row>
    <row r="2018" spans="1:15" x14ac:dyDescent="0.25">
      <c r="A2018" s="14">
        <v>7081</v>
      </c>
      <c r="B2018" s="14" t="s">
        <v>1124</v>
      </c>
      <c r="C2018" s="14" t="s">
        <v>1124</v>
      </c>
      <c r="D2018" s="14" t="s">
        <v>4981</v>
      </c>
      <c r="E2018" s="16">
        <v>100</v>
      </c>
      <c r="F2018" s="14" t="s">
        <v>1638</v>
      </c>
      <c r="G2018" s="16">
        <v>100</v>
      </c>
      <c r="H2018" s="14" t="s">
        <v>4982</v>
      </c>
      <c r="I2018" s="14" t="s">
        <v>1232</v>
      </c>
      <c r="J2018" s="14" t="s">
        <v>1296</v>
      </c>
      <c r="K2018" s="14" t="s">
        <v>5021</v>
      </c>
      <c r="L2018" s="14" t="s">
        <v>5028</v>
      </c>
      <c r="M2018" s="14" t="s">
        <v>3330</v>
      </c>
      <c r="N2018" s="14" t="s">
        <v>1237</v>
      </c>
      <c r="O2018" s="14" t="s">
        <v>1220</v>
      </c>
    </row>
    <row r="2019" spans="1:15" x14ac:dyDescent="0.25">
      <c r="A2019" s="14">
        <v>7082</v>
      </c>
      <c r="B2019" s="14" t="s">
        <v>1125</v>
      </c>
      <c r="C2019" s="14" t="s">
        <v>1125</v>
      </c>
      <c r="D2019" s="14" t="s">
        <v>4981</v>
      </c>
      <c r="E2019" s="16">
        <v>80</v>
      </c>
      <c r="F2019" s="14" t="s">
        <v>1638</v>
      </c>
      <c r="G2019" s="16">
        <v>80</v>
      </c>
      <c r="H2019" s="14" t="s">
        <v>4982</v>
      </c>
      <c r="I2019" s="14" t="s">
        <v>1232</v>
      </c>
      <c r="J2019" s="14" t="s">
        <v>1296</v>
      </c>
      <c r="K2019" s="14" t="s">
        <v>5021</v>
      </c>
      <c r="L2019" s="14" t="s">
        <v>5029</v>
      </c>
      <c r="M2019" s="14" t="s">
        <v>3330</v>
      </c>
      <c r="N2019" s="14" t="s">
        <v>1237</v>
      </c>
      <c r="O2019" s="14" t="s">
        <v>1220</v>
      </c>
    </row>
    <row r="2020" spans="1:15" x14ac:dyDescent="0.25">
      <c r="A2020" s="14">
        <v>7083</v>
      </c>
      <c r="B2020" s="14" t="s">
        <v>5030</v>
      </c>
      <c r="C2020" s="14" t="s">
        <v>5030</v>
      </c>
      <c r="D2020" s="14" t="s">
        <v>4981</v>
      </c>
      <c r="E2020" s="16">
        <v>60</v>
      </c>
      <c r="F2020" s="14" t="s">
        <v>1638</v>
      </c>
      <c r="G2020" s="16">
        <v>80</v>
      </c>
      <c r="H2020" s="14" t="s">
        <v>4982</v>
      </c>
      <c r="I2020" s="14" t="s">
        <v>1232</v>
      </c>
      <c r="J2020" s="14" t="s">
        <v>1296</v>
      </c>
      <c r="K2020" s="14" t="s">
        <v>5021</v>
      </c>
      <c r="L2020" s="14" t="s">
        <v>5031</v>
      </c>
      <c r="M2020" s="14" t="s">
        <v>3330</v>
      </c>
      <c r="N2020" s="14" t="s">
        <v>1237</v>
      </c>
      <c r="O2020" s="14" t="s">
        <v>1220</v>
      </c>
    </row>
    <row r="2021" spans="1:15" x14ac:dyDescent="0.25">
      <c r="A2021" s="14">
        <v>7087</v>
      </c>
      <c r="B2021" s="14" t="s">
        <v>1130</v>
      </c>
      <c r="C2021" s="14" t="s">
        <v>1130</v>
      </c>
      <c r="D2021" s="14" t="s">
        <v>4981</v>
      </c>
      <c r="E2021" s="16">
        <v>30</v>
      </c>
      <c r="F2021" s="14" t="s">
        <v>1638</v>
      </c>
      <c r="G2021" s="16">
        <v>30</v>
      </c>
      <c r="H2021" s="14" t="s">
        <v>4982</v>
      </c>
      <c r="I2021" s="14" t="s">
        <v>1232</v>
      </c>
      <c r="J2021" s="14" t="s">
        <v>1296</v>
      </c>
      <c r="K2021" s="14" t="s">
        <v>5021</v>
      </c>
      <c r="L2021" s="14" t="s">
        <v>5032</v>
      </c>
      <c r="M2021" s="14" t="s">
        <v>3330</v>
      </c>
      <c r="N2021" s="14" t="s">
        <v>1237</v>
      </c>
      <c r="O2021" s="14" t="s">
        <v>1220</v>
      </c>
    </row>
    <row r="2022" spans="1:15" x14ac:dyDescent="0.25">
      <c r="A2022" s="14">
        <v>7088</v>
      </c>
      <c r="B2022" s="14" t="s">
        <v>1131</v>
      </c>
      <c r="C2022" s="14" t="s">
        <v>1131</v>
      </c>
      <c r="D2022" s="14" t="s">
        <v>4981</v>
      </c>
      <c r="E2022" s="16">
        <v>25</v>
      </c>
      <c r="F2022" s="14" t="s">
        <v>1638</v>
      </c>
      <c r="G2022" s="16">
        <v>25</v>
      </c>
      <c r="H2022" s="14" t="s">
        <v>4982</v>
      </c>
      <c r="I2022" s="14" t="s">
        <v>1232</v>
      </c>
      <c r="J2022" s="14" t="s">
        <v>1296</v>
      </c>
      <c r="K2022" s="14" t="s">
        <v>5021</v>
      </c>
      <c r="L2022" s="14" t="s">
        <v>5033</v>
      </c>
      <c r="M2022" s="14" t="s">
        <v>3330</v>
      </c>
      <c r="N2022" s="14" t="s">
        <v>1237</v>
      </c>
      <c r="O2022" s="14" t="s">
        <v>1220</v>
      </c>
    </row>
    <row r="2023" spans="1:15" x14ac:dyDescent="0.25">
      <c r="A2023" s="14">
        <v>7089</v>
      </c>
      <c r="B2023" s="14" t="s">
        <v>1132</v>
      </c>
      <c r="C2023" s="14" t="s">
        <v>1132</v>
      </c>
      <c r="D2023" s="14" t="s">
        <v>4981</v>
      </c>
      <c r="E2023" s="16">
        <v>20</v>
      </c>
      <c r="F2023" s="14" t="s">
        <v>1638</v>
      </c>
      <c r="G2023" s="16">
        <v>20</v>
      </c>
      <c r="H2023" s="14" t="s">
        <v>4982</v>
      </c>
      <c r="I2023" s="14" t="s">
        <v>1232</v>
      </c>
      <c r="J2023" s="14" t="s">
        <v>1296</v>
      </c>
      <c r="K2023" s="14" t="s">
        <v>5021</v>
      </c>
      <c r="L2023" s="14" t="s">
        <v>5034</v>
      </c>
      <c r="M2023" s="14" t="s">
        <v>3330</v>
      </c>
      <c r="N2023" s="14" t="s">
        <v>1237</v>
      </c>
      <c r="O2023" s="14" t="s">
        <v>1220</v>
      </c>
    </row>
    <row r="2024" spans="1:15" x14ac:dyDescent="0.25">
      <c r="A2024" s="14">
        <v>7090</v>
      </c>
      <c r="B2024" s="14" t="s">
        <v>1133</v>
      </c>
      <c r="C2024" s="14" t="s">
        <v>1133</v>
      </c>
      <c r="D2024" s="14" t="s">
        <v>4981</v>
      </c>
      <c r="E2024" s="16">
        <v>120</v>
      </c>
      <c r="F2024" s="14" t="s">
        <v>1638</v>
      </c>
      <c r="G2024" s="16">
        <v>120</v>
      </c>
      <c r="H2024" s="14" t="s">
        <v>4982</v>
      </c>
      <c r="I2024" s="14" t="s">
        <v>1232</v>
      </c>
      <c r="J2024" s="14" t="s">
        <v>1296</v>
      </c>
      <c r="K2024" s="14" t="s">
        <v>5021</v>
      </c>
      <c r="L2024" s="14" t="s">
        <v>5035</v>
      </c>
      <c r="M2024" s="14" t="s">
        <v>3330</v>
      </c>
      <c r="N2024" s="14" t="s">
        <v>1237</v>
      </c>
      <c r="O2024" s="14" t="s">
        <v>1220</v>
      </c>
    </row>
    <row r="2025" spans="1:15" x14ac:dyDescent="0.25">
      <c r="A2025" s="14">
        <v>7091</v>
      </c>
      <c r="B2025" s="14" t="s">
        <v>1134</v>
      </c>
      <c r="C2025" s="14" t="s">
        <v>1134</v>
      </c>
      <c r="D2025" s="14" t="s">
        <v>4981</v>
      </c>
      <c r="E2025" s="16">
        <v>100</v>
      </c>
      <c r="F2025" s="14" t="s">
        <v>1638</v>
      </c>
      <c r="G2025" s="16">
        <v>100</v>
      </c>
      <c r="H2025" s="14" t="s">
        <v>4982</v>
      </c>
      <c r="I2025" s="14" t="s">
        <v>1232</v>
      </c>
      <c r="J2025" s="14" t="s">
        <v>1296</v>
      </c>
      <c r="K2025" s="14" t="s">
        <v>5021</v>
      </c>
      <c r="L2025" s="14" t="s">
        <v>5036</v>
      </c>
      <c r="M2025" s="14" t="s">
        <v>3330</v>
      </c>
      <c r="N2025" s="14" t="s">
        <v>1237</v>
      </c>
      <c r="O2025" s="14" t="s">
        <v>1220</v>
      </c>
    </row>
    <row r="2026" spans="1:15" x14ac:dyDescent="0.25">
      <c r="A2026" s="14">
        <v>7092</v>
      </c>
      <c r="B2026" s="14" t="s">
        <v>1135</v>
      </c>
      <c r="C2026" s="14" t="s">
        <v>1135</v>
      </c>
      <c r="D2026" s="14" t="s">
        <v>4981</v>
      </c>
      <c r="E2026" s="16">
        <v>80</v>
      </c>
      <c r="F2026" s="14" t="s">
        <v>1638</v>
      </c>
      <c r="G2026" s="16">
        <v>80</v>
      </c>
      <c r="H2026" s="14" t="s">
        <v>4982</v>
      </c>
      <c r="I2026" s="14" t="s">
        <v>1232</v>
      </c>
      <c r="J2026" s="14" t="s">
        <v>1296</v>
      </c>
      <c r="K2026" s="14" t="s">
        <v>5021</v>
      </c>
      <c r="L2026" s="14" t="s">
        <v>5037</v>
      </c>
      <c r="M2026" s="14" t="s">
        <v>3330</v>
      </c>
      <c r="N2026" s="14" t="s">
        <v>1237</v>
      </c>
      <c r="O2026" s="14" t="s">
        <v>1220</v>
      </c>
    </row>
    <row r="2027" spans="1:15" x14ac:dyDescent="0.25">
      <c r="A2027" s="14">
        <v>7093</v>
      </c>
      <c r="B2027" s="14" t="s">
        <v>1136</v>
      </c>
      <c r="C2027" s="14" t="s">
        <v>1136</v>
      </c>
      <c r="D2027" s="14" t="s">
        <v>4981</v>
      </c>
      <c r="E2027" s="16">
        <v>60</v>
      </c>
      <c r="F2027" s="14" t="s">
        <v>1638</v>
      </c>
      <c r="G2027" s="16">
        <v>80</v>
      </c>
      <c r="H2027" s="14" t="s">
        <v>4982</v>
      </c>
      <c r="I2027" s="14" t="s">
        <v>1232</v>
      </c>
      <c r="J2027" s="14" t="s">
        <v>1296</v>
      </c>
      <c r="K2027" s="14" t="s">
        <v>5021</v>
      </c>
      <c r="L2027" s="14" t="s">
        <v>5038</v>
      </c>
      <c r="M2027" s="14" t="s">
        <v>3330</v>
      </c>
      <c r="N2027" s="14" t="s">
        <v>1237</v>
      </c>
      <c r="O2027" s="14" t="s">
        <v>1220</v>
      </c>
    </row>
    <row r="2028" spans="1:15" x14ac:dyDescent="0.25">
      <c r="A2028" s="14">
        <v>7094</v>
      </c>
      <c r="B2028" s="14" t="s">
        <v>1137</v>
      </c>
      <c r="C2028" s="14" t="s">
        <v>1137</v>
      </c>
      <c r="D2028" s="14" t="s">
        <v>4981</v>
      </c>
      <c r="E2028" s="16">
        <v>50</v>
      </c>
      <c r="F2028" s="14" t="s">
        <v>1638</v>
      </c>
      <c r="G2028" s="16">
        <v>60</v>
      </c>
      <c r="H2028" s="14" t="s">
        <v>4982</v>
      </c>
      <c r="I2028" s="14" t="s">
        <v>1232</v>
      </c>
      <c r="J2028" s="14" t="s">
        <v>1296</v>
      </c>
      <c r="K2028" s="14" t="s">
        <v>5021</v>
      </c>
      <c r="L2028" s="14" t="s">
        <v>5039</v>
      </c>
      <c r="M2028" s="14" t="s">
        <v>3330</v>
      </c>
      <c r="N2028" s="14" t="s">
        <v>1237</v>
      </c>
      <c r="O2028" s="14" t="s">
        <v>1220</v>
      </c>
    </row>
    <row r="2029" spans="1:15" x14ac:dyDescent="0.25">
      <c r="A2029" s="14">
        <v>7095</v>
      </c>
      <c r="B2029" s="14" t="s">
        <v>1138</v>
      </c>
      <c r="C2029" s="14" t="s">
        <v>1138</v>
      </c>
      <c r="D2029" s="14" t="s">
        <v>4981</v>
      </c>
      <c r="E2029" s="16">
        <v>45</v>
      </c>
      <c r="F2029" s="14" t="s">
        <v>1638</v>
      </c>
      <c r="G2029" s="16">
        <v>50</v>
      </c>
      <c r="H2029" s="14" t="s">
        <v>4982</v>
      </c>
      <c r="I2029" s="14" t="s">
        <v>1232</v>
      </c>
      <c r="J2029" s="14" t="s">
        <v>1296</v>
      </c>
      <c r="K2029" s="14" t="s">
        <v>5021</v>
      </c>
      <c r="L2029" s="14" t="s">
        <v>5040</v>
      </c>
      <c r="M2029" s="14" t="s">
        <v>3330</v>
      </c>
      <c r="N2029" s="14" t="s">
        <v>1237</v>
      </c>
      <c r="O2029" s="14" t="s">
        <v>1220</v>
      </c>
    </row>
    <row r="2030" spans="1:15" x14ac:dyDescent="0.25">
      <c r="A2030" s="14">
        <v>7096</v>
      </c>
      <c r="B2030" s="14" t="s">
        <v>1139</v>
      </c>
      <c r="C2030" s="14" t="s">
        <v>1139</v>
      </c>
      <c r="D2030" s="14" t="s">
        <v>4981</v>
      </c>
      <c r="E2030" s="16">
        <v>40</v>
      </c>
      <c r="F2030" s="14" t="s">
        <v>1638</v>
      </c>
      <c r="G2030" s="16">
        <v>40</v>
      </c>
      <c r="H2030" s="14" t="s">
        <v>4982</v>
      </c>
      <c r="I2030" s="14" t="s">
        <v>1232</v>
      </c>
      <c r="J2030" s="14" t="s">
        <v>1296</v>
      </c>
      <c r="K2030" s="14" t="s">
        <v>5021</v>
      </c>
      <c r="L2030" s="14" t="s">
        <v>5041</v>
      </c>
      <c r="M2030" s="14" t="s">
        <v>3330</v>
      </c>
      <c r="N2030" s="14" t="s">
        <v>1237</v>
      </c>
      <c r="O2030" s="14" t="s">
        <v>1220</v>
      </c>
    </row>
    <row r="2031" spans="1:15" x14ac:dyDescent="0.25">
      <c r="A2031" s="14">
        <v>7097</v>
      </c>
      <c r="B2031" s="14" t="s">
        <v>1140</v>
      </c>
      <c r="C2031" s="14" t="s">
        <v>1140</v>
      </c>
      <c r="D2031" s="14" t="s">
        <v>4981</v>
      </c>
      <c r="E2031" s="16">
        <v>30</v>
      </c>
      <c r="F2031" s="14" t="s">
        <v>1638</v>
      </c>
      <c r="G2031" s="16">
        <v>30</v>
      </c>
      <c r="H2031" s="14" t="s">
        <v>4982</v>
      </c>
      <c r="I2031" s="14" t="s">
        <v>1232</v>
      </c>
      <c r="J2031" s="14" t="s">
        <v>1296</v>
      </c>
      <c r="K2031" s="14" t="s">
        <v>5021</v>
      </c>
      <c r="L2031" s="14" t="s">
        <v>5042</v>
      </c>
      <c r="M2031" s="14" t="s">
        <v>3330</v>
      </c>
      <c r="N2031" s="14" t="s">
        <v>1237</v>
      </c>
      <c r="O2031" s="14" t="s">
        <v>1220</v>
      </c>
    </row>
    <row r="2032" spans="1:15" x14ac:dyDescent="0.25">
      <c r="A2032" s="14">
        <v>7098</v>
      </c>
      <c r="B2032" s="14" t="s">
        <v>1141</v>
      </c>
      <c r="C2032" s="14" t="s">
        <v>1141</v>
      </c>
      <c r="D2032" s="14" t="s">
        <v>4981</v>
      </c>
      <c r="E2032" s="16">
        <v>25</v>
      </c>
      <c r="F2032" s="14" t="s">
        <v>1638</v>
      </c>
      <c r="G2032" s="16">
        <v>25</v>
      </c>
      <c r="H2032" s="14" t="s">
        <v>4982</v>
      </c>
      <c r="I2032" s="14" t="s">
        <v>1232</v>
      </c>
      <c r="J2032" s="14" t="s">
        <v>1296</v>
      </c>
      <c r="K2032" s="14" t="s">
        <v>5021</v>
      </c>
      <c r="L2032" s="14" t="s">
        <v>5043</v>
      </c>
      <c r="M2032" s="14" t="s">
        <v>3330</v>
      </c>
      <c r="N2032" s="14" t="s">
        <v>1237</v>
      </c>
      <c r="O2032" s="14" t="s">
        <v>1220</v>
      </c>
    </row>
    <row r="2033" spans="1:15" x14ac:dyDescent="0.25">
      <c r="A2033" s="14">
        <v>7099</v>
      </c>
      <c r="B2033" s="14" t="s">
        <v>1142</v>
      </c>
      <c r="C2033" s="14" t="s">
        <v>1142</v>
      </c>
      <c r="D2033" s="14" t="s">
        <v>4981</v>
      </c>
      <c r="E2033" s="16">
        <v>20</v>
      </c>
      <c r="F2033" s="14" t="s">
        <v>1638</v>
      </c>
      <c r="G2033" s="16">
        <v>20</v>
      </c>
      <c r="H2033" s="14" t="s">
        <v>4982</v>
      </c>
      <c r="I2033" s="14" t="s">
        <v>1232</v>
      </c>
      <c r="J2033" s="14" t="s">
        <v>1296</v>
      </c>
      <c r="K2033" s="14" t="s">
        <v>5021</v>
      </c>
      <c r="L2033" s="14" t="s">
        <v>5044</v>
      </c>
      <c r="M2033" s="14" t="s">
        <v>3330</v>
      </c>
      <c r="N2033" s="14" t="s">
        <v>1237</v>
      </c>
      <c r="O2033" s="14" t="s">
        <v>1220</v>
      </c>
    </row>
    <row r="2034" spans="1:15" x14ac:dyDescent="0.25">
      <c r="A2034" s="14">
        <v>4860</v>
      </c>
      <c r="B2034" s="14" t="s">
        <v>5045</v>
      </c>
      <c r="C2034" s="14" t="s">
        <v>5045</v>
      </c>
      <c r="D2034" s="14" t="s">
        <v>5046</v>
      </c>
      <c r="E2034" s="16">
        <v>250</v>
      </c>
      <c r="F2034" s="14" t="s">
        <v>3271</v>
      </c>
      <c r="G2034" s="16">
        <v>250</v>
      </c>
      <c r="H2034" s="14" t="s">
        <v>5047</v>
      </c>
      <c r="I2034" s="14" t="s">
        <v>1256</v>
      </c>
      <c r="J2034" s="14" t="s">
        <v>1242</v>
      </c>
      <c r="K2034" s="14" t="s">
        <v>4502</v>
      </c>
      <c r="L2034" s="14" t="s">
        <v>5048</v>
      </c>
      <c r="M2034" s="14" t="s">
        <v>5049</v>
      </c>
      <c r="N2034" s="14" t="s">
        <v>1237</v>
      </c>
      <c r="O2034" s="14" t="s">
        <v>1220</v>
      </c>
    </row>
    <row r="2035" spans="1:15" x14ac:dyDescent="0.25">
      <c r="A2035" s="14">
        <v>4861</v>
      </c>
      <c r="B2035" s="14" t="s">
        <v>5050</v>
      </c>
      <c r="C2035" s="14" t="s">
        <v>5050</v>
      </c>
      <c r="D2035" s="14" t="s">
        <v>5046</v>
      </c>
      <c r="E2035" s="16">
        <v>200</v>
      </c>
      <c r="F2035" s="14" t="s">
        <v>3271</v>
      </c>
      <c r="G2035" s="16">
        <v>200</v>
      </c>
      <c r="H2035" s="14" t="s">
        <v>5047</v>
      </c>
      <c r="I2035" s="14" t="s">
        <v>1256</v>
      </c>
      <c r="J2035" s="14" t="s">
        <v>1242</v>
      </c>
      <c r="K2035" s="14" t="s">
        <v>4502</v>
      </c>
      <c r="L2035" s="14" t="s">
        <v>5051</v>
      </c>
      <c r="M2035" s="14" t="s">
        <v>5049</v>
      </c>
      <c r="N2035" s="14" t="s">
        <v>1237</v>
      </c>
      <c r="O2035" s="14" t="s">
        <v>1220</v>
      </c>
    </row>
    <row r="2036" spans="1:15" x14ac:dyDescent="0.25">
      <c r="A2036" s="14">
        <v>4862</v>
      </c>
      <c r="B2036" s="14" t="s">
        <v>5052</v>
      </c>
      <c r="C2036" s="14" t="s">
        <v>5052</v>
      </c>
      <c r="D2036" s="14" t="s">
        <v>5046</v>
      </c>
      <c r="E2036" s="16">
        <v>200</v>
      </c>
      <c r="F2036" s="14" t="s">
        <v>3271</v>
      </c>
      <c r="G2036" s="16">
        <v>200</v>
      </c>
      <c r="H2036" s="14" t="s">
        <v>5047</v>
      </c>
      <c r="I2036" s="14" t="s">
        <v>1256</v>
      </c>
      <c r="J2036" s="14" t="s">
        <v>1233</v>
      </c>
      <c r="K2036" s="14" t="s">
        <v>4502</v>
      </c>
      <c r="L2036" s="14" t="s">
        <v>5053</v>
      </c>
      <c r="M2036" s="14" t="s">
        <v>5049</v>
      </c>
      <c r="N2036" s="14" t="s">
        <v>1237</v>
      </c>
      <c r="O2036" s="14" t="s">
        <v>1220</v>
      </c>
    </row>
    <row r="2037" spans="1:15" x14ac:dyDescent="0.25">
      <c r="A2037" s="14">
        <v>4863</v>
      </c>
      <c r="B2037" s="14" t="s">
        <v>5054</v>
      </c>
      <c r="C2037" s="14" t="s">
        <v>5054</v>
      </c>
      <c r="D2037" s="14" t="s">
        <v>5046</v>
      </c>
      <c r="E2037" s="16">
        <v>180</v>
      </c>
      <c r="F2037" s="14" t="s">
        <v>3271</v>
      </c>
      <c r="G2037" s="16">
        <v>180</v>
      </c>
      <c r="H2037" s="14" t="s">
        <v>5047</v>
      </c>
      <c r="I2037" s="14" t="s">
        <v>1256</v>
      </c>
      <c r="J2037" s="14" t="s">
        <v>1233</v>
      </c>
      <c r="K2037" s="14" t="s">
        <v>4502</v>
      </c>
      <c r="L2037" s="14" t="s">
        <v>5055</v>
      </c>
      <c r="M2037" s="14" t="s">
        <v>5049</v>
      </c>
      <c r="N2037" s="14" t="s">
        <v>1237</v>
      </c>
      <c r="O2037" s="14" t="s">
        <v>1220</v>
      </c>
    </row>
    <row r="2038" spans="1:15" x14ac:dyDescent="0.25">
      <c r="A2038" s="14">
        <v>4864</v>
      </c>
      <c r="B2038" s="14" t="s">
        <v>5056</v>
      </c>
      <c r="C2038" s="14" t="s">
        <v>5056</v>
      </c>
      <c r="D2038" s="14" t="s">
        <v>5046</v>
      </c>
      <c r="E2038" s="16">
        <v>140</v>
      </c>
      <c r="F2038" s="14" t="s">
        <v>3271</v>
      </c>
      <c r="G2038" s="16">
        <v>140</v>
      </c>
      <c r="H2038" s="14" t="s">
        <v>5047</v>
      </c>
      <c r="I2038" s="14" t="s">
        <v>1256</v>
      </c>
      <c r="J2038" s="14" t="s">
        <v>1233</v>
      </c>
      <c r="K2038" s="14" t="s">
        <v>4502</v>
      </c>
      <c r="L2038" s="14" t="s">
        <v>5057</v>
      </c>
      <c r="M2038" s="14" t="s">
        <v>5049</v>
      </c>
      <c r="N2038" s="14" t="s">
        <v>1237</v>
      </c>
      <c r="O2038" s="14" t="s">
        <v>1220</v>
      </c>
    </row>
    <row r="2039" spans="1:15" x14ac:dyDescent="0.25">
      <c r="A2039" s="14">
        <v>4865</v>
      </c>
      <c r="B2039" s="14" t="s">
        <v>94</v>
      </c>
      <c r="C2039" s="14" t="s">
        <v>94</v>
      </c>
      <c r="D2039" s="14" t="s">
        <v>5046</v>
      </c>
      <c r="E2039" s="16">
        <v>120</v>
      </c>
      <c r="F2039" s="14" t="s">
        <v>3271</v>
      </c>
      <c r="G2039" s="16">
        <v>120</v>
      </c>
      <c r="H2039" s="14" t="s">
        <v>5047</v>
      </c>
      <c r="I2039" s="14" t="s">
        <v>1256</v>
      </c>
      <c r="J2039" s="14" t="s">
        <v>1233</v>
      </c>
      <c r="K2039" s="14" t="s">
        <v>4502</v>
      </c>
      <c r="L2039" s="14" t="s">
        <v>5058</v>
      </c>
      <c r="M2039" s="14" t="s">
        <v>5049</v>
      </c>
      <c r="N2039" s="14" t="s">
        <v>1237</v>
      </c>
      <c r="O2039" s="14" t="s">
        <v>1220</v>
      </c>
    </row>
    <row r="2040" spans="1:15" x14ac:dyDescent="0.25">
      <c r="A2040" s="14">
        <v>4866</v>
      </c>
      <c r="B2040" s="14" t="s">
        <v>95</v>
      </c>
      <c r="C2040" s="14" t="s">
        <v>95</v>
      </c>
      <c r="D2040" s="14" t="s">
        <v>5046</v>
      </c>
      <c r="E2040" s="16">
        <v>100</v>
      </c>
      <c r="F2040" s="14" t="s">
        <v>3271</v>
      </c>
      <c r="G2040" s="16">
        <v>100</v>
      </c>
      <c r="H2040" s="14" t="s">
        <v>5047</v>
      </c>
      <c r="I2040" s="14" t="s">
        <v>1256</v>
      </c>
      <c r="J2040" s="14" t="s">
        <v>1242</v>
      </c>
      <c r="K2040" s="14" t="s">
        <v>4502</v>
      </c>
      <c r="L2040" s="14" t="s">
        <v>5059</v>
      </c>
      <c r="M2040" s="14" t="s">
        <v>5049</v>
      </c>
      <c r="N2040" s="14" t="s">
        <v>1237</v>
      </c>
      <c r="O2040" s="14" t="s">
        <v>1220</v>
      </c>
    </row>
    <row r="2041" spans="1:15" x14ac:dyDescent="0.25">
      <c r="A2041" s="14">
        <v>4867</v>
      </c>
      <c r="B2041" s="14" t="s">
        <v>96</v>
      </c>
      <c r="C2041" s="14" t="s">
        <v>96</v>
      </c>
      <c r="D2041" s="14" t="s">
        <v>5046</v>
      </c>
      <c r="E2041" s="16">
        <v>70</v>
      </c>
      <c r="F2041" s="14" t="s">
        <v>3271</v>
      </c>
      <c r="G2041" s="16">
        <v>70</v>
      </c>
      <c r="H2041" s="14" t="s">
        <v>5047</v>
      </c>
      <c r="I2041" s="14" t="s">
        <v>1256</v>
      </c>
      <c r="J2041" s="14" t="s">
        <v>1242</v>
      </c>
      <c r="K2041" s="14" t="s">
        <v>4502</v>
      </c>
      <c r="L2041" s="14" t="s">
        <v>5060</v>
      </c>
      <c r="M2041" s="14" t="s">
        <v>5049</v>
      </c>
      <c r="N2041" s="14" t="s">
        <v>1237</v>
      </c>
      <c r="O2041" s="14" t="s">
        <v>1220</v>
      </c>
    </row>
    <row r="2042" spans="1:15" x14ac:dyDescent="0.25">
      <c r="A2042" s="14">
        <v>4868</v>
      </c>
      <c r="B2042" s="14" t="s">
        <v>97</v>
      </c>
      <c r="C2042" s="14" t="s">
        <v>97</v>
      </c>
      <c r="D2042" s="14" t="s">
        <v>5046</v>
      </c>
      <c r="E2042" s="16">
        <v>60</v>
      </c>
      <c r="F2042" s="14" t="s">
        <v>3271</v>
      </c>
      <c r="G2042" s="16">
        <v>60</v>
      </c>
      <c r="H2042" s="14" t="s">
        <v>5047</v>
      </c>
      <c r="I2042" s="14" t="s">
        <v>1256</v>
      </c>
      <c r="J2042" s="14" t="s">
        <v>1242</v>
      </c>
      <c r="K2042" s="14" t="s">
        <v>4502</v>
      </c>
      <c r="L2042" s="14" t="s">
        <v>5061</v>
      </c>
      <c r="M2042" s="14" t="s">
        <v>5049</v>
      </c>
      <c r="N2042" s="14" t="s">
        <v>1237</v>
      </c>
      <c r="O2042" s="14" t="s">
        <v>1220</v>
      </c>
    </row>
    <row r="2043" spans="1:15" x14ac:dyDescent="0.25">
      <c r="A2043" s="14">
        <v>4869</v>
      </c>
      <c r="B2043" s="14" t="s">
        <v>98</v>
      </c>
      <c r="C2043" s="14" t="s">
        <v>98</v>
      </c>
      <c r="D2043" s="14" t="s">
        <v>5046</v>
      </c>
      <c r="E2043" s="16">
        <v>50</v>
      </c>
      <c r="F2043" s="14" t="s">
        <v>3271</v>
      </c>
      <c r="G2043" s="16">
        <v>50</v>
      </c>
      <c r="H2043" s="14" t="s">
        <v>5047</v>
      </c>
      <c r="I2043" s="14" t="s">
        <v>1256</v>
      </c>
      <c r="J2043" s="14" t="s">
        <v>1296</v>
      </c>
      <c r="K2043" s="14" t="s">
        <v>4502</v>
      </c>
      <c r="L2043" s="14" t="s">
        <v>5062</v>
      </c>
      <c r="M2043" s="14" t="s">
        <v>5049</v>
      </c>
      <c r="N2043" s="14" t="s">
        <v>1237</v>
      </c>
      <c r="O2043" s="14" t="s">
        <v>1220</v>
      </c>
    </row>
    <row r="2044" spans="1:15" x14ac:dyDescent="0.25">
      <c r="A2044" s="14">
        <v>4870</v>
      </c>
      <c r="B2044" s="14" t="s">
        <v>100</v>
      </c>
      <c r="C2044" s="14" t="s">
        <v>100</v>
      </c>
      <c r="D2044" s="14" t="s">
        <v>5046</v>
      </c>
      <c r="E2044" s="16">
        <v>40</v>
      </c>
      <c r="F2044" s="14" t="s">
        <v>3271</v>
      </c>
      <c r="G2044" s="16">
        <v>40</v>
      </c>
      <c r="H2044" s="14" t="s">
        <v>5047</v>
      </c>
      <c r="I2044" s="14" t="s">
        <v>1256</v>
      </c>
      <c r="J2044" s="14" t="s">
        <v>1296</v>
      </c>
      <c r="K2044" s="14" t="s">
        <v>4502</v>
      </c>
      <c r="L2044" s="14" t="s">
        <v>5063</v>
      </c>
      <c r="M2044" s="14" t="s">
        <v>5049</v>
      </c>
      <c r="N2044" s="14" t="s">
        <v>1237</v>
      </c>
      <c r="O2044" s="14" t="s">
        <v>1220</v>
      </c>
    </row>
    <row r="2045" spans="1:15" x14ac:dyDescent="0.25">
      <c r="A2045" s="14">
        <v>4871</v>
      </c>
      <c r="B2045" s="14" t="s">
        <v>101</v>
      </c>
      <c r="C2045" s="14" t="s">
        <v>101</v>
      </c>
      <c r="D2045" s="14" t="s">
        <v>5046</v>
      </c>
      <c r="E2045" s="16">
        <v>40</v>
      </c>
      <c r="F2045" s="14" t="s">
        <v>3271</v>
      </c>
      <c r="G2045" s="16">
        <v>40</v>
      </c>
      <c r="H2045" s="14" t="s">
        <v>5047</v>
      </c>
      <c r="I2045" s="14" t="s">
        <v>1256</v>
      </c>
      <c r="J2045" s="14" t="s">
        <v>1296</v>
      </c>
      <c r="K2045" s="14" t="s">
        <v>4502</v>
      </c>
      <c r="L2045" s="14" t="s">
        <v>5064</v>
      </c>
      <c r="M2045" s="14" t="s">
        <v>5049</v>
      </c>
      <c r="N2045" s="14" t="s">
        <v>1237</v>
      </c>
      <c r="O2045" s="14" t="s">
        <v>1220</v>
      </c>
    </row>
    <row r="2046" spans="1:15" x14ac:dyDescent="0.25">
      <c r="A2046" s="14">
        <v>4872</v>
      </c>
      <c r="B2046" s="14" t="s">
        <v>103</v>
      </c>
      <c r="C2046" s="14" t="s">
        <v>103</v>
      </c>
      <c r="D2046" s="14" t="s">
        <v>5046</v>
      </c>
      <c r="E2046" s="16">
        <v>30</v>
      </c>
      <c r="F2046" s="14" t="s">
        <v>3271</v>
      </c>
      <c r="G2046" s="16">
        <v>30</v>
      </c>
      <c r="H2046" s="14" t="s">
        <v>5047</v>
      </c>
      <c r="I2046" s="14" t="s">
        <v>1256</v>
      </c>
      <c r="J2046" s="14" t="s">
        <v>1296</v>
      </c>
      <c r="K2046" s="14" t="s">
        <v>4502</v>
      </c>
      <c r="L2046" s="14" t="s">
        <v>5065</v>
      </c>
      <c r="M2046" s="14" t="s">
        <v>5049</v>
      </c>
      <c r="N2046" s="14" t="s">
        <v>1237</v>
      </c>
      <c r="O2046" s="14" t="s">
        <v>1220</v>
      </c>
    </row>
    <row r="2047" spans="1:15" x14ac:dyDescent="0.25">
      <c r="A2047" s="14">
        <v>4873</v>
      </c>
      <c r="B2047" s="14" t="s">
        <v>5066</v>
      </c>
      <c r="C2047" s="14" t="s">
        <v>5066</v>
      </c>
      <c r="D2047" s="14" t="s">
        <v>5046</v>
      </c>
      <c r="E2047" s="16">
        <v>250</v>
      </c>
      <c r="F2047" s="14" t="s">
        <v>3271</v>
      </c>
      <c r="G2047" s="16">
        <v>250</v>
      </c>
      <c r="H2047" s="14" t="s">
        <v>5047</v>
      </c>
      <c r="I2047" s="14" t="s">
        <v>1256</v>
      </c>
      <c r="J2047" s="14" t="s">
        <v>1296</v>
      </c>
      <c r="K2047" s="14" t="s">
        <v>4502</v>
      </c>
      <c r="L2047" s="14" t="s">
        <v>5067</v>
      </c>
      <c r="M2047" s="14" t="s">
        <v>5049</v>
      </c>
      <c r="N2047" s="14" t="s">
        <v>1237</v>
      </c>
      <c r="O2047" s="14" t="s">
        <v>1220</v>
      </c>
    </row>
    <row r="2048" spans="1:15" x14ac:dyDescent="0.25">
      <c r="A2048" s="14">
        <v>4874</v>
      </c>
      <c r="B2048" s="14" t="s">
        <v>5068</v>
      </c>
      <c r="C2048" s="14" t="s">
        <v>5068</v>
      </c>
      <c r="D2048" s="14" t="s">
        <v>5046</v>
      </c>
      <c r="E2048" s="16">
        <v>200</v>
      </c>
      <c r="F2048" s="14" t="s">
        <v>3271</v>
      </c>
      <c r="G2048" s="16">
        <v>200</v>
      </c>
      <c r="H2048" s="14" t="s">
        <v>5047</v>
      </c>
      <c r="I2048" s="14" t="s">
        <v>1256</v>
      </c>
      <c r="J2048" s="14" t="s">
        <v>1242</v>
      </c>
      <c r="K2048" s="14" t="s">
        <v>4502</v>
      </c>
      <c r="L2048" s="14" t="s">
        <v>5069</v>
      </c>
      <c r="M2048" s="14" t="s">
        <v>5049</v>
      </c>
      <c r="N2048" s="14" t="s">
        <v>1237</v>
      </c>
      <c r="O2048" s="14" t="s">
        <v>1220</v>
      </c>
    </row>
    <row r="2049" spans="1:15" x14ac:dyDescent="0.25">
      <c r="A2049" s="14">
        <v>4875</v>
      </c>
      <c r="B2049" s="14" t="s">
        <v>5070</v>
      </c>
      <c r="C2049" s="14" t="s">
        <v>5070</v>
      </c>
      <c r="D2049" s="14" t="s">
        <v>5046</v>
      </c>
      <c r="E2049" s="16">
        <v>200</v>
      </c>
      <c r="F2049" s="14" t="s">
        <v>3271</v>
      </c>
      <c r="G2049" s="16">
        <v>200</v>
      </c>
      <c r="H2049" s="14" t="s">
        <v>5047</v>
      </c>
      <c r="I2049" s="14" t="s">
        <v>1256</v>
      </c>
      <c r="J2049" s="14" t="s">
        <v>1242</v>
      </c>
      <c r="K2049" s="14" t="s">
        <v>4502</v>
      </c>
      <c r="L2049" s="14" t="s">
        <v>5071</v>
      </c>
      <c r="M2049" s="14" t="s">
        <v>5049</v>
      </c>
      <c r="N2049" s="14" t="s">
        <v>1237</v>
      </c>
      <c r="O2049" s="14" t="s">
        <v>1220</v>
      </c>
    </row>
    <row r="2050" spans="1:15" x14ac:dyDescent="0.25">
      <c r="A2050" s="14">
        <v>4876</v>
      </c>
      <c r="B2050" s="14" t="s">
        <v>5072</v>
      </c>
      <c r="C2050" s="14" t="s">
        <v>5072</v>
      </c>
      <c r="D2050" s="14" t="s">
        <v>5046</v>
      </c>
      <c r="E2050" s="16">
        <v>180</v>
      </c>
      <c r="F2050" s="14" t="s">
        <v>3271</v>
      </c>
      <c r="G2050" s="16">
        <v>180</v>
      </c>
      <c r="H2050" s="14" t="s">
        <v>5047</v>
      </c>
      <c r="I2050" s="14" t="s">
        <v>1256</v>
      </c>
      <c r="J2050" s="14" t="s">
        <v>1242</v>
      </c>
      <c r="K2050" s="14" t="s">
        <v>4502</v>
      </c>
      <c r="L2050" s="14" t="s">
        <v>5073</v>
      </c>
      <c r="M2050" s="14" t="s">
        <v>5049</v>
      </c>
      <c r="N2050" s="14" t="s">
        <v>1237</v>
      </c>
      <c r="O2050" s="14" t="s">
        <v>1220</v>
      </c>
    </row>
    <row r="2051" spans="1:15" x14ac:dyDescent="0.25">
      <c r="A2051" s="14">
        <v>4877</v>
      </c>
      <c r="B2051" s="14" t="s">
        <v>5074</v>
      </c>
      <c r="C2051" s="14" t="s">
        <v>5074</v>
      </c>
      <c r="D2051" s="14" t="s">
        <v>5046</v>
      </c>
      <c r="E2051" s="16">
        <v>140</v>
      </c>
      <c r="F2051" s="14" t="s">
        <v>3271</v>
      </c>
      <c r="G2051" s="16">
        <v>140</v>
      </c>
      <c r="H2051" s="14" t="s">
        <v>5047</v>
      </c>
      <c r="I2051" s="14" t="s">
        <v>1256</v>
      </c>
      <c r="J2051" s="14" t="s">
        <v>1242</v>
      </c>
      <c r="K2051" s="14" t="s">
        <v>4502</v>
      </c>
      <c r="L2051" s="14" t="s">
        <v>5075</v>
      </c>
      <c r="M2051" s="14" t="s">
        <v>5049</v>
      </c>
      <c r="N2051" s="14" t="s">
        <v>1237</v>
      </c>
      <c r="O2051" s="14" t="s">
        <v>1220</v>
      </c>
    </row>
    <row r="2052" spans="1:15" x14ac:dyDescent="0.25">
      <c r="A2052" s="14">
        <v>4878</v>
      </c>
      <c r="B2052" s="14" t="s">
        <v>107</v>
      </c>
      <c r="C2052" s="14" t="s">
        <v>107</v>
      </c>
      <c r="D2052" s="14" t="s">
        <v>5046</v>
      </c>
      <c r="E2052" s="16">
        <v>120</v>
      </c>
      <c r="F2052" s="14" t="s">
        <v>3271</v>
      </c>
      <c r="G2052" s="16">
        <v>120</v>
      </c>
      <c r="H2052" s="14" t="s">
        <v>5047</v>
      </c>
      <c r="I2052" s="14" t="s">
        <v>1256</v>
      </c>
      <c r="J2052" s="14" t="s">
        <v>1242</v>
      </c>
      <c r="K2052" s="14" t="s">
        <v>4502</v>
      </c>
      <c r="L2052" s="14" t="s">
        <v>5076</v>
      </c>
      <c r="M2052" s="14" t="s">
        <v>5049</v>
      </c>
      <c r="N2052" s="14" t="s">
        <v>1237</v>
      </c>
      <c r="O2052" s="14" t="s">
        <v>1220</v>
      </c>
    </row>
    <row r="2053" spans="1:15" x14ac:dyDescent="0.25">
      <c r="A2053" s="14">
        <v>4879</v>
      </c>
      <c r="B2053" s="14" t="s">
        <v>108</v>
      </c>
      <c r="C2053" s="14" t="s">
        <v>108</v>
      </c>
      <c r="D2053" s="14" t="s">
        <v>5046</v>
      </c>
      <c r="E2053" s="16">
        <v>100</v>
      </c>
      <c r="F2053" s="14" t="s">
        <v>3271</v>
      </c>
      <c r="G2053" s="16">
        <v>100</v>
      </c>
      <c r="H2053" s="14" t="s">
        <v>5047</v>
      </c>
      <c r="I2053" s="14" t="s">
        <v>1256</v>
      </c>
      <c r="J2053" s="14" t="s">
        <v>1296</v>
      </c>
      <c r="K2053" s="14" t="s">
        <v>4502</v>
      </c>
      <c r="L2053" s="14" t="s">
        <v>5077</v>
      </c>
      <c r="M2053" s="14" t="s">
        <v>5049</v>
      </c>
      <c r="N2053" s="14" t="s">
        <v>1237</v>
      </c>
      <c r="O2053" s="14" t="s">
        <v>1220</v>
      </c>
    </row>
    <row r="2054" spans="1:15" x14ac:dyDescent="0.25">
      <c r="A2054" s="14">
        <v>4880</v>
      </c>
      <c r="B2054" s="14" t="s">
        <v>109</v>
      </c>
      <c r="C2054" s="14" t="s">
        <v>109</v>
      </c>
      <c r="D2054" s="14" t="s">
        <v>5046</v>
      </c>
      <c r="E2054" s="16">
        <v>70</v>
      </c>
      <c r="F2054" s="14" t="s">
        <v>3271</v>
      </c>
      <c r="G2054" s="16">
        <v>70</v>
      </c>
      <c r="H2054" s="14" t="s">
        <v>5047</v>
      </c>
      <c r="I2054" s="14" t="s">
        <v>1256</v>
      </c>
      <c r="J2054" s="14" t="s">
        <v>1242</v>
      </c>
      <c r="K2054" s="14" t="s">
        <v>4502</v>
      </c>
      <c r="L2054" s="14" t="s">
        <v>5078</v>
      </c>
      <c r="M2054" s="14" t="s">
        <v>5049</v>
      </c>
      <c r="N2054" s="14" t="s">
        <v>1237</v>
      </c>
      <c r="O2054" s="14" t="s">
        <v>1220</v>
      </c>
    </row>
    <row r="2055" spans="1:15" x14ac:dyDescent="0.25">
      <c r="A2055" s="14">
        <v>4881</v>
      </c>
      <c r="B2055" s="14" t="s">
        <v>110</v>
      </c>
      <c r="C2055" s="14" t="s">
        <v>110</v>
      </c>
      <c r="D2055" s="14" t="s">
        <v>5046</v>
      </c>
      <c r="E2055" s="16">
        <v>60</v>
      </c>
      <c r="F2055" s="14" t="s">
        <v>3271</v>
      </c>
      <c r="G2055" s="16">
        <v>60</v>
      </c>
      <c r="H2055" s="14" t="s">
        <v>5047</v>
      </c>
      <c r="I2055" s="14" t="s">
        <v>1256</v>
      </c>
      <c r="J2055" s="14" t="s">
        <v>1296</v>
      </c>
      <c r="K2055" s="14" t="s">
        <v>4502</v>
      </c>
      <c r="L2055" s="14" t="s">
        <v>5079</v>
      </c>
      <c r="M2055" s="14" t="s">
        <v>5049</v>
      </c>
      <c r="N2055" s="14" t="s">
        <v>1237</v>
      </c>
      <c r="O2055" s="14" t="s">
        <v>1220</v>
      </c>
    </row>
    <row r="2056" spans="1:15" x14ac:dyDescent="0.25">
      <c r="A2056" s="14">
        <v>4882</v>
      </c>
      <c r="B2056" s="14" t="s">
        <v>111</v>
      </c>
      <c r="C2056" s="14" t="s">
        <v>111</v>
      </c>
      <c r="D2056" s="14" t="s">
        <v>5046</v>
      </c>
      <c r="E2056" s="16">
        <v>50</v>
      </c>
      <c r="F2056" s="14" t="s">
        <v>3271</v>
      </c>
      <c r="G2056" s="16">
        <v>50</v>
      </c>
      <c r="H2056" s="14" t="s">
        <v>5047</v>
      </c>
      <c r="I2056" s="14" t="s">
        <v>1256</v>
      </c>
      <c r="J2056" s="14" t="s">
        <v>1296</v>
      </c>
      <c r="K2056" s="14" t="s">
        <v>4502</v>
      </c>
      <c r="L2056" s="14" t="s">
        <v>5080</v>
      </c>
      <c r="M2056" s="14" t="s">
        <v>5049</v>
      </c>
      <c r="N2056" s="14" t="s">
        <v>1237</v>
      </c>
      <c r="O2056" s="14" t="s">
        <v>1220</v>
      </c>
    </row>
    <row r="2057" spans="1:15" x14ac:dyDescent="0.25">
      <c r="A2057" s="14">
        <v>4883</v>
      </c>
      <c r="B2057" s="14" t="s">
        <v>113</v>
      </c>
      <c r="C2057" s="14" t="s">
        <v>113</v>
      </c>
      <c r="D2057" s="14" t="s">
        <v>5046</v>
      </c>
      <c r="E2057" s="16">
        <v>40</v>
      </c>
      <c r="F2057" s="14" t="s">
        <v>3271</v>
      </c>
      <c r="G2057" s="16">
        <v>40</v>
      </c>
      <c r="H2057" s="14" t="s">
        <v>5047</v>
      </c>
      <c r="I2057" s="14" t="s">
        <v>1256</v>
      </c>
      <c r="J2057" s="14" t="s">
        <v>1296</v>
      </c>
      <c r="K2057" s="14" t="s">
        <v>4502</v>
      </c>
      <c r="L2057" s="14" t="s">
        <v>5081</v>
      </c>
      <c r="M2057" s="14" t="s">
        <v>5049</v>
      </c>
      <c r="N2057" s="14" t="s">
        <v>1237</v>
      </c>
      <c r="O2057" s="14" t="s">
        <v>1220</v>
      </c>
    </row>
    <row r="2058" spans="1:15" x14ac:dyDescent="0.25">
      <c r="A2058" s="14">
        <v>4884</v>
      </c>
      <c r="B2058" s="14" t="s">
        <v>114</v>
      </c>
      <c r="C2058" s="14" t="s">
        <v>114</v>
      </c>
      <c r="D2058" s="14" t="s">
        <v>5046</v>
      </c>
      <c r="E2058" s="16">
        <v>40</v>
      </c>
      <c r="F2058" s="14" t="s">
        <v>3271</v>
      </c>
      <c r="G2058" s="16">
        <v>40</v>
      </c>
      <c r="H2058" s="14" t="s">
        <v>5047</v>
      </c>
      <c r="I2058" s="14" t="s">
        <v>1256</v>
      </c>
      <c r="J2058" s="14" t="s">
        <v>1296</v>
      </c>
      <c r="K2058" s="14" t="s">
        <v>4502</v>
      </c>
      <c r="L2058" s="14" t="s">
        <v>5082</v>
      </c>
      <c r="M2058" s="14" t="s">
        <v>5049</v>
      </c>
      <c r="N2058" s="14" t="s">
        <v>1237</v>
      </c>
      <c r="O2058" s="14" t="s">
        <v>1220</v>
      </c>
    </row>
    <row r="2059" spans="1:15" x14ac:dyDescent="0.25">
      <c r="A2059" s="14">
        <v>4885</v>
      </c>
      <c r="B2059" s="14" t="s">
        <v>116</v>
      </c>
      <c r="C2059" s="14" t="s">
        <v>116</v>
      </c>
      <c r="D2059" s="14" t="s">
        <v>5046</v>
      </c>
      <c r="E2059" s="16">
        <v>30</v>
      </c>
      <c r="F2059" s="14" t="s">
        <v>3271</v>
      </c>
      <c r="G2059" s="16">
        <v>30</v>
      </c>
      <c r="H2059" s="14" t="s">
        <v>5047</v>
      </c>
      <c r="I2059" s="14" t="s">
        <v>1256</v>
      </c>
      <c r="J2059" s="14" t="s">
        <v>1296</v>
      </c>
      <c r="K2059" s="14" t="s">
        <v>4502</v>
      </c>
      <c r="L2059" s="14" t="s">
        <v>5083</v>
      </c>
      <c r="M2059" s="14" t="s">
        <v>5049</v>
      </c>
      <c r="N2059" s="14" t="s">
        <v>1237</v>
      </c>
      <c r="O2059" s="14" t="s">
        <v>1220</v>
      </c>
    </row>
    <row r="2060" spans="1:15" x14ac:dyDescent="0.25">
      <c r="A2060" s="14">
        <v>4886</v>
      </c>
      <c r="B2060" s="14" t="s">
        <v>5084</v>
      </c>
      <c r="C2060" s="14" t="s">
        <v>5084</v>
      </c>
      <c r="D2060" s="14" t="s">
        <v>5046</v>
      </c>
      <c r="E2060" s="16">
        <v>125</v>
      </c>
      <c r="F2060" s="14" t="s">
        <v>3271</v>
      </c>
      <c r="G2060" s="16">
        <v>125</v>
      </c>
      <c r="H2060" s="14" t="s">
        <v>5047</v>
      </c>
      <c r="I2060" s="14" t="s">
        <v>1256</v>
      </c>
      <c r="J2060" s="14" t="s">
        <v>1296</v>
      </c>
      <c r="K2060" s="14" t="s">
        <v>4502</v>
      </c>
      <c r="L2060" s="14" t="s">
        <v>5085</v>
      </c>
      <c r="M2060" s="14" t="s">
        <v>5049</v>
      </c>
      <c r="N2060" s="14" t="s">
        <v>1237</v>
      </c>
      <c r="O2060" s="14" t="s">
        <v>1220</v>
      </c>
    </row>
    <row r="2061" spans="1:15" x14ac:dyDescent="0.25">
      <c r="A2061" s="14">
        <v>4887</v>
      </c>
      <c r="B2061" s="14" t="s">
        <v>5086</v>
      </c>
      <c r="C2061" s="14" t="s">
        <v>5086</v>
      </c>
      <c r="D2061" s="14" t="s">
        <v>5046</v>
      </c>
      <c r="E2061" s="16">
        <v>100</v>
      </c>
      <c r="F2061" s="14" t="s">
        <v>3271</v>
      </c>
      <c r="G2061" s="16">
        <v>100</v>
      </c>
      <c r="H2061" s="14" t="s">
        <v>5047</v>
      </c>
      <c r="I2061" s="14" t="s">
        <v>1256</v>
      </c>
      <c r="J2061" s="14" t="s">
        <v>1242</v>
      </c>
      <c r="K2061" s="14" t="s">
        <v>4502</v>
      </c>
      <c r="L2061" s="14" t="s">
        <v>5087</v>
      </c>
      <c r="M2061" s="14" t="s">
        <v>5049</v>
      </c>
      <c r="N2061" s="14" t="s">
        <v>1237</v>
      </c>
      <c r="O2061" s="14" t="s">
        <v>1220</v>
      </c>
    </row>
    <row r="2062" spans="1:15" x14ac:dyDescent="0.25">
      <c r="A2062" s="14">
        <v>4888</v>
      </c>
      <c r="B2062" s="14" t="s">
        <v>5088</v>
      </c>
      <c r="C2062" s="14" t="s">
        <v>5088</v>
      </c>
      <c r="D2062" s="14" t="s">
        <v>5046</v>
      </c>
      <c r="E2062" s="16">
        <v>100</v>
      </c>
      <c r="F2062" s="14" t="s">
        <v>3271</v>
      </c>
      <c r="G2062" s="16">
        <v>100</v>
      </c>
      <c r="H2062" s="14" t="s">
        <v>5047</v>
      </c>
      <c r="I2062" s="14" t="s">
        <v>1256</v>
      </c>
      <c r="J2062" s="14" t="s">
        <v>1233</v>
      </c>
      <c r="K2062" s="14" t="s">
        <v>4502</v>
      </c>
      <c r="L2062" s="14" t="s">
        <v>5089</v>
      </c>
      <c r="M2062" s="14" t="s">
        <v>5049</v>
      </c>
      <c r="N2062" s="14" t="s">
        <v>1237</v>
      </c>
      <c r="O2062" s="14" t="s">
        <v>1220</v>
      </c>
    </row>
    <row r="2063" spans="1:15" x14ac:dyDescent="0.25">
      <c r="A2063" s="14">
        <v>4889</v>
      </c>
      <c r="B2063" s="14" t="s">
        <v>5090</v>
      </c>
      <c r="C2063" s="14" t="s">
        <v>5090</v>
      </c>
      <c r="D2063" s="14" t="s">
        <v>5046</v>
      </c>
      <c r="E2063" s="16">
        <v>90</v>
      </c>
      <c r="F2063" s="14" t="s">
        <v>3271</v>
      </c>
      <c r="G2063" s="16">
        <v>90</v>
      </c>
      <c r="H2063" s="14" t="s">
        <v>5047</v>
      </c>
      <c r="I2063" s="14" t="s">
        <v>1256</v>
      </c>
      <c r="J2063" s="14" t="s">
        <v>1233</v>
      </c>
      <c r="K2063" s="14" t="s">
        <v>4502</v>
      </c>
      <c r="L2063" s="14" t="s">
        <v>5091</v>
      </c>
      <c r="M2063" s="14" t="s">
        <v>5049</v>
      </c>
      <c r="N2063" s="14" t="s">
        <v>1237</v>
      </c>
      <c r="O2063" s="14" t="s">
        <v>1220</v>
      </c>
    </row>
    <row r="2064" spans="1:15" x14ac:dyDescent="0.25">
      <c r="A2064" s="14">
        <v>4890</v>
      </c>
      <c r="B2064" s="14" t="s">
        <v>5092</v>
      </c>
      <c r="C2064" s="14" t="s">
        <v>5092</v>
      </c>
      <c r="D2064" s="14" t="s">
        <v>5046</v>
      </c>
      <c r="E2064" s="16">
        <v>70</v>
      </c>
      <c r="F2064" s="14" t="s">
        <v>3271</v>
      </c>
      <c r="G2064" s="16">
        <v>70</v>
      </c>
      <c r="H2064" s="14" t="s">
        <v>5047</v>
      </c>
      <c r="I2064" s="14" t="s">
        <v>1256</v>
      </c>
      <c r="J2064" s="14" t="s">
        <v>1233</v>
      </c>
      <c r="K2064" s="14" t="s">
        <v>4502</v>
      </c>
      <c r="L2064" s="14" t="s">
        <v>5093</v>
      </c>
      <c r="M2064" s="14" t="s">
        <v>5049</v>
      </c>
      <c r="N2064" s="14" t="s">
        <v>1237</v>
      </c>
      <c r="O2064" s="14" t="s">
        <v>1220</v>
      </c>
    </row>
    <row r="2065" spans="1:15" x14ac:dyDescent="0.25">
      <c r="A2065" s="14">
        <v>4891</v>
      </c>
      <c r="B2065" s="14" t="s">
        <v>120</v>
      </c>
      <c r="C2065" s="14" t="s">
        <v>120</v>
      </c>
      <c r="D2065" s="14" t="s">
        <v>5046</v>
      </c>
      <c r="E2065" s="16">
        <v>60</v>
      </c>
      <c r="F2065" s="14" t="s">
        <v>3271</v>
      </c>
      <c r="G2065" s="16">
        <v>60</v>
      </c>
      <c r="H2065" s="14" t="s">
        <v>5047</v>
      </c>
      <c r="I2065" s="14" t="s">
        <v>1256</v>
      </c>
      <c r="J2065" s="14" t="s">
        <v>1233</v>
      </c>
      <c r="K2065" s="14" t="s">
        <v>4502</v>
      </c>
      <c r="L2065" s="14" t="s">
        <v>5094</v>
      </c>
      <c r="M2065" s="14" t="s">
        <v>5049</v>
      </c>
      <c r="N2065" s="14" t="s">
        <v>1237</v>
      </c>
      <c r="O2065" s="14" t="s">
        <v>1220</v>
      </c>
    </row>
    <row r="2066" spans="1:15" x14ac:dyDescent="0.25">
      <c r="A2066" s="14">
        <v>4892</v>
      </c>
      <c r="B2066" s="14" t="s">
        <v>121</v>
      </c>
      <c r="C2066" s="14" t="s">
        <v>121</v>
      </c>
      <c r="D2066" s="14" t="s">
        <v>5046</v>
      </c>
      <c r="E2066" s="16">
        <v>50</v>
      </c>
      <c r="F2066" s="14" t="s">
        <v>3271</v>
      </c>
      <c r="G2066" s="16">
        <v>50</v>
      </c>
      <c r="H2066" s="14" t="s">
        <v>5047</v>
      </c>
      <c r="I2066" s="14" t="s">
        <v>1256</v>
      </c>
      <c r="J2066" s="14" t="s">
        <v>1242</v>
      </c>
      <c r="K2066" s="14" t="s">
        <v>4502</v>
      </c>
      <c r="L2066" s="14" t="s">
        <v>5095</v>
      </c>
      <c r="M2066" s="14" t="s">
        <v>5049</v>
      </c>
      <c r="N2066" s="14" t="s">
        <v>1237</v>
      </c>
      <c r="O2066" s="14" t="s">
        <v>1220</v>
      </c>
    </row>
    <row r="2067" spans="1:15" x14ac:dyDescent="0.25">
      <c r="A2067" s="14">
        <v>4893</v>
      </c>
      <c r="B2067" s="14" t="s">
        <v>122</v>
      </c>
      <c r="C2067" s="14" t="s">
        <v>122</v>
      </c>
      <c r="D2067" s="14" t="s">
        <v>5046</v>
      </c>
      <c r="E2067" s="16">
        <v>40</v>
      </c>
      <c r="F2067" s="14" t="s">
        <v>3271</v>
      </c>
      <c r="G2067" s="16">
        <v>40</v>
      </c>
      <c r="H2067" s="14" t="s">
        <v>5047</v>
      </c>
      <c r="I2067" s="14" t="s">
        <v>1256</v>
      </c>
      <c r="J2067" s="14" t="s">
        <v>1242</v>
      </c>
      <c r="K2067" s="14" t="s">
        <v>4502</v>
      </c>
      <c r="L2067" s="14" t="s">
        <v>5096</v>
      </c>
      <c r="M2067" s="14" t="s">
        <v>5049</v>
      </c>
      <c r="N2067" s="14" t="s">
        <v>1237</v>
      </c>
      <c r="O2067" s="14" t="s">
        <v>1220</v>
      </c>
    </row>
    <row r="2068" spans="1:15" x14ac:dyDescent="0.25">
      <c r="A2068" s="14">
        <v>4894</v>
      </c>
      <c r="B2068" s="14" t="s">
        <v>123</v>
      </c>
      <c r="C2068" s="14" t="s">
        <v>123</v>
      </c>
      <c r="D2068" s="14" t="s">
        <v>5046</v>
      </c>
      <c r="E2068" s="16">
        <v>30</v>
      </c>
      <c r="F2068" s="14" t="s">
        <v>3271</v>
      </c>
      <c r="G2068" s="16">
        <v>30</v>
      </c>
      <c r="H2068" s="14" t="s">
        <v>5047</v>
      </c>
      <c r="I2068" s="14" t="s">
        <v>1256</v>
      </c>
      <c r="J2068" s="14" t="s">
        <v>1296</v>
      </c>
      <c r="K2068" s="14" t="s">
        <v>4502</v>
      </c>
      <c r="L2068" s="14" t="s">
        <v>5097</v>
      </c>
      <c r="M2068" s="14" t="s">
        <v>5049</v>
      </c>
      <c r="N2068" s="14" t="s">
        <v>1237</v>
      </c>
      <c r="O2068" s="14" t="s">
        <v>1220</v>
      </c>
    </row>
    <row r="2069" spans="1:15" x14ac:dyDescent="0.25">
      <c r="A2069" s="14">
        <v>1111</v>
      </c>
      <c r="B2069" s="14" t="s">
        <v>5098</v>
      </c>
      <c r="C2069" s="14" t="s">
        <v>5098</v>
      </c>
      <c r="D2069" s="14" t="s">
        <v>2239</v>
      </c>
      <c r="E2069" s="15"/>
      <c r="F2069" s="14"/>
      <c r="G2069" s="15"/>
      <c r="H2069" s="14" t="s">
        <v>1588</v>
      </c>
      <c r="I2069" s="14"/>
      <c r="J2069" s="14"/>
      <c r="K2069" s="14"/>
      <c r="L2069" s="14"/>
      <c r="M2069" s="14"/>
      <c r="N2069" s="14" t="s">
        <v>1219</v>
      </c>
      <c r="O2069" s="14" t="s">
        <v>1220</v>
      </c>
    </row>
    <row r="2070" spans="1:15" x14ac:dyDescent="0.25">
      <c r="A2070" s="14">
        <v>1111</v>
      </c>
      <c r="B2070" s="14" t="s">
        <v>5099</v>
      </c>
      <c r="C2070" s="14" t="s">
        <v>5099</v>
      </c>
      <c r="D2070" s="14" t="s">
        <v>2239</v>
      </c>
      <c r="E2070" s="15"/>
      <c r="F2070" s="14"/>
      <c r="G2070" s="15"/>
      <c r="H2070" s="14" t="s">
        <v>1588</v>
      </c>
      <c r="I2070" s="14"/>
      <c r="J2070" s="14"/>
      <c r="K2070" s="14"/>
      <c r="L2070" s="14"/>
      <c r="M2070" s="14"/>
      <c r="N2070" s="14" t="s">
        <v>1219</v>
      </c>
      <c r="O2070" s="14" t="s">
        <v>1220</v>
      </c>
    </row>
    <row r="2071" spans="1:15" x14ac:dyDescent="0.25">
      <c r="A2071" s="14">
        <v>1112</v>
      </c>
      <c r="B2071" s="14" t="s">
        <v>5100</v>
      </c>
      <c r="C2071" s="14" t="s">
        <v>5100</v>
      </c>
      <c r="D2071" s="14" t="s">
        <v>2239</v>
      </c>
      <c r="E2071" s="15"/>
      <c r="F2071" s="14"/>
      <c r="G2071" s="15"/>
      <c r="H2071" s="14" t="s">
        <v>1588</v>
      </c>
      <c r="I2071" s="14"/>
      <c r="J2071" s="14"/>
      <c r="K2071" s="14"/>
      <c r="L2071" s="14" t="s">
        <v>5101</v>
      </c>
      <c r="M2071" s="14"/>
      <c r="N2071" s="14" t="s">
        <v>1219</v>
      </c>
      <c r="O2071" s="14" t="s">
        <v>1220</v>
      </c>
    </row>
    <row r="2072" spans="1:15" x14ac:dyDescent="0.25">
      <c r="A2072" s="14">
        <v>2354</v>
      </c>
      <c r="B2072" s="14" t="s">
        <v>894</v>
      </c>
      <c r="C2072" s="14" t="s">
        <v>894</v>
      </c>
      <c r="D2072" s="14" t="s">
        <v>5102</v>
      </c>
      <c r="E2072" s="16">
        <v>150</v>
      </c>
      <c r="F2072" s="14" t="s">
        <v>1408</v>
      </c>
      <c r="G2072" s="16">
        <v>150</v>
      </c>
      <c r="H2072" s="14" t="s">
        <v>1408</v>
      </c>
      <c r="I2072" s="14" t="s">
        <v>1256</v>
      </c>
      <c r="J2072" s="14" t="s">
        <v>1242</v>
      </c>
      <c r="K2072" s="14" t="s">
        <v>1257</v>
      </c>
      <c r="L2072" s="14" t="s">
        <v>5103</v>
      </c>
      <c r="M2072" s="14" t="s">
        <v>4039</v>
      </c>
      <c r="N2072" s="14" t="s">
        <v>1219</v>
      </c>
      <c r="O2072" s="14" t="s">
        <v>1220</v>
      </c>
    </row>
    <row r="2073" spans="1:15" x14ac:dyDescent="0.25">
      <c r="A2073" s="14" t="s">
        <v>5104</v>
      </c>
      <c r="B2073" s="14" t="s">
        <v>5105</v>
      </c>
      <c r="C2073" s="14" t="s">
        <v>5105</v>
      </c>
      <c r="D2073" s="14" t="s">
        <v>1222</v>
      </c>
      <c r="E2073" s="15"/>
      <c r="F2073" s="14"/>
      <c r="G2073" s="15"/>
      <c r="H2073" s="14" t="s">
        <v>1223</v>
      </c>
      <c r="I2073" s="14"/>
      <c r="J2073" s="14"/>
      <c r="K2073" s="14"/>
      <c r="L2073" s="14"/>
      <c r="M2073" s="14"/>
      <c r="N2073" s="14" t="s">
        <v>1219</v>
      </c>
      <c r="O2073" s="14" t="s">
        <v>1220</v>
      </c>
    </row>
    <row r="2074" spans="1:15" x14ac:dyDescent="0.25">
      <c r="A2074" s="14" t="s">
        <v>5106</v>
      </c>
      <c r="B2074" s="14" t="s">
        <v>5107</v>
      </c>
      <c r="C2074" s="14" t="s">
        <v>5107</v>
      </c>
      <c r="D2074" s="14" t="s">
        <v>1222</v>
      </c>
      <c r="E2074" s="15"/>
      <c r="F2074" s="14"/>
      <c r="G2074" s="15"/>
      <c r="H2074" s="14" t="s">
        <v>1223</v>
      </c>
      <c r="I2074" s="14"/>
      <c r="J2074" s="14"/>
      <c r="K2074" s="14"/>
      <c r="L2074" s="14"/>
      <c r="M2074" s="14"/>
      <c r="N2074" s="14" t="s">
        <v>1219</v>
      </c>
      <c r="O2074" s="14" t="s">
        <v>1220</v>
      </c>
    </row>
    <row r="2075" spans="1:15" x14ac:dyDescent="0.25">
      <c r="A2075" s="14" t="s">
        <v>5108</v>
      </c>
      <c r="B2075" s="14" t="s">
        <v>5109</v>
      </c>
      <c r="C2075" s="14" t="s">
        <v>5109</v>
      </c>
      <c r="D2075" s="14" t="s">
        <v>1222</v>
      </c>
      <c r="E2075" s="15"/>
      <c r="F2075" s="14"/>
      <c r="G2075" s="15"/>
      <c r="H2075" s="14" t="s">
        <v>1223</v>
      </c>
      <c r="I2075" s="14"/>
      <c r="J2075" s="14"/>
      <c r="K2075" s="14"/>
      <c r="L2075" s="14"/>
      <c r="M2075" s="14"/>
      <c r="N2075" s="14" t="s">
        <v>1219</v>
      </c>
      <c r="O2075" s="14" t="s">
        <v>1220</v>
      </c>
    </row>
    <row r="2076" spans="1:15" x14ac:dyDescent="0.25">
      <c r="A2076" s="14" t="s">
        <v>5110</v>
      </c>
      <c r="B2076" s="14" t="s">
        <v>5111</v>
      </c>
      <c r="C2076" s="14" t="s">
        <v>5111</v>
      </c>
      <c r="D2076" s="14" t="s">
        <v>1222</v>
      </c>
      <c r="E2076" s="15"/>
      <c r="F2076" s="14"/>
      <c r="G2076" s="15"/>
      <c r="H2076" s="14" t="s">
        <v>1223</v>
      </c>
      <c r="I2076" s="14"/>
      <c r="J2076" s="14"/>
      <c r="K2076" s="14"/>
      <c r="L2076" s="14"/>
      <c r="M2076" s="14"/>
      <c r="N2076" s="14" t="s">
        <v>1219</v>
      </c>
      <c r="O2076" s="14" t="s">
        <v>1220</v>
      </c>
    </row>
    <row r="2077" spans="1:15" x14ac:dyDescent="0.25">
      <c r="A2077" s="14" t="s">
        <v>5112</v>
      </c>
      <c r="B2077" s="14" t="s">
        <v>5113</v>
      </c>
      <c r="C2077" s="14" t="s">
        <v>5113</v>
      </c>
      <c r="D2077" s="14" t="s">
        <v>1222</v>
      </c>
      <c r="E2077" s="15"/>
      <c r="F2077" s="14"/>
      <c r="G2077" s="15"/>
      <c r="H2077" s="14" t="s">
        <v>1223</v>
      </c>
      <c r="I2077" s="14"/>
      <c r="J2077" s="14"/>
      <c r="K2077" s="14"/>
      <c r="L2077" s="14"/>
      <c r="M2077" s="14"/>
      <c r="N2077" s="14" t="s">
        <v>1219</v>
      </c>
      <c r="O2077" s="14" t="s">
        <v>1220</v>
      </c>
    </row>
    <row r="2078" spans="1:15" x14ac:dyDescent="0.25">
      <c r="A2078" s="14" t="s">
        <v>5114</v>
      </c>
      <c r="B2078" s="14" t="s">
        <v>5115</v>
      </c>
      <c r="C2078" s="14" t="s">
        <v>5115</v>
      </c>
      <c r="D2078" s="14" t="s">
        <v>1222</v>
      </c>
      <c r="E2078" s="15"/>
      <c r="F2078" s="14"/>
      <c r="G2078" s="15"/>
      <c r="H2078" s="14" t="s">
        <v>1223</v>
      </c>
      <c r="I2078" s="14"/>
      <c r="J2078" s="14"/>
      <c r="K2078" s="14"/>
      <c r="L2078" s="14"/>
      <c r="M2078" s="14"/>
      <c r="N2078" s="14" t="s">
        <v>1219</v>
      </c>
      <c r="O2078" s="14" t="s">
        <v>1220</v>
      </c>
    </row>
    <row r="2079" spans="1:15" x14ac:dyDescent="0.25">
      <c r="A2079" s="14">
        <v>10550001</v>
      </c>
      <c r="B2079" s="14" t="s">
        <v>5116</v>
      </c>
      <c r="C2079" s="14" t="s">
        <v>5116</v>
      </c>
      <c r="D2079" s="14" t="s">
        <v>1532</v>
      </c>
      <c r="E2079" s="15"/>
      <c r="F2079" s="14" t="s">
        <v>1533</v>
      </c>
      <c r="G2079" s="15"/>
      <c r="H2079" s="14" t="s">
        <v>1534</v>
      </c>
      <c r="I2079" s="14" t="s">
        <v>1360</v>
      </c>
      <c r="J2079" s="14" t="s">
        <v>1351</v>
      </c>
      <c r="K2079" s="14"/>
      <c r="L2079" s="14"/>
      <c r="M2079" s="14" t="s">
        <v>1218</v>
      </c>
      <c r="N2079" s="14" t="s">
        <v>1219</v>
      </c>
      <c r="O2079" s="14" t="s">
        <v>1220</v>
      </c>
    </row>
    <row r="2080" spans="1:15" x14ac:dyDescent="0.25">
      <c r="A2080" s="14">
        <v>6201</v>
      </c>
      <c r="B2080" s="14" t="s">
        <v>5117</v>
      </c>
      <c r="C2080" s="14" t="s">
        <v>5117</v>
      </c>
      <c r="D2080" s="14" t="s">
        <v>5118</v>
      </c>
      <c r="E2080" s="15"/>
      <c r="F2080" s="14"/>
      <c r="G2080" s="15"/>
      <c r="H2080" s="14" t="s">
        <v>1255</v>
      </c>
      <c r="I2080" s="14"/>
      <c r="J2080" s="14"/>
      <c r="K2080" s="14"/>
      <c r="L2080" s="14"/>
      <c r="M2080" s="14"/>
      <c r="N2080" s="14" t="s">
        <v>1219</v>
      </c>
      <c r="O2080" s="14" t="s">
        <v>1220</v>
      </c>
    </row>
    <row r="2081" spans="1:15" x14ac:dyDescent="0.25">
      <c r="A2081" s="14">
        <v>6200</v>
      </c>
      <c r="B2081" s="14" t="s">
        <v>5119</v>
      </c>
      <c r="C2081" s="14" t="s">
        <v>5119</v>
      </c>
      <c r="D2081" s="14" t="s">
        <v>5118</v>
      </c>
      <c r="E2081" s="15"/>
      <c r="F2081" s="14"/>
      <c r="G2081" s="15"/>
      <c r="H2081" s="14" t="s">
        <v>1255</v>
      </c>
      <c r="I2081" s="14"/>
      <c r="J2081" s="14"/>
      <c r="K2081" s="14"/>
      <c r="L2081" s="14"/>
      <c r="M2081" s="14"/>
      <c r="N2081" s="14" t="s">
        <v>1219</v>
      </c>
      <c r="O2081" s="14" t="s">
        <v>1220</v>
      </c>
    </row>
    <row r="2082" spans="1:15" x14ac:dyDescent="0.25">
      <c r="A2082" s="14" t="s">
        <v>5120</v>
      </c>
      <c r="B2082" s="14" t="s">
        <v>5121</v>
      </c>
      <c r="C2082" s="14" t="s">
        <v>5121</v>
      </c>
      <c r="D2082" s="14" t="s">
        <v>1349</v>
      </c>
      <c r="E2082" s="15"/>
      <c r="F2082" s="14"/>
      <c r="G2082" s="15"/>
      <c r="H2082" s="14" t="s">
        <v>1380</v>
      </c>
      <c r="I2082" s="14" t="s">
        <v>1360</v>
      </c>
      <c r="J2082" s="14" t="s">
        <v>1360</v>
      </c>
      <c r="K2082" s="14"/>
      <c r="L2082" s="14"/>
      <c r="M2082" s="14" t="s">
        <v>1324</v>
      </c>
      <c r="N2082" s="14" t="s">
        <v>1219</v>
      </c>
      <c r="O2082" s="14" t="s">
        <v>1220</v>
      </c>
    </row>
    <row r="2083" spans="1:15" x14ac:dyDescent="0.25">
      <c r="A2083" s="14" t="s">
        <v>5122</v>
      </c>
      <c r="B2083" s="14" t="s">
        <v>5123</v>
      </c>
      <c r="C2083" s="14" t="s">
        <v>5123</v>
      </c>
      <c r="D2083" s="14" t="s">
        <v>1222</v>
      </c>
      <c r="E2083" s="15"/>
      <c r="F2083" s="14"/>
      <c r="G2083" s="15"/>
      <c r="H2083" s="14" t="s">
        <v>1223</v>
      </c>
      <c r="I2083" s="14"/>
      <c r="J2083" s="14"/>
      <c r="K2083" s="14"/>
      <c r="L2083" s="14"/>
      <c r="M2083" s="14"/>
      <c r="N2083" s="14" t="s">
        <v>1219</v>
      </c>
      <c r="O2083" s="14" t="s">
        <v>1220</v>
      </c>
    </row>
    <row r="2084" spans="1:15" x14ac:dyDescent="0.25">
      <c r="A2084" s="14" t="s">
        <v>5124</v>
      </c>
      <c r="B2084" s="14" t="s">
        <v>5125</v>
      </c>
      <c r="C2084" s="14" t="s">
        <v>5125</v>
      </c>
      <c r="D2084" s="14" t="s">
        <v>1222</v>
      </c>
      <c r="E2084" s="15"/>
      <c r="F2084" s="14"/>
      <c r="G2084" s="15"/>
      <c r="H2084" s="14" t="s">
        <v>1223</v>
      </c>
      <c r="I2084" s="14"/>
      <c r="J2084" s="14"/>
      <c r="K2084" s="14"/>
      <c r="L2084" s="14"/>
      <c r="M2084" s="14"/>
      <c r="N2084" s="14" t="s">
        <v>1219</v>
      </c>
      <c r="O2084" s="14" t="s">
        <v>1220</v>
      </c>
    </row>
    <row r="2085" spans="1:15" x14ac:dyDescent="0.25">
      <c r="A2085" s="14">
        <v>3879</v>
      </c>
      <c r="B2085" s="14" t="s">
        <v>5126</v>
      </c>
      <c r="C2085" s="14" t="s">
        <v>5126</v>
      </c>
      <c r="D2085" s="14" t="s">
        <v>1349</v>
      </c>
      <c r="E2085" s="15"/>
      <c r="F2085" s="14"/>
      <c r="G2085" s="15"/>
      <c r="H2085" s="14" t="s">
        <v>4562</v>
      </c>
      <c r="I2085" s="14" t="s">
        <v>1360</v>
      </c>
      <c r="J2085" s="14" t="s">
        <v>1360</v>
      </c>
      <c r="K2085" s="14"/>
      <c r="L2085" s="14"/>
      <c r="M2085" s="14" t="s">
        <v>5127</v>
      </c>
      <c r="N2085" s="14" t="s">
        <v>1219</v>
      </c>
      <c r="O2085" s="14" t="s">
        <v>1220</v>
      </c>
    </row>
    <row r="2086" spans="1:15" x14ac:dyDescent="0.25">
      <c r="A2086" s="14">
        <v>6146</v>
      </c>
      <c r="B2086" s="14" t="s">
        <v>5128</v>
      </c>
      <c r="C2086" s="14" t="s">
        <v>5128</v>
      </c>
      <c r="D2086" s="14" t="s">
        <v>3278</v>
      </c>
      <c r="E2086" s="15"/>
      <c r="F2086" s="14"/>
      <c r="G2086" s="15"/>
      <c r="H2086" s="14" t="s">
        <v>3810</v>
      </c>
      <c r="I2086" s="14"/>
      <c r="J2086" s="14"/>
      <c r="K2086" s="14"/>
      <c r="L2086" s="14" t="s">
        <v>5129</v>
      </c>
      <c r="M2086" s="14"/>
      <c r="N2086" s="14" t="s">
        <v>1219</v>
      </c>
      <c r="O2086" s="14" t="s">
        <v>1220</v>
      </c>
    </row>
    <row r="2087" spans="1:15" x14ac:dyDescent="0.25">
      <c r="A2087" s="14">
        <v>6147</v>
      </c>
      <c r="B2087" s="14" t="s">
        <v>5130</v>
      </c>
      <c r="C2087" s="14" t="s">
        <v>5130</v>
      </c>
      <c r="D2087" s="14" t="s">
        <v>3278</v>
      </c>
      <c r="E2087" s="15"/>
      <c r="F2087" s="14"/>
      <c r="G2087" s="15"/>
      <c r="H2087" s="14" t="s">
        <v>3810</v>
      </c>
      <c r="I2087" s="14"/>
      <c r="J2087" s="14"/>
      <c r="K2087" s="14"/>
      <c r="L2087" s="14" t="s">
        <v>5131</v>
      </c>
      <c r="M2087" s="14"/>
      <c r="N2087" s="14" t="s">
        <v>1219</v>
      </c>
      <c r="O2087" s="14" t="s">
        <v>1220</v>
      </c>
    </row>
    <row r="2088" spans="1:15" x14ac:dyDescent="0.25">
      <c r="A2088" s="14">
        <v>4745</v>
      </c>
      <c r="B2088" s="14" t="s">
        <v>276</v>
      </c>
      <c r="C2088" s="14" t="s">
        <v>276</v>
      </c>
      <c r="D2088" s="14" t="s">
        <v>1543</v>
      </c>
      <c r="E2088" s="16">
        <v>100</v>
      </c>
      <c r="F2088" s="14" t="s">
        <v>1545</v>
      </c>
      <c r="G2088" s="17">
        <v>1000</v>
      </c>
      <c r="H2088" s="14" t="s">
        <v>1545</v>
      </c>
      <c r="I2088" s="14" t="s">
        <v>1256</v>
      </c>
      <c r="J2088" s="14" t="s">
        <v>1296</v>
      </c>
      <c r="K2088" s="14" t="s">
        <v>1257</v>
      </c>
      <c r="L2088" s="14" t="s">
        <v>5132</v>
      </c>
      <c r="M2088" s="14" t="s">
        <v>1889</v>
      </c>
      <c r="N2088" s="14" t="s">
        <v>1237</v>
      </c>
      <c r="O2088" s="14" t="s">
        <v>1220</v>
      </c>
    </row>
    <row r="2089" spans="1:15" x14ac:dyDescent="0.25">
      <c r="A2089" s="14" t="s">
        <v>5133</v>
      </c>
      <c r="B2089" s="14" t="s">
        <v>5134</v>
      </c>
      <c r="C2089" s="14" t="s">
        <v>5134</v>
      </c>
      <c r="D2089" s="14" t="s">
        <v>1545</v>
      </c>
      <c r="E2089" s="15"/>
      <c r="F2089" s="14" t="s">
        <v>1545</v>
      </c>
      <c r="G2089" s="15"/>
      <c r="H2089" s="14" t="s">
        <v>1545</v>
      </c>
      <c r="I2089" s="14" t="s">
        <v>1262</v>
      </c>
      <c r="J2089" s="14" t="s">
        <v>1262</v>
      </c>
      <c r="K2089" s="14"/>
      <c r="L2089" s="14" t="s">
        <v>5132</v>
      </c>
      <c r="M2089" s="14" t="s">
        <v>1889</v>
      </c>
      <c r="N2089" s="14" t="s">
        <v>1219</v>
      </c>
      <c r="O2089" s="14" t="s">
        <v>1220</v>
      </c>
    </row>
    <row r="2090" spans="1:15" x14ac:dyDescent="0.25">
      <c r="A2090" s="14" t="s">
        <v>3</v>
      </c>
      <c r="B2090" s="14" t="s">
        <v>1112</v>
      </c>
      <c r="C2090" s="14" t="s">
        <v>1112</v>
      </c>
      <c r="D2090" s="14" t="s">
        <v>5135</v>
      </c>
      <c r="E2090" s="16">
        <v>25</v>
      </c>
      <c r="F2090" s="14" t="s">
        <v>3314</v>
      </c>
      <c r="G2090" s="16">
        <v>25</v>
      </c>
      <c r="H2090" s="14" t="s">
        <v>3315</v>
      </c>
      <c r="I2090" s="14" t="s">
        <v>1232</v>
      </c>
      <c r="J2090" s="14" t="s">
        <v>1296</v>
      </c>
      <c r="K2090" s="14" t="s">
        <v>3316</v>
      </c>
      <c r="L2090" s="14" t="s">
        <v>5136</v>
      </c>
      <c r="M2090" s="14" t="s">
        <v>3318</v>
      </c>
      <c r="N2090" s="14" t="s">
        <v>1237</v>
      </c>
      <c r="O2090" s="14" t="s">
        <v>1220</v>
      </c>
    </row>
    <row r="2091" spans="1:15" x14ac:dyDescent="0.25">
      <c r="A2091" s="14" t="s">
        <v>1</v>
      </c>
      <c r="B2091" s="14" t="s">
        <v>1110</v>
      </c>
      <c r="C2091" s="14" t="s">
        <v>5137</v>
      </c>
      <c r="D2091" s="14" t="s">
        <v>5135</v>
      </c>
      <c r="E2091" s="16">
        <v>70</v>
      </c>
      <c r="F2091" s="14" t="s">
        <v>3314</v>
      </c>
      <c r="G2091" s="16">
        <v>70</v>
      </c>
      <c r="H2091" s="14" t="s">
        <v>3315</v>
      </c>
      <c r="I2091" s="14" t="s">
        <v>1232</v>
      </c>
      <c r="J2091" s="14" t="s">
        <v>1296</v>
      </c>
      <c r="K2091" s="14" t="s">
        <v>3316</v>
      </c>
      <c r="L2091" s="14" t="s">
        <v>5138</v>
      </c>
      <c r="M2091" s="14" t="s">
        <v>3318</v>
      </c>
      <c r="N2091" s="14" t="s">
        <v>1237</v>
      </c>
      <c r="O2091" s="14" t="s">
        <v>1220</v>
      </c>
    </row>
    <row r="2092" spans="1:15" x14ac:dyDescent="0.25">
      <c r="A2092" s="14" t="s">
        <v>2</v>
      </c>
      <c r="B2092" s="14" t="s">
        <v>1111</v>
      </c>
      <c r="C2092" s="14" t="s">
        <v>5139</v>
      </c>
      <c r="D2092" s="14" t="s">
        <v>5135</v>
      </c>
      <c r="E2092" s="16">
        <v>50</v>
      </c>
      <c r="F2092" s="14" t="s">
        <v>3314</v>
      </c>
      <c r="G2092" s="16">
        <v>50</v>
      </c>
      <c r="H2092" s="14" t="s">
        <v>3315</v>
      </c>
      <c r="I2092" s="14" t="s">
        <v>1232</v>
      </c>
      <c r="J2092" s="14" t="s">
        <v>1296</v>
      </c>
      <c r="K2092" s="14" t="s">
        <v>3316</v>
      </c>
      <c r="L2092" s="14" t="s">
        <v>5140</v>
      </c>
      <c r="M2092" s="14" t="s">
        <v>3318</v>
      </c>
      <c r="N2092" s="14" t="s">
        <v>1237</v>
      </c>
      <c r="O2092" s="14" t="s">
        <v>1220</v>
      </c>
    </row>
    <row r="2093" spans="1:15" x14ac:dyDescent="0.25">
      <c r="A2093" s="14" t="s">
        <v>5141</v>
      </c>
      <c r="B2093" s="14" t="s">
        <v>5142</v>
      </c>
      <c r="C2093" s="14" t="s">
        <v>5142</v>
      </c>
      <c r="D2093" s="14" t="s">
        <v>1222</v>
      </c>
      <c r="E2093" s="15"/>
      <c r="F2093" s="14"/>
      <c r="G2093" s="15"/>
      <c r="H2093" s="14" t="s">
        <v>1223</v>
      </c>
      <c r="I2093" s="14"/>
      <c r="J2093" s="14"/>
      <c r="K2093" s="14"/>
      <c r="L2093" s="14"/>
      <c r="M2093" s="14"/>
      <c r="N2093" s="14" t="s">
        <v>1219</v>
      </c>
      <c r="O2093" s="14" t="s">
        <v>1220</v>
      </c>
    </row>
    <row r="2094" spans="1:15" x14ac:dyDescent="0.25">
      <c r="A2094" s="14">
        <v>1303</v>
      </c>
      <c r="B2094" s="14" t="s">
        <v>5143</v>
      </c>
      <c r="C2094" s="14" t="s">
        <v>5144</v>
      </c>
      <c r="D2094" s="14" t="s">
        <v>1349</v>
      </c>
      <c r="E2094" s="15"/>
      <c r="F2094" s="14"/>
      <c r="G2094" s="15"/>
      <c r="H2094" s="14" t="s">
        <v>1887</v>
      </c>
      <c r="I2094" s="14" t="s">
        <v>1360</v>
      </c>
      <c r="J2094" s="14" t="s">
        <v>1360</v>
      </c>
      <c r="K2094" s="14"/>
      <c r="L2094" s="14"/>
      <c r="M2094" s="14" t="s">
        <v>5145</v>
      </c>
      <c r="N2094" s="14" t="s">
        <v>1219</v>
      </c>
      <c r="O2094" s="14" t="s">
        <v>1220</v>
      </c>
    </row>
    <row r="2095" spans="1:15" x14ac:dyDescent="0.25">
      <c r="A2095" s="14">
        <v>1305</v>
      </c>
      <c r="B2095" s="14" t="s">
        <v>5146</v>
      </c>
      <c r="C2095" s="14" t="s">
        <v>5147</v>
      </c>
      <c r="D2095" s="14" t="s">
        <v>1349</v>
      </c>
      <c r="E2095" s="15"/>
      <c r="F2095" s="14"/>
      <c r="G2095" s="15"/>
      <c r="H2095" s="14" t="s">
        <v>1887</v>
      </c>
      <c r="I2095" s="14" t="s">
        <v>1360</v>
      </c>
      <c r="J2095" s="14" t="s">
        <v>1360</v>
      </c>
      <c r="K2095" s="14"/>
      <c r="L2095" s="14"/>
      <c r="M2095" s="14" t="s">
        <v>5145</v>
      </c>
      <c r="N2095" s="14" t="s">
        <v>1219</v>
      </c>
      <c r="O2095" s="14" t="s">
        <v>1220</v>
      </c>
    </row>
    <row r="2096" spans="1:15" x14ac:dyDescent="0.25">
      <c r="A2096" s="14">
        <v>1306</v>
      </c>
      <c r="B2096" s="14" t="s">
        <v>5148</v>
      </c>
      <c r="C2096" s="14" t="s">
        <v>5149</v>
      </c>
      <c r="D2096" s="14" t="s">
        <v>1885</v>
      </c>
      <c r="E2096" s="15"/>
      <c r="F2096" s="14" t="s">
        <v>1350</v>
      </c>
      <c r="G2096" s="15"/>
      <c r="H2096" s="14" t="s">
        <v>1887</v>
      </c>
      <c r="I2096" s="14" t="s">
        <v>1351</v>
      </c>
      <c r="J2096" s="14" t="s">
        <v>1385</v>
      </c>
      <c r="K2096" s="14" t="s">
        <v>1257</v>
      </c>
      <c r="L2096" s="14" t="s">
        <v>5132</v>
      </c>
      <c r="M2096" s="14" t="s">
        <v>5145</v>
      </c>
      <c r="N2096" s="14" t="s">
        <v>1219</v>
      </c>
      <c r="O2096" s="14" t="s">
        <v>1220</v>
      </c>
    </row>
    <row r="2097" spans="1:15" x14ac:dyDescent="0.25">
      <c r="A2097" s="14">
        <v>1307</v>
      </c>
      <c r="B2097" s="14" t="s">
        <v>5150</v>
      </c>
      <c r="C2097" s="14" t="s">
        <v>5151</v>
      </c>
      <c r="D2097" s="14" t="s">
        <v>1885</v>
      </c>
      <c r="E2097" s="15"/>
      <c r="F2097" s="14" t="s">
        <v>1350</v>
      </c>
      <c r="G2097" s="15"/>
      <c r="H2097" s="14" t="s">
        <v>1887</v>
      </c>
      <c r="I2097" s="14" t="s">
        <v>1360</v>
      </c>
      <c r="J2097" s="14" t="s">
        <v>1385</v>
      </c>
      <c r="K2097" s="14" t="s">
        <v>1257</v>
      </c>
      <c r="L2097" s="14" t="s">
        <v>5132</v>
      </c>
      <c r="M2097" s="14" t="s">
        <v>5145</v>
      </c>
      <c r="N2097" s="14" t="s">
        <v>1219</v>
      </c>
      <c r="O2097" s="14" t="s">
        <v>1220</v>
      </c>
    </row>
    <row r="2098" spans="1:15" x14ac:dyDescent="0.25">
      <c r="A2098" s="14" t="s">
        <v>5152</v>
      </c>
      <c r="B2098" s="14" t="s">
        <v>5153</v>
      </c>
      <c r="C2098" s="14" t="s">
        <v>5153</v>
      </c>
      <c r="D2098" s="14" t="s">
        <v>1427</v>
      </c>
      <c r="E2098" s="15"/>
      <c r="F2098" s="14"/>
      <c r="G2098" s="15"/>
      <c r="H2098" s="14" t="s">
        <v>1428</v>
      </c>
      <c r="I2098" s="14"/>
      <c r="J2098" s="14"/>
      <c r="K2098" s="14"/>
      <c r="L2098" s="14"/>
      <c r="M2098" s="14"/>
      <c r="N2098" s="14" t="s">
        <v>1219</v>
      </c>
      <c r="O2098" s="14" t="s">
        <v>1429</v>
      </c>
    </row>
    <row r="2099" spans="1:15" x14ac:dyDescent="0.25">
      <c r="A2099" s="14" t="s">
        <v>5152</v>
      </c>
      <c r="B2099" s="14" t="s">
        <v>5154</v>
      </c>
      <c r="C2099" s="14" t="s">
        <v>5154</v>
      </c>
      <c r="D2099" s="14" t="s">
        <v>1427</v>
      </c>
      <c r="E2099" s="15"/>
      <c r="F2099" s="14"/>
      <c r="G2099" s="15"/>
      <c r="H2099" s="14" t="s">
        <v>1428</v>
      </c>
      <c r="I2099" s="14"/>
      <c r="J2099" s="14"/>
      <c r="K2099" s="14"/>
      <c r="L2099" s="14"/>
      <c r="M2099" s="14"/>
      <c r="N2099" s="14" t="s">
        <v>1219</v>
      </c>
      <c r="O2099" s="14" t="s">
        <v>1429</v>
      </c>
    </row>
    <row r="2100" spans="1:15" x14ac:dyDescent="0.25">
      <c r="A2100" s="14" t="s">
        <v>5155</v>
      </c>
      <c r="B2100" s="14" t="s">
        <v>5156</v>
      </c>
      <c r="C2100" s="14" t="s">
        <v>5156</v>
      </c>
      <c r="D2100" s="14" t="s">
        <v>3893</v>
      </c>
      <c r="E2100" s="15"/>
      <c r="F2100" s="14"/>
      <c r="G2100" s="15"/>
      <c r="H2100" s="14" t="s">
        <v>1223</v>
      </c>
      <c r="I2100" s="14"/>
      <c r="J2100" s="14"/>
      <c r="K2100" s="14"/>
      <c r="L2100" s="14"/>
      <c r="M2100" s="14"/>
      <c r="N2100" s="14" t="s">
        <v>1219</v>
      </c>
      <c r="O2100" s="14" t="s">
        <v>1220</v>
      </c>
    </row>
    <row r="2101" spans="1:15" x14ac:dyDescent="0.25">
      <c r="A2101" s="14" t="s">
        <v>5157</v>
      </c>
      <c r="B2101" s="14" t="s">
        <v>5158</v>
      </c>
      <c r="C2101" s="14" t="s">
        <v>5158</v>
      </c>
      <c r="D2101" s="14" t="s">
        <v>3893</v>
      </c>
      <c r="E2101" s="15"/>
      <c r="F2101" s="14"/>
      <c r="G2101" s="15"/>
      <c r="H2101" s="14" t="s">
        <v>1223</v>
      </c>
      <c r="I2101" s="14"/>
      <c r="J2101" s="14"/>
      <c r="K2101" s="14"/>
      <c r="L2101" s="14"/>
      <c r="M2101" s="14"/>
      <c r="N2101" s="14" t="s">
        <v>1219</v>
      </c>
      <c r="O2101" s="14" t="s">
        <v>1220</v>
      </c>
    </row>
    <row r="2102" spans="1:15" x14ac:dyDescent="0.25">
      <c r="A2102" s="14" t="s">
        <v>5159</v>
      </c>
      <c r="B2102" s="14" t="s">
        <v>5160</v>
      </c>
      <c r="C2102" s="14" t="s">
        <v>5160</v>
      </c>
      <c r="D2102" s="14" t="s">
        <v>3893</v>
      </c>
      <c r="E2102" s="15"/>
      <c r="F2102" s="14"/>
      <c r="G2102" s="15"/>
      <c r="H2102" s="14" t="s">
        <v>1223</v>
      </c>
      <c r="I2102" s="14"/>
      <c r="J2102" s="14"/>
      <c r="K2102" s="14"/>
      <c r="L2102" s="14"/>
      <c r="M2102" s="14"/>
      <c r="N2102" s="14" t="s">
        <v>1219</v>
      </c>
      <c r="O2102" s="14" t="s">
        <v>1220</v>
      </c>
    </row>
    <row r="2103" spans="1:15" x14ac:dyDescent="0.25">
      <c r="A2103" s="14">
        <v>3057</v>
      </c>
      <c r="B2103" s="14" t="s">
        <v>5161</v>
      </c>
      <c r="C2103" s="14" t="s">
        <v>5162</v>
      </c>
      <c r="D2103" s="14" t="s">
        <v>5163</v>
      </c>
      <c r="E2103" s="15"/>
      <c r="F2103" s="14" t="s">
        <v>1350</v>
      </c>
      <c r="G2103" s="15"/>
      <c r="H2103" s="14" t="s">
        <v>5164</v>
      </c>
      <c r="I2103" s="14" t="s">
        <v>1351</v>
      </c>
      <c r="J2103" s="14" t="s">
        <v>1296</v>
      </c>
      <c r="K2103" s="14" t="s">
        <v>1257</v>
      </c>
      <c r="L2103" s="14" t="s">
        <v>5165</v>
      </c>
      <c r="M2103" s="14" t="s">
        <v>5166</v>
      </c>
      <c r="N2103" s="14" t="s">
        <v>1219</v>
      </c>
      <c r="O2103" s="14" t="s">
        <v>1220</v>
      </c>
    </row>
    <row r="2104" spans="1:15" x14ac:dyDescent="0.25">
      <c r="A2104" s="14">
        <v>3050</v>
      </c>
      <c r="B2104" s="14" t="s">
        <v>5167</v>
      </c>
      <c r="C2104" s="14" t="s">
        <v>1165</v>
      </c>
      <c r="D2104" s="14" t="s">
        <v>5163</v>
      </c>
      <c r="E2104" s="16">
        <v>1</v>
      </c>
      <c r="F2104" s="14" t="s">
        <v>5164</v>
      </c>
      <c r="G2104" s="16">
        <v>50</v>
      </c>
      <c r="H2104" s="14" t="s">
        <v>5164</v>
      </c>
      <c r="I2104" s="14" t="s">
        <v>1351</v>
      </c>
      <c r="J2104" s="14" t="s">
        <v>1296</v>
      </c>
      <c r="K2104" s="14" t="s">
        <v>1257</v>
      </c>
      <c r="L2104" s="14" t="s">
        <v>5168</v>
      </c>
      <c r="M2104" s="14" t="s">
        <v>5166</v>
      </c>
      <c r="N2104" s="14" t="s">
        <v>1219</v>
      </c>
      <c r="O2104" s="14" t="s">
        <v>1220</v>
      </c>
    </row>
    <row r="2105" spans="1:15" x14ac:dyDescent="0.25">
      <c r="A2105" s="14">
        <v>3063</v>
      </c>
      <c r="B2105" s="14" t="s">
        <v>1165</v>
      </c>
      <c r="C2105" s="14" t="s">
        <v>1165</v>
      </c>
      <c r="D2105" s="14" t="s">
        <v>5169</v>
      </c>
      <c r="E2105" s="16">
        <v>1</v>
      </c>
      <c r="F2105" s="14" t="s">
        <v>5164</v>
      </c>
      <c r="G2105" s="16">
        <v>1</v>
      </c>
      <c r="H2105" s="14" t="s">
        <v>5164</v>
      </c>
      <c r="I2105" s="14" t="s">
        <v>1232</v>
      </c>
      <c r="J2105" s="14" t="s">
        <v>1296</v>
      </c>
      <c r="K2105" s="14" t="s">
        <v>5170</v>
      </c>
      <c r="L2105" s="14" t="s">
        <v>5171</v>
      </c>
      <c r="M2105" s="14" t="s">
        <v>5166</v>
      </c>
      <c r="N2105" s="14" t="s">
        <v>1237</v>
      </c>
      <c r="O2105" s="14" t="s">
        <v>1220</v>
      </c>
    </row>
    <row r="2106" spans="1:15" x14ac:dyDescent="0.25">
      <c r="A2106" s="14">
        <v>3051</v>
      </c>
      <c r="B2106" s="14" t="s">
        <v>5172</v>
      </c>
      <c r="C2106" s="14" t="s">
        <v>1166</v>
      </c>
      <c r="D2106" s="14" t="s">
        <v>5163</v>
      </c>
      <c r="E2106" s="16">
        <v>1</v>
      </c>
      <c r="F2106" s="14" t="s">
        <v>5164</v>
      </c>
      <c r="G2106" s="16">
        <v>50</v>
      </c>
      <c r="H2106" s="14" t="s">
        <v>5164</v>
      </c>
      <c r="I2106" s="14" t="s">
        <v>1351</v>
      </c>
      <c r="J2106" s="14" t="s">
        <v>1296</v>
      </c>
      <c r="K2106" s="14" t="s">
        <v>1257</v>
      </c>
      <c r="L2106" s="14" t="s">
        <v>5173</v>
      </c>
      <c r="M2106" s="14" t="s">
        <v>5166</v>
      </c>
      <c r="N2106" s="14" t="s">
        <v>1219</v>
      </c>
      <c r="O2106" s="14" t="s">
        <v>1220</v>
      </c>
    </row>
    <row r="2107" spans="1:15" x14ac:dyDescent="0.25">
      <c r="A2107" s="14">
        <v>3064</v>
      </c>
      <c r="B2107" s="14" t="s">
        <v>1166</v>
      </c>
      <c r="C2107" s="14" t="s">
        <v>1166</v>
      </c>
      <c r="D2107" s="14" t="s">
        <v>5169</v>
      </c>
      <c r="E2107" s="16">
        <v>1</v>
      </c>
      <c r="F2107" s="14" t="s">
        <v>5164</v>
      </c>
      <c r="G2107" s="16">
        <v>1</v>
      </c>
      <c r="H2107" s="14" t="s">
        <v>5164</v>
      </c>
      <c r="I2107" s="14" t="s">
        <v>1232</v>
      </c>
      <c r="J2107" s="14" t="s">
        <v>1296</v>
      </c>
      <c r="K2107" s="14" t="s">
        <v>5170</v>
      </c>
      <c r="L2107" s="14" t="s">
        <v>5174</v>
      </c>
      <c r="M2107" s="14" t="s">
        <v>5166</v>
      </c>
      <c r="N2107" s="14" t="s">
        <v>1237</v>
      </c>
      <c r="O2107" s="14" t="s">
        <v>1220</v>
      </c>
    </row>
    <row r="2108" spans="1:15" x14ac:dyDescent="0.25">
      <c r="A2108" s="14">
        <v>3047</v>
      </c>
      <c r="B2108" s="14" t="s">
        <v>5175</v>
      </c>
      <c r="C2108" s="14" t="s">
        <v>5176</v>
      </c>
      <c r="D2108" s="14" t="s">
        <v>5163</v>
      </c>
      <c r="E2108" s="16">
        <v>1</v>
      </c>
      <c r="F2108" s="14" t="s">
        <v>5164</v>
      </c>
      <c r="G2108" s="16">
        <v>50</v>
      </c>
      <c r="H2108" s="14" t="s">
        <v>5164</v>
      </c>
      <c r="I2108" s="14" t="s">
        <v>1351</v>
      </c>
      <c r="J2108" s="14" t="s">
        <v>1296</v>
      </c>
      <c r="K2108" s="14" t="s">
        <v>1257</v>
      </c>
      <c r="L2108" s="14" t="s">
        <v>5177</v>
      </c>
      <c r="M2108" s="14" t="s">
        <v>5166</v>
      </c>
      <c r="N2108" s="14" t="s">
        <v>1219</v>
      </c>
      <c r="O2108" s="14" t="s">
        <v>1220</v>
      </c>
    </row>
    <row r="2109" spans="1:15" x14ac:dyDescent="0.25">
      <c r="A2109" s="14">
        <v>3060</v>
      </c>
      <c r="B2109" s="14" t="s">
        <v>1162</v>
      </c>
      <c r="C2109" s="14" t="s">
        <v>5176</v>
      </c>
      <c r="D2109" s="14" t="s">
        <v>5169</v>
      </c>
      <c r="E2109" s="16">
        <v>1</v>
      </c>
      <c r="F2109" s="14" t="s">
        <v>5164</v>
      </c>
      <c r="G2109" s="16">
        <v>1</v>
      </c>
      <c r="H2109" s="14" t="s">
        <v>5164</v>
      </c>
      <c r="I2109" s="14" t="s">
        <v>1232</v>
      </c>
      <c r="J2109" s="14" t="s">
        <v>1296</v>
      </c>
      <c r="K2109" s="14" t="s">
        <v>5170</v>
      </c>
      <c r="L2109" s="14" t="s">
        <v>5178</v>
      </c>
      <c r="M2109" s="14" t="s">
        <v>5166</v>
      </c>
      <c r="N2109" s="14" t="s">
        <v>1237</v>
      </c>
      <c r="O2109" s="14" t="s">
        <v>1220</v>
      </c>
    </row>
    <row r="2110" spans="1:15" x14ac:dyDescent="0.25">
      <c r="A2110" s="14">
        <v>3048</v>
      </c>
      <c r="B2110" s="14" t="s">
        <v>5179</v>
      </c>
      <c r="C2110" s="14" t="s">
        <v>5180</v>
      </c>
      <c r="D2110" s="14" t="s">
        <v>5163</v>
      </c>
      <c r="E2110" s="16">
        <v>1</v>
      </c>
      <c r="F2110" s="14" t="s">
        <v>5164</v>
      </c>
      <c r="G2110" s="16">
        <v>50</v>
      </c>
      <c r="H2110" s="14" t="s">
        <v>5164</v>
      </c>
      <c r="I2110" s="14" t="s">
        <v>1351</v>
      </c>
      <c r="J2110" s="14" t="s">
        <v>1296</v>
      </c>
      <c r="K2110" s="14" t="s">
        <v>1257</v>
      </c>
      <c r="L2110" s="14" t="s">
        <v>5181</v>
      </c>
      <c r="M2110" s="14" t="s">
        <v>5166</v>
      </c>
      <c r="N2110" s="14" t="s">
        <v>1219</v>
      </c>
      <c r="O2110" s="14" t="s">
        <v>1220</v>
      </c>
    </row>
    <row r="2111" spans="1:15" x14ac:dyDescent="0.25">
      <c r="A2111" s="14">
        <v>3061</v>
      </c>
      <c r="B2111" s="14" t="s">
        <v>1163</v>
      </c>
      <c r="C2111" s="14" t="s">
        <v>5180</v>
      </c>
      <c r="D2111" s="14" t="s">
        <v>5169</v>
      </c>
      <c r="E2111" s="16">
        <v>1</v>
      </c>
      <c r="F2111" s="14" t="s">
        <v>5164</v>
      </c>
      <c r="G2111" s="16">
        <v>1</v>
      </c>
      <c r="H2111" s="14" t="s">
        <v>5164</v>
      </c>
      <c r="I2111" s="14" t="s">
        <v>1232</v>
      </c>
      <c r="J2111" s="14" t="s">
        <v>1296</v>
      </c>
      <c r="K2111" s="14" t="s">
        <v>5170</v>
      </c>
      <c r="L2111" s="14" t="s">
        <v>5182</v>
      </c>
      <c r="M2111" s="14" t="s">
        <v>5166</v>
      </c>
      <c r="N2111" s="14" t="s">
        <v>1237</v>
      </c>
      <c r="O2111" s="14" t="s">
        <v>1220</v>
      </c>
    </row>
    <row r="2112" spans="1:15" x14ac:dyDescent="0.25">
      <c r="A2112" s="14">
        <v>3049</v>
      </c>
      <c r="B2112" s="14" t="s">
        <v>5183</v>
      </c>
      <c r="C2112" s="14" t="s">
        <v>5184</v>
      </c>
      <c r="D2112" s="14" t="s">
        <v>5163</v>
      </c>
      <c r="E2112" s="16">
        <v>1</v>
      </c>
      <c r="F2112" s="14" t="s">
        <v>5164</v>
      </c>
      <c r="G2112" s="16">
        <v>50</v>
      </c>
      <c r="H2112" s="14" t="s">
        <v>5164</v>
      </c>
      <c r="I2112" s="14" t="s">
        <v>1351</v>
      </c>
      <c r="J2112" s="14" t="s">
        <v>1296</v>
      </c>
      <c r="K2112" s="14" t="s">
        <v>1257</v>
      </c>
      <c r="L2112" s="14" t="s">
        <v>5165</v>
      </c>
      <c r="M2112" s="14" t="s">
        <v>5166</v>
      </c>
      <c r="N2112" s="14" t="s">
        <v>1219</v>
      </c>
      <c r="O2112" s="14" t="s">
        <v>1220</v>
      </c>
    </row>
    <row r="2113" spans="1:15" x14ac:dyDescent="0.25">
      <c r="A2113" s="14">
        <v>3062</v>
      </c>
      <c r="B2113" s="14" t="s">
        <v>1164</v>
      </c>
      <c r="C2113" s="14" t="s">
        <v>5184</v>
      </c>
      <c r="D2113" s="14" t="s">
        <v>5169</v>
      </c>
      <c r="E2113" s="16">
        <v>1</v>
      </c>
      <c r="F2113" s="14" t="s">
        <v>5164</v>
      </c>
      <c r="G2113" s="16">
        <v>1</v>
      </c>
      <c r="H2113" s="14" t="s">
        <v>5164</v>
      </c>
      <c r="I2113" s="14" t="s">
        <v>1232</v>
      </c>
      <c r="J2113" s="14" t="s">
        <v>1296</v>
      </c>
      <c r="K2113" s="14" t="s">
        <v>5170</v>
      </c>
      <c r="L2113" s="14" t="s">
        <v>5185</v>
      </c>
      <c r="M2113" s="14" t="s">
        <v>5166</v>
      </c>
      <c r="N2113" s="14" t="s">
        <v>1237</v>
      </c>
      <c r="O2113" s="14" t="s">
        <v>1220</v>
      </c>
    </row>
    <row r="2114" spans="1:15" x14ac:dyDescent="0.25">
      <c r="A2114" s="14">
        <v>3058</v>
      </c>
      <c r="B2114" s="14" t="s">
        <v>5186</v>
      </c>
      <c r="C2114" s="14" t="s">
        <v>5187</v>
      </c>
      <c r="D2114" s="14" t="s">
        <v>5163</v>
      </c>
      <c r="E2114" s="15"/>
      <c r="F2114" s="14" t="s">
        <v>1350</v>
      </c>
      <c r="G2114" s="15"/>
      <c r="H2114" s="14" t="s">
        <v>5164</v>
      </c>
      <c r="I2114" s="14" t="s">
        <v>1351</v>
      </c>
      <c r="J2114" s="14" t="s">
        <v>1296</v>
      </c>
      <c r="K2114" s="14" t="s">
        <v>1257</v>
      </c>
      <c r="L2114" s="14" t="s">
        <v>5188</v>
      </c>
      <c r="M2114" s="14" t="s">
        <v>5189</v>
      </c>
      <c r="N2114" s="14" t="s">
        <v>1219</v>
      </c>
      <c r="O2114" s="14" t="s">
        <v>1220</v>
      </c>
    </row>
    <row r="2115" spans="1:15" x14ac:dyDescent="0.25">
      <c r="A2115" s="14">
        <v>3055</v>
      </c>
      <c r="B2115" s="14" t="s">
        <v>5190</v>
      </c>
      <c r="C2115" s="14" t="s">
        <v>5191</v>
      </c>
      <c r="D2115" s="14" t="s">
        <v>5163</v>
      </c>
      <c r="E2115" s="16">
        <v>1</v>
      </c>
      <c r="F2115" s="14" t="s">
        <v>5164</v>
      </c>
      <c r="G2115" s="16">
        <v>50</v>
      </c>
      <c r="H2115" s="14" t="s">
        <v>5164</v>
      </c>
      <c r="I2115" s="14" t="s">
        <v>1351</v>
      </c>
      <c r="J2115" s="14" t="s">
        <v>1242</v>
      </c>
      <c r="K2115" s="14" t="s">
        <v>1257</v>
      </c>
      <c r="L2115" s="14" t="s">
        <v>5192</v>
      </c>
      <c r="M2115" s="14" t="s">
        <v>5189</v>
      </c>
      <c r="N2115" s="14" t="s">
        <v>1219</v>
      </c>
      <c r="O2115" s="14" t="s">
        <v>1220</v>
      </c>
    </row>
    <row r="2116" spans="1:15" x14ac:dyDescent="0.25">
      <c r="A2116" s="14">
        <v>3068</v>
      </c>
      <c r="B2116" s="14" t="s">
        <v>5191</v>
      </c>
      <c r="C2116" s="14" t="s">
        <v>5191</v>
      </c>
      <c r="D2116" s="14" t="s">
        <v>5169</v>
      </c>
      <c r="E2116" s="16">
        <v>1</v>
      </c>
      <c r="F2116" s="14" t="s">
        <v>5164</v>
      </c>
      <c r="G2116" s="16">
        <v>1</v>
      </c>
      <c r="H2116" s="14" t="s">
        <v>5164</v>
      </c>
      <c r="I2116" s="14" t="s">
        <v>1232</v>
      </c>
      <c r="J2116" s="14" t="s">
        <v>1296</v>
      </c>
      <c r="K2116" s="14" t="s">
        <v>5170</v>
      </c>
      <c r="L2116" s="14" t="s">
        <v>5193</v>
      </c>
      <c r="M2116" s="14" t="s">
        <v>5194</v>
      </c>
      <c r="N2116" s="14" t="s">
        <v>1237</v>
      </c>
      <c r="O2116" s="14" t="s">
        <v>1220</v>
      </c>
    </row>
    <row r="2117" spans="1:15" x14ac:dyDescent="0.25">
      <c r="A2117" s="14">
        <v>3056</v>
      </c>
      <c r="B2117" s="14" t="s">
        <v>5195</v>
      </c>
      <c r="C2117" s="14" t="s">
        <v>5196</v>
      </c>
      <c r="D2117" s="14" t="s">
        <v>5163</v>
      </c>
      <c r="E2117" s="16">
        <v>1</v>
      </c>
      <c r="F2117" s="14" t="s">
        <v>5164</v>
      </c>
      <c r="G2117" s="16">
        <v>50</v>
      </c>
      <c r="H2117" s="14" t="s">
        <v>5164</v>
      </c>
      <c r="I2117" s="14" t="s">
        <v>1351</v>
      </c>
      <c r="J2117" s="14" t="s">
        <v>1233</v>
      </c>
      <c r="K2117" s="14" t="s">
        <v>1257</v>
      </c>
      <c r="L2117" s="14" t="s">
        <v>5197</v>
      </c>
      <c r="M2117" s="14" t="s">
        <v>5189</v>
      </c>
      <c r="N2117" s="14" t="s">
        <v>1219</v>
      </c>
      <c r="O2117" s="14" t="s">
        <v>1220</v>
      </c>
    </row>
    <row r="2118" spans="1:15" x14ac:dyDescent="0.25">
      <c r="A2118" s="14">
        <v>3069</v>
      </c>
      <c r="B2118" s="14" t="s">
        <v>5196</v>
      </c>
      <c r="C2118" s="14" t="s">
        <v>5196</v>
      </c>
      <c r="D2118" s="14" t="s">
        <v>5169</v>
      </c>
      <c r="E2118" s="16">
        <v>1</v>
      </c>
      <c r="F2118" s="14" t="s">
        <v>5164</v>
      </c>
      <c r="G2118" s="16">
        <v>1</v>
      </c>
      <c r="H2118" s="14" t="s">
        <v>5164</v>
      </c>
      <c r="I2118" s="14" t="s">
        <v>1232</v>
      </c>
      <c r="J2118" s="14" t="s">
        <v>1296</v>
      </c>
      <c r="K2118" s="14" t="s">
        <v>5170</v>
      </c>
      <c r="L2118" s="14" t="s">
        <v>5198</v>
      </c>
      <c r="M2118" s="14" t="s">
        <v>5194</v>
      </c>
      <c r="N2118" s="14" t="s">
        <v>1237</v>
      </c>
      <c r="O2118" s="14" t="s">
        <v>1220</v>
      </c>
    </row>
    <row r="2119" spans="1:15" x14ac:dyDescent="0.25">
      <c r="A2119" s="14">
        <v>3052</v>
      </c>
      <c r="B2119" s="14" t="s">
        <v>5199</v>
      </c>
      <c r="C2119" s="14" t="s">
        <v>5200</v>
      </c>
      <c r="D2119" s="14" t="s">
        <v>5163</v>
      </c>
      <c r="E2119" s="16">
        <v>1</v>
      </c>
      <c r="F2119" s="14" t="s">
        <v>5164</v>
      </c>
      <c r="G2119" s="16">
        <v>50</v>
      </c>
      <c r="H2119" s="14" t="s">
        <v>5164</v>
      </c>
      <c r="I2119" s="14" t="s">
        <v>1351</v>
      </c>
      <c r="J2119" s="14" t="s">
        <v>1296</v>
      </c>
      <c r="K2119" s="14" t="s">
        <v>1257</v>
      </c>
      <c r="L2119" s="14" t="s">
        <v>5201</v>
      </c>
      <c r="M2119" s="14" t="s">
        <v>5189</v>
      </c>
      <c r="N2119" s="14" t="s">
        <v>1219</v>
      </c>
      <c r="O2119" s="14" t="s">
        <v>1220</v>
      </c>
    </row>
    <row r="2120" spans="1:15" x14ac:dyDescent="0.25">
      <c r="A2120" s="14">
        <v>3065</v>
      </c>
      <c r="B2120" s="14" t="s">
        <v>1167</v>
      </c>
      <c r="C2120" s="14" t="s">
        <v>5200</v>
      </c>
      <c r="D2120" s="14" t="s">
        <v>5169</v>
      </c>
      <c r="E2120" s="16">
        <v>1</v>
      </c>
      <c r="F2120" s="14" t="s">
        <v>5164</v>
      </c>
      <c r="G2120" s="16">
        <v>1</v>
      </c>
      <c r="H2120" s="14" t="s">
        <v>5164</v>
      </c>
      <c r="I2120" s="14" t="s">
        <v>1232</v>
      </c>
      <c r="J2120" s="14" t="s">
        <v>1296</v>
      </c>
      <c r="K2120" s="14" t="s">
        <v>5170</v>
      </c>
      <c r="L2120" s="14" t="s">
        <v>5202</v>
      </c>
      <c r="M2120" s="14" t="s">
        <v>5194</v>
      </c>
      <c r="N2120" s="14" t="s">
        <v>1237</v>
      </c>
      <c r="O2120" s="14" t="s">
        <v>1220</v>
      </c>
    </row>
    <row r="2121" spans="1:15" x14ac:dyDescent="0.25">
      <c r="A2121" s="14">
        <v>3053</v>
      </c>
      <c r="B2121" s="14" t="s">
        <v>5203</v>
      </c>
      <c r="C2121" s="14" t="s">
        <v>5204</v>
      </c>
      <c r="D2121" s="14" t="s">
        <v>5163</v>
      </c>
      <c r="E2121" s="16">
        <v>1</v>
      </c>
      <c r="F2121" s="14" t="s">
        <v>5164</v>
      </c>
      <c r="G2121" s="16">
        <v>50</v>
      </c>
      <c r="H2121" s="14" t="s">
        <v>5164</v>
      </c>
      <c r="I2121" s="14" t="s">
        <v>1351</v>
      </c>
      <c r="J2121" s="14" t="s">
        <v>1242</v>
      </c>
      <c r="K2121" s="14" t="s">
        <v>1257</v>
      </c>
      <c r="L2121" s="14" t="s">
        <v>5205</v>
      </c>
      <c r="M2121" s="14" t="s">
        <v>5189</v>
      </c>
      <c r="N2121" s="14" t="s">
        <v>1219</v>
      </c>
      <c r="O2121" s="14" t="s">
        <v>1220</v>
      </c>
    </row>
    <row r="2122" spans="1:15" x14ac:dyDescent="0.25">
      <c r="A2122" s="14">
        <v>3066</v>
      </c>
      <c r="B2122" s="14" t="s">
        <v>5206</v>
      </c>
      <c r="C2122" s="14" t="s">
        <v>5204</v>
      </c>
      <c r="D2122" s="14" t="s">
        <v>5169</v>
      </c>
      <c r="E2122" s="16">
        <v>1</v>
      </c>
      <c r="F2122" s="14" t="s">
        <v>5164</v>
      </c>
      <c r="G2122" s="16">
        <v>1</v>
      </c>
      <c r="H2122" s="14" t="s">
        <v>5164</v>
      </c>
      <c r="I2122" s="14" t="s">
        <v>1232</v>
      </c>
      <c r="J2122" s="14" t="s">
        <v>1296</v>
      </c>
      <c r="K2122" s="14" t="s">
        <v>5170</v>
      </c>
      <c r="L2122" s="14" t="s">
        <v>5207</v>
      </c>
      <c r="M2122" s="14" t="s">
        <v>5194</v>
      </c>
      <c r="N2122" s="14" t="s">
        <v>1237</v>
      </c>
      <c r="O2122" s="14" t="s">
        <v>1220</v>
      </c>
    </row>
    <row r="2123" spans="1:15" x14ac:dyDescent="0.25">
      <c r="A2123" s="14">
        <v>3054</v>
      </c>
      <c r="B2123" s="14" t="s">
        <v>5208</v>
      </c>
      <c r="C2123" s="14" t="s">
        <v>5209</v>
      </c>
      <c r="D2123" s="14" t="s">
        <v>5163</v>
      </c>
      <c r="E2123" s="16">
        <v>1</v>
      </c>
      <c r="F2123" s="14" t="s">
        <v>5164</v>
      </c>
      <c r="G2123" s="16">
        <v>50</v>
      </c>
      <c r="H2123" s="14" t="s">
        <v>5164</v>
      </c>
      <c r="I2123" s="14" t="s">
        <v>1351</v>
      </c>
      <c r="J2123" s="14" t="s">
        <v>1296</v>
      </c>
      <c r="K2123" s="14" t="s">
        <v>1257</v>
      </c>
      <c r="L2123" s="14" t="s">
        <v>5188</v>
      </c>
      <c r="M2123" s="14" t="s">
        <v>5189</v>
      </c>
      <c r="N2123" s="14" t="s">
        <v>1219</v>
      </c>
      <c r="O2123" s="14" t="s">
        <v>1220</v>
      </c>
    </row>
    <row r="2124" spans="1:15" x14ac:dyDescent="0.25">
      <c r="A2124" s="14">
        <v>3067</v>
      </c>
      <c r="B2124" s="14" t="s">
        <v>5210</v>
      </c>
      <c r="C2124" s="14" t="s">
        <v>5209</v>
      </c>
      <c r="D2124" s="14" t="s">
        <v>5169</v>
      </c>
      <c r="E2124" s="16">
        <v>1</v>
      </c>
      <c r="F2124" s="14" t="s">
        <v>5164</v>
      </c>
      <c r="G2124" s="16">
        <v>1</v>
      </c>
      <c r="H2124" s="14" t="s">
        <v>5164</v>
      </c>
      <c r="I2124" s="14" t="s">
        <v>1232</v>
      </c>
      <c r="J2124" s="14" t="s">
        <v>1296</v>
      </c>
      <c r="K2124" s="14" t="s">
        <v>5170</v>
      </c>
      <c r="L2124" s="14" t="s">
        <v>5211</v>
      </c>
      <c r="M2124" s="14" t="s">
        <v>5194</v>
      </c>
      <c r="N2124" s="14" t="s">
        <v>1237</v>
      </c>
      <c r="O2124" s="14" t="s">
        <v>1220</v>
      </c>
    </row>
    <row r="2125" spans="1:15" x14ac:dyDescent="0.25">
      <c r="A2125" s="14" t="s">
        <v>5212</v>
      </c>
      <c r="B2125" s="14" t="s">
        <v>5213</v>
      </c>
      <c r="C2125" s="14" t="s">
        <v>5213</v>
      </c>
      <c r="D2125" s="14" t="s">
        <v>1222</v>
      </c>
      <c r="E2125" s="15"/>
      <c r="F2125" s="14"/>
      <c r="G2125" s="15"/>
      <c r="H2125" s="14" t="s">
        <v>1223</v>
      </c>
      <c r="I2125" s="14"/>
      <c r="J2125" s="14"/>
      <c r="K2125" s="14"/>
      <c r="L2125" s="14"/>
      <c r="M2125" s="14"/>
      <c r="N2125" s="14" t="s">
        <v>1219</v>
      </c>
      <c r="O2125" s="14" t="s">
        <v>1220</v>
      </c>
    </row>
    <row r="2126" spans="1:15" x14ac:dyDescent="0.25">
      <c r="A2126" s="14" t="s">
        <v>5214</v>
      </c>
      <c r="B2126" s="14" t="s">
        <v>5215</v>
      </c>
      <c r="C2126" s="14" t="s">
        <v>5215</v>
      </c>
      <c r="D2126" s="14" t="s">
        <v>3893</v>
      </c>
      <c r="E2126" s="15"/>
      <c r="F2126" s="14"/>
      <c r="G2126" s="15"/>
      <c r="H2126" s="14" t="s">
        <v>1223</v>
      </c>
      <c r="I2126" s="14"/>
      <c r="J2126" s="14"/>
      <c r="K2126" s="14"/>
      <c r="L2126" s="14"/>
      <c r="M2126" s="14"/>
      <c r="N2126" s="14" t="s">
        <v>1219</v>
      </c>
      <c r="O2126" s="14" t="s">
        <v>1220</v>
      </c>
    </row>
    <row r="2127" spans="1:15" x14ac:dyDescent="0.25">
      <c r="A2127" s="14" t="s">
        <v>5216</v>
      </c>
      <c r="B2127" s="14" t="s">
        <v>5217</v>
      </c>
      <c r="C2127" s="14" t="s">
        <v>5217</v>
      </c>
      <c r="D2127" s="14" t="s">
        <v>3893</v>
      </c>
      <c r="E2127" s="15"/>
      <c r="F2127" s="14"/>
      <c r="G2127" s="15"/>
      <c r="H2127" s="14" t="s">
        <v>1223</v>
      </c>
      <c r="I2127" s="14"/>
      <c r="J2127" s="14"/>
      <c r="K2127" s="14"/>
      <c r="L2127" s="14"/>
      <c r="M2127" s="14"/>
      <c r="N2127" s="14" t="s">
        <v>1219</v>
      </c>
      <c r="O2127" s="14" t="s">
        <v>1220</v>
      </c>
    </row>
    <row r="2128" spans="1:15" x14ac:dyDescent="0.25">
      <c r="A2128" s="14" t="s">
        <v>5218</v>
      </c>
      <c r="B2128" s="14" t="s">
        <v>5219</v>
      </c>
      <c r="C2128" s="14" t="s">
        <v>5219</v>
      </c>
      <c r="D2128" s="14" t="s">
        <v>3893</v>
      </c>
      <c r="E2128" s="15"/>
      <c r="F2128" s="14"/>
      <c r="G2128" s="15"/>
      <c r="H2128" s="14" t="s">
        <v>1223</v>
      </c>
      <c r="I2128" s="14"/>
      <c r="J2128" s="14"/>
      <c r="K2128" s="14"/>
      <c r="L2128" s="14"/>
      <c r="M2128" s="14"/>
      <c r="N2128" s="14" t="s">
        <v>1219</v>
      </c>
      <c r="O2128" s="14" t="s">
        <v>1220</v>
      </c>
    </row>
    <row r="2129" spans="1:15" x14ac:dyDescent="0.25">
      <c r="A2129" s="14" t="s">
        <v>5220</v>
      </c>
      <c r="B2129" s="14" t="s">
        <v>5221</v>
      </c>
      <c r="C2129" s="14" t="s">
        <v>5221</v>
      </c>
      <c r="D2129" s="14" t="s">
        <v>3893</v>
      </c>
      <c r="E2129" s="15"/>
      <c r="F2129" s="14"/>
      <c r="G2129" s="15"/>
      <c r="H2129" s="14" t="s">
        <v>1223</v>
      </c>
      <c r="I2129" s="14"/>
      <c r="J2129" s="14"/>
      <c r="K2129" s="14"/>
      <c r="L2129" s="14"/>
      <c r="M2129" s="14"/>
      <c r="N2129" s="14" t="s">
        <v>1219</v>
      </c>
      <c r="O2129" s="14" t="s">
        <v>1220</v>
      </c>
    </row>
    <row r="2130" spans="1:15" x14ac:dyDescent="0.25">
      <c r="A2130" s="14" t="s">
        <v>5222</v>
      </c>
      <c r="B2130" s="14" t="s">
        <v>5223</v>
      </c>
      <c r="C2130" s="14" t="s">
        <v>5223</v>
      </c>
      <c r="D2130" s="14" t="s">
        <v>3893</v>
      </c>
      <c r="E2130" s="15"/>
      <c r="F2130" s="14"/>
      <c r="G2130" s="15"/>
      <c r="H2130" s="14" t="s">
        <v>1223</v>
      </c>
      <c r="I2130" s="14"/>
      <c r="J2130" s="14"/>
      <c r="K2130" s="14"/>
      <c r="L2130" s="14"/>
      <c r="M2130" s="14"/>
      <c r="N2130" s="14" t="s">
        <v>1219</v>
      </c>
      <c r="O2130" s="14" t="s">
        <v>1220</v>
      </c>
    </row>
    <row r="2131" spans="1:15" x14ac:dyDescent="0.25">
      <c r="A2131" s="14">
        <v>88030004</v>
      </c>
      <c r="B2131" s="14" t="s">
        <v>5224</v>
      </c>
      <c r="C2131" s="14" t="s">
        <v>5224</v>
      </c>
      <c r="D2131" s="14" t="s">
        <v>1584</v>
      </c>
      <c r="E2131" s="15"/>
      <c r="F2131" s="14" t="s">
        <v>1533</v>
      </c>
      <c r="G2131" s="15"/>
      <c r="H2131" s="14" t="s">
        <v>1534</v>
      </c>
      <c r="I2131" s="14" t="s">
        <v>1360</v>
      </c>
      <c r="J2131" s="14" t="s">
        <v>1351</v>
      </c>
      <c r="K2131" s="14"/>
      <c r="L2131" s="14"/>
      <c r="M2131" s="14" t="s">
        <v>1218</v>
      </c>
      <c r="N2131" s="14" t="s">
        <v>1219</v>
      </c>
      <c r="O2131" s="14" t="s">
        <v>1220</v>
      </c>
    </row>
    <row r="2132" spans="1:15" x14ac:dyDescent="0.25">
      <c r="A2132" s="14">
        <v>88040002</v>
      </c>
      <c r="B2132" s="14" t="s">
        <v>5225</v>
      </c>
      <c r="C2132" s="14" t="s">
        <v>5225</v>
      </c>
      <c r="D2132" s="14" t="s">
        <v>1921</v>
      </c>
      <c r="E2132" s="15"/>
      <c r="F2132" s="14" t="s">
        <v>1533</v>
      </c>
      <c r="G2132" s="15"/>
      <c r="H2132" s="14" t="s">
        <v>1534</v>
      </c>
      <c r="I2132" s="14" t="s">
        <v>1360</v>
      </c>
      <c r="J2132" s="14" t="s">
        <v>1351</v>
      </c>
      <c r="K2132" s="14"/>
      <c r="L2132" s="14"/>
      <c r="M2132" s="14" t="s">
        <v>1218</v>
      </c>
      <c r="N2132" s="14" t="s">
        <v>1219</v>
      </c>
      <c r="O2132" s="14" t="s">
        <v>1220</v>
      </c>
    </row>
    <row r="2133" spans="1:15" x14ac:dyDescent="0.25">
      <c r="A2133" s="14">
        <v>88030005</v>
      </c>
      <c r="B2133" s="14" t="s">
        <v>5226</v>
      </c>
      <c r="C2133" s="14" t="s">
        <v>5226</v>
      </c>
      <c r="D2133" s="14" t="s">
        <v>1584</v>
      </c>
      <c r="E2133" s="15"/>
      <c r="F2133" s="14" t="s">
        <v>1533</v>
      </c>
      <c r="G2133" s="15"/>
      <c r="H2133" s="14" t="s">
        <v>1534</v>
      </c>
      <c r="I2133" s="14" t="s">
        <v>1360</v>
      </c>
      <c r="J2133" s="14" t="s">
        <v>1351</v>
      </c>
      <c r="K2133" s="14"/>
      <c r="L2133" s="14"/>
      <c r="M2133" s="14" t="s">
        <v>1218</v>
      </c>
      <c r="N2133" s="14" t="s">
        <v>1219</v>
      </c>
      <c r="O2133" s="14" t="s">
        <v>1220</v>
      </c>
    </row>
    <row r="2134" spans="1:15" x14ac:dyDescent="0.25">
      <c r="A2134" s="14">
        <v>88010004</v>
      </c>
      <c r="B2134" s="14" t="s">
        <v>5227</v>
      </c>
      <c r="C2134" s="14" t="s">
        <v>5227</v>
      </c>
      <c r="D2134" s="14" t="s">
        <v>1584</v>
      </c>
      <c r="E2134" s="15"/>
      <c r="F2134" s="14" t="s">
        <v>1533</v>
      </c>
      <c r="G2134" s="15"/>
      <c r="H2134" s="14" t="s">
        <v>1534</v>
      </c>
      <c r="I2134" s="14" t="s">
        <v>1360</v>
      </c>
      <c r="J2134" s="14" t="s">
        <v>1351</v>
      </c>
      <c r="K2134" s="14"/>
      <c r="L2134" s="14"/>
      <c r="M2134" s="14" t="s">
        <v>1218</v>
      </c>
      <c r="N2134" s="14" t="s">
        <v>1219</v>
      </c>
      <c r="O2134" s="14" t="s">
        <v>1220</v>
      </c>
    </row>
    <row r="2135" spans="1:15" x14ac:dyDescent="0.25">
      <c r="A2135" s="14">
        <v>88020002</v>
      </c>
      <c r="B2135" s="14" t="s">
        <v>5228</v>
      </c>
      <c r="C2135" s="14" t="s">
        <v>5228</v>
      </c>
      <c r="D2135" s="14" t="s">
        <v>1921</v>
      </c>
      <c r="E2135" s="15"/>
      <c r="F2135" s="14" t="s">
        <v>1533</v>
      </c>
      <c r="G2135" s="15"/>
      <c r="H2135" s="14" t="s">
        <v>1534</v>
      </c>
      <c r="I2135" s="14" t="s">
        <v>1360</v>
      </c>
      <c r="J2135" s="14" t="s">
        <v>1351</v>
      </c>
      <c r="K2135" s="14"/>
      <c r="L2135" s="14"/>
      <c r="M2135" s="14" t="s">
        <v>1218</v>
      </c>
      <c r="N2135" s="14" t="s">
        <v>1219</v>
      </c>
      <c r="O2135" s="14" t="s">
        <v>1220</v>
      </c>
    </row>
    <row r="2136" spans="1:15" x14ac:dyDescent="0.25">
      <c r="A2136" s="14">
        <v>88010005</v>
      </c>
      <c r="B2136" s="14" t="s">
        <v>5229</v>
      </c>
      <c r="C2136" s="14" t="s">
        <v>5229</v>
      </c>
      <c r="D2136" s="14" t="s">
        <v>1584</v>
      </c>
      <c r="E2136" s="15"/>
      <c r="F2136" s="14" t="s">
        <v>1533</v>
      </c>
      <c r="G2136" s="15"/>
      <c r="H2136" s="14" t="s">
        <v>1534</v>
      </c>
      <c r="I2136" s="14" t="s">
        <v>1360</v>
      </c>
      <c r="J2136" s="14" t="s">
        <v>1351</v>
      </c>
      <c r="K2136" s="14"/>
      <c r="L2136" s="14"/>
      <c r="M2136" s="14" t="s">
        <v>1218</v>
      </c>
      <c r="N2136" s="14" t="s">
        <v>1219</v>
      </c>
      <c r="O2136" s="14" t="s">
        <v>1220</v>
      </c>
    </row>
    <row r="2137" spans="1:15" x14ac:dyDescent="0.25">
      <c r="A2137" s="14" t="s">
        <v>5230</v>
      </c>
      <c r="B2137" s="14" t="s">
        <v>5231</v>
      </c>
      <c r="C2137" s="14" t="s">
        <v>5231</v>
      </c>
      <c r="D2137" s="14" t="s">
        <v>1584</v>
      </c>
      <c r="E2137" s="15"/>
      <c r="F2137" s="14" t="s">
        <v>1533</v>
      </c>
      <c r="G2137" s="15"/>
      <c r="H2137" s="14" t="s">
        <v>1534</v>
      </c>
      <c r="I2137" s="14" t="s">
        <v>1360</v>
      </c>
      <c r="J2137" s="14" t="s">
        <v>1351</v>
      </c>
      <c r="K2137" s="14"/>
      <c r="L2137" s="14"/>
      <c r="M2137" s="14" t="s">
        <v>1218</v>
      </c>
      <c r="N2137" s="14" t="s">
        <v>1219</v>
      </c>
      <c r="O2137" s="14" t="s">
        <v>1220</v>
      </c>
    </row>
    <row r="2138" spans="1:15" x14ac:dyDescent="0.25">
      <c r="A2138" s="14" t="s">
        <v>5232</v>
      </c>
      <c r="B2138" s="14" t="s">
        <v>5233</v>
      </c>
      <c r="C2138" s="14" t="s">
        <v>5233</v>
      </c>
      <c r="D2138" s="14" t="s">
        <v>1584</v>
      </c>
      <c r="E2138" s="15"/>
      <c r="F2138" s="14" t="s">
        <v>1533</v>
      </c>
      <c r="G2138" s="15"/>
      <c r="H2138" s="14" t="s">
        <v>1534</v>
      </c>
      <c r="I2138" s="14" t="s">
        <v>1360</v>
      </c>
      <c r="J2138" s="14" t="s">
        <v>1351</v>
      </c>
      <c r="K2138" s="14"/>
      <c r="L2138" s="14"/>
      <c r="M2138" s="14" t="s">
        <v>1218</v>
      </c>
      <c r="N2138" s="14" t="s">
        <v>1219</v>
      </c>
      <c r="O2138" s="14" t="s">
        <v>1220</v>
      </c>
    </row>
    <row r="2139" spans="1:15" x14ac:dyDescent="0.25">
      <c r="A2139" s="14" t="s">
        <v>5234</v>
      </c>
      <c r="B2139" s="14" t="s">
        <v>5235</v>
      </c>
      <c r="C2139" s="14" t="s">
        <v>5235</v>
      </c>
      <c r="D2139" s="14" t="s">
        <v>1584</v>
      </c>
      <c r="E2139" s="15"/>
      <c r="F2139" s="14" t="s">
        <v>1533</v>
      </c>
      <c r="G2139" s="15"/>
      <c r="H2139" s="14" t="s">
        <v>1534</v>
      </c>
      <c r="I2139" s="14" t="s">
        <v>1360</v>
      </c>
      <c r="J2139" s="14" t="s">
        <v>1351</v>
      </c>
      <c r="K2139" s="14"/>
      <c r="L2139" s="14"/>
      <c r="M2139" s="14" t="s">
        <v>1218</v>
      </c>
      <c r="N2139" s="14" t="s">
        <v>1219</v>
      </c>
      <c r="O2139" s="14" t="s">
        <v>1220</v>
      </c>
    </row>
    <row r="2140" spans="1:15" x14ac:dyDescent="0.25">
      <c r="A2140" s="14" t="s">
        <v>5236</v>
      </c>
      <c r="B2140" s="14" t="s">
        <v>5237</v>
      </c>
      <c r="C2140" s="14" t="s">
        <v>5237</v>
      </c>
      <c r="D2140" s="14" t="s">
        <v>1584</v>
      </c>
      <c r="E2140" s="15"/>
      <c r="F2140" s="14" t="s">
        <v>1533</v>
      </c>
      <c r="G2140" s="15"/>
      <c r="H2140" s="14" t="s">
        <v>1534</v>
      </c>
      <c r="I2140" s="14" t="s">
        <v>1360</v>
      </c>
      <c r="J2140" s="14" t="s">
        <v>1351</v>
      </c>
      <c r="K2140" s="14"/>
      <c r="L2140" s="14"/>
      <c r="M2140" s="14" t="s">
        <v>1218</v>
      </c>
      <c r="N2140" s="14" t="s">
        <v>1219</v>
      </c>
      <c r="O2140" s="14" t="s">
        <v>1220</v>
      </c>
    </row>
    <row r="2141" spans="1:15" x14ac:dyDescent="0.25">
      <c r="A2141" s="14" t="s">
        <v>5238</v>
      </c>
      <c r="B2141" s="14" t="s">
        <v>5239</v>
      </c>
      <c r="C2141" s="14" t="s">
        <v>5239</v>
      </c>
      <c r="D2141" s="14" t="s">
        <v>1584</v>
      </c>
      <c r="E2141" s="15"/>
      <c r="F2141" s="14" t="s">
        <v>1533</v>
      </c>
      <c r="G2141" s="15"/>
      <c r="H2141" s="14" t="s">
        <v>1534</v>
      </c>
      <c r="I2141" s="14" t="s">
        <v>1360</v>
      </c>
      <c r="J2141" s="14" t="s">
        <v>1351</v>
      </c>
      <c r="K2141" s="14"/>
      <c r="L2141" s="14"/>
      <c r="M2141" s="14" t="s">
        <v>1218</v>
      </c>
      <c r="N2141" s="14" t="s">
        <v>1219</v>
      </c>
      <c r="O2141" s="14" t="s">
        <v>1220</v>
      </c>
    </row>
    <row r="2142" spans="1:15" x14ac:dyDescent="0.25">
      <c r="A2142" s="14" t="s">
        <v>5240</v>
      </c>
      <c r="B2142" s="14" t="s">
        <v>5241</v>
      </c>
      <c r="C2142" s="14" t="s">
        <v>5241</v>
      </c>
      <c r="D2142" s="14" t="s">
        <v>1584</v>
      </c>
      <c r="E2142" s="15"/>
      <c r="F2142" s="14" t="s">
        <v>1533</v>
      </c>
      <c r="G2142" s="15"/>
      <c r="H2142" s="14" t="s">
        <v>1534</v>
      </c>
      <c r="I2142" s="14" t="s">
        <v>1360</v>
      </c>
      <c r="J2142" s="14" t="s">
        <v>1351</v>
      </c>
      <c r="K2142" s="14"/>
      <c r="L2142" s="14"/>
      <c r="M2142" s="14" t="s">
        <v>1218</v>
      </c>
      <c r="N2142" s="14" t="s">
        <v>1219</v>
      </c>
      <c r="O2142" s="14" t="s">
        <v>1220</v>
      </c>
    </row>
    <row r="2143" spans="1:15" x14ac:dyDescent="0.25">
      <c r="A2143" s="14" t="s">
        <v>5242</v>
      </c>
      <c r="B2143" s="14" t="s">
        <v>5243</v>
      </c>
      <c r="C2143" s="14" t="s">
        <v>5243</v>
      </c>
      <c r="D2143" s="14" t="s">
        <v>1584</v>
      </c>
      <c r="E2143" s="15"/>
      <c r="F2143" s="14" t="s">
        <v>1533</v>
      </c>
      <c r="G2143" s="15"/>
      <c r="H2143" s="14" t="s">
        <v>1534</v>
      </c>
      <c r="I2143" s="14" t="s">
        <v>1360</v>
      </c>
      <c r="J2143" s="14" t="s">
        <v>1351</v>
      </c>
      <c r="K2143" s="14"/>
      <c r="L2143" s="14"/>
      <c r="M2143" s="14" t="s">
        <v>1218</v>
      </c>
      <c r="N2143" s="14" t="s">
        <v>1219</v>
      </c>
      <c r="O2143" s="14" t="s">
        <v>1220</v>
      </c>
    </row>
    <row r="2144" spans="1:15" x14ac:dyDescent="0.25">
      <c r="A2144" s="14" t="s">
        <v>5244</v>
      </c>
      <c r="B2144" s="14" t="s">
        <v>5245</v>
      </c>
      <c r="C2144" s="14" t="s">
        <v>5245</v>
      </c>
      <c r="D2144" s="14" t="s">
        <v>1584</v>
      </c>
      <c r="E2144" s="15"/>
      <c r="F2144" s="14" t="s">
        <v>1533</v>
      </c>
      <c r="G2144" s="15"/>
      <c r="H2144" s="14" t="s">
        <v>1534</v>
      </c>
      <c r="I2144" s="14" t="s">
        <v>1360</v>
      </c>
      <c r="J2144" s="14" t="s">
        <v>1351</v>
      </c>
      <c r="K2144" s="14"/>
      <c r="L2144" s="14"/>
      <c r="M2144" s="14" t="s">
        <v>1218</v>
      </c>
      <c r="N2144" s="14" t="s">
        <v>1219</v>
      </c>
      <c r="O2144" s="14" t="s">
        <v>1220</v>
      </c>
    </row>
    <row r="2145" spans="1:15" x14ac:dyDescent="0.25">
      <c r="A2145" s="14">
        <v>50540</v>
      </c>
      <c r="B2145" s="14" t="s">
        <v>5246</v>
      </c>
      <c r="C2145" s="14" t="s">
        <v>5246</v>
      </c>
      <c r="D2145" s="14" t="s">
        <v>1222</v>
      </c>
      <c r="E2145" s="15"/>
      <c r="F2145" s="14"/>
      <c r="G2145" s="15"/>
      <c r="H2145" s="14" t="s">
        <v>1223</v>
      </c>
      <c r="I2145" s="14"/>
      <c r="J2145" s="14"/>
      <c r="K2145" s="14"/>
      <c r="L2145" s="14"/>
      <c r="M2145" s="14"/>
      <c r="N2145" s="14" t="s">
        <v>1219</v>
      </c>
      <c r="O2145" s="14" t="s">
        <v>1220</v>
      </c>
    </row>
    <row r="2146" spans="1:15" x14ac:dyDescent="0.25">
      <c r="A2146" s="14">
        <v>89539</v>
      </c>
      <c r="B2146" s="14" t="s">
        <v>5247</v>
      </c>
      <c r="C2146" s="14" t="s">
        <v>5247</v>
      </c>
      <c r="D2146" s="14" t="s">
        <v>1222</v>
      </c>
      <c r="E2146" s="15"/>
      <c r="F2146" s="14"/>
      <c r="G2146" s="15"/>
      <c r="H2146" s="14" t="s">
        <v>1223</v>
      </c>
      <c r="I2146" s="14"/>
      <c r="J2146" s="14"/>
      <c r="K2146" s="14"/>
      <c r="L2146" s="14"/>
      <c r="M2146" s="14"/>
      <c r="N2146" s="14" t="s">
        <v>1219</v>
      </c>
      <c r="O2146" s="14" t="s">
        <v>1220</v>
      </c>
    </row>
    <row r="2147" spans="1:15" x14ac:dyDescent="0.25">
      <c r="A2147" s="14">
        <v>2740</v>
      </c>
      <c r="B2147" s="14" t="s">
        <v>248</v>
      </c>
      <c r="C2147" s="14" t="s">
        <v>248</v>
      </c>
      <c r="D2147" s="14" t="s">
        <v>3223</v>
      </c>
      <c r="E2147" s="16">
        <v>300</v>
      </c>
      <c r="F2147" s="14" t="s">
        <v>1536</v>
      </c>
      <c r="G2147" s="16">
        <v>300</v>
      </c>
      <c r="H2147" s="14" t="s">
        <v>2078</v>
      </c>
      <c r="I2147" s="14" t="s">
        <v>1256</v>
      </c>
      <c r="J2147" s="14" t="s">
        <v>1296</v>
      </c>
      <c r="K2147" s="14" t="s">
        <v>3224</v>
      </c>
      <c r="L2147" s="14" t="s">
        <v>5248</v>
      </c>
      <c r="M2147" s="14" t="s">
        <v>5249</v>
      </c>
      <c r="N2147" s="14" t="s">
        <v>1237</v>
      </c>
      <c r="O2147" s="14" t="s">
        <v>1220</v>
      </c>
    </row>
    <row r="2148" spans="1:15" x14ac:dyDescent="0.25">
      <c r="A2148" s="14" t="s">
        <v>5250</v>
      </c>
      <c r="B2148" s="14" t="s">
        <v>5251</v>
      </c>
      <c r="C2148" s="14" t="s">
        <v>5251</v>
      </c>
      <c r="D2148" s="14" t="s">
        <v>5252</v>
      </c>
      <c r="E2148" s="16">
        <v>300</v>
      </c>
      <c r="F2148" s="14" t="s">
        <v>2078</v>
      </c>
      <c r="G2148" s="16">
        <v>300</v>
      </c>
      <c r="H2148" s="14" t="s">
        <v>2078</v>
      </c>
      <c r="I2148" s="14" t="s">
        <v>1262</v>
      </c>
      <c r="J2148" s="14" t="s">
        <v>1262</v>
      </c>
      <c r="K2148" s="14" t="s">
        <v>3224</v>
      </c>
      <c r="L2148" s="14" t="s">
        <v>5248</v>
      </c>
      <c r="M2148" s="14" t="s">
        <v>5249</v>
      </c>
      <c r="N2148" s="14" t="s">
        <v>1219</v>
      </c>
      <c r="O2148" s="14" t="s">
        <v>1220</v>
      </c>
    </row>
    <row r="2149" spans="1:15" x14ac:dyDescent="0.25">
      <c r="A2149" s="14" t="s">
        <v>5253</v>
      </c>
      <c r="B2149" s="14" t="s">
        <v>5254</v>
      </c>
      <c r="C2149" s="14" t="s">
        <v>5254</v>
      </c>
      <c r="D2149" s="14" t="s">
        <v>1222</v>
      </c>
      <c r="E2149" s="15"/>
      <c r="F2149" s="14"/>
      <c r="G2149" s="15"/>
      <c r="H2149" s="14" t="s">
        <v>1223</v>
      </c>
      <c r="I2149" s="14"/>
      <c r="J2149" s="14"/>
      <c r="K2149" s="14"/>
      <c r="L2149" s="14"/>
      <c r="M2149" s="14"/>
      <c r="N2149" s="14" t="s">
        <v>1219</v>
      </c>
      <c r="O2149" s="14" t="s">
        <v>1220</v>
      </c>
    </row>
    <row r="2150" spans="1:15" x14ac:dyDescent="0.25">
      <c r="A2150" s="14">
        <v>2595</v>
      </c>
      <c r="B2150" s="14" t="s">
        <v>277</v>
      </c>
      <c r="C2150" s="14" t="s">
        <v>277</v>
      </c>
      <c r="D2150" s="14" t="s">
        <v>1553</v>
      </c>
      <c r="E2150" s="16">
        <v>100</v>
      </c>
      <c r="F2150" s="14" t="s">
        <v>1216</v>
      </c>
      <c r="G2150" s="17">
        <v>1000</v>
      </c>
      <c r="H2150" s="14" t="s">
        <v>1545</v>
      </c>
      <c r="I2150" s="14" t="s">
        <v>1351</v>
      </c>
      <c r="J2150" s="14" t="s">
        <v>1351</v>
      </c>
      <c r="K2150" s="14" t="s">
        <v>1257</v>
      </c>
      <c r="L2150" s="14" t="s">
        <v>5255</v>
      </c>
      <c r="M2150" s="14" t="s">
        <v>1548</v>
      </c>
      <c r="N2150" s="14" t="s">
        <v>1237</v>
      </c>
      <c r="O2150" s="14" t="s">
        <v>1220</v>
      </c>
    </row>
    <row r="2151" spans="1:15" x14ac:dyDescent="0.25">
      <c r="A2151" s="14" t="s">
        <v>5256</v>
      </c>
      <c r="B2151" s="14" t="s">
        <v>5257</v>
      </c>
      <c r="C2151" s="14" t="s">
        <v>5257</v>
      </c>
      <c r="D2151" s="14" t="s">
        <v>1553</v>
      </c>
      <c r="E2151" s="15"/>
      <c r="F2151" s="14" t="s">
        <v>1216</v>
      </c>
      <c r="G2151" s="15"/>
      <c r="H2151" s="14" t="s">
        <v>1545</v>
      </c>
      <c r="I2151" s="14" t="s">
        <v>1262</v>
      </c>
      <c r="J2151" s="14" t="s">
        <v>1262</v>
      </c>
      <c r="K2151" s="14"/>
      <c r="L2151" s="14" t="s">
        <v>5255</v>
      </c>
      <c r="M2151" s="14" t="s">
        <v>1548</v>
      </c>
      <c r="N2151" s="14" t="s">
        <v>1219</v>
      </c>
      <c r="O2151" s="14" t="s">
        <v>1220</v>
      </c>
    </row>
    <row r="2152" spans="1:15" x14ac:dyDescent="0.25">
      <c r="A2152" s="14">
        <v>2596</v>
      </c>
      <c r="B2152" s="14" t="s">
        <v>278</v>
      </c>
      <c r="C2152" s="14" t="s">
        <v>278</v>
      </c>
      <c r="D2152" s="14" t="s">
        <v>1553</v>
      </c>
      <c r="E2152" s="16">
        <v>80</v>
      </c>
      <c r="F2152" s="14" t="s">
        <v>1216</v>
      </c>
      <c r="G2152" s="16">
        <v>800</v>
      </c>
      <c r="H2152" s="14" t="s">
        <v>1545</v>
      </c>
      <c r="I2152" s="14" t="s">
        <v>1351</v>
      </c>
      <c r="J2152" s="14" t="s">
        <v>1351</v>
      </c>
      <c r="K2152" s="14" t="s">
        <v>1257</v>
      </c>
      <c r="L2152" s="14" t="s">
        <v>5258</v>
      </c>
      <c r="M2152" s="14" t="s">
        <v>1548</v>
      </c>
      <c r="N2152" s="14" t="s">
        <v>1237</v>
      </c>
      <c r="O2152" s="14" t="s">
        <v>1220</v>
      </c>
    </row>
    <row r="2153" spans="1:15" x14ac:dyDescent="0.25">
      <c r="A2153" s="14" t="s">
        <v>5259</v>
      </c>
      <c r="B2153" s="14" t="s">
        <v>5260</v>
      </c>
      <c r="C2153" s="14" t="s">
        <v>5260</v>
      </c>
      <c r="D2153" s="14" t="s">
        <v>1553</v>
      </c>
      <c r="E2153" s="15"/>
      <c r="F2153" s="14" t="s">
        <v>1216</v>
      </c>
      <c r="G2153" s="15"/>
      <c r="H2153" s="14" t="s">
        <v>1545</v>
      </c>
      <c r="I2153" s="14" t="s">
        <v>1262</v>
      </c>
      <c r="J2153" s="14" t="s">
        <v>1262</v>
      </c>
      <c r="K2153" s="14"/>
      <c r="L2153" s="14" t="s">
        <v>5258</v>
      </c>
      <c r="M2153" s="14" t="s">
        <v>1548</v>
      </c>
      <c r="N2153" s="14" t="s">
        <v>1219</v>
      </c>
      <c r="O2153" s="14" t="s">
        <v>1220</v>
      </c>
    </row>
    <row r="2154" spans="1:15" x14ac:dyDescent="0.25">
      <c r="A2154" s="14">
        <v>2597</v>
      </c>
      <c r="B2154" s="14" t="s">
        <v>279</v>
      </c>
      <c r="C2154" s="14" t="s">
        <v>279</v>
      </c>
      <c r="D2154" s="14" t="s">
        <v>1553</v>
      </c>
      <c r="E2154" s="16">
        <v>100</v>
      </c>
      <c r="F2154" s="14" t="s">
        <v>1216</v>
      </c>
      <c r="G2154" s="17">
        <v>1000</v>
      </c>
      <c r="H2154" s="14" t="s">
        <v>1545</v>
      </c>
      <c r="I2154" s="14" t="s">
        <v>1351</v>
      </c>
      <c r="J2154" s="14" t="s">
        <v>1351</v>
      </c>
      <c r="K2154" s="14" t="s">
        <v>1257</v>
      </c>
      <c r="L2154" s="14" t="s">
        <v>5261</v>
      </c>
      <c r="M2154" s="14" t="s">
        <v>1548</v>
      </c>
      <c r="N2154" s="14" t="s">
        <v>1237</v>
      </c>
      <c r="O2154" s="14" t="s">
        <v>1220</v>
      </c>
    </row>
    <row r="2155" spans="1:15" x14ac:dyDescent="0.25">
      <c r="A2155" s="14" t="s">
        <v>5262</v>
      </c>
      <c r="B2155" s="14" t="s">
        <v>5263</v>
      </c>
      <c r="C2155" s="14" t="s">
        <v>5263</v>
      </c>
      <c r="D2155" s="14" t="s">
        <v>1553</v>
      </c>
      <c r="E2155" s="15"/>
      <c r="F2155" s="14" t="s">
        <v>1216</v>
      </c>
      <c r="G2155" s="15"/>
      <c r="H2155" s="14" t="s">
        <v>1545</v>
      </c>
      <c r="I2155" s="14" t="s">
        <v>1262</v>
      </c>
      <c r="J2155" s="14" t="s">
        <v>1262</v>
      </c>
      <c r="K2155" s="14"/>
      <c r="L2155" s="14" t="s">
        <v>5261</v>
      </c>
      <c r="M2155" s="14" t="s">
        <v>1548</v>
      </c>
      <c r="N2155" s="14" t="s">
        <v>1219</v>
      </c>
      <c r="O2155" s="14" t="s">
        <v>1220</v>
      </c>
    </row>
    <row r="2156" spans="1:15" x14ac:dyDescent="0.25">
      <c r="A2156" s="14">
        <v>2598</v>
      </c>
      <c r="B2156" s="14" t="s">
        <v>280</v>
      </c>
      <c r="C2156" s="14" t="s">
        <v>280</v>
      </c>
      <c r="D2156" s="14" t="s">
        <v>1553</v>
      </c>
      <c r="E2156" s="16">
        <v>80</v>
      </c>
      <c r="F2156" s="14" t="s">
        <v>1216</v>
      </c>
      <c r="G2156" s="16">
        <v>800</v>
      </c>
      <c r="H2156" s="14" t="s">
        <v>1545</v>
      </c>
      <c r="I2156" s="14" t="s">
        <v>1351</v>
      </c>
      <c r="J2156" s="14" t="s">
        <v>1351</v>
      </c>
      <c r="K2156" s="14" t="s">
        <v>1257</v>
      </c>
      <c r="L2156" s="14" t="s">
        <v>5264</v>
      </c>
      <c r="M2156" s="14" t="s">
        <v>1548</v>
      </c>
      <c r="N2156" s="14" t="s">
        <v>1237</v>
      </c>
      <c r="O2156" s="14" t="s">
        <v>1220</v>
      </c>
    </row>
    <row r="2157" spans="1:15" x14ac:dyDescent="0.25">
      <c r="A2157" s="14" t="s">
        <v>5265</v>
      </c>
      <c r="B2157" s="14" t="s">
        <v>5266</v>
      </c>
      <c r="C2157" s="14" t="s">
        <v>5266</v>
      </c>
      <c r="D2157" s="14" t="s">
        <v>1553</v>
      </c>
      <c r="E2157" s="15"/>
      <c r="F2157" s="14" t="s">
        <v>1216</v>
      </c>
      <c r="G2157" s="15"/>
      <c r="H2157" s="14" t="s">
        <v>1545</v>
      </c>
      <c r="I2157" s="14" t="s">
        <v>1262</v>
      </c>
      <c r="J2157" s="14" t="s">
        <v>1262</v>
      </c>
      <c r="K2157" s="14"/>
      <c r="L2157" s="14" t="s">
        <v>5264</v>
      </c>
      <c r="M2157" s="14" t="s">
        <v>1548</v>
      </c>
      <c r="N2157" s="14" t="s">
        <v>1219</v>
      </c>
      <c r="O2157" s="14" t="s">
        <v>1220</v>
      </c>
    </row>
    <row r="2158" spans="1:15" x14ac:dyDescent="0.25">
      <c r="A2158" s="14">
        <v>2765</v>
      </c>
      <c r="B2158" s="14" t="s">
        <v>23</v>
      </c>
      <c r="C2158" s="14" t="s">
        <v>23</v>
      </c>
      <c r="D2158" s="14" t="s">
        <v>1535</v>
      </c>
      <c r="E2158" s="16">
        <v>125</v>
      </c>
      <c r="F2158" s="14" t="s">
        <v>1544</v>
      </c>
      <c r="G2158" s="16">
        <v>125</v>
      </c>
      <c r="H2158" s="14" t="s">
        <v>1535</v>
      </c>
      <c r="I2158" s="14" t="s">
        <v>1256</v>
      </c>
      <c r="J2158" s="14" t="s">
        <v>1233</v>
      </c>
      <c r="K2158" s="14" t="s">
        <v>5267</v>
      </c>
      <c r="L2158" s="14" t="s">
        <v>5268</v>
      </c>
      <c r="M2158" s="14" t="s">
        <v>5269</v>
      </c>
      <c r="N2158" s="14" t="s">
        <v>1237</v>
      </c>
      <c r="O2158" s="14" t="s">
        <v>1220</v>
      </c>
    </row>
    <row r="2159" spans="1:15" x14ac:dyDescent="0.25">
      <c r="A2159" s="14">
        <v>4070101</v>
      </c>
      <c r="B2159" s="14" t="s">
        <v>5270</v>
      </c>
      <c r="C2159" s="14" t="s">
        <v>5270</v>
      </c>
      <c r="D2159" s="14" t="s">
        <v>1215</v>
      </c>
      <c r="E2159" s="15"/>
      <c r="F2159" s="14" t="s">
        <v>1216</v>
      </c>
      <c r="G2159" s="15"/>
      <c r="H2159" s="14" t="s">
        <v>1535</v>
      </c>
      <c r="I2159" s="14" t="s">
        <v>1217</v>
      </c>
      <c r="J2159" s="14" t="s">
        <v>1296</v>
      </c>
      <c r="K2159" s="14"/>
      <c r="L2159" s="14" t="s">
        <v>5271</v>
      </c>
      <c r="M2159" s="14" t="s">
        <v>1218</v>
      </c>
      <c r="N2159" s="14" t="s">
        <v>1219</v>
      </c>
      <c r="O2159" s="14" t="s">
        <v>1220</v>
      </c>
    </row>
    <row r="2160" spans="1:15" x14ac:dyDescent="0.25">
      <c r="A2160" s="14">
        <v>2766</v>
      </c>
      <c r="B2160" s="14" t="s">
        <v>24</v>
      </c>
      <c r="C2160" s="14" t="s">
        <v>24</v>
      </c>
      <c r="D2160" s="14" t="s">
        <v>1535</v>
      </c>
      <c r="E2160" s="16">
        <v>50</v>
      </c>
      <c r="F2160" s="14" t="s">
        <v>1544</v>
      </c>
      <c r="G2160" s="17">
        <v>1000</v>
      </c>
      <c r="H2160" s="14" t="s">
        <v>1535</v>
      </c>
      <c r="I2160" s="14" t="s">
        <v>1256</v>
      </c>
      <c r="J2160" s="14" t="s">
        <v>1242</v>
      </c>
      <c r="K2160" s="14" t="s">
        <v>5267</v>
      </c>
      <c r="L2160" s="14" t="s">
        <v>5272</v>
      </c>
      <c r="M2160" s="14" t="s">
        <v>5269</v>
      </c>
      <c r="N2160" s="14" t="s">
        <v>1237</v>
      </c>
      <c r="O2160" s="14" t="s">
        <v>1220</v>
      </c>
    </row>
    <row r="2161" spans="1:15" x14ac:dyDescent="0.25">
      <c r="A2161" s="14">
        <v>2</v>
      </c>
      <c r="B2161" s="14" t="s">
        <v>5273</v>
      </c>
      <c r="C2161" s="14" t="s">
        <v>5273</v>
      </c>
      <c r="D2161" s="14" t="s">
        <v>1349</v>
      </c>
      <c r="E2161" s="15"/>
      <c r="F2161" s="14"/>
      <c r="G2161" s="15"/>
      <c r="H2161" s="14" t="s">
        <v>2078</v>
      </c>
      <c r="I2161" s="14" t="s">
        <v>1360</v>
      </c>
      <c r="J2161" s="14" t="s">
        <v>1360</v>
      </c>
      <c r="K2161" s="14"/>
      <c r="L2161" s="14"/>
      <c r="M2161" s="14"/>
      <c r="N2161" s="14" t="s">
        <v>1219</v>
      </c>
      <c r="O2161" s="14" t="s">
        <v>1220</v>
      </c>
    </row>
    <row r="2162" spans="1:15" x14ac:dyDescent="0.25">
      <c r="A2162" s="14">
        <v>9770001</v>
      </c>
      <c r="B2162" s="14" t="s">
        <v>5274</v>
      </c>
      <c r="C2162" s="14" t="s">
        <v>5274</v>
      </c>
      <c r="D2162" s="14" t="s">
        <v>1824</v>
      </c>
      <c r="E2162" s="15"/>
      <c r="F2162" s="14" t="s">
        <v>1533</v>
      </c>
      <c r="G2162" s="15"/>
      <c r="H2162" s="14" t="s">
        <v>1534</v>
      </c>
      <c r="I2162" s="14" t="s">
        <v>1360</v>
      </c>
      <c r="J2162" s="14" t="s">
        <v>1351</v>
      </c>
      <c r="K2162" s="14"/>
      <c r="L2162" s="14"/>
      <c r="M2162" s="14" t="s">
        <v>1218</v>
      </c>
      <c r="N2162" s="14" t="s">
        <v>1219</v>
      </c>
      <c r="O2162" s="14" t="s">
        <v>1220</v>
      </c>
    </row>
    <row r="2163" spans="1:15" x14ac:dyDescent="0.25">
      <c r="A2163" s="14">
        <v>9770002</v>
      </c>
      <c r="B2163" s="14" t="s">
        <v>5275</v>
      </c>
      <c r="C2163" s="14" t="s">
        <v>5275</v>
      </c>
      <c r="D2163" s="14" t="s">
        <v>1824</v>
      </c>
      <c r="E2163" s="15"/>
      <c r="F2163" s="14" t="s">
        <v>1533</v>
      </c>
      <c r="G2163" s="15"/>
      <c r="H2163" s="14" t="s">
        <v>1534</v>
      </c>
      <c r="I2163" s="14" t="s">
        <v>1360</v>
      </c>
      <c r="J2163" s="14" t="s">
        <v>1351</v>
      </c>
      <c r="K2163" s="14"/>
      <c r="L2163" s="14"/>
      <c r="M2163" s="14" t="s">
        <v>1218</v>
      </c>
      <c r="N2163" s="14" t="s">
        <v>1219</v>
      </c>
      <c r="O2163" s="14" t="s">
        <v>1220</v>
      </c>
    </row>
    <row r="2164" spans="1:15" x14ac:dyDescent="0.25">
      <c r="A2164" s="14">
        <v>9780005</v>
      </c>
      <c r="B2164" s="14" t="s">
        <v>5276</v>
      </c>
      <c r="C2164" s="14" t="s">
        <v>5276</v>
      </c>
      <c r="D2164" s="14" t="s">
        <v>1824</v>
      </c>
      <c r="E2164" s="15"/>
      <c r="F2164" s="14" t="s">
        <v>1533</v>
      </c>
      <c r="G2164" s="15"/>
      <c r="H2164" s="14" t="s">
        <v>1534</v>
      </c>
      <c r="I2164" s="14" t="s">
        <v>1360</v>
      </c>
      <c r="J2164" s="14" t="s">
        <v>1351</v>
      </c>
      <c r="K2164" s="14"/>
      <c r="L2164" s="14"/>
      <c r="M2164" s="14" t="s">
        <v>1218</v>
      </c>
      <c r="N2164" s="14" t="s">
        <v>1219</v>
      </c>
      <c r="O2164" s="14" t="s">
        <v>1220</v>
      </c>
    </row>
    <row r="2165" spans="1:15" x14ac:dyDescent="0.25">
      <c r="A2165" s="14">
        <v>9780010</v>
      </c>
      <c r="B2165" s="14" t="s">
        <v>5277</v>
      </c>
      <c r="C2165" s="14" t="s">
        <v>5277</v>
      </c>
      <c r="D2165" s="14" t="s">
        <v>1824</v>
      </c>
      <c r="E2165" s="15"/>
      <c r="F2165" s="14" t="s">
        <v>1533</v>
      </c>
      <c r="G2165" s="15"/>
      <c r="H2165" s="14" t="s">
        <v>1534</v>
      </c>
      <c r="I2165" s="14" t="s">
        <v>1360</v>
      </c>
      <c r="J2165" s="14" t="s">
        <v>1351</v>
      </c>
      <c r="K2165" s="14"/>
      <c r="L2165" s="14"/>
      <c r="M2165" s="14" t="s">
        <v>1218</v>
      </c>
      <c r="N2165" s="14" t="s">
        <v>1219</v>
      </c>
      <c r="O2165" s="14" t="s">
        <v>1220</v>
      </c>
    </row>
    <row r="2166" spans="1:15" x14ac:dyDescent="0.25">
      <c r="A2166" s="14">
        <v>9780008</v>
      </c>
      <c r="B2166" s="14" t="s">
        <v>5278</v>
      </c>
      <c r="C2166" s="14" t="s">
        <v>5278</v>
      </c>
      <c r="D2166" s="14" t="s">
        <v>1824</v>
      </c>
      <c r="E2166" s="15"/>
      <c r="F2166" s="14" t="s">
        <v>1533</v>
      </c>
      <c r="G2166" s="15"/>
      <c r="H2166" s="14" t="s">
        <v>1534</v>
      </c>
      <c r="I2166" s="14" t="s">
        <v>1360</v>
      </c>
      <c r="J2166" s="14" t="s">
        <v>1351</v>
      </c>
      <c r="K2166" s="14"/>
      <c r="L2166" s="14"/>
      <c r="M2166" s="14" t="s">
        <v>1218</v>
      </c>
      <c r="N2166" s="14" t="s">
        <v>1219</v>
      </c>
      <c r="O2166" s="14" t="s">
        <v>1220</v>
      </c>
    </row>
    <row r="2167" spans="1:15" x14ac:dyDescent="0.25">
      <c r="A2167" s="14">
        <v>1117</v>
      </c>
      <c r="B2167" s="14" t="s">
        <v>5279</v>
      </c>
      <c r="C2167" s="14" t="s">
        <v>5279</v>
      </c>
      <c r="D2167" s="14" t="s">
        <v>1427</v>
      </c>
      <c r="E2167" s="15"/>
      <c r="F2167" s="14"/>
      <c r="G2167" s="15"/>
      <c r="H2167" s="14" t="s">
        <v>1440</v>
      </c>
      <c r="I2167" s="14"/>
      <c r="J2167" s="14"/>
      <c r="K2167" s="14"/>
      <c r="L2167" s="14" t="s">
        <v>5280</v>
      </c>
      <c r="M2167" s="14"/>
      <c r="N2167" s="14" t="s">
        <v>1219</v>
      </c>
      <c r="O2167" s="14" t="s">
        <v>1429</v>
      </c>
    </row>
    <row r="2168" spans="1:15" x14ac:dyDescent="0.25">
      <c r="A2168" s="14" t="s">
        <v>5281</v>
      </c>
      <c r="B2168" s="14" t="s">
        <v>5282</v>
      </c>
      <c r="C2168" s="14" t="s">
        <v>5282</v>
      </c>
      <c r="D2168" s="14" t="s">
        <v>1222</v>
      </c>
      <c r="E2168" s="15"/>
      <c r="F2168" s="14"/>
      <c r="G2168" s="15"/>
      <c r="H2168" s="14" t="s">
        <v>1223</v>
      </c>
      <c r="I2168" s="14"/>
      <c r="J2168" s="14"/>
      <c r="K2168" s="14"/>
      <c r="L2168" s="14"/>
      <c r="M2168" s="14"/>
      <c r="N2168" s="14" t="s">
        <v>1219</v>
      </c>
      <c r="O2168" s="14" t="s">
        <v>1220</v>
      </c>
    </row>
    <row r="2169" spans="1:15" x14ac:dyDescent="0.25">
      <c r="A2169" s="14">
        <v>54540</v>
      </c>
      <c r="B2169" s="14" t="s">
        <v>5283</v>
      </c>
      <c r="C2169" s="14" t="s">
        <v>5283</v>
      </c>
      <c r="D2169" s="14" t="s">
        <v>1222</v>
      </c>
      <c r="E2169" s="15"/>
      <c r="F2169" s="14"/>
      <c r="G2169" s="15"/>
      <c r="H2169" s="14" t="s">
        <v>1223</v>
      </c>
      <c r="I2169" s="14"/>
      <c r="J2169" s="14"/>
      <c r="K2169" s="14"/>
      <c r="L2169" s="14"/>
      <c r="M2169" s="14"/>
      <c r="N2169" s="14" t="s">
        <v>1219</v>
      </c>
      <c r="O2169" s="14" t="s">
        <v>1220</v>
      </c>
    </row>
    <row r="2170" spans="1:15" x14ac:dyDescent="0.25">
      <c r="A2170" s="14">
        <v>3865</v>
      </c>
      <c r="B2170" s="14" t="s">
        <v>5284</v>
      </c>
      <c r="C2170" s="14" t="s">
        <v>5284</v>
      </c>
      <c r="D2170" s="14" t="s">
        <v>1349</v>
      </c>
      <c r="E2170" s="15"/>
      <c r="F2170" s="14" t="s">
        <v>1350</v>
      </c>
      <c r="G2170" s="15"/>
      <c r="H2170" s="14" t="s">
        <v>1408</v>
      </c>
      <c r="I2170" s="14" t="s">
        <v>1360</v>
      </c>
      <c r="J2170" s="14" t="s">
        <v>1360</v>
      </c>
      <c r="K2170" s="14" t="s">
        <v>1257</v>
      </c>
      <c r="L2170" s="14" t="s">
        <v>5285</v>
      </c>
      <c r="M2170" s="14" t="s">
        <v>1410</v>
      </c>
      <c r="N2170" s="14" t="s">
        <v>1219</v>
      </c>
      <c r="O2170" s="14" t="s">
        <v>1220</v>
      </c>
    </row>
    <row r="2171" spans="1:15" x14ac:dyDescent="0.25">
      <c r="A2171" s="14">
        <v>2925</v>
      </c>
      <c r="B2171" s="14" t="s">
        <v>5286</v>
      </c>
      <c r="C2171" s="14" t="s">
        <v>5286</v>
      </c>
      <c r="D2171" s="14" t="s">
        <v>1349</v>
      </c>
      <c r="E2171" s="16">
        <v>50</v>
      </c>
      <c r="F2171" s="14" t="s">
        <v>1350</v>
      </c>
      <c r="G2171" s="16">
        <v>50</v>
      </c>
      <c r="H2171" s="14" t="s">
        <v>1408</v>
      </c>
      <c r="I2171" s="14" t="s">
        <v>1351</v>
      </c>
      <c r="J2171" s="14" t="s">
        <v>1351</v>
      </c>
      <c r="K2171" s="14" t="s">
        <v>1257</v>
      </c>
      <c r="L2171" s="14" t="s">
        <v>5287</v>
      </c>
      <c r="M2171" s="14" t="s">
        <v>1410</v>
      </c>
      <c r="N2171" s="14" t="s">
        <v>1219</v>
      </c>
      <c r="O2171" s="14" t="s">
        <v>1220</v>
      </c>
    </row>
    <row r="2172" spans="1:15" x14ac:dyDescent="0.25">
      <c r="A2172" s="14">
        <v>3866</v>
      </c>
      <c r="B2172" s="14" t="s">
        <v>5288</v>
      </c>
      <c r="C2172" s="14" t="s">
        <v>5288</v>
      </c>
      <c r="D2172" s="14" t="s">
        <v>1349</v>
      </c>
      <c r="E2172" s="15"/>
      <c r="F2172" s="14" t="s">
        <v>1350</v>
      </c>
      <c r="G2172" s="15"/>
      <c r="H2172" s="14" t="s">
        <v>1408</v>
      </c>
      <c r="I2172" s="14" t="s">
        <v>1360</v>
      </c>
      <c r="J2172" s="14" t="s">
        <v>1360</v>
      </c>
      <c r="K2172" s="14" t="s">
        <v>1257</v>
      </c>
      <c r="L2172" s="14" t="s">
        <v>5287</v>
      </c>
      <c r="M2172" s="14" t="s">
        <v>1410</v>
      </c>
      <c r="N2172" s="14" t="s">
        <v>1219</v>
      </c>
      <c r="O2172" s="14" t="s">
        <v>1220</v>
      </c>
    </row>
    <row r="2173" spans="1:15" x14ac:dyDescent="0.25">
      <c r="A2173" s="14">
        <v>2926</v>
      </c>
      <c r="B2173" s="14" t="s">
        <v>5289</v>
      </c>
      <c r="C2173" s="14" t="s">
        <v>5289</v>
      </c>
      <c r="D2173" s="14" t="s">
        <v>1349</v>
      </c>
      <c r="E2173" s="16">
        <v>50</v>
      </c>
      <c r="F2173" s="14" t="s">
        <v>1350</v>
      </c>
      <c r="G2173" s="16">
        <v>50</v>
      </c>
      <c r="H2173" s="14" t="s">
        <v>1408</v>
      </c>
      <c r="I2173" s="14" t="s">
        <v>1360</v>
      </c>
      <c r="J2173" s="14" t="s">
        <v>1360</v>
      </c>
      <c r="K2173" s="14" t="s">
        <v>1257</v>
      </c>
      <c r="L2173" s="14" t="s">
        <v>5287</v>
      </c>
      <c r="M2173" s="14" t="s">
        <v>1410</v>
      </c>
      <c r="N2173" s="14" t="s">
        <v>1219</v>
      </c>
      <c r="O2173" s="14" t="s">
        <v>1220</v>
      </c>
    </row>
    <row r="2174" spans="1:15" x14ac:dyDescent="0.25">
      <c r="A2174" s="14">
        <v>4564</v>
      </c>
      <c r="B2174" s="14" t="s">
        <v>662</v>
      </c>
      <c r="C2174" s="14" t="s">
        <v>662</v>
      </c>
      <c r="D2174" s="14" t="s">
        <v>5290</v>
      </c>
      <c r="E2174" s="16">
        <v>80</v>
      </c>
      <c r="F2174" s="14" t="s">
        <v>1321</v>
      </c>
      <c r="G2174" s="16">
        <v>560</v>
      </c>
      <c r="H2174" s="14" t="s">
        <v>1322</v>
      </c>
      <c r="I2174" s="14" t="s">
        <v>1256</v>
      </c>
      <c r="J2174" s="14" t="s">
        <v>1296</v>
      </c>
      <c r="K2174" s="14" t="s">
        <v>1257</v>
      </c>
      <c r="L2174" s="14" t="s">
        <v>5291</v>
      </c>
      <c r="M2174" s="14" t="s">
        <v>1324</v>
      </c>
      <c r="N2174" s="14" t="s">
        <v>1237</v>
      </c>
      <c r="O2174" s="14" t="s">
        <v>1220</v>
      </c>
    </row>
    <row r="2175" spans="1:15" x14ac:dyDescent="0.25">
      <c r="A2175" s="14" t="s">
        <v>5292</v>
      </c>
      <c r="B2175" s="14" t="s">
        <v>5293</v>
      </c>
      <c r="C2175" s="14" t="s">
        <v>5293</v>
      </c>
      <c r="D2175" s="14" t="s">
        <v>5290</v>
      </c>
      <c r="E2175" s="15"/>
      <c r="F2175" s="14" t="s">
        <v>1321</v>
      </c>
      <c r="G2175" s="15"/>
      <c r="H2175" s="14" t="s">
        <v>1322</v>
      </c>
      <c r="I2175" s="14" t="s">
        <v>1262</v>
      </c>
      <c r="J2175" s="14" t="s">
        <v>1262</v>
      </c>
      <c r="K2175" s="14"/>
      <c r="L2175" s="14" t="s">
        <v>5291</v>
      </c>
      <c r="M2175" s="14" t="s">
        <v>1324</v>
      </c>
      <c r="N2175" s="14" t="s">
        <v>1219</v>
      </c>
      <c r="O2175" s="14" t="s">
        <v>1220</v>
      </c>
    </row>
    <row r="2176" spans="1:15" x14ac:dyDescent="0.25">
      <c r="A2176" s="14">
        <v>4565</v>
      </c>
      <c r="B2176" s="14" t="s">
        <v>663</v>
      </c>
      <c r="C2176" s="14" t="s">
        <v>663</v>
      </c>
      <c r="D2176" s="14" t="s">
        <v>5290</v>
      </c>
      <c r="E2176" s="16">
        <v>80</v>
      </c>
      <c r="F2176" s="14" t="s">
        <v>1321</v>
      </c>
      <c r="G2176" s="16">
        <v>240</v>
      </c>
      <c r="H2176" s="14" t="s">
        <v>1322</v>
      </c>
      <c r="I2176" s="14" t="s">
        <v>1256</v>
      </c>
      <c r="J2176" s="14" t="s">
        <v>1296</v>
      </c>
      <c r="K2176" s="14" t="s">
        <v>1257</v>
      </c>
      <c r="L2176" s="14" t="s">
        <v>5294</v>
      </c>
      <c r="M2176" s="14" t="s">
        <v>1324</v>
      </c>
      <c r="N2176" s="14" t="s">
        <v>1237</v>
      </c>
      <c r="O2176" s="14" t="s">
        <v>1220</v>
      </c>
    </row>
    <row r="2177" spans="1:15" x14ac:dyDescent="0.25">
      <c r="A2177" s="14" t="s">
        <v>5295</v>
      </c>
      <c r="B2177" s="14" t="s">
        <v>5296</v>
      </c>
      <c r="C2177" s="14" t="s">
        <v>5296</v>
      </c>
      <c r="D2177" s="14" t="s">
        <v>5290</v>
      </c>
      <c r="E2177" s="15"/>
      <c r="F2177" s="14" t="s">
        <v>1321</v>
      </c>
      <c r="G2177" s="15"/>
      <c r="H2177" s="14" t="s">
        <v>1322</v>
      </c>
      <c r="I2177" s="14" t="s">
        <v>1262</v>
      </c>
      <c r="J2177" s="14" t="s">
        <v>1262</v>
      </c>
      <c r="K2177" s="14"/>
      <c r="L2177" s="14" t="s">
        <v>5294</v>
      </c>
      <c r="M2177" s="14" t="s">
        <v>1324</v>
      </c>
      <c r="N2177" s="14" t="s">
        <v>1219</v>
      </c>
      <c r="O2177" s="14" t="s">
        <v>1220</v>
      </c>
    </row>
    <row r="2178" spans="1:15" x14ac:dyDescent="0.25">
      <c r="A2178" s="14">
        <v>4566</v>
      </c>
      <c r="B2178" s="14" t="s">
        <v>664</v>
      </c>
      <c r="C2178" s="14" t="s">
        <v>664</v>
      </c>
      <c r="D2178" s="14" t="s">
        <v>5290</v>
      </c>
      <c r="E2178" s="16">
        <v>60</v>
      </c>
      <c r="F2178" s="14" t="s">
        <v>1321</v>
      </c>
      <c r="G2178" s="16">
        <v>300</v>
      </c>
      <c r="H2178" s="14" t="s">
        <v>1322</v>
      </c>
      <c r="I2178" s="14" t="s">
        <v>1256</v>
      </c>
      <c r="J2178" s="14" t="s">
        <v>1296</v>
      </c>
      <c r="K2178" s="14" t="s">
        <v>1257</v>
      </c>
      <c r="L2178" s="14" t="s">
        <v>5297</v>
      </c>
      <c r="M2178" s="14" t="s">
        <v>1324</v>
      </c>
      <c r="N2178" s="14" t="s">
        <v>1237</v>
      </c>
      <c r="O2178" s="14" t="s">
        <v>1220</v>
      </c>
    </row>
    <row r="2179" spans="1:15" x14ac:dyDescent="0.25">
      <c r="A2179" s="14" t="s">
        <v>5298</v>
      </c>
      <c r="B2179" s="14" t="s">
        <v>5299</v>
      </c>
      <c r="C2179" s="14" t="s">
        <v>5299</v>
      </c>
      <c r="D2179" s="14" t="s">
        <v>5290</v>
      </c>
      <c r="E2179" s="15"/>
      <c r="F2179" s="14" t="s">
        <v>1350</v>
      </c>
      <c r="G2179" s="15"/>
      <c r="H2179" s="14" t="s">
        <v>1322</v>
      </c>
      <c r="I2179" s="14" t="s">
        <v>1262</v>
      </c>
      <c r="J2179" s="14" t="s">
        <v>1262</v>
      </c>
      <c r="K2179" s="14" t="s">
        <v>1257</v>
      </c>
      <c r="L2179" s="14" t="s">
        <v>5297</v>
      </c>
      <c r="M2179" s="14" t="s">
        <v>5300</v>
      </c>
      <c r="N2179" s="14" t="s">
        <v>1219</v>
      </c>
      <c r="O2179" s="14" t="s">
        <v>1220</v>
      </c>
    </row>
    <row r="2180" spans="1:15" x14ac:dyDescent="0.25">
      <c r="A2180" s="14">
        <v>4567</v>
      </c>
      <c r="B2180" s="14" t="s">
        <v>665</v>
      </c>
      <c r="C2180" s="14" t="s">
        <v>665</v>
      </c>
      <c r="D2180" s="14" t="s">
        <v>5290</v>
      </c>
      <c r="E2180" s="16">
        <v>50</v>
      </c>
      <c r="F2180" s="14" t="s">
        <v>1321</v>
      </c>
      <c r="G2180" s="16">
        <v>150</v>
      </c>
      <c r="H2180" s="14" t="s">
        <v>1322</v>
      </c>
      <c r="I2180" s="14" t="s">
        <v>1256</v>
      </c>
      <c r="J2180" s="14" t="s">
        <v>1296</v>
      </c>
      <c r="K2180" s="14" t="s">
        <v>1257</v>
      </c>
      <c r="L2180" s="14" t="s">
        <v>5301</v>
      </c>
      <c r="M2180" s="14" t="s">
        <v>1324</v>
      </c>
      <c r="N2180" s="14" t="s">
        <v>1237</v>
      </c>
      <c r="O2180" s="14" t="s">
        <v>1220</v>
      </c>
    </row>
    <row r="2181" spans="1:15" x14ac:dyDescent="0.25">
      <c r="A2181" s="14" t="s">
        <v>5302</v>
      </c>
      <c r="B2181" s="14" t="s">
        <v>5303</v>
      </c>
      <c r="C2181" s="14" t="s">
        <v>5303</v>
      </c>
      <c r="D2181" s="14" t="s">
        <v>5290</v>
      </c>
      <c r="E2181" s="15"/>
      <c r="F2181" s="14" t="s">
        <v>1350</v>
      </c>
      <c r="G2181" s="15"/>
      <c r="H2181" s="14" t="s">
        <v>1322</v>
      </c>
      <c r="I2181" s="14" t="s">
        <v>1262</v>
      </c>
      <c r="J2181" s="14" t="s">
        <v>1262</v>
      </c>
      <c r="K2181" s="14" t="s">
        <v>1257</v>
      </c>
      <c r="L2181" s="14" t="s">
        <v>5301</v>
      </c>
      <c r="M2181" s="14" t="s">
        <v>1324</v>
      </c>
      <c r="N2181" s="14" t="s">
        <v>1219</v>
      </c>
      <c r="O2181" s="14" t="s">
        <v>1220</v>
      </c>
    </row>
    <row r="2182" spans="1:15" x14ac:dyDescent="0.25">
      <c r="A2182" s="14">
        <v>4562</v>
      </c>
      <c r="B2182" s="14" t="s">
        <v>660</v>
      </c>
      <c r="C2182" s="14" t="s">
        <v>5304</v>
      </c>
      <c r="D2182" s="14" t="s">
        <v>5290</v>
      </c>
      <c r="E2182" s="16">
        <v>150</v>
      </c>
      <c r="F2182" s="14" t="s">
        <v>1321</v>
      </c>
      <c r="G2182" s="16">
        <v>750</v>
      </c>
      <c r="H2182" s="14" t="s">
        <v>1322</v>
      </c>
      <c r="I2182" s="14" t="s">
        <v>1256</v>
      </c>
      <c r="J2182" s="14" t="s">
        <v>1296</v>
      </c>
      <c r="K2182" s="14" t="s">
        <v>1257</v>
      </c>
      <c r="L2182" s="14" t="s">
        <v>5305</v>
      </c>
      <c r="M2182" s="14" t="s">
        <v>1324</v>
      </c>
      <c r="N2182" s="14" t="s">
        <v>1237</v>
      </c>
      <c r="O2182" s="14" t="s">
        <v>1220</v>
      </c>
    </row>
    <row r="2183" spans="1:15" x14ac:dyDescent="0.25">
      <c r="A2183" s="14" t="s">
        <v>5306</v>
      </c>
      <c r="B2183" s="14" t="s">
        <v>5307</v>
      </c>
      <c r="C2183" s="14" t="s">
        <v>5308</v>
      </c>
      <c r="D2183" s="14" t="s">
        <v>5290</v>
      </c>
      <c r="E2183" s="15"/>
      <c r="F2183" s="14" t="s">
        <v>1321</v>
      </c>
      <c r="G2183" s="15"/>
      <c r="H2183" s="14" t="s">
        <v>1322</v>
      </c>
      <c r="I2183" s="14" t="s">
        <v>1262</v>
      </c>
      <c r="J2183" s="14" t="s">
        <v>1262</v>
      </c>
      <c r="K2183" s="14"/>
      <c r="L2183" s="14" t="s">
        <v>5305</v>
      </c>
      <c r="M2183" s="14" t="s">
        <v>5300</v>
      </c>
      <c r="N2183" s="14" t="s">
        <v>1219</v>
      </c>
      <c r="O2183" s="14" t="s">
        <v>1220</v>
      </c>
    </row>
    <row r="2184" spans="1:15" x14ac:dyDescent="0.25">
      <c r="A2184" s="14">
        <v>4563</v>
      </c>
      <c r="B2184" s="14" t="s">
        <v>661</v>
      </c>
      <c r="C2184" s="14" t="s">
        <v>5309</v>
      </c>
      <c r="D2184" s="14" t="s">
        <v>5290</v>
      </c>
      <c r="E2184" s="16">
        <v>100</v>
      </c>
      <c r="F2184" s="14" t="s">
        <v>1321</v>
      </c>
      <c r="G2184" s="16">
        <v>600</v>
      </c>
      <c r="H2184" s="14" t="s">
        <v>1322</v>
      </c>
      <c r="I2184" s="14" t="s">
        <v>1256</v>
      </c>
      <c r="J2184" s="14" t="s">
        <v>1296</v>
      </c>
      <c r="K2184" s="14" t="s">
        <v>1257</v>
      </c>
      <c r="L2184" s="14" t="s">
        <v>5310</v>
      </c>
      <c r="M2184" s="14" t="s">
        <v>1324</v>
      </c>
      <c r="N2184" s="14" t="s">
        <v>1237</v>
      </c>
      <c r="O2184" s="14" t="s">
        <v>1220</v>
      </c>
    </row>
    <row r="2185" spans="1:15" x14ac:dyDescent="0.25">
      <c r="A2185" s="14" t="s">
        <v>5311</v>
      </c>
      <c r="B2185" s="14" t="s">
        <v>5312</v>
      </c>
      <c r="C2185" s="14" t="s">
        <v>5313</v>
      </c>
      <c r="D2185" s="14" t="s">
        <v>5290</v>
      </c>
      <c r="E2185" s="15"/>
      <c r="F2185" s="14" t="s">
        <v>1321</v>
      </c>
      <c r="G2185" s="15"/>
      <c r="H2185" s="14" t="s">
        <v>1322</v>
      </c>
      <c r="I2185" s="14" t="s">
        <v>1262</v>
      </c>
      <c r="J2185" s="14" t="s">
        <v>1262</v>
      </c>
      <c r="K2185" s="14" t="s">
        <v>1257</v>
      </c>
      <c r="L2185" s="14" t="s">
        <v>5310</v>
      </c>
      <c r="M2185" s="14" t="s">
        <v>1324</v>
      </c>
      <c r="N2185" s="14" t="s">
        <v>1219</v>
      </c>
      <c r="O2185" s="14" t="s">
        <v>1220</v>
      </c>
    </row>
    <row r="2186" spans="1:15" x14ac:dyDescent="0.25">
      <c r="A2186" s="14">
        <v>3</v>
      </c>
      <c r="B2186" s="14" t="s">
        <v>5314</v>
      </c>
      <c r="C2186" s="14" t="s">
        <v>5314</v>
      </c>
      <c r="D2186" s="14" t="s">
        <v>1349</v>
      </c>
      <c r="E2186" s="15"/>
      <c r="F2186" s="14"/>
      <c r="G2186" s="15"/>
      <c r="H2186" s="14" t="s">
        <v>2078</v>
      </c>
      <c r="I2186" s="14" t="s">
        <v>1360</v>
      </c>
      <c r="J2186" s="14" t="s">
        <v>1360</v>
      </c>
      <c r="K2186" s="14"/>
      <c r="L2186" s="14"/>
      <c r="M2186" s="14"/>
      <c r="N2186" s="14" t="s">
        <v>1219</v>
      </c>
      <c r="O2186" s="14" t="s">
        <v>1220</v>
      </c>
    </row>
    <row r="2187" spans="1:15" x14ac:dyDescent="0.25">
      <c r="A2187" s="14">
        <v>7004</v>
      </c>
      <c r="B2187" s="14" t="s">
        <v>5315</v>
      </c>
      <c r="C2187" s="14" t="s">
        <v>5315</v>
      </c>
      <c r="D2187" s="14" t="s">
        <v>1637</v>
      </c>
      <c r="E2187" s="16">
        <v>200</v>
      </c>
      <c r="F2187" s="14" t="s">
        <v>1638</v>
      </c>
      <c r="G2187" s="16">
        <v>500</v>
      </c>
      <c r="H2187" s="14" t="s">
        <v>1639</v>
      </c>
      <c r="I2187" s="14" t="s">
        <v>1256</v>
      </c>
      <c r="J2187" s="14" t="s">
        <v>1296</v>
      </c>
      <c r="K2187" s="14" t="s">
        <v>1640</v>
      </c>
      <c r="L2187" s="14" t="s">
        <v>5316</v>
      </c>
      <c r="M2187" s="14" t="s">
        <v>5317</v>
      </c>
      <c r="N2187" s="14" t="s">
        <v>1237</v>
      </c>
      <c r="O2187" s="14" t="s">
        <v>1220</v>
      </c>
    </row>
    <row r="2188" spans="1:15" x14ac:dyDescent="0.25">
      <c r="A2188" s="14">
        <v>7005</v>
      </c>
      <c r="B2188" s="14" t="s">
        <v>5318</v>
      </c>
      <c r="C2188" s="14" t="s">
        <v>5318</v>
      </c>
      <c r="D2188" s="14" t="s">
        <v>1637</v>
      </c>
      <c r="E2188" s="16">
        <v>180</v>
      </c>
      <c r="F2188" s="14" t="s">
        <v>1638</v>
      </c>
      <c r="G2188" s="16">
        <v>500</v>
      </c>
      <c r="H2188" s="14" t="s">
        <v>1639</v>
      </c>
      <c r="I2188" s="14" t="s">
        <v>1256</v>
      </c>
      <c r="J2188" s="14" t="s">
        <v>1296</v>
      </c>
      <c r="K2188" s="14" t="s">
        <v>1640</v>
      </c>
      <c r="L2188" s="14" t="s">
        <v>5319</v>
      </c>
      <c r="M2188" s="14" t="s">
        <v>5317</v>
      </c>
      <c r="N2188" s="14" t="s">
        <v>1237</v>
      </c>
      <c r="O2188" s="14" t="s">
        <v>1220</v>
      </c>
    </row>
    <row r="2189" spans="1:15" x14ac:dyDescent="0.25">
      <c r="A2189" s="14">
        <v>7006</v>
      </c>
      <c r="B2189" s="14" t="s">
        <v>5320</v>
      </c>
      <c r="C2189" s="14" t="s">
        <v>5320</v>
      </c>
      <c r="D2189" s="14" t="s">
        <v>1637</v>
      </c>
      <c r="E2189" s="16">
        <v>160</v>
      </c>
      <c r="F2189" s="14" t="s">
        <v>1638</v>
      </c>
      <c r="G2189" s="16">
        <v>500</v>
      </c>
      <c r="H2189" s="14" t="s">
        <v>1639</v>
      </c>
      <c r="I2189" s="14" t="s">
        <v>1256</v>
      </c>
      <c r="J2189" s="14" t="s">
        <v>1296</v>
      </c>
      <c r="K2189" s="14" t="s">
        <v>1640</v>
      </c>
      <c r="L2189" s="14" t="s">
        <v>5321</v>
      </c>
      <c r="M2189" s="14" t="s">
        <v>5317</v>
      </c>
      <c r="N2189" s="14" t="s">
        <v>1237</v>
      </c>
      <c r="O2189" s="14" t="s">
        <v>1220</v>
      </c>
    </row>
    <row r="2190" spans="1:15" x14ac:dyDescent="0.25">
      <c r="A2190" s="14">
        <v>7007</v>
      </c>
      <c r="B2190" s="14" t="s">
        <v>5322</v>
      </c>
      <c r="C2190" s="14" t="s">
        <v>5322</v>
      </c>
      <c r="D2190" s="14" t="s">
        <v>1637</v>
      </c>
      <c r="E2190" s="16">
        <v>120</v>
      </c>
      <c r="F2190" s="14" t="s">
        <v>1638</v>
      </c>
      <c r="G2190" s="16">
        <v>500</v>
      </c>
      <c r="H2190" s="14" t="s">
        <v>1639</v>
      </c>
      <c r="I2190" s="14" t="s">
        <v>1256</v>
      </c>
      <c r="J2190" s="14" t="s">
        <v>1296</v>
      </c>
      <c r="K2190" s="14" t="s">
        <v>1640</v>
      </c>
      <c r="L2190" s="14" t="s">
        <v>5323</v>
      </c>
      <c r="M2190" s="14" t="s">
        <v>5317</v>
      </c>
      <c r="N2190" s="14" t="s">
        <v>1237</v>
      </c>
      <c r="O2190" s="14" t="s">
        <v>1220</v>
      </c>
    </row>
    <row r="2191" spans="1:15" x14ac:dyDescent="0.25">
      <c r="A2191" s="14">
        <v>7008</v>
      </c>
      <c r="B2191" s="14" t="s">
        <v>5324</v>
      </c>
      <c r="C2191" s="14" t="s">
        <v>5324</v>
      </c>
      <c r="D2191" s="14" t="s">
        <v>1637</v>
      </c>
      <c r="E2191" s="16">
        <v>100</v>
      </c>
      <c r="F2191" s="14" t="s">
        <v>1638</v>
      </c>
      <c r="G2191" s="16">
        <v>500</v>
      </c>
      <c r="H2191" s="14" t="s">
        <v>1639</v>
      </c>
      <c r="I2191" s="14" t="s">
        <v>1256</v>
      </c>
      <c r="J2191" s="14" t="s">
        <v>1242</v>
      </c>
      <c r="K2191" s="14" t="s">
        <v>1640</v>
      </c>
      <c r="L2191" s="14" t="s">
        <v>5325</v>
      </c>
      <c r="M2191" s="14" t="s">
        <v>5317</v>
      </c>
      <c r="N2191" s="14" t="s">
        <v>1237</v>
      </c>
      <c r="O2191" s="14" t="s">
        <v>1220</v>
      </c>
    </row>
    <row r="2192" spans="1:15" x14ac:dyDescent="0.25">
      <c r="A2192" s="14">
        <v>7009</v>
      </c>
      <c r="B2192" s="14" t="s">
        <v>809</v>
      </c>
      <c r="C2192" s="14" t="s">
        <v>809</v>
      </c>
      <c r="D2192" s="14" t="s">
        <v>1637</v>
      </c>
      <c r="E2192" s="16">
        <v>80</v>
      </c>
      <c r="F2192" s="14" t="s">
        <v>1638</v>
      </c>
      <c r="G2192" s="16">
        <v>500</v>
      </c>
      <c r="H2192" s="14" t="s">
        <v>1639</v>
      </c>
      <c r="I2192" s="14" t="s">
        <v>1256</v>
      </c>
      <c r="J2192" s="14" t="s">
        <v>1242</v>
      </c>
      <c r="K2192" s="14" t="s">
        <v>1640</v>
      </c>
      <c r="L2192" s="14" t="s">
        <v>5326</v>
      </c>
      <c r="M2192" s="14" t="s">
        <v>5317</v>
      </c>
      <c r="N2192" s="14" t="s">
        <v>1237</v>
      </c>
      <c r="O2192" s="14" t="s">
        <v>1220</v>
      </c>
    </row>
    <row r="2193" spans="1:15" x14ac:dyDescent="0.25">
      <c r="A2193" s="14">
        <v>7010</v>
      </c>
      <c r="B2193" s="14" t="s">
        <v>810</v>
      </c>
      <c r="C2193" s="14" t="s">
        <v>810</v>
      </c>
      <c r="D2193" s="14" t="s">
        <v>1637</v>
      </c>
      <c r="E2193" s="16">
        <v>65</v>
      </c>
      <c r="F2193" s="14" t="s">
        <v>1638</v>
      </c>
      <c r="G2193" s="16">
        <v>500</v>
      </c>
      <c r="H2193" s="14" t="s">
        <v>1639</v>
      </c>
      <c r="I2193" s="14" t="s">
        <v>1256</v>
      </c>
      <c r="J2193" s="14" t="s">
        <v>1242</v>
      </c>
      <c r="K2193" s="14" t="s">
        <v>1640</v>
      </c>
      <c r="L2193" s="14" t="s">
        <v>5327</v>
      </c>
      <c r="M2193" s="14" t="s">
        <v>5317</v>
      </c>
      <c r="N2193" s="14" t="s">
        <v>1237</v>
      </c>
      <c r="O2193" s="14" t="s">
        <v>1220</v>
      </c>
    </row>
    <row r="2194" spans="1:15" x14ac:dyDescent="0.25">
      <c r="A2194" s="14">
        <v>7011</v>
      </c>
      <c r="B2194" s="14" t="s">
        <v>811</v>
      </c>
      <c r="C2194" s="14" t="s">
        <v>811</v>
      </c>
      <c r="D2194" s="14" t="s">
        <v>1637</v>
      </c>
      <c r="E2194" s="16">
        <v>60</v>
      </c>
      <c r="F2194" s="14" t="s">
        <v>1638</v>
      </c>
      <c r="G2194" s="16">
        <v>500</v>
      </c>
      <c r="H2194" s="14" t="s">
        <v>1639</v>
      </c>
      <c r="I2194" s="14" t="s">
        <v>1256</v>
      </c>
      <c r="J2194" s="14" t="s">
        <v>1233</v>
      </c>
      <c r="K2194" s="14" t="s">
        <v>1640</v>
      </c>
      <c r="L2194" s="14" t="s">
        <v>5328</v>
      </c>
      <c r="M2194" s="14" t="s">
        <v>5317</v>
      </c>
      <c r="N2194" s="14" t="s">
        <v>1237</v>
      </c>
      <c r="O2194" s="14" t="s">
        <v>1220</v>
      </c>
    </row>
    <row r="2195" spans="1:15" x14ac:dyDescent="0.25">
      <c r="A2195" s="14">
        <v>7012</v>
      </c>
      <c r="B2195" s="14" t="s">
        <v>812</v>
      </c>
      <c r="C2195" s="14" t="s">
        <v>812</v>
      </c>
      <c r="D2195" s="14" t="s">
        <v>1637</v>
      </c>
      <c r="E2195" s="16">
        <v>50</v>
      </c>
      <c r="F2195" s="14" t="s">
        <v>1638</v>
      </c>
      <c r="G2195" s="16">
        <v>500</v>
      </c>
      <c r="H2195" s="14" t="s">
        <v>1639</v>
      </c>
      <c r="I2195" s="14" t="s">
        <v>1256</v>
      </c>
      <c r="J2195" s="14" t="s">
        <v>1296</v>
      </c>
      <c r="K2195" s="14" t="s">
        <v>1640</v>
      </c>
      <c r="L2195" s="14" t="s">
        <v>5329</v>
      </c>
      <c r="M2195" s="14" t="s">
        <v>5317</v>
      </c>
      <c r="N2195" s="14" t="s">
        <v>1237</v>
      </c>
      <c r="O2195" s="14" t="s">
        <v>1220</v>
      </c>
    </row>
    <row r="2196" spans="1:15" x14ac:dyDescent="0.25">
      <c r="A2196" s="14">
        <v>7013</v>
      </c>
      <c r="B2196" s="14" t="s">
        <v>813</v>
      </c>
      <c r="C2196" s="14" t="s">
        <v>813</v>
      </c>
      <c r="D2196" s="14" t="s">
        <v>1637</v>
      </c>
      <c r="E2196" s="16">
        <v>40</v>
      </c>
      <c r="F2196" s="14" t="s">
        <v>1638</v>
      </c>
      <c r="G2196" s="16">
        <v>500</v>
      </c>
      <c r="H2196" s="14" t="s">
        <v>1639</v>
      </c>
      <c r="I2196" s="14" t="s">
        <v>1256</v>
      </c>
      <c r="J2196" s="14" t="s">
        <v>1242</v>
      </c>
      <c r="K2196" s="14" t="s">
        <v>1640</v>
      </c>
      <c r="L2196" s="14" t="s">
        <v>5330</v>
      </c>
      <c r="M2196" s="14" t="s">
        <v>5317</v>
      </c>
      <c r="N2196" s="14" t="s">
        <v>1237</v>
      </c>
      <c r="O2196" s="14" t="s">
        <v>1220</v>
      </c>
    </row>
    <row r="2197" spans="1:15" x14ac:dyDescent="0.25">
      <c r="A2197" s="14">
        <v>7014</v>
      </c>
      <c r="B2197" s="14" t="s">
        <v>814</v>
      </c>
      <c r="C2197" s="14" t="s">
        <v>814</v>
      </c>
      <c r="D2197" s="14" t="s">
        <v>1637</v>
      </c>
      <c r="E2197" s="16">
        <v>35</v>
      </c>
      <c r="F2197" s="14" t="s">
        <v>1638</v>
      </c>
      <c r="G2197" s="16">
        <v>500</v>
      </c>
      <c r="H2197" s="14" t="s">
        <v>1639</v>
      </c>
      <c r="I2197" s="14" t="s">
        <v>1256</v>
      </c>
      <c r="J2197" s="14" t="s">
        <v>1242</v>
      </c>
      <c r="K2197" s="14" t="s">
        <v>1640</v>
      </c>
      <c r="L2197" s="14" t="s">
        <v>5331</v>
      </c>
      <c r="M2197" s="14" t="s">
        <v>5317</v>
      </c>
      <c r="N2197" s="14" t="s">
        <v>1237</v>
      </c>
      <c r="O2197" s="14" t="s">
        <v>1220</v>
      </c>
    </row>
    <row r="2198" spans="1:15" x14ac:dyDescent="0.25">
      <c r="A2198" s="14">
        <v>7015</v>
      </c>
      <c r="B2198" s="14" t="s">
        <v>816</v>
      </c>
      <c r="C2198" s="14" t="s">
        <v>816</v>
      </c>
      <c r="D2198" s="14" t="s">
        <v>1637</v>
      </c>
      <c r="E2198" s="16">
        <v>30</v>
      </c>
      <c r="F2198" s="14" t="s">
        <v>1638</v>
      </c>
      <c r="G2198" s="16">
        <v>500</v>
      </c>
      <c r="H2198" s="14" t="s">
        <v>1639</v>
      </c>
      <c r="I2198" s="14" t="s">
        <v>1256</v>
      </c>
      <c r="J2198" s="14" t="s">
        <v>1242</v>
      </c>
      <c r="K2198" s="14" t="s">
        <v>1640</v>
      </c>
      <c r="L2198" s="14" t="s">
        <v>5332</v>
      </c>
      <c r="M2198" s="14" t="s">
        <v>5317</v>
      </c>
      <c r="N2198" s="14" t="s">
        <v>1237</v>
      </c>
      <c r="O2198" s="14" t="s">
        <v>1220</v>
      </c>
    </row>
    <row r="2199" spans="1:15" x14ac:dyDescent="0.25">
      <c r="A2199" s="14">
        <v>7016</v>
      </c>
      <c r="B2199" s="14" t="s">
        <v>818</v>
      </c>
      <c r="C2199" s="14" t="s">
        <v>818</v>
      </c>
      <c r="D2199" s="14" t="s">
        <v>1637</v>
      </c>
      <c r="E2199" s="16">
        <v>25</v>
      </c>
      <c r="F2199" s="14" t="s">
        <v>1638</v>
      </c>
      <c r="G2199" s="16">
        <v>500</v>
      </c>
      <c r="H2199" s="14" t="s">
        <v>1639</v>
      </c>
      <c r="I2199" s="14" t="s">
        <v>1256</v>
      </c>
      <c r="J2199" s="14" t="s">
        <v>1296</v>
      </c>
      <c r="K2199" s="14" t="s">
        <v>1640</v>
      </c>
      <c r="L2199" s="14" t="s">
        <v>5333</v>
      </c>
      <c r="M2199" s="14" t="s">
        <v>5317</v>
      </c>
      <c r="N2199" s="14" t="s">
        <v>1237</v>
      </c>
      <c r="O2199" s="14" t="s">
        <v>1220</v>
      </c>
    </row>
    <row r="2200" spans="1:15" x14ac:dyDescent="0.25">
      <c r="A2200" s="14">
        <v>7017</v>
      </c>
      <c r="B2200" s="14" t="s">
        <v>820</v>
      </c>
      <c r="C2200" s="14" t="s">
        <v>820</v>
      </c>
      <c r="D2200" s="14" t="s">
        <v>1637</v>
      </c>
      <c r="E2200" s="16">
        <v>20</v>
      </c>
      <c r="F2200" s="14" t="s">
        <v>1638</v>
      </c>
      <c r="G2200" s="16">
        <v>500</v>
      </c>
      <c r="H2200" s="14" t="s">
        <v>1639</v>
      </c>
      <c r="I2200" s="14" t="s">
        <v>1256</v>
      </c>
      <c r="J2200" s="14" t="s">
        <v>1242</v>
      </c>
      <c r="K2200" s="14" t="s">
        <v>1640</v>
      </c>
      <c r="L2200" s="14" t="s">
        <v>5334</v>
      </c>
      <c r="M2200" s="14" t="s">
        <v>5317</v>
      </c>
      <c r="N2200" s="14" t="s">
        <v>1237</v>
      </c>
      <c r="O2200" s="14" t="s">
        <v>1220</v>
      </c>
    </row>
    <row r="2201" spans="1:15" x14ac:dyDescent="0.25">
      <c r="A2201" s="14">
        <v>7018</v>
      </c>
      <c r="B2201" s="14" t="s">
        <v>5335</v>
      </c>
      <c r="C2201" s="14" t="s">
        <v>5335</v>
      </c>
      <c r="D2201" s="14" t="s">
        <v>1637</v>
      </c>
      <c r="E2201" s="16">
        <v>200</v>
      </c>
      <c r="F2201" s="14" t="s">
        <v>1638</v>
      </c>
      <c r="G2201" s="16">
        <v>500</v>
      </c>
      <c r="H2201" s="14" t="s">
        <v>1639</v>
      </c>
      <c r="I2201" s="14" t="s">
        <v>1256</v>
      </c>
      <c r="J2201" s="14" t="s">
        <v>1296</v>
      </c>
      <c r="K2201" s="14" t="s">
        <v>1640</v>
      </c>
      <c r="L2201" s="14" t="s">
        <v>5336</v>
      </c>
      <c r="M2201" s="14" t="s">
        <v>5317</v>
      </c>
      <c r="N2201" s="14" t="s">
        <v>1237</v>
      </c>
      <c r="O2201" s="14" t="s">
        <v>1220</v>
      </c>
    </row>
    <row r="2202" spans="1:15" x14ac:dyDescent="0.25">
      <c r="A2202" s="14">
        <v>7019</v>
      </c>
      <c r="B2202" s="14" t="s">
        <v>5337</v>
      </c>
      <c r="C2202" s="14" t="s">
        <v>5337</v>
      </c>
      <c r="D2202" s="14" t="s">
        <v>1637</v>
      </c>
      <c r="E2202" s="16">
        <v>180</v>
      </c>
      <c r="F2202" s="14" t="s">
        <v>1638</v>
      </c>
      <c r="G2202" s="16">
        <v>500</v>
      </c>
      <c r="H2202" s="14" t="s">
        <v>1639</v>
      </c>
      <c r="I2202" s="14" t="s">
        <v>1256</v>
      </c>
      <c r="J2202" s="14" t="s">
        <v>1296</v>
      </c>
      <c r="K2202" s="14" t="s">
        <v>1640</v>
      </c>
      <c r="L2202" s="14" t="s">
        <v>5338</v>
      </c>
      <c r="M2202" s="14" t="s">
        <v>5317</v>
      </c>
      <c r="N2202" s="14" t="s">
        <v>1237</v>
      </c>
      <c r="O2202" s="14" t="s">
        <v>1220</v>
      </c>
    </row>
    <row r="2203" spans="1:15" x14ac:dyDescent="0.25">
      <c r="A2203" s="14">
        <v>7020</v>
      </c>
      <c r="B2203" s="14" t="s">
        <v>5339</v>
      </c>
      <c r="C2203" s="14" t="s">
        <v>5339</v>
      </c>
      <c r="D2203" s="14" t="s">
        <v>1637</v>
      </c>
      <c r="E2203" s="16">
        <v>160</v>
      </c>
      <c r="F2203" s="14" t="s">
        <v>1638</v>
      </c>
      <c r="G2203" s="16">
        <v>500</v>
      </c>
      <c r="H2203" s="14" t="s">
        <v>1639</v>
      </c>
      <c r="I2203" s="14" t="s">
        <v>1256</v>
      </c>
      <c r="J2203" s="14" t="s">
        <v>1296</v>
      </c>
      <c r="K2203" s="14" t="s">
        <v>1640</v>
      </c>
      <c r="L2203" s="14" t="s">
        <v>5340</v>
      </c>
      <c r="M2203" s="14" t="s">
        <v>5317</v>
      </c>
      <c r="N2203" s="14" t="s">
        <v>1237</v>
      </c>
      <c r="O2203" s="14" t="s">
        <v>1220</v>
      </c>
    </row>
    <row r="2204" spans="1:15" x14ac:dyDescent="0.25">
      <c r="A2204" s="14">
        <v>7021</v>
      </c>
      <c r="B2204" s="14" t="s">
        <v>5341</v>
      </c>
      <c r="C2204" s="14" t="s">
        <v>5341</v>
      </c>
      <c r="D2204" s="14" t="s">
        <v>1637</v>
      </c>
      <c r="E2204" s="16">
        <v>120</v>
      </c>
      <c r="F2204" s="14" t="s">
        <v>1638</v>
      </c>
      <c r="G2204" s="16">
        <v>500</v>
      </c>
      <c r="H2204" s="14" t="s">
        <v>1639</v>
      </c>
      <c r="I2204" s="14" t="s">
        <v>1256</v>
      </c>
      <c r="J2204" s="14" t="s">
        <v>1296</v>
      </c>
      <c r="K2204" s="14" t="s">
        <v>1640</v>
      </c>
      <c r="L2204" s="14" t="s">
        <v>5342</v>
      </c>
      <c r="M2204" s="14" t="s">
        <v>5317</v>
      </c>
      <c r="N2204" s="14" t="s">
        <v>1237</v>
      </c>
      <c r="O2204" s="14" t="s">
        <v>1220</v>
      </c>
    </row>
    <row r="2205" spans="1:15" x14ac:dyDescent="0.25">
      <c r="A2205" s="14">
        <v>7022</v>
      </c>
      <c r="B2205" s="14" t="s">
        <v>5343</v>
      </c>
      <c r="C2205" s="14" t="s">
        <v>5343</v>
      </c>
      <c r="D2205" s="14" t="s">
        <v>1637</v>
      </c>
      <c r="E2205" s="16">
        <v>100</v>
      </c>
      <c r="F2205" s="14" t="s">
        <v>1638</v>
      </c>
      <c r="G2205" s="16">
        <v>500</v>
      </c>
      <c r="H2205" s="14" t="s">
        <v>1639</v>
      </c>
      <c r="I2205" s="14" t="s">
        <v>1256</v>
      </c>
      <c r="J2205" s="14" t="s">
        <v>1296</v>
      </c>
      <c r="K2205" s="14" t="s">
        <v>1640</v>
      </c>
      <c r="L2205" s="14" t="s">
        <v>5344</v>
      </c>
      <c r="M2205" s="14" t="s">
        <v>5317</v>
      </c>
      <c r="N2205" s="14" t="s">
        <v>1237</v>
      </c>
      <c r="O2205" s="14" t="s">
        <v>1220</v>
      </c>
    </row>
    <row r="2206" spans="1:15" x14ac:dyDescent="0.25">
      <c r="A2206" s="14">
        <v>7023</v>
      </c>
      <c r="B2206" s="14" t="s">
        <v>823</v>
      </c>
      <c r="C2206" s="14" t="s">
        <v>823</v>
      </c>
      <c r="D2206" s="14" t="s">
        <v>1637</v>
      </c>
      <c r="E2206" s="16">
        <v>80</v>
      </c>
      <c r="F2206" s="14" t="s">
        <v>1638</v>
      </c>
      <c r="G2206" s="16">
        <v>500</v>
      </c>
      <c r="H2206" s="14" t="s">
        <v>1639</v>
      </c>
      <c r="I2206" s="14" t="s">
        <v>1256</v>
      </c>
      <c r="J2206" s="14" t="s">
        <v>1242</v>
      </c>
      <c r="K2206" s="14" t="s">
        <v>1640</v>
      </c>
      <c r="L2206" s="14" t="s">
        <v>5345</v>
      </c>
      <c r="M2206" s="14" t="s">
        <v>5317</v>
      </c>
      <c r="N2206" s="14" t="s">
        <v>1237</v>
      </c>
      <c r="O2206" s="14" t="s">
        <v>1220</v>
      </c>
    </row>
    <row r="2207" spans="1:15" x14ac:dyDescent="0.25">
      <c r="A2207" s="14">
        <v>7024</v>
      </c>
      <c r="B2207" s="14" t="s">
        <v>824</v>
      </c>
      <c r="C2207" s="14" t="s">
        <v>824</v>
      </c>
      <c r="D2207" s="14" t="s">
        <v>1637</v>
      </c>
      <c r="E2207" s="16">
        <v>65</v>
      </c>
      <c r="F2207" s="14" t="s">
        <v>1638</v>
      </c>
      <c r="G2207" s="16">
        <v>500</v>
      </c>
      <c r="H2207" s="14" t="s">
        <v>1639</v>
      </c>
      <c r="I2207" s="14" t="s">
        <v>1256</v>
      </c>
      <c r="J2207" s="14" t="s">
        <v>1296</v>
      </c>
      <c r="K2207" s="14" t="s">
        <v>1640</v>
      </c>
      <c r="L2207" s="14" t="s">
        <v>5346</v>
      </c>
      <c r="M2207" s="14" t="s">
        <v>5317</v>
      </c>
      <c r="N2207" s="14" t="s">
        <v>1237</v>
      </c>
      <c r="O2207" s="14" t="s">
        <v>1220</v>
      </c>
    </row>
    <row r="2208" spans="1:15" x14ac:dyDescent="0.25">
      <c r="A2208" s="14">
        <v>7025</v>
      </c>
      <c r="B2208" s="14" t="s">
        <v>825</v>
      </c>
      <c r="C2208" s="14" t="s">
        <v>825</v>
      </c>
      <c r="D2208" s="14" t="s">
        <v>1637</v>
      </c>
      <c r="E2208" s="16">
        <v>60</v>
      </c>
      <c r="F2208" s="14" t="s">
        <v>1638</v>
      </c>
      <c r="G2208" s="16">
        <v>500</v>
      </c>
      <c r="H2208" s="14" t="s">
        <v>1639</v>
      </c>
      <c r="I2208" s="14" t="s">
        <v>1256</v>
      </c>
      <c r="J2208" s="14" t="s">
        <v>1242</v>
      </c>
      <c r="K2208" s="14" t="s">
        <v>1640</v>
      </c>
      <c r="L2208" s="14" t="s">
        <v>5347</v>
      </c>
      <c r="M2208" s="14" t="s">
        <v>5317</v>
      </c>
      <c r="N2208" s="14" t="s">
        <v>1237</v>
      </c>
      <c r="O2208" s="14" t="s">
        <v>1220</v>
      </c>
    </row>
    <row r="2209" spans="1:15" x14ac:dyDescent="0.25">
      <c r="A2209" s="14">
        <v>7026</v>
      </c>
      <c r="B2209" s="14" t="s">
        <v>826</v>
      </c>
      <c r="C2209" s="14" t="s">
        <v>826</v>
      </c>
      <c r="D2209" s="14" t="s">
        <v>1637</v>
      </c>
      <c r="E2209" s="16">
        <v>50</v>
      </c>
      <c r="F2209" s="14" t="s">
        <v>1638</v>
      </c>
      <c r="G2209" s="16">
        <v>500</v>
      </c>
      <c r="H2209" s="14" t="s">
        <v>1639</v>
      </c>
      <c r="I2209" s="14" t="s">
        <v>1256</v>
      </c>
      <c r="J2209" s="14" t="s">
        <v>1296</v>
      </c>
      <c r="K2209" s="14" t="s">
        <v>1640</v>
      </c>
      <c r="L2209" s="14" t="s">
        <v>5348</v>
      </c>
      <c r="M2209" s="14" t="s">
        <v>5317</v>
      </c>
      <c r="N2209" s="14" t="s">
        <v>1237</v>
      </c>
      <c r="O2209" s="14" t="s">
        <v>1220</v>
      </c>
    </row>
    <row r="2210" spans="1:15" x14ac:dyDescent="0.25">
      <c r="A2210" s="14">
        <v>7027</v>
      </c>
      <c r="B2210" s="14" t="s">
        <v>827</v>
      </c>
      <c r="C2210" s="14" t="s">
        <v>827</v>
      </c>
      <c r="D2210" s="14" t="s">
        <v>1637</v>
      </c>
      <c r="E2210" s="16">
        <v>40</v>
      </c>
      <c r="F2210" s="14" t="s">
        <v>1638</v>
      </c>
      <c r="G2210" s="16">
        <v>500</v>
      </c>
      <c r="H2210" s="14" t="s">
        <v>1639</v>
      </c>
      <c r="I2210" s="14" t="s">
        <v>1256</v>
      </c>
      <c r="J2210" s="14" t="s">
        <v>1242</v>
      </c>
      <c r="K2210" s="14" t="s">
        <v>1640</v>
      </c>
      <c r="L2210" s="14" t="s">
        <v>5349</v>
      </c>
      <c r="M2210" s="14" t="s">
        <v>5317</v>
      </c>
      <c r="N2210" s="14" t="s">
        <v>1237</v>
      </c>
      <c r="O2210" s="14" t="s">
        <v>1220</v>
      </c>
    </row>
    <row r="2211" spans="1:15" x14ac:dyDescent="0.25">
      <c r="A2211" s="14">
        <v>7028</v>
      </c>
      <c r="B2211" s="14" t="s">
        <v>828</v>
      </c>
      <c r="C2211" s="14" t="s">
        <v>828</v>
      </c>
      <c r="D2211" s="14" t="s">
        <v>1637</v>
      </c>
      <c r="E2211" s="16">
        <v>35</v>
      </c>
      <c r="F2211" s="14" t="s">
        <v>1638</v>
      </c>
      <c r="G2211" s="16">
        <v>500</v>
      </c>
      <c r="H2211" s="14" t="s">
        <v>1639</v>
      </c>
      <c r="I2211" s="14" t="s">
        <v>1256</v>
      </c>
      <c r="J2211" s="14" t="s">
        <v>1296</v>
      </c>
      <c r="K2211" s="14" t="s">
        <v>1640</v>
      </c>
      <c r="L2211" s="14" t="s">
        <v>5350</v>
      </c>
      <c r="M2211" s="14" t="s">
        <v>5317</v>
      </c>
      <c r="N2211" s="14" t="s">
        <v>1237</v>
      </c>
      <c r="O2211" s="14" t="s">
        <v>1220</v>
      </c>
    </row>
    <row r="2212" spans="1:15" x14ac:dyDescent="0.25">
      <c r="A2212" s="14">
        <v>7029</v>
      </c>
      <c r="B2212" s="14" t="s">
        <v>830</v>
      </c>
      <c r="C2212" s="14" t="s">
        <v>830</v>
      </c>
      <c r="D2212" s="14" t="s">
        <v>1637</v>
      </c>
      <c r="E2212" s="16">
        <v>30</v>
      </c>
      <c r="F2212" s="14" t="s">
        <v>1638</v>
      </c>
      <c r="G2212" s="16">
        <v>500</v>
      </c>
      <c r="H2212" s="14" t="s">
        <v>1639</v>
      </c>
      <c r="I2212" s="14" t="s">
        <v>1256</v>
      </c>
      <c r="J2212" s="14" t="s">
        <v>1242</v>
      </c>
      <c r="K2212" s="14" t="s">
        <v>1640</v>
      </c>
      <c r="L2212" s="14" t="s">
        <v>5351</v>
      </c>
      <c r="M2212" s="14" t="s">
        <v>5317</v>
      </c>
      <c r="N2212" s="14" t="s">
        <v>1237</v>
      </c>
      <c r="O2212" s="14" t="s">
        <v>1220</v>
      </c>
    </row>
    <row r="2213" spans="1:15" x14ac:dyDescent="0.25">
      <c r="A2213" s="14">
        <v>7030</v>
      </c>
      <c r="B2213" s="14" t="s">
        <v>832</v>
      </c>
      <c r="C2213" s="14" t="s">
        <v>832</v>
      </c>
      <c r="D2213" s="14" t="s">
        <v>1637</v>
      </c>
      <c r="E2213" s="16">
        <v>25</v>
      </c>
      <c r="F2213" s="14" t="s">
        <v>1638</v>
      </c>
      <c r="G2213" s="16">
        <v>500</v>
      </c>
      <c r="H2213" s="14" t="s">
        <v>1639</v>
      </c>
      <c r="I2213" s="14" t="s">
        <v>1256</v>
      </c>
      <c r="J2213" s="14" t="s">
        <v>1296</v>
      </c>
      <c r="K2213" s="14" t="s">
        <v>1640</v>
      </c>
      <c r="L2213" s="14" t="s">
        <v>5352</v>
      </c>
      <c r="M2213" s="14" t="s">
        <v>5317</v>
      </c>
      <c r="N2213" s="14" t="s">
        <v>1237</v>
      </c>
      <c r="O2213" s="14" t="s">
        <v>1220</v>
      </c>
    </row>
    <row r="2214" spans="1:15" x14ac:dyDescent="0.25">
      <c r="A2214" s="14">
        <v>7031</v>
      </c>
      <c r="B2214" s="14" t="s">
        <v>834</v>
      </c>
      <c r="C2214" s="14" t="s">
        <v>834</v>
      </c>
      <c r="D2214" s="14" t="s">
        <v>1637</v>
      </c>
      <c r="E2214" s="16">
        <v>20</v>
      </c>
      <c r="F2214" s="14" t="s">
        <v>1638</v>
      </c>
      <c r="G2214" s="16">
        <v>500</v>
      </c>
      <c r="H2214" s="14" t="s">
        <v>1639</v>
      </c>
      <c r="I2214" s="14" t="s">
        <v>1256</v>
      </c>
      <c r="J2214" s="14" t="s">
        <v>1296</v>
      </c>
      <c r="K2214" s="14" t="s">
        <v>1640</v>
      </c>
      <c r="L2214" s="14" t="s">
        <v>5353</v>
      </c>
      <c r="M2214" s="14" t="s">
        <v>5317</v>
      </c>
      <c r="N2214" s="14" t="s">
        <v>1237</v>
      </c>
      <c r="O2214" s="14" t="s">
        <v>1220</v>
      </c>
    </row>
    <row r="2215" spans="1:15" x14ac:dyDescent="0.25">
      <c r="A2215" s="14">
        <v>7032</v>
      </c>
      <c r="B2215" s="14" t="s">
        <v>5354</v>
      </c>
      <c r="C2215" s="14" t="s">
        <v>5354</v>
      </c>
      <c r="D2215" s="14" t="s">
        <v>1637</v>
      </c>
      <c r="E2215" s="16">
        <v>50</v>
      </c>
      <c r="F2215" s="14" t="s">
        <v>1638</v>
      </c>
      <c r="G2215" s="16">
        <v>50</v>
      </c>
      <c r="H2215" s="14" t="s">
        <v>1639</v>
      </c>
      <c r="I2215" s="14" t="s">
        <v>1256</v>
      </c>
      <c r="J2215" s="14" t="s">
        <v>1296</v>
      </c>
      <c r="K2215" s="14" t="s">
        <v>4502</v>
      </c>
      <c r="L2215" s="14" t="s">
        <v>5355</v>
      </c>
      <c r="M2215" s="14" t="s">
        <v>5317</v>
      </c>
      <c r="N2215" s="14" t="s">
        <v>1237</v>
      </c>
      <c r="O2215" s="14" t="s">
        <v>1220</v>
      </c>
    </row>
    <row r="2216" spans="1:15" x14ac:dyDescent="0.25">
      <c r="A2216" s="14">
        <v>7033</v>
      </c>
      <c r="B2216" s="14" t="s">
        <v>5356</v>
      </c>
      <c r="C2216" s="14" t="s">
        <v>5356</v>
      </c>
      <c r="D2216" s="14" t="s">
        <v>1637</v>
      </c>
      <c r="E2216" s="16">
        <v>50</v>
      </c>
      <c r="F2216" s="14" t="s">
        <v>1638</v>
      </c>
      <c r="G2216" s="16">
        <v>50</v>
      </c>
      <c r="H2216" s="14" t="s">
        <v>1639</v>
      </c>
      <c r="I2216" s="14" t="s">
        <v>1256</v>
      </c>
      <c r="J2216" s="14" t="s">
        <v>1296</v>
      </c>
      <c r="K2216" s="14" t="s">
        <v>4502</v>
      </c>
      <c r="L2216" s="14" t="s">
        <v>5357</v>
      </c>
      <c r="M2216" s="14" t="s">
        <v>5317</v>
      </c>
      <c r="N2216" s="14" t="s">
        <v>1237</v>
      </c>
      <c r="O2216" s="14" t="s">
        <v>1220</v>
      </c>
    </row>
    <row r="2217" spans="1:15" x14ac:dyDescent="0.25">
      <c r="A2217" s="14">
        <v>7034</v>
      </c>
      <c r="B2217" s="14" t="s">
        <v>5358</v>
      </c>
      <c r="C2217" s="14" t="s">
        <v>5358</v>
      </c>
      <c r="D2217" s="14" t="s">
        <v>1637</v>
      </c>
      <c r="E2217" s="16">
        <v>50</v>
      </c>
      <c r="F2217" s="14" t="s">
        <v>1638</v>
      </c>
      <c r="G2217" s="16">
        <v>50</v>
      </c>
      <c r="H2217" s="14" t="s">
        <v>1639</v>
      </c>
      <c r="I2217" s="14" t="s">
        <v>1256</v>
      </c>
      <c r="J2217" s="14" t="s">
        <v>1296</v>
      </c>
      <c r="K2217" s="14" t="s">
        <v>4502</v>
      </c>
      <c r="L2217" s="14" t="s">
        <v>5359</v>
      </c>
      <c r="M2217" s="14" t="s">
        <v>5317</v>
      </c>
      <c r="N2217" s="14" t="s">
        <v>1237</v>
      </c>
      <c r="O2217" s="14" t="s">
        <v>1220</v>
      </c>
    </row>
    <row r="2218" spans="1:15" x14ac:dyDescent="0.25">
      <c r="A2218" s="14">
        <v>7035</v>
      </c>
      <c r="B2218" s="14" t="s">
        <v>5360</v>
      </c>
      <c r="C2218" s="14" t="s">
        <v>5360</v>
      </c>
      <c r="D2218" s="14" t="s">
        <v>1637</v>
      </c>
      <c r="E2218" s="16">
        <v>50</v>
      </c>
      <c r="F2218" s="14" t="s">
        <v>1638</v>
      </c>
      <c r="G2218" s="16">
        <v>50</v>
      </c>
      <c r="H2218" s="14" t="s">
        <v>1639</v>
      </c>
      <c r="I2218" s="14" t="s">
        <v>1256</v>
      </c>
      <c r="J2218" s="14" t="s">
        <v>1296</v>
      </c>
      <c r="K2218" s="14" t="s">
        <v>4502</v>
      </c>
      <c r="L2218" s="14" t="s">
        <v>5361</v>
      </c>
      <c r="M2218" s="14" t="s">
        <v>5317</v>
      </c>
      <c r="N2218" s="14" t="s">
        <v>1237</v>
      </c>
      <c r="O2218" s="14" t="s">
        <v>1220</v>
      </c>
    </row>
    <row r="2219" spans="1:15" x14ac:dyDescent="0.25">
      <c r="A2219" s="14">
        <v>7036</v>
      </c>
      <c r="B2219" s="14" t="s">
        <v>837</v>
      </c>
      <c r="C2219" s="14" t="s">
        <v>837</v>
      </c>
      <c r="D2219" s="14" t="s">
        <v>1637</v>
      </c>
      <c r="E2219" s="16">
        <v>50</v>
      </c>
      <c r="F2219" s="14" t="s">
        <v>1638</v>
      </c>
      <c r="G2219" s="16">
        <v>50</v>
      </c>
      <c r="H2219" s="14" t="s">
        <v>1639</v>
      </c>
      <c r="I2219" s="14" t="s">
        <v>1256</v>
      </c>
      <c r="J2219" s="14" t="s">
        <v>1242</v>
      </c>
      <c r="K2219" s="14" t="s">
        <v>4502</v>
      </c>
      <c r="L2219" s="14" t="s">
        <v>5362</v>
      </c>
      <c r="M2219" s="14" t="s">
        <v>5317</v>
      </c>
      <c r="N2219" s="14" t="s">
        <v>1237</v>
      </c>
      <c r="O2219" s="14" t="s">
        <v>1220</v>
      </c>
    </row>
    <row r="2220" spans="1:15" x14ac:dyDescent="0.25">
      <c r="A2220" s="14">
        <v>7037</v>
      </c>
      <c r="B2220" s="14" t="s">
        <v>838</v>
      </c>
      <c r="C2220" s="14" t="s">
        <v>838</v>
      </c>
      <c r="D2220" s="14" t="s">
        <v>1637</v>
      </c>
      <c r="E2220" s="16">
        <v>50</v>
      </c>
      <c r="F2220" s="14" t="s">
        <v>1638</v>
      </c>
      <c r="G2220" s="16">
        <v>50</v>
      </c>
      <c r="H2220" s="14" t="s">
        <v>1639</v>
      </c>
      <c r="I2220" s="14" t="s">
        <v>1256</v>
      </c>
      <c r="J2220" s="14" t="s">
        <v>1242</v>
      </c>
      <c r="K2220" s="14" t="s">
        <v>4502</v>
      </c>
      <c r="L2220" s="14" t="s">
        <v>5363</v>
      </c>
      <c r="M2220" s="14" t="s">
        <v>5317</v>
      </c>
      <c r="N2220" s="14" t="s">
        <v>1237</v>
      </c>
      <c r="O2220" s="14" t="s">
        <v>1220</v>
      </c>
    </row>
    <row r="2221" spans="1:15" x14ac:dyDescent="0.25">
      <c r="A2221" s="14">
        <v>7038</v>
      </c>
      <c r="B2221" s="14" t="s">
        <v>839</v>
      </c>
      <c r="C2221" s="14" t="s">
        <v>839</v>
      </c>
      <c r="D2221" s="14" t="s">
        <v>1637</v>
      </c>
      <c r="E2221" s="16">
        <v>50</v>
      </c>
      <c r="F2221" s="14" t="s">
        <v>1638</v>
      </c>
      <c r="G2221" s="16">
        <v>50</v>
      </c>
      <c r="H2221" s="14" t="s">
        <v>1639</v>
      </c>
      <c r="I2221" s="14" t="s">
        <v>1256</v>
      </c>
      <c r="J2221" s="14" t="s">
        <v>1242</v>
      </c>
      <c r="K2221" s="14" t="s">
        <v>4502</v>
      </c>
      <c r="L2221" s="14" t="s">
        <v>5364</v>
      </c>
      <c r="M2221" s="14" t="s">
        <v>5317</v>
      </c>
      <c r="N2221" s="14" t="s">
        <v>1237</v>
      </c>
      <c r="O2221" s="14" t="s">
        <v>1220</v>
      </c>
    </row>
    <row r="2222" spans="1:15" x14ac:dyDescent="0.25">
      <c r="A2222" s="14">
        <v>7039</v>
      </c>
      <c r="B2222" s="14" t="s">
        <v>840</v>
      </c>
      <c r="C2222" s="14" t="s">
        <v>840</v>
      </c>
      <c r="D2222" s="14" t="s">
        <v>1637</v>
      </c>
      <c r="E2222" s="16">
        <v>50</v>
      </c>
      <c r="F2222" s="14" t="s">
        <v>1638</v>
      </c>
      <c r="G2222" s="16">
        <v>50</v>
      </c>
      <c r="H2222" s="14" t="s">
        <v>1639</v>
      </c>
      <c r="I2222" s="14" t="s">
        <v>1256</v>
      </c>
      <c r="J2222" s="14" t="s">
        <v>1296</v>
      </c>
      <c r="K2222" s="14" t="s">
        <v>4502</v>
      </c>
      <c r="L2222" s="14" t="s">
        <v>5365</v>
      </c>
      <c r="M2222" s="14" t="s">
        <v>5317</v>
      </c>
      <c r="N2222" s="14" t="s">
        <v>1237</v>
      </c>
      <c r="O2222" s="14" t="s">
        <v>1220</v>
      </c>
    </row>
    <row r="2223" spans="1:15" x14ac:dyDescent="0.25">
      <c r="A2223" s="14">
        <v>7040</v>
      </c>
      <c r="B2223" s="14" t="s">
        <v>841</v>
      </c>
      <c r="C2223" s="14" t="s">
        <v>841</v>
      </c>
      <c r="D2223" s="14" t="s">
        <v>1637</v>
      </c>
      <c r="E2223" s="16">
        <v>50</v>
      </c>
      <c r="F2223" s="14" t="s">
        <v>1638</v>
      </c>
      <c r="G2223" s="16">
        <v>50</v>
      </c>
      <c r="H2223" s="14" t="s">
        <v>1639</v>
      </c>
      <c r="I2223" s="14" t="s">
        <v>1256</v>
      </c>
      <c r="J2223" s="14" t="s">
        <v>1296</v>
      </c>
      <c r="K2223" s="14" t="s">
        <v>4502</v>
      </c>
      <c r="L2223" s="14" t="s">
        <v>5366</v>
      </c>
      <c r="M2223" s="14" t="s">
        <v>5317</v>
      </c>
      <c r="N2223" s="14" t="s">
        <v>1237</v>
      </c>
      <c r="O2223" s="14" t="s">
        <v>1220</v>
      </c>
    </row>
    <row r="2224" spans="1:15" x14ac:dyDescent="0.25">
      <c r="A2224" s="14">
        <v>7041</v>
      </c>
      <c r="B2224" s="14" t="s">
        <v>842</v>
      </c>
      <c r="C2224" s="14" t="s">
        <v>842</v>
      </c>
      <c r="D2224" s="14" t="s">
        <v>1637</v>
      </c>
      <c r="E2224" s="16">
        <v>10</v>
      </c>
      <c r="F2224" s="14" t="s">
        <v>1638</v>
      </c>
      <c r="G2224" s="16">
        <v>10</v>
      </c>
      <c r="H2224" s="14" t="s">
        <v>1639</v>
      </c>
      <c r="I2224" s="14" t="s">
        <v>1256</v>
      </c>
      <c r="J2224" s="14" t="s">
        <v>1296</v>
      </c>
      <c r="K2224" s="14" t="s">
        <v>4502</v>
      </c>
      <c r="L2224" s="14" t="s">
        <v>5367</v>
      </c>
      <c r="M2224" s="14" t="s">
        <v>5317</v>
      </c>
      <c r="N2224" s="14" t="s">
        <v>1237</v>
      </c>
      <c r="O2224" s="14" t="s">
        <v>1220</v>
      </c>
    </row>
    <row r="2225" spans="1:15" x14ac:dyDescent="0.25">
      <c r="A2225" s="14">
        <v>7042</v>
      </c>
      <c r="B2225" s="14" t="s">
        <v>5368</v>
      </c>
      <c r="C2225" s="14" t="s">
        <v>5368</v>
      </c>
      <c r="D2225" s="14" t="s">
        <v>1637</v>
      </c>
      <c r="E2225" s="16">
        <v>50</v>
      </c>
      <c r="F2225" s="14" t="s">
        <v>1638</v>
      </c>
      <c r="G2225" s="16">
        <v>50</v>
      </c>
      <c r="H2225" s="14" t="s">
        <v>1639</v>
      </c>
      <c r="I2225" s="14" t="s">
        <v>1256</v>
      </c>
      <c r="J2225" s="14" t="s">
        <v>1296</v>
      </c>
      <c r="K2225" s="14" t="s">
        <v>4502</v>
      </c>
      <c r="L2225" s="14" t="s">
        <v>5369</v>
      </c>
      <c r="M2225" s="14" t="s">
        <v>5317</v>
      </c>
      <c r="N2225" s="14" t="s">
        <v>1237</v>
      </c>
      <c r="O2225" s="14" t="s">
        <v>1220</v>
      </c>
    </row>
    <row r="2226" spans="1:15" x14ac:dyDescent="0.25">
      <c r="A2226" s="14">
        <v>7043</v>
      </c>
      <c r="B2226" s="14" t="s">
        <v>5370</v>
      </c>
      <c r="C2226" s="14" t="s">
        <v>5370</v>
      </c>
      <c r="D2226" s="14" t="s">
        <v>1637</v>
      </c>
      <c r="E2226" s="16">
        <v>50</v>
      </c>
      <c r="F2226" s="14" t="s">
        <v>1638</v>
      </c>
      <c r="G2226" s="16">
        <v>50</v>
      </c>
      <c r="H2226" s="14" t="s">
        <v>1639</v>
      </c>
      <c r="I2226" s="14" t="s">
        <v>1256</v>
      </c>
      <c r="J2226" s="14" t="s">
        <v>1296</v>
      </c>
      <c r="K2226" s="14" t="s">
        <v>4502</v>
      </c>
      <c r="L2226" s="14" t="s">
        <v>5371</v>
      </c>
      <c r="M2226" s="14" t="s">
        <v>5317</v>
      </c>
      <c r="N2226" s="14" t="s">
        <v>1237</v>
      </c>
      <c r="O2226" s="14" t="s">
        <v>1220</v>
      </c>
    </row>
    <row r="2227" spans="1:15" x14ac:dyDescent="0.25">
      <c r="A2227" s="14">
        <v>7044</v>
      </c>
      <c r="B2227" s="14" t="s">
        <v>5372</v>
      </c>
      <c r="C2227" s="14" t="s">
        <v>5372</v>
      </c>
      <c r="D2227" s="14" t="s">
        <v>1637</v>
      </c>
      <c r="E2227" s="16">
        <v>50</v>
      </c>
      <c r="F2227" s="14" t="s">
        <v>1638</v>
      </c>
      <c r="G2227" s="16">
        <v>50</v>
      </c>
      <c r="H2227" s="14" t="s">
        <v>1639</v>
      </c>
      <c r="I2227" s="14" t="s">
        <v>1256</v>
      </c>
      <c r="J2227" s="14" t="s">
        <v>1296</v>
      </c>
      <c r="K2227" s="14" t="s">
        <v>4502</v>
      </c>
      <c r="L2227" s="14" t="s">
        <v>5373</v>
      </c>
      <c r="M2227" s="14" t="s">
        <v>5317</v>
      </c>
      <c r="N2227" s="14" t="s">
        <v>1237</v>
      </c>
      <c r="O2227" s="14" t="s">
        <v>1220</v>
      </c>
    </row>
    <row r="2228" spans="1:15" x14ac:dyDescent="0.25">
      <c r="A2228" s="14">
        <v>7045</v>
      </c>
      <c r="B2228" s="14" t="s">
        <v>5374</v>
      </c>
      <c r="C2228" s="14" t="s">
        <v>5374</v>
      </c>
      <c r="D2228" s="14" t="s">
        <v>1637</v>
      </c>
      <c r="E2228" s="16">
        <v>50</v>
      </c>
      <c r="F2228" s="14" t="s">
        <v>1638</v>
      </c>
      <c r="G2228" s="16">
        <v>50</v>
      </c>
      <c r="H2228" s="14" t="s">
        <v>1639</v>
      </c>
      <c r="I2228" s="14" t="s">
        <v>1256</v>
      </c>
      <c r="J2228" s="14" t="s">
        <v>1242</v>
      </c>
      <c r="K2228" s="14" t="s">
        <v>4502</v>
      </c>
      <c r="L2228" s="14" t="s">
        <v>5375</v>
      </c>
      <c r="M2228" s="14" t="s">
        <v>5317</v>
      </c>
      <c r="N2228" s="14" t="s">
        <v>1237</v>
      </c>
      <c r="O2228" s="14" t="s">
        <v>1220</v>
      </c>
    </row>
    <row r="2229" spans="1:15" x14ac:dyDescent="0.25">
      <c r="A2229" s="14">
        <v>7046</v>
      </c>
      <c r="B2229" s="14" t="s">
        <v>847</v>
      </c>
      <c r="C2229" s="14" t="s">
        <v>847</v>
      </c>
      <c r="D2229" s="14" t="s">
        <v>1637</v>
      </c>
      <c r="E2229" s="16">
        <v>50</v>
      </c>
      <c r="F2229" s="14" t="s">
        <v>1638</v>
      </c>
      <c r="G2229" s="16">
        <v>50</v>
      </c>
      <c r="H2229" s="14" t="s">
        <v>1639</v>
      </c>
      <c r="I2229" s="14" t="s">
        <v>1256</v>
      </c>
      <c r="J2229" s="14" t="s">
        <v>1242</v>
      </c>
      <c r="K2229" s="14" t="s">
        <v>4502</v>
      </c>
      <c r="L2229" s="14" t="s">
        <v>5376</v>
      </c>
      <c r="M2229" s="14" t="s">
        <v>5317</v>
      </c>
      <c r="N2229" s="14" t="s">
        <v>1237</v>
      </c>
      <c r="O2229" s="14" t="s">
        <v>1220</v>
      </c>
    </row>
    <row r="2230" spans="1:15" x14ac:dyDescent="0.25">
      <c r="A2230" s="14">
        <v>7047</v>
      </c>
      <c r="B2230" s="14" t="s">
        <v>848</v>
      </c>
      <c r="C2230" s="14" t="s">
        <v>848</v>
      </c>
      <c r="D2230" s="14" t="s">
        <v>1637</v>
      </c>
      <c r="E2230" s="16">
        <v>50</v>
      </c>
      <c r="F2230" s="14" t="s">
        <v>1638</v>
      </c>
      <c r="G2230" s="16">
        <v>50</v>
      </c>
      <c r="H2230" s="14" t="s">
        <v>1639</v>
      </c>
      <c r="I2230" s="14" t="s">
        <v>1256</v>
      </c>
      <c r="J2230" s="14" t="s">
        <v>1296</v>
      </c>
      <c r="K2230" s="14" t="s">
        <v>4502</v>
      </c>
      <c r="L2230" s="14" t="s">
        <v>5377</v>
      </c>
      <c r="M2230" s="14" t="s">
        <v>5317</v>
      </c>
      <c r="N2230" s="14" t="s">
        <v>1237</v>
      </c>
      <c r="O2230" s="14" t="s">
        <v>1220</v>
      </c>
    </row>
    <row r="2231" spans="1:15" x14ac:dyDescent="0.25">
      <c r="A2231" s="14">
        <v>7048</v>
      </c>
      <c r="B2231" s="14" t="s">
        <v>849</v>
      </c>
      <c r="C2231" s="14" t="s">
        <v>849</v>
      </c>
      <c r="D2231" s="14" t="s">
        <v>1637</v>
      </c>
      <c r="E2231" s="16">
        <v>50</v>
      </c>
      <c r="F2231" s="14" t="s">
        <v>1638</v>
      </c>
      <c r="G2231" s="16">
        <v>50</v>
      </c>
      <c r="H2231" s="14" t="s">
        <v>1639</v>
      </c>
      <c r="I2231" s="14" t="s">
        <v>1256</v>
      </c>
      <c r="J2231" s="14" t="s">
        <v>1242</v>
      </c>
      <c r="K2231" s="14" t="s">
        <v>4502</v>
      </c>
      <c r="L2231" s="14" t="s">
        <v>5378</v>
      </c>
      <c r="M2231" s="14" t="s">
        <v>5317</v>
      </c>
      <c r="N2231" s="14" t="s">
        <v>1237</v>
      </c>
      <c r="O2231" s="14" t="s">
        <v>1220</v>
      </c>
    </row>
    <row r="2232" spans="1:15" x14ac:dyDescent="0.25">
      <c r="A2232" s="14">
        <v>7049</v>
      </c>
      <c r="B2232" s="14" t="s">
        <v>850</v>
      </c>
      <c r="C2232" s="14" t="s">
        <v>850</v>
      </c>
      <c r="D2232" s="14" t="s">
        <v>1637</v>
      </c>
      <c r="E2232" s="16">
        <v>50</v>
      </c>
      <c r="F2232" s="14" t="s">
        <v>1638</v>
      </c>
      <c r="G2232" s="16">
        <v>50</v>
      </c>
      <c r="H2232" s="14" t="s">
        <v>1639</v>
      </c>
      <c r="I2232" s="14" t="s">
        <v>1256</v>
      </c>
      <c r="J2232" s="14" t="s">
        <v>1296</v>
      </c>
      <c r="K2232" s="14" t="s">
        <v>4502</v>
      </c>
      <c r="L2232" s="14" t="s">
        <v>5379</v>
      </c>
      <c r="M2232" s="14" t="s">
        <v>5317</v>
      </c>
      <c r="N2232" s="14" t="s">
        <v>1237</v>
      </c>
      <c r="O2232" s="14" t="s">
        <v>1220</v>
      </c>
    </row>
    <row r="2233" spans="1:15" x14ac:dyDescent="0.25">
      <c r="A2233" s="14">
        <v>7050</v>
      </c>
      <c r="B2233" s="14" t="s">
        <v>851</v>
      </c>
      <c r="C2233" s="14" t="s">
        <v>851</v>
      </c>
      <c r="D2233" s="14" t="s">
        <v>1637</v>
      </c>
      <c r="E2233" s="16">
        <v>50</v>
      </c>
      <c r="F2233" s="14" t="s">
        <v>1638</v>
      </c>
      <c r="G2233" s="16">
        <v>50</v>
      </c>
      <c r="H2233" s="14" t="s">
        <v>1639</v>
      </c>
      <c r="I2233" s="14" t="s">
        <v>1256</v>
      </c>
      <c r="J2233" s="14" t="s">
        <v>1296</v>
      </c>
      <c r="K2233" s="14" t="s">
        <v>4502</v>
      </c>
      <c r="L2233" s="14" t="s">
        <v>5380</v>
      </c>
      <c r="M2233" s="14" t="s">
        <v>5317</v>
      </c>
      <c r="N2233" s="14" t="s">
        <v>1237</v>
      </c>
      <c r="O2233" s="14" t="s">
        <v>1220</v>
      </c>
    </row>
    <row r="2234" spans="1:15" x14ac:dyDescent="0.25">
      <c r="A2234" s="14">
        <v>7051</v>
      </c>
      <c r="B2234" s="14" t="s">
        <v>852</v>
      </c>
      <c r="C2234" s="14" t="s">
        <v>852</v>
      </c>
      <c r="D2234" s="14" t="s">
        <v>1637</v>
      </c>
      <c r="E2234" s="16">
        <v>10</v>
      </c>
      <c r="F2234" s="14" t="s">
        <v>1638</v>
      </c>
      <c r="G2234" s="16">
        <v>10</v>
      </c>
      <c r="H2234" s="14" t="s">
        <v>1639</v>
      </c>
      <c r="I2234" s="14" t="s">
        <v>1256</v>
      </c>
      <c r="J2234" s="14" t="s">
        <v>1296</v>
      </c>
      <c r="K2234" s="14" t="s">
        <v>4502</v>
      </c>
      <c r="L2234" s="14" t="s">
        <v>5381</v>
      </c>
      <c r="M2234" s="14" t="s">
        <v>5317</v>
      </c>
      <c r="N2234" s="14" t="s">
        <v>1237</v>
      </c>
      <c r="O2234" s="14" t="s">
        <v>1220</v>
      </c>
    </row>
    <row r="2235" spans="1:15" x14ac:dyDescent="0.25">
      <c r="A2235" s="14" t="s">
        <v>5382</v>
      </c>
      <c r="B2235" s="14" t="s">
        <v>5383</v>
      </c>
      <c r="C2235" s="14" t="s">
        <v>5383</v>
      </c>
      <c r="D2235" s="14" t="s">
        <v>1222</v>
      </c>
      <c r="E2235" s="15"/>
      <c r="F2235" s="14"/>
      <c r="G2235" s="15"/>
      <c r="H2235" s="14" t="s">
        <v>1223</v>
      </c>
      <c r="I2235" s="14"/>
      <c r="J2235" s="14"/>
      <c r="K2235" s="14"/>
      <c r="L2235" s="14"/>
      <c r="M2235" s="14"/>
      <c r="N2235" s="14" t="s">
        <v>1219</v>
      </c>
      <c r="O2235" s="14" t="s">
        <v>1220</v>
      </c>
    </row>
    <row r="2236" spans="1:15" x14ac:dyDescent="0.25">
      <c r="A2236" s="14" t="s">
        <v>5384</v>
      </c>
      <c r="B2236" s="14" t="s">
        <v>5385</v>
      </c>
      <c r="C2236" s="14" t="s">
        <v>5385</v>
      </c>
      <c r="D2236" s="14" t="s">
        <v>1222</v>
      </c>
      <c r="E2236" s="15"/>
      <c r="F2236" s="14"/>
      <c r="G2236" s="15"/>
      <c r="H2236" s="14" t="s">
        <v>1223</v>
      </c>
      <c r="I2236" s="14"/>
      <c r="J2236" s="14"/>
      <c r="K2236" s="14"/>
      <c r="L2236" s="14"/>
      <c r="M2236" s="14"/>
      <c r="N2236" s="14" t="s">
        <v>1219</v>
      </c>
      <c r="O2236" s="14" t="s">
        <v>1220</v>
      </c>
    </row>
    <row r="2237" spans="1:15" x14ac:dyDescent="0.25">
      <c r="A2237" s="14" t="s">
        <v>5386</v>
      </c>
      <c r="B2237" s="14" t="s">
        <v>5387</v>
      </c>
      <c r="C2237" s="14" t="s">
        <v>5387</v>
      </c>
      <c r="D2237" s="14" t="s">
        <v>1222</v>
      </c>
      <c r="E2237" s="15"/>
      <c r="F2237" s="14"/>
      <c r="G2237" s="15"/>
      <c r="H2237" s="14" t="s">
        <v>1223</v>
      </c>
      <c r="I2237" s="14"/>
      <c r="J2237" s="14"/>
      <c r="K2237" s="14"/>
      <c r="L2237" s="14"/>
      <c r="M2237" s="14"/>
      <c r="N2237" s="14" t="s">
        <v>1219</v>
      </c>
      <c r="O2237" s="14" t="s">
        <v>1220</v>
      </c>
    </row>
    <row r="2238" spans="1:15" x14ac:dyDescent="0.25">
      <c r="A2238" s="14">
        <v>53347</v>
      </c>
      <c r="B2238" s="14" t="s">
        <v>5388</v>
      </c>
      <c r="C2238" s="14" t="s">
        <v>5388</v>
      </c>
      <c r="D2238" s="14" t="s">
        <v>1222</v>
      </c>
      <c r="E2238" s="15"/>
      <c r="F2238" s="14"/>
      <c r="G2238" s="15"/>
      <c r="H2238" s="14" t="s">
        <v>1223</v>
      </c>
      <c r="I2238" s="14"/>
      <c r="J2238" s="14"/>
      <c r="K2238" s="14"/>
      <c r="L2238" s="14"/>
      <c r="M2238" s="14"/>
      <c r="N2238" s="14" t="s">
        <v>1219</v>
      </c>
      <c r="O2238" s="14" t="s">
        <v>1220</v>
      </c>
    </row>
    <row r="2239" spans="1:15" x14ac:dyDescent="0.25">
      <c r="A2239" s="14">
        <v>53348</v>
      </c>
      <c r="B2239" s="14" t="s">
        <v>5389</v>
      </c>
      <c r="C2239" s="14" t="s">
        <v>5389</v>
      </c>
      <c r="D2239" s="14" t="s">
        <v>1222</v>
      </c>
      <c r="E2239" s="15"/>
      <c r="F2239" s="14"/>
      <c r="G2239" s="15"/>
      <c r="H2239" s="14" t="s">
        <v>1223</v>
      </c>
      <c r="I2239" s="14"/>
      <c r="J2239" s="14"/>
      <c r="K2239" s="14"/>
      <c r="L2239" s="14"/>
      <c r="M2239" s="14"/>
      <c r="N2239" s="14" t="s">
        <v>1219</v>
      </c>
      <c r="O2239" s="14" t="s">
        <v>1220</v>
      </c>
    </row>
    <row r="2240" spans="1:15" x14ac:dyDescent="0.25">
      <c r="A2240" s="14" t="s">
        <v>5390</v>
      </c>
      <c r="B2240" s="14" t="s">
        <v>5391</v>
      </c>
      <c r="C2240" s="14" t="s">
        <v>5391</v>
      </c>
      <c r="D2240" s="14" t="s">
        <v>5392</v>
      </c>
      <c r="E2240" s="16">
        <v>10</v>
      </c>
      <c r="F2240" s="14" t="s">
        <v>1350</v>
      </c>
      <c r="G2240" s="16">
        <v>10</v>
      </c>
      <c r="H2240" s="14" t="s">
        <v>5392</v>
      </c>
      <c r="I2240" s="14" t="s">
        <v>1360</v>
      </c>
      <c r="J2240" s="14" t="s">
        <v>1360</v>
      </c>
      <c r="K2240" s="14" t="s">
        <v>1257</v>
      </c>
      <c r="L2240" s="14" t="s">
        <v>5375</v>
      </c>
      <c r="M2240" s="14" t="s">
        <v>1613</v>
      </c>
      <c r="N2240" s="14" t="s">
        <v>1219</v>
      </c>
      <c r="O2240" s="14" t="s">
        <v>1220</v>
      </c>
    </row>
    <row r="2241" spans="1:15" x14ac:dyDescent="0.25">
      <c r="A2241" s="14" t="s">
        <v>5393</v>
      </c>
      <c r="B2241" s="14" t="s">
        <v>5394</v>
      </c>
      <c r="C2241" s="14" t="s">
        <v>5394</v>
      </c>
      <c r="D2241" s="14" t="s">
        <v>5392</v>
      </c>
      <c r="E2241" s="16">
        <v>10</v>
      </c>
      <c r="F2241" s="14" t="s">
        <v>1350</v>
      </c>
      <c r="G2241" s="16">
        <v>10</v>
      </c>
      <c r="H2241" s="14" t="s">
        <v>5392</v>
      </c>
      <c r="I2241" s="14" t="s">
        <v>1360</v>
      </c>
      <c r="J2241" s="14" t="s">
        <v>1360</v>
      </c>
      <c r="K2241" s="14" t="s">
        <v>1257</v>
      </c>
      <c r="L2241" s="14" t="s">
        <v>5375</v>
      </c>
      <c r="M2241" s="14" t="s">
        <v>1613</v>
      </c>
      <c r="N2241" s="14" t="s">
        <v>1219</v>
      </c>
      <c r="O2241" s="14" t="s">
        <v>1220</v>
      </c>
    </row>
    <row r="2242" spans="1:15" x14ac:dyDescent="0.25">
      <c r="A2242" s="14" t="s">
        <v>5395</v>
      </c>
      <c r="B2242" s="14" t="s">
        <v>5396</v>
      </c>
      <c r="C2242" s="14" t="s">
        <v>5396</v>
      </c>
      <c r="D2242" s="14" t="s">
        <v>5392</v>
      </c>
      <c r="E2242" s="16">
        <v>10</v>
      </c>
      <c r="F2242" s="14" t="s">
        <v>1350</v>
      </c>
      <c r="G2242" s="16">
        <v>10</v>
      </c>
      <c r="H2242" s="14" t="s">
        <v>5392</v>
      </c>
      <c r="I2242" s="14" t="s">
        <v>1360</v>
      </c>
      <c r="J2242" s="14" t="s">
        <v>1360</v>
      </c>
      <c r="K2242" s="14" t="s">
        <v>1257</v>
      </c>
      <c r="L2242" s="14" t="s">
        <v>5375</v>
      </c>
      <c r="M2242" s="14" t="s">
        <v>1613</v>
      </c>
      <c r="N2242" s="14" t="s">
        <v>1219</v>
      </c>
      <c r="O2242" s="14" t="s">
        <v>1220</v>
      </c>
    </row>
    <row r="2243" spans="1:15" x14ac:dyDescent="0.25">
      <c r="A2243" s="14">
        <v>3985</v>
      </c>
      <c r="B2243" s="14" t="s">
        <v>5397</v>
      </c>
      <c r="C2243" s="14" t="s">
        <v>5397</v>
      </c>
      <c r="D2243" s="14" t="s">
        <v>5398</v>
      </c>
      <c r="E2243" s="16">
        <v>10</v>
      </c>
      <c r="F2243" s="14" t="s">
        <v>1350</v>
      </c>
      <c r="G2243" s="16">
        <v>10</v>
      </c>
      <c r="H2243" s="14" t="s">
        <v>5399</v>
      </c>
      <c r="I2243" s="14" t="s">
        <v>1351</v>
      </c>
      <c r="J2243" s="14" t="s">
        <v>1351</v>
      </c>
      <c r="K2243" s="14" t="s">
        <v>1257</v>
      </c>
      <c r="L2243" s="14" t="s">
        <v>5375</v>
      </c>
      <c r="M2243" s="14" t="s">
        <v>1613</v>
      </c>
      <c r="N2243" s="14" t="s">
        <v>1219</v>
      </c>
      <c r="O2243" s="14" t="s">
        <v>1220</v>
      </c>
    </row>
    <row r="2244" spans="1:15" x14ac:dyDescent="0.25">
      <c r="A2244" s="14">
        <v>3987</v>
      </c>
      <c r="B2244" s="14" t="s">
        <v>5400</v>
      </c>
      <c r="C2244" s="14" t="s">
        <v>5400</v>
      </c>
      <c r="D2244" s="14" t="s">
        <v>1349</v>
      </c>
      <c r="E2244" s="15"/>
      <c r="F2244" s="14"/>
      <c r="G2244" s="15"/>
      <c r="H2244" s="14" t="s">
        <v>5399</v>
      </c>
      <c r="I2244" s="14" t="s">
        <v>1360</v>
      </c>
      <c r="J2244" s="14" t="s">
        <v>1360</v>
      </c>
      <c r="K2244" s="14"/>
      <c r="L2244" s="14"/>
      <c r="M2244" s="14" t="s">
        <v>1613</v>
      </c>
      <c r="N2244" s="14" t="s">
        <v>1219</v>
      </c>
      <c r="O2244" s="14" t="s">
        <v>1220</v>
      </c>
    </row>
    <row r="2245" spans="1:15" x14ac:dyDescent="0.25">
      <c r="A2245" s="14">
        <v>3988</v>
      </c>
      <c r="B2245" s="14" t="s">
        <v>5401</v>
      </c>
      <c r="C2245" s="14" t="s">
        <v>5401</v>
      </c>
      <c r="D2245" s="14" t="s">
        <v>5398</v>
      </c>
      <c r="E2245" s="16">
        <v>10</v>
      </c>
      <c r="F2245" s="14" t="s">
        <v>1350</v>
      </c>
      <c r="G2245" s="16">
        <v>10</v>
      </c>
      <c r="H2245" s="14" t="s">
        <v>5399</v>
      </c>
      <c r="I2245" s="14" t="s">
        <v>1351</v>
      </c>
      <c r="J2245" s="14" t="s">
        <v>1351</v>
      </c>
      <c r="K2245" s="14" t="s">
        <v>1257</v>
      </c>
      <c r="L2245" s="14" t="s">
        <v>5375</v>
      </c>
      <c r="M2245" s="14" t="s">
        <v>1613</v>
      </c>
      <c r="N2245" s="14" t="s">
        <v>1219</v>
      </c>
      <c r="O2245" s="14" t="s">
        <v>1220</v>
      </c>
    </row>
    <row r="2246" spans="1:15" x14ac:dyDescent="0.25">
      <c r="A2246" s="14">
        <v>3989</v>
      </c>
      <c r="B2246" s="14" t="s">
        <v>5402</v>
      </c>
      <c r="C2246" s="14" t="s">
        <v>5402</v>
      </c>
      <c r="D2246" s="14" t="s">
        <v>5398</v>
      </c>
      <c r="E2246" s="16">
        <v>10</v>
      </c>
      <c r="F2246" s="14" t="s">
        <v>1350</v>
      </c>
      <c r="G2246" s="16">
        <v>10</v>
      </c>
      <c r="H2246" s="14" t="s">
        <v>5399</v>
      </c>
      <c r="I2246" s="14" t="s">
        <v>1351</v>
      </c>
      <c r="J2246" s="14" t="s">
        <v>1351</v>
      </c>
      <c r="K2246" s="14" t="s">
        <v>1257</v>
      </c>
      <c r="L2246" s="14" t="s">
        <v>5375</v>
      </c>
      <c r="M2246" s="14" t="s">
        <v>1613</v>
      </c>
      <c r="N2246" s="14" t="s">
        <v>1219</v>
      </c>
      <c r="O2246" s="14" t="s">
        <v>1220</v>
      </c>
    </row>
    <row r="2247" spans="1:15" x14ac:dyDescent="0.25">
      <c r="A2247" s="14">
        <v>3990</v>
      </c>
      <c r="B2247" s="14" t="s">
        <v>5403</v>
      </c>
      <c r="C2247" s="14" t="s">
        <v>5403</v>
      </c>
      <c r="D2247" s="14" t="s">
        <v>1349</v>
      </c>
      <c r="E2247" s="15"/>
      <c r="F2247" s="14"/>
      <c r="G2247" s="15"/>
      <c r="H2247" s="14" t="s">
        <v>5399</v>
      </c>
      <c r="I2247" s="14" t="s">
        <v>1360</v>
      </c>
      <c r="J2247" s="14" t="s">
        <v>1360</v>
      </c>
      <c r="K2247" s="14"/>
      <c r="L2247" s="14"/>
      <c r="M2247" s="14" t="s">
        <v>1613</v>
      </c>
      <c r="N2247" s="14" t="s">
        <v>1219</v>
      </c>
      <c r="O2247" s="14" t="s">
        <v>1220</v>
      </c>
    </row>
    <row r="2248" spans="1:15" x14ac:dyDescent="0.25">
      <c r="A2248" s="14">
        <v>3986</v>
      </c>
      <c r="B2248" s="14" t="s">
        <v>5404</v>
      </c>
      <c r="C2248" s="14" t="s">
        <v>5404</v>
      </c>
      <c r="D2248" s="14" t="s">
        <v>1349</v>
      </c>
      <c r="E2248" s="16">
        <v>10</v>
      </c>
      <c r="F2248" s="14" t="s">
        <v>1350</v>
      </c>
      <c r="G2248" s="16">
        <v>10</v>
      </c>
      <c r="H2248" s="14" t="s">
        <v>5399</v>
      </c>
      <c r="I2248" s="14" t="s">
        <v>1360</v>
      </c>
      <c r="J2248" s="14" t="s">
        <v>1360</v>
      </c>
      <c r="K2248" s="14" t="s">
        <v>1257</v>
      </c>
      <c r="L2248" s="14" t="s">
        <v>5375</v>
      </c>
      <c r="M2248" s="14" t="s">
        <v>1613</v>
      </c>
      <c r="N2248" s="14" t="s">
        <v>1219</v>
      </c>
      <c r="O2248" s="14" t="s">
        <v>1220</v>
      </c>
    </row>
    <row r="2249" spans="1:15" x14ac:dyDescent="0.25">
      <c r="A2249" s="14" t="s">
        <v>5405</v>
      </c>
      <c r="B2249" s="14" t="s">
        <v>5406</v>
      </c>
      <c r="C2249" s="14" t="s">
        <v>5406</v>
      </c>
      <c r="D2249" s="14" t="s">
        <v>5392</v>
      </c>
      <c r="E2249" s="16">
        <v>10</v>
      </c>
      <c r="F2249" s="14" t="s">
        <v>1350</v>
      </c>
      <c r="G2249" s="16">
        <v>10</v>
      </c>
      <c r="H2249" s="14" t="s">
        <v>5392</v>
      </c>
      <c r="I2249" s="14" t="s">
        <v>1360</v>
      </c>
      <c r="J2249" s="14" t="s">
        <v>1360</v>
      </c>
      <c r="K2249" s="14" t="s">
        <v>1257</v>
      </c>
      <c r="L2249" s="14" t="s">
        <v>5375</v>
      </c>
      <c r="M2249" s="14" t="s">
        <v>1613</v>
      </c>
      <c r="N2249" s="14" t="s">
        <v>1219</v>
      </c>
      <c r="O2249" s="14" t="s">
        <v>1220</v>
      </c>
    </row>
    <row r="2250" spans="1:15" x14ac:dyDescent="0.25">
      <c r="A2250" s="14">
        <v>4040</v>
      </c>
      <c r="B2250" s="14" t="s">
        <v>5407</v>
      </c>
      <c r="C2250" s="14" t="s">
        <v>5407</v>
      </c>
      <c r="D2250" s="14" t="s">
        <v>1349</v>
      </c>
      <c r="E2250" s="15"/>
      <c r="F2250" s="14"/>
      <c r="G2250" s="15"/>
      <c r="H2250" s="14" t="s">
        <v>5399</v>
      </c>
      <c r="I2250" s="14" t="s">
        <v>1351</v>
      </c>
      <c r="J2250" s="14" t="s">
        <v>1351</v>
      </c>
      <c r="K2250" s="14"/>
      <c r="L2250" s="14"/>
      <c r="M2250" s="14" t="s">
        <v>1613</v>
      </c>
      <c r="N2250" s="14" t="s">
        <v>1219</v>
      </c>
      <c r="O2250" s="14" t="s">
        <v>1220</v>
      </c>
    </row>
    <row r="2251" spans="1:15" x14ac:dyDescent="0.25">
      <c r="A2251" s="14">
        <v>4041</v>
      </c>
      <c r="B2251" s="14" t="s">
        <v>5408</v>
      </c>
      <c r="C2251" s="14" t="s">
        <v>5408</v>
      </c>
      <c r="D2251" s="14" t="s">
        <v>5409</v>
      </c>
      <c r="E2251" s="16">
        <v>12</v>
      </c>
      <c r="F2251" s="14" t="s">
        <v>1350</v>
      </c>
      <c r="G2251" s="16">
        <v>12</v>
      </c>
      <c r="H2251" s="14" t="s">
        <v>5399</v>
      </c>
      <c r="I2251" s="14" t="s">
        <v>1360</v>
      </c>
      <c r="J2251" s="14" t="s">
        <v>1360</v>
      </c>
      <c r="K2251" s="14" t="s">
        <v>1257</v>
      </c>
      <c r="L2251" s="14" t="s">
        <v>5375</v>
      </c>
      <c r="M2251" s="14" t="s">
        <v>1613</v>
      </c>
      <c r="N2251" s="14" t="s">
        <v>1219</v>
      </c>
      <c r="O2251" s="14" t="s">
        <v>1220</v>
      </c>
    </row>
    <row r="2252" spans="1:15" x14ac:dyDescent="0.25">
      <c r="A2252" s="14">
        <v>4048</v>
      </c>
      <c r="B2252" s="14" t="s">
        <v>5410</v>
      </c>
      <c r="C2252" s="14" t="s">
        <v>5410</v>
      </c>
      <c r="D2252" s="14" t="s">
        <v>1349</v>
      </c>
      <c r="E2252" s="15"/>
      <c r="F2252" s="14"/>
      <c r="G2252" s="15"/>
      <c r="H2252" s="14" t="s">
        <v>5399</v>
      </c>
      <c r="I2252" s="14" t="s">
        <v>1360</v>
      </c>
      <c r="J2252" s="14" t="s">
        <v>1360</v>
      </c>
      <c r="K2252" s="14"/>
      <c r="L2252" s="14"/>
      <c r="M2252" s="14" t="s">
        <v>1613</v>
      </c>
      <c r="N2252" s="14" t="s">
        <v>1219</v>
      </c>
      <c r="O2252" s="14" t="s">
        <v>1220</v>
      </c>
    </row>
    <row r="2253" spans="1:15" x14ac:dyDescent="0.25">
      <c r="A2253" s="14">
        <v>4047</v>
      </c>
      <c r="B2253" s="14" t="s">
        <v>5411</v>
      </c>
      <c r="C2253" s="14" t="s">
        <v>5411</v>
      </c>
      <c r="D2253" s="14" t="s">
        <v>1349</v>
      </c>
      <c r="E2253" s="15"/>
      <c r="F2253" s="14"/>
      <c r="G2253" s="15"/>
      <c r="H2253" s="14" t="s">
        <v>5399</v>
      </c>
      <c r="I2253" s="14" t="s">
        <v>1360</v>
      </c>
      <c r="J2253" s="14" t="s">
        <v>1360</v>
      </c>
      <c r="K2253" s="14"/>
      <c r="L2253" s="14"/>
      <c r="M2253" s="14" t="s">
        <v>1613</v>
      </c>
      <c r="N2253" s="14" t="s">
        <v>1219</v>
      </c>
      <c r="O2253" s="14" t="s">
        <v>1220</v>
      </c>
    </row>
    <row r="2254" spans="1:15" x14ac:dyDescent="0.25">
      <c r="A2254" s="14" t="s">
        <v>5412</v>
      </c>
      <c r="B2254" s="14" t="s">
        <v>5413</v>
      </c>
      <c r="C2254" s="14" t="s">
        <v>5413</v>
      </c>
      <c r="D2254" s="14" t="s">
        <v>5392</v>
      </c>
      <c r="E2254" s="16">
        <v>10</v>
      </c>
      <c r="F2254" s="14" t="s">
        <v>1350</v>
      </c>
      <c r="G2254" s="16">
        <v>10</v>
      </c>
      <c r="H2254" s="14" t="s">
        <v>5392</v>
      </c>
      <c r="I2254" s="14" t="s">
        <v>1360</v>
      </c>
      <c r="J2254" s="14" t="s">
        <v>1360</v>
      </c>
      <c r="K2254" s="14" t="s">
        <v>1257</v>
      </c>
      <c r="L2254" s="14" t="s">
        <v>5375</v>
      </c>
      <c r="M2254" s="14" t="s">
        <v>1613</v>
      </c>
      <c r="N2254" s="14" t="s">
        <v>1219</v>
      </c>
      <c r="O2254" s="14" t="s">
        <v>1220</v>
      </c>
    </row>
    <row r="2255" spans="1:15" x14ac:dyDescent="0.25">
      <c r="A2255" s="14">
        <v>3999</v>
      </c>
      <c r="B2255" s="14" t="s">
        <v>5414</v>
      </c>
      <c r="C2255" s="14" t="s">
        <v>5414</v>
      </c>
      <c r="D2255" s="14" t="s">
        <v>1349</v>
      </c>
      <c r="E2255" s="15"/>
      <c r="F2255" s="14"/>
      <c r="G2255" s="15"/>
      <c r="H2255" s="14" t="s">
        <v>5399</v>
      </c>
      <c r="I2255" s="14" t="s">
        <v>1360</v>
      </c>
      <c r="J2255" s="14" t="s">
        <v>1360</v>
      </c>
      <c r="K2255" s="14"/>
      <c r="L2255" s="14"/>
      <c r="M2255" s="14" t="s">
        <v>1613</v>
      </c>
      <c r="N2255" s="14" t="s">
        <v>1219</v>
      </c>
      <c r="O2255" s="14" t="s">
        <v>1220</v>
      </c>
    </row>
    <row r="2256" spans="1:15" x14ac:dyDescent="0.25">
      <c r="A2256" s="14">
        <v>3998</v>
      </c>
      <c r="B2256" s="14" t="s">
        <v>5415</v>
      </c>
      <c r="C2256" s="14" t="s">
        <v>5415</v>
      </c>
      <c r="D2256" s="14" t="s">
        <v>1349</v>
      </c>
      <c r="E2256" s="15"/>
      <c r="F2256" s="14"/>
      <c r="G2256" s="15"/>
      <c r="H2256" s="14" t="s">
        <v>5399</v>
      </c>
      <c r="I2256" s="14" t="s">
        <v>1351</v>
      </c>
      <c r="J2256" s="14" t="s">
        <v>1351</v>
      </c>
      <c r="K2256" s="14"/>
      <c r="L2256" s="14"/>
      <c r="M2256" s="14" t="s">
        <v>1613</v>
      </c>
      <c r="N2256" s="14" t="s">
        <v>1219</v>
      </c>
      <c r="O2256" s="14" t="s">
        <v>1220</v>
      </c>
    </row>
    <row r="2257" spans="1:15" x14ac:dyDescent="0.25">
      <c r="A2257" s="14" t="s">
        <v>5416</v>
      </c>
      <c r="B2257" s="14" t="s">
        <v>5417</v>
      </c>
      <c r="C2257" s="14" t="s">
        <v>5417</v>
      </c>
      <c r="D2257" s="14" t="s">
        <v>5392</v>
      </c>
      <c r="E2257" s="16">
        <v>10</v>
      </c>
      <c r="F2257" s="14" t="s">
        <v>1350</v>
      </c>
      <c r="G2257" s="16">
        <v>10</v>
      </c>
      <c r="H2257" s="14" t="s">
        <v>5392</v>
      </c>
      <c r="I2257" s="14" t="s">
        <v>1360</v>
      </c>
      <c r="J2257" s="14" t="s">
        <v>1360</v>
      </c>
      <c r="K2257" s="14" t="s">
        <v>1257</v>
      </c>
      <c r="L2257" s="14" t="s">
        <v>5375</v>
      </c>
      <c r="M2257" s="14" t="s">
        <v>1613</v>
      </c>
      <c r="N2257" s="14" t="s">
        <v>1219</v>
      </c>
      <c r="O2257" s="14" t="s">
        <v>1220</v>
      </c>
    </row>
    <row r="2258" spans="1:15" x14ac:dyDescent="0.25">
      <c r="A2258" s="14" t="s">
        <v>5418</v>
      </c>
      <c r="B2258" s="14" t="s">
        <v>5419</v>
      </c>
      <c r="C2258" s="14" t="s">
        <v>5419</v>
      </c>
      <c r="D2258" s="14" t="s">
        <v>1349</v>
      </c>
      <c r="E2258" s="15"/>
      <c r="F2258" s="14"/>
      <c r="G2258" s="15"/>
      <c r="H2258" s="14" t="s">
        <v>5392</v>
      </c>
      <c r="I2258" s="14" t="s">
        <v>1360</v>
      </c>
      <c r="J2258" s="14" t="s">
        <v>1360</v>
      </c>
      <c r="K2258" s="14"/>
      <c r="L2258" s="14"/>
      <c r="M2258" s="14" t="s">
        <v>1613</v>
      </c>
      <c r="N2258" s="14" t="s">
        <v>1219</v>
      </c>
      <c r="O2258" s="14" t="s">
        <v>1220</v>
      </c>
    </row>
    <row r="2259" spans="1:15" x14ac:dyDescent="0.25">
      <c r="A2259" s="14" t="s">
        <v>5420</v>
      </c>
      <c r="B2259" s="14" t="s">
        <v>5421</v>
      </c>
      <c r="C2259" s="14" t="s">
        <v>5421</v>
      </c>
      <c r="D2259" s="14" t="s">
        <v>5392</v>
      </c>
      <c r="E2259" s="16">
        <v>10</v>
      </c>
      <c r="F2259" s="14" t="s">
        <v>1350</v>
      </c>
      <c r="G2259" s="16">
        <v>10</v>
      </c>
      <c r="H2259" s="14" t="s">
        <v>5392</v>
      </c>
      <c r="I2259" s="14" t="s">
        <v>1360</v>
      </c>
      <c r="J2259" s="14" t="s">
        <v>1360</v>
      </c>
      <c r="K2259" s="14" t="s">
        <v>1257</v>
      </c>
      <c r="L2259" s="14" t="s">
        <v>5375</v>
      </c>
      <c r="M2259" s="14" t="s">
        <v>1613</v>
      </c>
      <c r="N2259" s="14" t="s">
        <v>1219</v>
      </c>
      <c r="O2259" s="14" t="s">
        <v>1220</v>
      </c>
    </row>
    <row r="2260" spans="1:15" x14ac:dyDescent="0.25">
      <c r="A2260" s="14">
        <v>3991</v>
      </c>
      <c r="B2260" s="14" t="s">
        <v>5422</v>
      </c>
      <c r="C2260" s="14" t="s">
        <v>5422</v>
      </c>
      <c r="D2260" s="14" t="s">
        <v>1349</v>
      </c>
      <c r="E2260" s="15"/>
      <c r="F2260" s="14"/>
      <c r="G2260" s="15"/>
      <c r="H2260" s="14" t="s">
        <v>5399</v>
      </c>
      <c r="I2260" s="14" t="s">
        <v>1360</v>
      </c>
      <c r="J2260" s="14" t="s">
        <v>1360</v>
      </c>
      <c r="K2260" s="14"/>
      <c r="L2260" s="14"/>
      <c r="M2260" s="14" t="s">
        <v>1613</v>
      </c>
      <c r="N2260" s="14" t="s">
        <v>1219</v>
      </c>
      <c r="O2260" s="14" t="s">
        <v>1220</v>
      </c>
    </row>
    <row r="2261" spans="1:15" x14ac:dyDescent="0.25">
      <c r="A2261" s="14">
        <v>3995</v>
      </c>
      <c r="B2261" s="14" t="s">
        <v>5423</v>
      </c>
      <c r="C2261" s="14" t="s">
        <v>5423</v>
      </c>
      <c r="D2261" s="14" t="s">
        <v>5424</v>
      </c>
      <c r="E2261" s="15"/>
      <c r="F2261" s="14"/>
      <c r="G2261" s="15"/>
      <c r="H2261" s="14" t="s">
        <v>5399</v>
      </c>
      <c r="I2261" s="14" t="s">
        <v>1360</v>
      </c>
      <c r="J2261" s="14" t="s">
        <v>1360</v>
      </c>
      <c r="K2261" s="14"/>
      <c r="L2261" s="14"/>
      <c r="M2261" s="14" t="s">
        <v>1613</v>
      </c>
      <c r="N2261" s="14" t="s">
        <v>1219</v>
      </c>
      <c r="O2261" s="14" t="s">
        <v>1220</v>
      </c>
    </row>
    <row r="2262" spans="1:15" x14ac:dyDescent="0.25">
      <c r="A2262" s="14">
        <v>3992</v>
      </c>
      <c r="B2262" s="14" t="s">
        <v>5425</v>
      </c>
      <c r="C2262" s="14" t="s">
        <v>5425</v>
      </c>
      <c r="D2262" s="14" t="s">
        <v>1349</v>
      </c>
      <c r="E2262" s="15"/>
      <c r="F2262" s="14"/>
      <c r="G2262" s="15"/>
      <c r="H2262" s="14" t="s">
        <v>5399</v>
      </c>
      <c r="I2262" s="14" t="s">
        <v>1360</v>
      </c>
      <c r="J2262" s="14" t="s">
        <v>1360</v>
      </c>
      <c r="K2262" s="14"/>
      <c r="L2262" s="14"/>
      <c r="M2262" s="14" t="s">
        <v>1613</v>
      </c>
      <c r="N2262" s="14" t="s">
        <v>1219</v>
      </c>
      <c r="O2262" s="14" t="s">
        <v>1220</v>
      </c>
    </row>
    <row r="2263" spans="1:15" x14ac:dyDescent="0.25">
      <c r="A2263" s="14">
        <v>3996</v>
      </c>
      <c r="B2263" s="14" t="s">
        <v>5426</v>
      </c>
      <c r="C2263" s="14" t="s">
        <v>5426</v>
      </c>
      <c r="D2263" s="14" t="s">
        <v>5424</v>
      </c>
      <c r="E2263" s="15"/>
      <c r="F2263" s="14"/>
      <c r="G2263" s="15"/>
      <c r="H2263" s="14" t="s">
        <v>5399</v>
      </c>
      <c r="I2263" s="14" t="s">
        <v>1360</v>
      </c>
      <c r="J2263" s="14" t="s">
        <v>1360</v>
      </c>
      <c r="K2263" s="14"/>
      <c r="L2263" s="14"/>
      <c r="M2263" s="14" t="s">
        <v>1613</v>
      </c>
      <c r="N2263" s="14" t="s">
        <v>1219</v>
      </c>
      <c r="O2263" s="14" t="s">
        <v>1220</v>
      </c>
    </row>
    <row r="2264" spans="1:15" x14ac:dyDescent="0.25">
      <c r="A2264" s="14">
        <v>3993</v>
      </c>
      <c r="B2264" s="14" t="s">
        <v>5427</v>
      </c>
      <c r="C2264" s="14" t="s">
        <v>5427</v>
      </c>
      <c r="D2264" s="14" t="s">
        <v>1349</v>
      </c>
      <c r="E2264" s="15"/>
      <c r="F2264" s="14"/>
      <c r="G2264" s="15"/>
      <c r="H2264" s="14" t="s">
        <v>5399</v>
      </c>
      <c r="I2264" s="14" t="s">
        <v>1360</v>
      </c>
      <c r="J2264" s="14" t="s">
        <v>1360</v>
      </c>
      <c r="K2264" s="14"/>
      <c r="L2264" s="14"/>
      <c r="M2264" s="14" t="s">
        <v>1613</v>
      </c>
      <c r="N2264" s="14" t="s">
        <v>1219</v>
      </c>
      <c r="O2264" s="14" t="s">
        <v>1220</v>
      </c>
    </row>
    <row r="2265" spans="1:15" x14ac:dyDescent="0.25">
      <c r="A2265" s="14">
        <v>4187</v>
      </c>
      <c r="B2265" s="14" t="s">
        <v>5428</v>
      </c>
      <c r="C2265" s="14" t="s">
        <v>5428</v>
      </c>
      <c r="D2265" s="14" t="s">
        <v>5424</v>
      </c>
      <c r="E2265" s="15"/>
      <c r="F2265" s="14"/>
      <c r="G2265" s="15"/>
      <c r="H2265" s="14" t="s">
        <v>5399</v>
      </c>
      <c r="I2265" s="14" t="s">
        <v>1360</v>
      </c>
      <c r="J2265" s="14" t="s">
        <v>1360</v>
      </c>
      <c r="K2265" s="14"/>
      <c r="L2265" s="14"/>
      <c r="M2265" s="14" t="s">
        <v>1613</v>
      </c>
      <c r="N2265" s="14" t="s">
        <v>1219</v>
      </c>
      <c r="O2265" s="14" t="s">
        <v>1220</v>
      </c>
    </row>
    <row r="2266" spans="1:15" x14ac:dyDescent="0.25">
      <c r="A2266" s="14">
        <v>3994</v>
      </c>
      <c r="B2266" s="14" t="s">
        <v>5429</v>
      </c>
      <c r="C2266" s="14" t="s">
        <v>5429</v>
      </c>
      <c r="D2266" s="14" t="s">
        <v>5430</v>
      </c>
      <c r="E2266" s="15"/>
      <c r="F2266" s="14" t="s">
        <v>1350</v>
      </c>
      <c r="G2266" s="15"/>
      <c r="H2266" s="14" t="s">
        <v>5399</v>
      </c>
      <c r="I2266" s="14" t="s">
        <v>1351</v>
      </c>
      <c r="J2266" s="14" t="s">
        <v>1351</v>
      </c>
      <c r="K2266" s="14" t="s">
        <v>1257</v>
      </c>
      <c r="L2266" s="14" t="s">
        <v>5375</v>
      </c>
      <c r="M2266" s="14" t="s">
        <v>1613</v>
      </c>
      <c r="N2266" s="14" t="s">
        <v>1219</v>
      </c>
      <c r="O2266" s="14" t="s">
        <v>1220</v>
      </c>
    </row>
    <row r="2267" spans="1:15" x14ac:dyDescent="0.25">
      <c r="A2267" s="14">
        <v>3997</v>
      </c>
      <c r="B2267" s="14" t="s">
        <v>5431</v>
      </c>
      <c r="C2267" s="14" t="s">
        <v>5431</v>
      </c>
      <c r="D2267" s="14" t="s">
        <v>5424</v>
      </c>
      <c r="E2267" s="15"/>
      <c r="F2267" s="14"/>
      <c r="G2267" s="15"/>
      <c r="H2267" s="14" t="s">
        <v>5399</v>
      </c>
      <c r="I2267" s="14" t="s">
        <v>1360</v>
      </c>
      <c r="J2267" s="14" t="s">
        <v>1360</v>
      </c>
      <c r="K2267" s="14"/>
      <c r="L2267" s="14"/>
      <c r="M2267" s="14" t="s">
        <v>1613</v>
      </c>
      <c r="N2267" s="14" t="s">
        <v>1219</v>
      </c>
      <c r="O2267" s="14" t="s">
        <v>1220</v>
      </c>
    </row>
    <row r="2268" spans="1:15" x14ac:dyDescent="0.25">
      <c r="A2268" s="14">
        <v>4579</v>
      </c>
      <c r="B2268" s="14" t="s">
        <v>5432</v>
      </c>
      <c r="C2268" s="14" t="s">
        <v>5432</v>
      </c>
      <c r="D2268" s="14" t="s">
        <v>1349</v>
      </c>
      <c r="E2268" s="15"/>
      <c r="F2268" s="14"/>
      <c r="G2268" s="15"/>
      <c r="H2268" s="14" t="s">
        <v>5399</v>
      </c>
      <c r="I2268" s="14" t="s">
        <v>1360</v>
      </c>
      <c r="J2268" s="14" t="s">
        <v>1360</v>
      </c>
      <c r="K2268" s="14"/>
      <c r="L2268" s="14"/>
      <c r="M2268" s="14" t="s">
        <v>1613</v>
      </c>
      <c r="N2268" s="14" t="s">
        <v>1219</v>
      </c>
      <c r="O2268" s="14" t="s">
        <v>1220</v>
      </c>
    </row>
    <row r="2269" spans="1:15" x14ac:dyDescent="0.25">
      <c r="A2269" s="14">
        <v>4000</v>
      </c>
      <c r="B2269" s="14" t="s">
        <v>5433</v>
      </c>
      <c r="C2269" s="14" t="s">
        <v>5433</v>
      </c>
      <c r="D2269" s="14" t="s">
        <v>1349</v>
      </c>
      <c r="E2269" s="15"/>
      <c r="F2269" s="14"/>
      <c r="G2269" s="15"/>
      <c r="H2269" s="14" t="s">
        <v>5399</v>
      </c>
      <c r="I2269" s="14" t="s">
        <v>1360</v>
      </c>
      <c r="J2269" s="14" t="s">
        <v>1360</v>
      </c>
      <c r="K2269" s="14"/>
      <c r="L2269" s="14"/>
      <c r="M2269" s="14" t="s">
        <v>1613</v>
      </c>
      <c r="N2269" s="14" t="s">
        <v>1219</v>
      </c>
      <c r="O2269" s="14" t="s">
        <v>1220</v>
      </c>
    </row>
    <row r="2270" spans="1:15" x14ac:dyDescent="0.25">
      <c r="A2270" s="14">
        <v>4044</v>
      </c>
      <c r="B2270" s="14" t="s">
        <v>5434</v>
      </c>
      <c r="C2270" s="14" t="s">
        <v>5434</v>
      </c>
      <c r="D2270" s="14" t="s">
        <v>5435</v>
      </c>
      <c r="E2270" s="15"/>
      <c r="F2270" s="14"/>
      <c r="G2270" s="15"/>
      <c r="H2270" s="14" t="s">
        <v>5399</v>
      </c>
      <c r="I2270" s="14" t="s">
        <v>1360</v>
      </c>
      <c r="J2270" s="14" t="s">
        <v>1360</v>
      </c>
      <c r="K2270" s="14"/>
      <c r="L2270" s="14"/>
      <c r="M2270" s="14" t="s">
        <v>1613</v>
      </c>
      <c r="N2270" s="14" t="s">
        <v>1219</v>
      </c>
      <c r="O2270" s="14" t="s">
        <v>1220</v>
      </c>
    </row>
    <row r="2271" spans="1:15" x14ac:dyDescent="0.25">
      <c r="A2271" s="14">
        <v>4043</v>
      </c>
      <c r="B2271" s="14" t="s">
        <v>5436</v>
      </c>
      <c r="C2271" s="14" t="s">
        <v>5436</v>
      </c>
      <c r="D2271" s="14" t="s">
        <v>1349</v>
      </c>
      <c r="E2271" s="15"/>
      <c r="F2271" s="14"/>
      <c r="G2271" s="15"/>
      <c r="H2271" s="14" t="s">
        <v>5399</v>
      </c>
      <c r="I2271" s="14" t="s">
        <v>1360</v>
      </c>
      <c r="J2271" s="14" t="s">
        <v>1360</v>
      </c>
      <c r="K2271" s="14"/>
      <c r="L2271" s="14"/>
      <c r="M2271" s="14" t="s">
        <v>1613</v>
      </c>
      <c r="N2271" s="14" t="s">
        <v>1219</v>
      </c>
      <c r="O2271" s="14" t="s">
        <v>1220</v>
      </c>
    </row>
    <row r="2272" spans="1:15" x14ac:dyDescent="0.25">
      <c r="A2272" s="14" t="s">
        <v>5437</v>
      </c>
      <c r="B2272" s="14" t="s">
        <v>5438</v>
      </c>
      <c r="C2272" s="14" t="s">
        <v>5438</v>
      </c>
      <c r="D2272" s="14" t="s">
        <v>5392</v>
      </c>
      <c r="E2272" s="16">
        <v>10</v>
      </c>
      <c r="F2272" s="14" t="s">
        <v>1350</v>
      </c>
      <c r="G2272" s="16">
        <v>10</v>
      </c>
      <c r="H2272" s="14" t="s">
        <v>5392</v>
      </c>
      <c r="I2272" s="14" t="s">
        <v>1360</v>
      </c>
      <c r="J2272" s="14" t="s">
        <v>1360</v>
      </c>
      <c r="K2272" s="14" t="s">
        <v>1257</v>
      </c>
      <c r="L2272" s="14" t="s">
        <v>5375</v>
      </c>
      <c r="M2272" s="14" t="s">
        <v>1613</v>
      </c>
      <c r="N2272" s="14" t="s">
        <v>1219</v>
      </c>
      <c r="O2272" s="14" t="s">
        <v>1220</v>
      </c>
    </row>
    <row r="2273" spans="1:15" x14ac:dyDescent="0.25">
      <c r="A2273" s="14" t="s">
        <v>5439</v>
      </c>
      <c r="B2273" s="14" t="s">
        <v>5440</v>
      </c>
      <c r="C2273" s="14" t="s">
        <v>5440</v>
      </c>
      <c r="D2273" s="14" t="s">
        <v>5392</v>
      </c>
      <c r="E2273" s="16">
        <v>10</v>
      </c>
      <c r="F2273" s="14" t="s">
        <v>1350</v>
      </c>
      <c r="G2273" s="16">
        <v>10</v>
      </c>
      <c r="H2273" s="14" t="s">
        <v>5392</v>
      </c>
      <c r="I2273" s="14" t="s">
        <v>1360</v>
      </c>
      <c r="J2273" s="14" t="s">
        <v>1360</v>
      </c>
      <c r="K2273" s="14" t="s">
        <v>1257</v>
      </c>
      <c r="L2273" s="14" t="s">
        <v>5375</v>
      </c>
      <c r="M2273" s="14" t="s">
        <v>1613</v>
      </c>
      <c r="N2273" s="14" t="s">
        <v>1219</v>
      </c>
      <c r="O2273" s="14" t="s">
        <v>1220</v>
      </c>
    </row>
    <row r="2274" spans="1:15" x14ac:dyDescent="0.25">
      <c r="A2274" s="14" t="s">
        <v>5441</v>
      </c>
      <c r="B2274" s="14" t="s">
        <v>5442</v>
      </c>
      <c r="C2274" s="14" t="s">
        <v>5442</v>
      </c>
      <c r="D2274" s="14" t="s">
        <v>5392</v>
      </c>
      <c r="E2274" s="16">
        <v>10</v>
      </c>
      <c r="F2274" s="14" t="s">
        <v>1350</v>
      </c>
      <c r="G2274" s="16">
        <v>10</v>
      </c>
      <c r="H2274" s="14" t="s">
        <v>5392</v>
      </c>
      <c r="I2274" s="14" t="s">
        <v>1360</v>
      </c>
      <c r="J2274" s="14" t="s">
        <v>1360</v>
      </c>
      <c r="K2274" s="14" t="s">
        <v>1257</v>
      </c>
      <c r="L2274" s="14" t="s">
        <v>5375</v>
      </c>
      <c r="M2274" s="14" t="s">
        <v>1613</v>
      </c>
      <c r="N2274" s="14" t="s">
        <v>1219</v>
      </c>
      <c r="O2274" s="14" t="s">
        <v>1220</v>
      </c>
    </row>
    <row r="2275" spans="1:15" x14ac:dyDescent="0.25">
      <c r="A2275" s="14">
        <v>4001</v>
      </c>
      <c r="B2275" s="14" t="s">
        <v>5443</v>
      </c>
      <c r="C2275" s="14" t="s">
        <v>5443</v>
      </c>
      <c r="D2275" s="14" t="s">
        <v>1349</v>
      </c>
      <c r="E2275" s="15"/>
      <c r="F2275" s="14" t="s">
        <v>1350</v>
      </c>
      <c r="G2275" s="15"/>
      <c r="H2275" s="14" t="s">
        <v>5399</v>
      </c>
      <c r="I2275" s="14" t="s">
        <v>1360</v>
      </c>
      <c r="J2275" s="14" t="s">
        <v>1360</v>
      </c>
      <c r="K2275" s="14" t="s">
        <v>1257</v>
      </c>
      <c r="L2275" s="14" t="s">
        <v>5375</v>
      </c>
      <c r="M2275" s="14" t="s">
        <v>1613</v>
      </c>
      <c r="N2275" s="14" t="s">
        <v>1219</v>
      </c>
      <c r="O2275" s="14" t="s">
        <v>1220</v>
      </c>
    </row>
    <row r="2276" spans="1:15" x14ac:dyDescent="0.25">
      <c r="A2276" s="14" t="s">
        <v>5444</v>
      </c>
      <c r="B2276" s="14" t="s">
        <v>5445</v>
      </c>
      <c r="C2276" s="14" t="s">
        <v>5445</v>
      </c>
      <c r="D2276" s="14" t="s">
        <v>5392</v>
      </c>
      <c r="E2276" s="16">
        <v>10</v>
      </c>
      <c r="F2276" s="14" t="s">
        <v>1350</v>
      </c>
      <c r="G2276" s="16">
        <v>10</v>
      </c>
      <c r="H2276" s="14" t="s">
        <v>5392</v>
      </c>
      <c r="I2276" s="14" t="s">
        <v>1360</v>
      </c>
      <c r="J2276" s="14" t="s">
        <v>1360</v>
      </c>
      <c r="K2276" s="14" t="s">
        <v>1257</v>
      </c>
      <c r="L2276" s="14" t="s">
        <v>5375</v>
      </c>
      <c r="M2276" s="14" t="s">
        <v>1613</v>
      </c>
      <c r="N2276" s="14" t="s">
        <v>1219</v>
      </c>
      <c r="O2276" s="14" t="s">
        <v>1220</v>
      </c>
    </row>
    <row r="2277" spans="1:15" x14ac:dyDescent="0.25">
      <c r="A2277" s="14" t="s">
        <v>5446</v>
      </c>
      <c r="B2277" s="14" t="s">
        <v>5447</v>
      </c>
      <c r="C2277" s="14" t="s">
        <v>5447</v>
      </c>
      <c r="D2277" s="14" t="s">
        <v>5392</v>
      </c>
      <c r="E2277" s="16">
        <v>10</v>
      </c>
      <c r="F2277" s="14" t="s">
        <v>1350</v>
      </c>
      <c r="G2277" s="16">
        <v>10</v>
      </c>
      <c r="H2277" s="14" t="s">
        <v>5392</v>
      </c>
      <c r="I2277" s="14" t="s">
        <v>1360</v>
      </c>
      <c r="J2277" s="14" t="s">
        <v>1360</v>
      </c>
      <c r="K2277" s="14" t="s">
        <v>1257</v>
      </c>
      <c r="L2277" s="14" t="s">
        <v>5375</v>
      </c>
      <c r="M2277" s="14" t="s">
        <v>1613</v>
      </c>
      <c r="N2277" s="14" t="s">
        <v>1219</v>
      </c>
      <c r="O2277" s="14" t="s">
        <v>1220</v>
      </c>
    </row>
    <row r="2278" spans="1:15" x14ac:dyDescent="0.25">
      <c r="A2278" s="14" t="s">
        <v>5448</v>
      </c>
      <c r="B2278" s="14" t="s">
        <v>5449</v>
      </c>
      <c r="C2278" s="14" t="s">
        <v>5449</v>
      </c>
      <c r="D2278" s="14" t="s">
        <v>5392</v>
      </c>
      <c r="E2278" s="16">
        <v>10</v>
      </c>
      <c r="F2278" s="14" t="s">
        <v>1350</v>
      </c>
      <c r="G2278" s="16">
        <v>10</v>
      </c>
      <c r="H2278" s="14" t="s">
        <v>5392</v>
      </c>
      <c r="I2278" s="14" t="s">
        <v>1360</v>
      </c>
      <c r="J2278" s="14" t="s">
        <v>1360</v>
      </c>
      <c r="K2278" s="14" t="s">
        <v>1257</v>
      </c>
      <c r="L2278" s="14" t="s">
        <v>5375</v>
      </c>
      <c r="M2278" s="14" t="s">
        <v>1613</v>
      </c>
      <c r="N2278" s="14" t="s">
        <v>1219</v>
      </c>
      <c r="O2278" s="14" t="s">
        <v>1220</v>
      </c>
    </row>
    <row r="2279" spans="1:15" x14ac:dyDescent="0.25">
      <c r="A2279" s="14">
        <v>4012</v>
      </c>
      <c r="B2279" s="14" t="s">
        <v>5450</v>
      </c>
      <c r="C2279" s="14" t="s">
        <v>5450</v>
      </c>
      <c r="D2279" s="14" t="s">
        <v>5435</v>
      </c>
      <c r="E2279" s="15"/>
      <c r="F2279" s="14"/>
      <c r="G2279" s="15"/>
      <c r="H2279" s="14" t="s">
        <v>5399</v>
      </c>
      <c r="I2279" s="14" t="s">
        <v>1360</v>
      </c>
      <c r="J2279" s="14" t="s">
        <v>1360</v>
      </c>
      <c r="K2279" s="14"/>
      <c r="L2279" s="14"/>
      <c r="M2279" s="14" t="s">
        <v>1613</v>
      </c>
      <c r="N2279" s="14" t="s">
        <v>1219</v>
      </c>
      <c r="O2279" s="14" t="s">
        <v>1220</v>
      </c>
    </row>
    <row r="2280" spans="1:15" x14ac:dyDescent="0.25">
      <c r="A2280" s="14">
        <v>4013</v>
      </c>
      <c r="B2280" s="14" t="s">
        <v>5451</v>
      </c>
      <c r="C2280" s="14" t="s">
        <v>5451</v>
      </c>
      <c r="D2280" s="14" t="s">
        <v>1349</v>
      </c>
      <c r="E2280" s="15"/>
      <c r="F2280" s="14"/>
      <c r="G2280" s="15"/>
      <c r="H2280" s="14" t="s">
        <v>5399</v>
      </c>
      <c r="I2280" s="14" t="s">
        <v>1360</v>
      </c>
      <c r="J2280" s="14" t="s">
        <v>1360</v>
      </c>
      <c r="K2280" s="14"/>
      <c r="L2280" s="14"/>
      <c r="M2280" s="14" t="s">
        <v>1613</v>
      </c>
      <c r="N2280" s="14" t="s">
        <v>1219</v>
      </c>
      <c r="O2280" s="14" t="s">
        <v>1220</v>
      </c>
    </row>
    <row r="2281" spans="1:15" x14ac:dyDescent="0.25">
      <c r="A2281" s="14">
        <v>4014</v>
      </c>
      <c r="B2281" s="14" t="s">
        <v>5452</v>
      </c>
      <c r="C2281" s="14" t="s">
        <v>5452</v>
      </c>
      <c r="D2281" s="14" t="s">
        <v>5435</v>
      </c>
      <c r="E2281" s="15"/>
      <c r="F2281" s="14"/>
      <c r="G2281" s="15"/>
      <c r="H2281" s="14" t="s">
        <v>5399</v>
      </c>
      <c r="I2281" s="14" t="s">
        <v>1360</v>
      </c>
      <c r="J2281" s="14" t="s">
        <v>1360</v>
      </c>
      <c r="K2281" s="14"/>
      <c r="L2281" s="14"/>
      <c r="M2281" s="14" t="s">
        <v>1613</v>
      </c>
      <c r="N2281" s="14" t="s">
        <v>1219</v>
      </c>
      <c r="O2281" s="14" t="s">
        <v>1220</v>
      </c>
    </row>
    <row r="2282" spans="1:15" x14ac:dyDescent="0.25">
      <c r="A2282" s="14">
        <v>4015</v>
      </c>
      <c r="B2282" s="14" t="s">
        <v>5453</v>
      </c>
      <c r="C2282" s="14" t="s">
        <v>5453</v>
      </c>
      <c r="D2282" s="14" t="s">
        <v>5435</v>
      </c>
      <c r="E2282" s="15"/>
      <c r="F2282" s="14"/>
      <c r="G2282" s="15"/>
      <c r="H2282" s="14" t="s">
        <v>5399</v>
      </c>
      <c r="I2282" s="14" t="s">
        <v>1360</v>
      </c>
      <c r="J2282" s="14" t="s">
        <v>1360</v>
      </c>
      <c r="K2282" s="14"/>
      <c r="L2282" s="14"/>
      <c r="M2282" s="14" t="s">
        <v>1613</v>
      </c>
      <c r="N2282" s="14" t="s">
        <v>1219</v>
      </c>
      <c r="O2282" s="14" t="s">
        <v>1220</v>
      </c>
    </row>
    <row r="2283" spans="1:15" x14ac:dyDescent="0.25">
      <c r="A2283" s="14">
        <v>4016</v>
      </c>
      <c r="B2283" s="14" t="s">
        <v>5454</v>
      </c>
      <c r="C2283" s="14" t="s">
        <v>5454</v>
      </c>
      <c r="D2283" s="14" t="s">
        <v>5435</v>
      </c>
      <c r="E2283" s="15"/>
      <c r="F2283" s="14"/>
      <c r="G2283" s="15"/>
      <c r="H2283" s="14" t="s">
        <v>5399</v>
      </c>
      <c r="I2283" s="14" t="s">
        <v>1360</v>
      </c>
      <c r="J2283" s="14" t="s">
        <v>1360</v>
      </c>
      <c r="K2283" s="14"/>
      <c r="L2283" s="14"/>
      <c r="M2283" s="14" t="s">
        <v>1613</v>
      </c>
      <c r="N2283" s="14" t="s">
        <v>1219</v>
      </c>
      <c r="O2283" s="14" t="s">
        <v>1220</v>
      </c>
    </row>
    <row r="2284" spans="1:15" x14ac:dyDescent="0.25">
      <c r="A2284" s="14" t="s">
        <v>5455</v>
      </c>
      <c r="B2284" s="14" t="s">
        <v>5456</v>
      </c>
      <c r="C2284" s="14" t="s">
        <v>5456</v>
      </c>
      <c r="D2284" s="14" t="s">
        <v>1349</v>
      </c>
      <c r="E2284" s="15"/>
      <c r="F2284" s="14"/>
      <c r="G2284" s="15"/>
      <c r="H2284" s="14" t="s">
        <v>5392</v>
      </c>
      <c r="I2284" s="14" t="s">
        <v>1360</v>
      </c>
      <c r="J2284" s="14" t="s">
        <v>1360</v>
      </c>
      <c r="K2284" s="14"/>
      <c r="L2284" s="14"/>
      <c r="M2284" s="14" t="s">
        <v>1613</v>
      </c>
      <c r="N2284" s="14" t="s">
        <v>1219</v>
      </c>
      <c r="O2284" s="14" t="s">
        <v>1220</v>
      </c>
    </row>
    <row r="2285" spans="1:15" x14ac:dyDescent="0.25">
      <c r="A2285" s="14">
        <v>4018</v>
      </c>
      <c r="B2285" s="14" t="s">
        <v>5457</v>
      </c>
      <c r="C2285" s="14" t="s">
        <v>5457</v>
      </c>
      <c r="D2285" s="14" t="s">
        <v>1349</v>
      </c>
      <c r="E2285" s="15"/>
      <c r="F2285" s="14" t="s">
        <v>1350</v>
      </c>
      <c r="G2285" s="15"/>
      <c r="H2285" s="14" t="s">
        <v>5399</v>
      </c>
      <c r="I2285" s="14" t="s">
        <v>1360</v>
      </c>
      <c r="J2285" s="14" t="s">
        <v>1360</v>
      </c>
      <c r="K2285" s="14" t="s">
        <v>1257</v>
      </c>
      <c r="L2285" s="14" t="s">
        <v>5375</v>
      </c>
      <c r="M2285" s="14" t="s">
        <v>1613</v>
      </c>
      <c r="N2285" s="14" t="s">
        <v>1219</v>
      </c>
      <c r="O2285" s="14" t="s">
        <v>1220</v>
      </c>
    </row>
    <row r="2286" spans="1:15" x14ac:dyDescent="0.25">
      <c r="A2286" s="14">
        <v>4019</v>
      </c>
      <c r="B2286" s="14" t="s">
        <v>5458</v>
      </c>
      <c r="C2286" s="14" t="s">
        <v>5458</v>
      </c>
      <c r="D2286" s="14" t="s">
        <v>5459</v>
      </c>
      <c r="E2286" s="15"/>
      <c r="F2286" s="14" t="s">
        <v>1350</v>
      </c>
      <c r="G2286" s="15"/>
      <c r="H2286" s="14" t="s">
        <v>5399</v>
      </c>
      <c r="I2286" s="14" t="s">
        <v>1351</v>
      </c>
      <c r="J2286" s="14" t="s">
        <v>1351</v>
      </c>
      <c r="K2286" s="14" t="s">
        <v>1257</v>
      </c>
      <c r="L2286" s="14" t="s">
        <v>5375</v>
      </c>
      <c r="M2286" s="14" t="s">
        <v>1613</v>
      </c>
      <c r="N2286" s="14" t="s">
        <v>1219</v>
      </c>
      <c r="O2286" s="14" t="s">
        <v>1220</v>
      </c>
    </row>
    <row r="2287" spans="1:15" x14ac:dyDescent="0.25">
      <c r="A2287" s="14" t="s">
        <v>5460</v>
      </c>
      <c r="B2287" s="14" t="s">
        <v>5461</v>
      </c>
      <c r="C2287" s="14" t="s">
        <v>5461</v>
      </c>
      <c r="D2287" s="14" t="s">
        <v>5392</v>
      </c>
      <c r="E2287" s="16">
        <v>10</v>
      </c>
      <c r="F2287" s="14" t="s">
        <v>1350</v>
      </c>
      <c r="G2287" s="16">
        <v>10</v>
      </c>
      <c r="H2287" s="14" t="s">
        <v>5392</v>
      </c>
      <c r="I2287" s="14" t="s">
        <v>1360</v>
      </c>
      <c r="J2287" s="14" t="s">
        <v>1360</v>
      </c>
      <c r="K2287" s="14" t="s">
        <v>1257</v>
      </c>
      <c r="L2287" s="14" t="s">
        <v>5375</v>
      </c>
      <c r="M2287" s="14" t="s">
        <v>1613</v>
      </c>
      <c r="N2287" s="14" t="s">
        <v>1219</v>
      </c>
      <c r="O2287" s="14" t="s">
        <v>1220</v>
      </c>
    </row>
    <row r="2288" spans="1:15" x14ac:dyDescent="0.25">
      <c r="A2288" s="14" t="s">
        <v>5462</v>
      </c>
      <c r="B2288" s="14" t="s">
        <v>5463</v>
      </c>
      <c r="C2288" s="14" t="s">
        <v>5463</v>
      </c>
      <c r="D2288" s="14" t="s">
        <v>5392</v>
      </c>
      <c r="E2288" s="16">
        <v>10</v>
      </c>
      <c r="F2288" s="14" t="s">
        <v>1350</v>
      </c>
      <c r="G2288" s="16">
        <v>10</v>
      </c>
      <c r="H2288" s="14" t="s">
        <v>5392</v>
      </c>
      <c r="I2288" s="14" t="s">
        <v>1360</v>
      </c>
      <c r="J2288" s="14" t="s">
        <v>1360</v>
      </c>
      <c r="K2288" s="14" t="s">
        <v>1257</v>
      </c>
      <c r="L2288" s="14" t="s">
        <v>5464</v>
      </c>
      <c r="M2288" s="14" t="s">
        <v>1613</v>
      </c>
      <c r="N2288" s="14" t="s">
        <v>1219</v>
      </c>
      <c r="O2288" s="14" t="s">
        <v>1220</v>
      </c>
    </row>
    <row r="2289" spans="1:15" x14ac:dyDescent="0.25">
      <c r="A2289" s="14">
        <v>4020</v>
      </c>
      <c r="B2289" s="14" t="s">
        <v>5465</v>
      </c>
      <c r="C2289" s="14" t="s">
        <v>5465</v>
      </c>
      <c r="D2289" s="14" t="s">
        <v>5459</v>
      </c>
      <c r="E2289" s="15"/>
      <c r="F2289" s="14" t="s">
        <v>1350</v>
      </c>
      <c r="G2289" s="15"/>
      <c r="H2289" s="14" t="s">
        <v>5399</v>
      </c>
      <c r="I2289" s="14" t="s">
        <v>1351</v>
      </c>
      <c r="J2289" s="14" t="s">
        <v>1351</v>
      </c>
      <c r="K2289" s="14" t="s">
        <v>1257</v>
      </c>
      <c r="L2289" s="14" t="s">
        <v>5375</v>
      </c>
      <c r="M2289" s="14" t="s">
        <v>1613</v>
      </c>
      <c r="N2289" s="14" t="s">
        <v>1219</v>
      </c>
      <c r="O2289" s="14" t="s">
        <v>1220</v>
      </c>
    </row>
    <row r="2290" spans="1:15" x14ac:dyDescent="0.25">
      <c r="A2290" s="14">
        <v>4017</v>
      </c>
      <c r="B2290" s="14" t="s">
        <v>5466</v>
      </c>
      <c r="C2290" s="14" t="s">
        <v>5466</v>
      </c>
      <c r="D2290" s="14" t="s">
        <v>1349</v>
      </c>
      <c r="E2290" s="15"/>
      <c r="F2290" s="14" t="s">
        <v>1350</v>
      </c>
      <c r="G2290" s="15"/>
      <c r="H2290" s="14" t="s">
        <v>5399</v>
      </c>
      <c r="I2290" s="14" t="s">
        <v>1360</v>
      </c>
      <c r="J2290" s="14" t="s">
        <v>1360</v>
      </c>
      <c r="K2290" s="14" t="s">
        <v>1257</v>
      </c>
      <c r="L2290" s="14" t="s">
        <v>5375</v>
      </c>
      <c r="M2290" s="14" t="s">
        <v>1613</v>
      </c>
      <c r="N2290" s="14" t="s">
        <v>1219</v>
      </c>
      <c r="O2290" s="14" t="s">
        <v>1220</v>
      </c>
    </row>
    <row r="2291" spans="1:15" x14ac:dyDescent="0.25">
      <c r="A2291" s="14" t="s">
        <v>5467</v>
      </c>
      <c r="B2291" s="14" t="s">
        <v>5468</v>
      </c>
      <c r="C2291" s="14" t="s">
        <v>5468</v>
      </c>
      <c r="D2291" s="14" t="s">
        <v>5392</v>
      </c>
      <c r="E2291" s="16">
        <v>10</v>
      </c>
      <c r="F2291" s="14" t="s">
        <v>1350</v>
      </c>
      <c r="G2291" s="16">
        <v>10</v>
      </c>
      <c r="H2291" s="14" t="s">
        <v>5392</v>
      </c>
      <c r="I2291" s="14" t="s">
        <v>1360</v>
      </c>
      <c r="J2291" s="14" t="s">
        <v>1360</v>
      </c>
      <c r="K2291" s="14" t="s">
        <v>1257</v>
      </c>
      <c r="L2291" s="14" t="s">
        <v>5375</v>
      </c>
      <c r="M2291" s="14" t="s">
        <v>1613</v>
      </c>
      <c r="N2291" s="14" t="s">
        <v>1219</v>
      </c>
      <c r="O2291" s="14" t="s">
        <v>1220</v>
      </c>
    </row>
    <row r="2292" spans="1:15" x14ac:dyDescent="0.25">
      <c r="A2292" s="14" t="s">
        <v>5469</v>
      </c>
      <c r="B2292" s="14" t="s">
        <v>5470</v>
      </c>
      <c r="C2292" s="14" t="s">
        <v>5470</v>
      </c>
      <c r="D2292" s="14" t="s">
        <v>5392</v>
      </c>
      <c r="E2292" s="16">
        <v>10</v>
      </c>
      <c r="F2292" s="14" t="s">
        <v>1350</v>
      </c>
      <c r="G2292" s="16">
        <v>10</v>
      </c>
      <c r="H2292" s="14" t="s">
        <v>5392</v>
      </c>
      <c r="I2292" s="14" t="s">
        <v>1360</v>
      </c>
      <c r="J2292" s="14" t="s">
        <v>1360</v>
      </c>
      <c r="K2292" s="14" t="s">
        <v>1257</v>
      </c>
      <c r="L2292" s="14" t="s">
        <v>5471</v>
      </c>
      <c r="M2292" s="14" t="s">
        <v>1613</v>
      </c>
      <c r="N2292" s="14" t="s">
        <v>1219</v>
      </c>
      <c r="O2292" s="14" t="s">
        <v>1220</v>
      </c>
    </row>
    <row r="2293" spans="1:15" x14ac:dyDescent="0.25">
      <c r="A2293" s="14" t="s">
        <v>5472</v>
      </c>
      <c r="B2293" s="14" t="s">
        <v>5473</v>
      </c>
      <c r="C2293" s="14" t="s">
        <v>5473</v>
      </c>
      <c r="D2293" s="14" t="s">
        <v>5392</v>
      </c>
      <c r="E2293" s="16">
        <v>10</v>
      </c>
      <c r="F2293" s="14" t="s">
        <v>1350</v>
      </c>
      <c r="G2293" s="16">
        <v>10</v>
      </c>
      <c r="H2293" s="14" t="s">
        <v>5392</v>
      </c>
      <c r="I2293" s="14" t="s">
        <v>1360</v>
      </c>
      <c r="J2293" s="14" t="s">
        <v>1360</v>
      </c>
      <c r="K2293" s="14" t="s">
        <v>1257</v>
      </c>
      <c r="L2293" s="14" t="s">
        <v>5375</v>
      </c>
      <c r="M2293" s="14" t="s">
        <v>1613</v>
      </c>
      <c r="N2293" s="14" t="s">
        <v>1219</v>
      </c>
      <c r="O2293" s="14" t="s">
        <v>1220</v>
      </c>
    </row>
    <row r="2294" spans="1:15" x14ac:dyDescent="0.25">
      <c r="A2294" s="14">
        <v>4002</v>
      </c>
      <c r="B2294" s="14" t="s">
        <v>5474</v>
      </c>
      <c r="C2294" s="14" t="s">
        <v>5474</v>
      </c>
      <c r="D2294" s="14" t="s">
        <v>1349</v>
      </c>
      <c r="E2294" s="15"/>
      <c r="F2294" s="14"/>
      <c r="G2294" s="15"/>
      <c r="H2294" s="14" t="s">
        <v>5399</v>
      </c>
      <c r="I2294" s="14" t="s">
        <v>1360</v>
      </c>
      <c r="J2294" s="14" t="s">
        <v>1360</v>
      </c>
      <c r="K2294" s="14"/>
      <c r="L2294" s="14"/>
      <c r="M2294" s="14" t="s">
        <v>1613</v>
      </c>
      <c r="N2294" s="14" t="s">
        <v>1219</v>
      </c>
      <c r="O2294" s="14" t="s">
        <v>1220</v>
      </c>
    </row>
    <row r="2295" spans="1:15" x14ac:dyDescent="0.25">
      <c r="A2295" s="14">
        <v>4007</v>
      </c>
      <c r="B2295" s="14" t="s">
        <v>5475</v>
      </c>
      <c r="C2295" s="14" t="s">
        <v>5475</v>
      </c>
      <c r="D2295" s="14" t="s">
        <v>5476</v>
      </c>
      <c r="E2295" s="15"/>
      <c r="F2295" s="14"/>
      <c r="G2295" s="15"/>
      <c r="H2295" s="14" t="s">
        <v>5399</v>
      </c>
      <c r="I2295" s="14" t="s">
        <v>1360</v>
      </c>
      <c r="J2295" s="14" t="s">
        <v>1360</v>
      </c>
      <c r="K2295" s="14"/>
      <c r="L2295" s="14"/>
      <c r="M2295" s="14" t="s">
        <v>1613</v>
      </c>
      <c r="N2295" s="14" t="s">
        <v>1219</v>
      </c>
      <c r="O2295" s="14" t="s">
        <v>1220</v>
      </c>
    </row>
    <row r="2296" spans="1:15" x14ac:dyDescent="0.25">
      <c r="A2296" s="14">
        <v>4003</v>
      </c>
      <c r="B2296" s="14" t="s">
        <v>5477</v>
      </c>
      <c r="C2296" s="14" t="s">
        <v>5477</v>
      </c>
      <c r="D2296" s="14" t="s">
        <v>1349</v>
      </c>
      <c r="E2296" s="15"/>
      <c r="F2296" s="14"/>
      <c r="G2296" s="15"/>
      <c r="H2296" s="14" t="s">
        <v>5399</v>
      </c>
      <c r="I2296" s="14" t="s">
        <v>1360</v>
      </c>
      <c r="J2296" s="14" t="s">
        <v>1360</v>
      </c>
      <c r="K2296" s="14"/>
      <c r="L2296" s="14"/>
      <c r="M2296" s="14" t="s">
        <v>1613</v>
      </c>
      <c r="N2296" s="14" t="s">
        <v>1219</v>
      </c>
      <c r="O2296" s="14" t="s">
        <v>1220</v>
      </c>
    </row>
    <row r="2297" spans="1:15" x14ac:dyDescent="0.25">
      <c r="A2297" s="14">
        <v>4008</v>
      </c>
      <c r="B2297" s="14" t="s">
        <v>5478</v>
      </c>
      <c r="C2297" s="14" t="s">
        <v>5478</v>
      </c>
      <c r="D2297" s="14" t="s">
        <v>5476</v>
      </c>
      <c r="E2297" s="15"/>
      <c r="F2297" s="14"/>
      <c r="G2297" s="15"/>
      <c r="H2297" s="14" t="s">
        <v>5399</v>
      </c>
      <c r="I2297" s="14" t="s">
        <v>1360</v>
      </c>
      <c r="J2297" s="14" t="s">
        <v>1360</v>
      </c>
      <c r="K2297" s="14"/>
      <c r="L2297" s="14"/>
      <c r="M2297" s="14" t="s">
        <v>1613</v>
      </c>
      <c r="N2297" s="14" t="s">
        <v>1219</v>
      </c>
      <c r="O2297" s="14" t="s">
        <v>1220</v>
      </c>
    </row>
    <row r="2298" spans="1:15" x14ac:dyDescent="0.25">
      <c r="A2298" s="14">
        <v>4004</v>
      </c>
      <c r="B2298" s="14" t="s">
        <v>5479</v>
      </c>
      <c r="C2298" s="14" t="s">
        <v>5479</v>
      </c>
      <c r="D2298" s="14" t="s">
        <v>5480</v>
      </c>
      <c r="E2298" s="15"/>
      <c r="F2298" s="14" t="s">
        <v>1350</v>
      </c>
      <c r="G2298" s="15"/>
      <c r="H2298" s="14" t="s">
        <v>5399</v>
      </c>
      <c r="I2298" s="14" t="s">
        <v>1360</v>
      </c>
      <c r="J2298" s="14" t="s">
        <v>1360</v>
      </c>
      <c r="K2298" s="14" t="s">
        <v>1257</v>
      </c>
      <c r="L2298" s="14" t="s">
        <v>5375</v>
      </c>
      <c r="M2298" s="14" t="s">
        <v>1613</v>
      </c>
      <c r="N2298" s="14" t="s">
        <v>1219</v>
      </c>
      <c r="O2298" s="14" t="s">
        <v>1220</v>
      </c>
    </row>
    <row r="2299" spans="1:15" x14ac:dyDescent="0.25">
      <c r="A2299" s="14">
        <v>4009</v>
      </c>
      <c r="B2299" s="14" t="s">
        <v>5481</v>
      </c>
      <c r="C2299" s="14" t="s">
        <v>5481</v>
      </c>
      <c r="D2299" s="14" t="s">
        <v>5476</v>
      </c>
      <c r="E2299" s="15"/>
      <c r="F2299" s="14"/>
      <c r="G2299" s="15"/>
      <c r="H2299" s="14" t="s">
        <v>5399</v>
      </c>
      <c r="I2299" s="14" t="s">
        <v>1360</v>
      </c>
      <c r="J2299" s="14" t="s">
        <v>1360</v>
      </c>
      <c r="K2299" s="14"/>
      <c r="L2299" s="14"/>
      <c r="M2299" s="14" t="s">
        <v>1613</v>
      </c>
      <c r="N2299" s="14" t="s">
        <v>1219</v>
      </c>
      <c r="O2299" s="14" t="s">
        <v>1220</v>
      </c>
    </row>
    <row r="2300" spans="1:15" x14ac:dyDescent="0.25">
      <c r="A2300" s="14">
        <v>4005</v>
      </c>
      <c r="B2300" s="14" t="s">
        <v>5482</v>
      </c>
      <c r="C2300" s="14" t="s">
        <v>5482</v>
      </c>
      <c r="D2300" s="14" t="s">
        <v>5480</v>
      </c>
      <c r="E2300" s="15"/>
      <c r="F2300" s="14" t="s">
        <v>1350</v>
      </c>
      <c r="G2300" s="15"/>
      <c r="H2300" s="14" t="s">
        <v>5399</v>
      </c>
      <c r="I2300" s="14" t="s">
        <v>1351</v>
      </c>
      <c r="J2300" s="14" t="s">
        <v>1351</v>
      </c>
      <c r="K2300" s="14" t="s">
        <v>1257</v>
      </c>
      <c r="L2300" s="14" t="s">
        <v>5375</v>
      </c>
      <c r="M2300" s="14" t="s">
        <v>1613</v>
      </c>
      <c r="N2300" s="14" t="s">
        <v>1219</v>
      </c>
      <c r="O2300" s="14" t="s">
        <v>1220</v>
      </c>
    </row>
    <row r="2301" spans="1:15" x14ac:dyDescent="0.25">
      <c r="A2301" s="14">
        <v>4010</v>
      </c>
      <c r="B2301" s="14" t="s">
        <v>5483</v>
      </c>
      <c r="C2301" s="14" t="s">
        <v>5483</v>
      </c>
      <c r="D2301" s="14" t="s">
        <v>5476</v>
      </c>
      <c r="E2301" s="15"/>
      <c r="F2301" s="14"/>
      <c r="G2301" s="15"/>
      <c r="H2301" s="14" t="s">
        <v>5399</v>
      </c>
      <c r="I2301" s="14" t="s">
        <v>1360</v>
      </c>
      <c r="J2301" s="14" t="s">
        <v>1360</v>
      </c>
      <c r="K2301" s="14"/>
      <c r="L2301" s="14"/>
      <c r="M2301" s="14" t="s">
        <v>1613</v>
      </c>
      <c r="N2301" s="14" t="s">
        <v>1219</v>
      </c>
      <c r="O2301" s="14" t="s">
        <v>1220</v>
      </c>
    </row>
    <row r="2302" spans="1:15" x14ac:dyDescent="0.25">
      <c r="A2302" s="14">
        <v>4006</v>
      </c>
      <c r="B2302" s="14" t="s">
        <v>5484</v>
      </c>
      <c r="C2302" s="14" t="s">
        <v>5484</v>
      </c>
      <c r="D2302" s="14" t="s">
        <v>5480</v>
      </c>
      <c r="E2302" s="16">
        <v>20</v>
      </c>
      <c r="F2302" s="14" t="s">
        <v>1350</v>
      </c>
      <c r="G2302" s="16">
        <v>20</v>
      </c>
      <c r="H2302" s="14" t="s">
        <v>5399</v>
      </c>
      <c r="I2302" s="14" t="s">
        <v>1351</v>
      </c>
      <c r="J2302" s="14" t="s">
        <v>1351</v>
      </c>
      <c r="K2302" s="14" t="s">
        <v>1257</v>
      </c>
      <c r="L2302" s="14" t="s">
        <v>5375</v>
      </c>
      <c r="M2302" s="14" t="s">
        <v>1613</v>
      </c>
      <c r="N2302" s="14" t="s">
        <v>1219</v>
      </c>
      <c r="O2302" s="14" t="s">
        <v>1220</v>
      </c>
    </row>
    <row r="2303" spans="1:15" x14ac:dyDescent="0.25">
      <c r="A2303" s="14">
        <v>4011</v>
      </c>
      <c r="B2303" s="14" t="s">
        <v>5485</v>
      </c>
      <c r="C2303" s="14" t="s">
        <v>5485</v>
      </c>
      <c r="D2303" s="14" t="s">
        <v>5476</v>
      </c>
      <c r="E2303" s="15"/>
      <c r="F2303" s="14"/>
      <c r="G2303" s="15"/>
      <c r="H2303" s="14" t="s">
        <v>5399</v>
      </c>
      <c r="I2303" s="14" t="s">
        <v>1360</v>
      </c>
      <c r="J2303" s="14" t="s">
        <v>1360</v>
      </c>
      <c r="K2303" s="14"/>
      <c r="L2303" s="14"/>
      <c r="M2303" s="14" t="s">
        <v>1613</v>
      </c>
      <c r="N2303" s="14" t="s">
        <v>1219</v>
      </c>
      <c r="O2303" s="14" t="s">
        <v>1220</v>
      </c>
    </row>
    <row r="2304" spans="1:15" x14ac:dyDescent="0.25">
      <c r="A2304" s="14" t="s">
        <v>5486</v>
      </c>
      <c r="B2304" s="14" t="s">
        <v>5487</v>
      </c>
      <c r="C2304" s="14" t="s">
        <v>5487</v>
      </c>
      <c r="D2304" s="14" t="s">
        <v>5392</v>
      </c>
      <c r="E2304" s="16">
        <v>10</v>
      </c>
      <c r="F2304" s="14" t="s">
        <v>1350</v>
      </c>
      <c r="G2304" s="16">
        <v>10</v>
      </c>
      <c r="H2304" s="14" t="s">
        <v>5392</v>
      </c>
      <c r="I2304" s="14" t="s">
        <v>1360</v>
      </c>
      <c r="J2304" s="14" t="s">
        <v>1360</v>
      </c>
      <c r="K2304" s="14" t="s">
        <v>1257</v>
      </c>
      <c r="L2304" s="14" t="s">
        <v>5375</v>
      </c>
      <c r="M2304" s="14" t="s">
        <v>1613</v>
      </c>
      <c r="N2304" s="14" t="s">
        <v>1219</v>
      </c>
      <c r="O2304" s="14" t="s">
        <v>1220</v>
      </c>
    </row>
    <row r="2305" spans="1:15" x14ac:dyDescent="0.25">
      <c r="A2305" s="14" t="s">
        <v>5488</v>
      </c>
      <c r="B2305" s="14" t="s">
        <v>5489</v>
      </c>
      <c r="C2305" s="14" t="s">
        <v>5489</v>
      </c>
      <c r="D2305" s="14" t="s">
        <v>5392</v>
      </c>
      <c r="E2305" s="16">
        <v>10</v>
      </c>
      <c r="F2305" s="14" t="s">
        <v>1350</v>
      </c>
      <c r="G2305" s="16">
        <v>10</v>
      </c>
      <c r="H2305" s="14" t="s">
        <v>5392</v>
      </c>
      <c r="I2305" s="14" t="s">
        <v>1360</v>
      </c>
      <c r="J2305" s="14" t="s">
        <v>1360</v>
      </c>
      <c r="K2305" s="14" t="s">
        <v>1257</v>
      </c>
      <c r="L2305" s="14" t="s">
        <v>5375</v>
      </c>
      <c r="M2305" s="14" t="s">
        <v>1613</v>
      </c>
      <c r="N2305" s="14" t="s">
        <v>1219</v>
      </c>
      <c r="O2305" s="14" t="s">
        <v>1220</v>
      </c>
    </row>
    <row r="2306" spans="1:15" x14ac:dyDescent="0.25">
      <c r="A2306" s="14" t="s">
        <v>5490</v>
      </c>
      <c r="B2306" s="14" t="s">
        <v>5491</v>
      </c>
      <c r="C2306" s="14" t="s">
        <v>5491</v>
      </c>
      <c r="D2306" s="14" t="s">
        <v>1349</v>
      </c>
      <c r="E2306" s="15"/>
      <c r="F2306" s="14"/>
      <c r="G2306" s="15"/>
      <c r="H2306" s="14" t="s">
        <v>5392</v>
      </c>
      <c r="I2306" s="14" t="s">
        <v>1360</v>
      </c>
      <c r="J2306" s="14" t="s">
        <v>1360</v>
      </c>
      <c r="K2306" s="14"/>
      <c r="L2306" s="14"/>
      <c r="M2306" s="14" t="s">
        <v>1613</v>
      </c>
      <c r="N2306" s="14" t="s">
        <v>1219</v>
      </c>
      <c r="O2306" s="14" t="s">
        <v>1220</v>
      </c>
    </row>
    <row r="2307" spans="1:15" x14ac:dyDescent="0.25">
      <c r="A2307" s="14">
        <v>4046</v>
      </c>
      <c r="B2307" s="14" t="s">
        <v>5492</v>
      </c>
      <c r="C2307" s="14" t="s">
        <v>5492</v>
      </c>
      <c r="D2307" s="14" t="s">
        <v>5493</v>
      </c>
      <c r="E2307" s="15"/>
      <c r="F2307" s="14"/>
      <c r="G2307" s="15"/>
      <c r="H2307" s="14" t="s">
        <v>5399</v>
      </c>
      <c r="I2307" s="14" t="s">
        <v>1351</v>
      </c>
      <c r="J2307" s="14" t="s">
        <v>1351</v>
      </c>
      <c r="K2307" s="14"/>
      <c r="L2307" s="14" t="s">
        <v>5494</v>
      </c>
      <c r="M2307" s="14" t="s">
        <v>1613</v>
      </c>
      <c r="N2307" s="14" t="s">
        <v>1219</v>
      </c>
      <c r="O2307" s="14" t="s">
        <v>1220</v>
      </c>
    </row>
    <row r="2308" spans="1:15" x14ac:dyDescent="0.25">
      <c r="A2308" s="14">
        <v>4042</v>
      </c>
      <c r="B2308" s="14" t="s">
        <v>5495</v>
      </c>
      <c r="C2308" s="14" t="s">
        <v>5495</v>
      </c>
      <c r="D2308" s="14" t="s">
        <v>1349</v>
      </c>
      <c r="E2308" s="15"/>
      <c r="F2308" s="14"/>
      <c r="G2308" s="15"/>
      <c r="H2308" s="14" t="s">
        <v>5399</v>
      </c>
      <c r="I2308" s="14" t="s">
        <v>1360</v>
      </c>
      <c r="J2308" s="14" t="s">
        <v>1360</v>
      </c>
      <c r="K2308" s="14"/>
      <c r="L2308" s="14"/>
      <c r="M2308" s="14" t="s">
        <v>1613</v>
      </c>
      <c r="N2308" s="14" t="s">
        <v>1219</v>
      </c>
      <c r="O2308" s="14" t="s">
        <v>1220</v>
      </c>
    </row>
    <row r="2309" spans="1:15" x14ac:dyDescent="0.25">
      <c r="A2309" s="14">
        <v>4045</v>
      </c>
      <c r="B2309" s="14" t="s">
        <v>5496</v>
      </c>
      <c r="C2309" s="14" t="s">
        <v>5496</v>
      </c>
      <c r="D2309" s="14" t="s">
        <v>1349</v>
      </c>
      <c r="E2309" s="15"/>
      <c r="F2309" s="14" t="s">
        <v>1350</v>
      </c>
      <c r="G2309" s="15"/>
      <c r="H2309" s="14" t="s">
        <v>5399</v>
      </c>
      <c r="I2309" s="14" t="s">
        <v>1360</v>
      </c>
      <c r="J2309" s="14" t="s">
        <v>1360</v>
      </c>
      <c r="K2309" s="14" t="s">
        <v>1257</v>
      </c>
      <c r="L2309" s="14" t="s">
        <v>5375</v>
      </c>
      <c r="M2309" s="14" t="s">
        <v>1613</v>
      </c>
      <c r="N2309" s="14" t="s">
        <v>1219</v>
      </c>
      <c r="O2309" s="14" t="s">
        <v>1220</v>
      </c>
    </row>
    <row r="2310" spans="1:15" x14ac:dyDescent="0.25">
      <c r="A2310" s="14">
        <v>4038</v>
      </c>
      <c r="B2310" s="14" t="s">
        <v>5497</v>
      </c>
      <c r="C2310" s="14" t="s">
        <v>5497</v>
      </c>
      <c r="D2310" s="14" t="s">
        <v>1349</v>
      </c>
      <c r="E2310" s="15"/>
      <c r="F2310" s="14" t="s">
        <v>1350</v>
      </c>
      <c r="G2310" s="15"/>
      <c r="H2310" s="14" t="s">
        <v>5399</v>
      </c>
      <c r="I2310" s="14" t="s">
        <v>1360</v>
      </c>
      <c r="J2310" s="14" t="s">
        <v>1360</v>
      </c>
      <c r="K2310" s="14" t="s">
        <v>1257</v>
      </c>
      <c r="L2310" s="14" t="s">
        <v>5375</v>
      </c>
      <c r="M2310" s="14" t="s">
        <v>1613</v>
      </c>
      <c r="N2310" s="14" t="s">
        <v>1219</v>
      </c>
      <c r="O2310" s="14" t="s">
        <v>1220</v>
      </c>
    </row>
    <row r="2311" spans="1:15" x14ac:dyDescent="0.25">
      <c r="A2311" s="14">
        <v>4039</v>
      </c>
      <c r="B2311" s="14" t="s">
        <v>5498</v>
      </c>
      <c r="C2311" s="14" t="s">
        <v>5498</v>
      </c>
      <c r="D2311" s="14" t="s">
        <v>1349</v>
      </c>
      <c r="E2311" s="15"/>
      <c r="F2311" s="14"/>
      <c r="G2311" s="15"/>
      <c r="H2311" s="14" t="s">
        <v>5399</v>
      </c>
      <c r="I2311" s="14" t="s">
        <v>1360</v>
      </c>
      <c r="J2311" s="14" t="s">
        <v>1360</v>
      </c>
      <c r="K2311" s="14"/>
      <c r="L2311" s="14"/>
      <c r="M2311" s="14" t="s">
        <v>1613</v>
      </c>
      <c r="N2311" s="14" t="s">
        <v>1219</v>
      </c>
      <c r="O2311" s="14" t="s">
        <v>1220</v>
      </c>
    </row>
    <row r="2312" spans="1:15" x14ac:dyDescent="0.25">
      <c r="A2312" s="14">
        <v>4025</v>
      </c>
      <c r="B2312" s="14" t="s">
        <v>5499</v>
      </c>
      <c r="C2312" s="14" t="s">
        <v>5499</v>
      </c>
      <c r="D2312" s="14" t="s">
        <v>1349</v>
      </c>
      <c r="E2312" s="15"/>
      <c r="F2312" s="14"/>
      <c r="G2312" s="15"/>
      <c r="H2312" s="14" t="s">
        <v>5399</v>
      </c>
      <c r="I2312" s="14" t="s">
        <v>1360</v>
      </c>
      <c r="J2312" s="14" t="s">
        <v>1360</v>
      </c>
      <c r="K2312" s="14"/>
      <c r="L2312" s="14"/>
      <c r="M2312" s="14" t="s">
        <v>1613</v>
      </c>
      <c r="N2312" s="14" t="s">
        <v>1219</v>
      </c>
      <c r="O2312" s="14" t="s">
        <v>1220</v>
      </c>
    </row>
    <row r="2313" spans="1:15" x14ac:dyDescent="0.25">
      <c r="A2313" s="14">
        <v>4024</v>
      </c>
      <c r="B2313" s="14" t="s">
        <v>5500</v>
      </c>
      <c r="C2313" s="14" t="s">
        <v>5500</v>
      </c>
      <c r="D2313" s="14" t="s">
        <v>5501</v>
      </c>
      <c r="E2313" s="15"/>
      <c r="F2313" s="14" t="s">
        <v>1350</v>
      </c>
      <c r="G2313" s="15"/>
      <c r="H2313" s="14" t="s">
        <v>5399</v>
      </c>
      <c r="I2313" s="14" t="s">
        <v>1360</v>
      </c>
      <c r="J2313" s="14" t="s">
        <v>1360</v>
      </c>
      <c r="K2313" s="14" t="s">
        <v>1257</v>
      </c>
      <c r="L2313" s="14" t="s">
        <v>5375</v>
      </c>
      <c r="M2313" s="14" t="s">
        <v>1613</v>
      </c>
      <c r="N2313" s="14" t="s">
        <v>1219</v>
      </c>
      <c r="O2313" s="14" t="s">
        <v>1220</v>
      </c>
    </row>
    <row r="2314" spans="1:15" x14ac:dyDescent="0.25">
      <c r="A2314" s="14">
        <v>4026</v>
      </c>
      <c r="B2314" s="14" t="s">
        <v>5502</v>
      </c>
      <c r="C2314" s="14" t="s">
        <v>5502</v>
      </c>
      <c r="D2314" s="14" t="s">
        <v>1349</v>
      </c>
      <c r="E2314" s="15"/>
      <c r="F2314" s="14"/>
      <c r="G2314" s="15"/>
      <c r="H2314" s="14" t="s">
        <v>5399</v>
      </c>
      <c r="I2314" s="14" t="s">
        <v>1360</v>
      </c>
      <c r="J2314" s="14" t="s">
        <v>1360</v>
      </c>
      <c r="K2314" s="14"/>
      <c r="L2314" s="14"/>
      <c r="M2314" s="14" t="s">
        <v>1613</v>
      </c>
      <c r="N2314" s="14" t="s">
        <v>1219</v>
      </c>
      <c r="O2314" s="14" t="s">
        <v>1220</v>
      </c>
    </row>
    <row r="2315" spans="1:15" x14ac:dyDescent="0.25">
      <c r="A2315" s="14">
        <v>4027</v>
      </c>
      <c r="B2315" s="14" t="s">
        <v>5503</v>
      </c>
      <c r="C2315" s="14" t="s">
        <v>5503</v>
      </c>
      <c r="D2315" s="14" t="s">
        <v>1349</v>
      </c>
      <c r="E2315" s="15"/>
      <c r="F2315" s="14"/>
      <c r="G2315" s="15"/>
      <c r="H2315" s="14" t="s">
        <v>5399</v>
      </c>
      <c r="I2315" s="14" t="s">
        <v>1360</v>
      </c>
      <c r="J2315" s="14" t="s">
        <v>1360</v>
      </c>
      <c r="K2315" s="14"/>
      <c r="L2315" s="14"/>
      <c r="M2315" s="14" t="s">
        <v>1613</v>
      </c>
      <c r="N2315" s="14" t="s">
        <v>1219</v>
      </c>
      <c r="O2315" s="14" t="s">
        <v>1220</v>
      </c>
    </row>
    <row r="2316" spans="1:15" x14ac:dyDescent="0.25">
      <c r="A2316" s="14" t="s">
        <v>5504</v>
      </c>
      <c r="B2316" s="14" t="s">
        <v>5505</v>
      </c>
      <c r="C2316" s="14" t="s">
        <v>5505</v>
      </c>
      <c r="D2316" s="14" t="s">
        <v>1349</v>
      </c>
      <c r="E2316" s="15"/>
      <c r="F2316" s="14"/>
      <c r="G2316" s="15"/>
      <c r="H2316" s="14" t="s">
        <v>5392</v>
      </c>
      <c r="I2316" s="14" t="s">
        <v>1360</v>
      </c>
      <c r="J2316" s="14" t="s">
        <v>1360</v>
      </c>
      <c r="K2316" s="14"/>
      <c r="L2316" s="14"/>
      <c r="M2316" s="14" t="s">
        <v>1613</v>
      </c>
      <c r="N2316" s="14" t="s">
        <v>1219</v>
      </c>
      <c r="O2316" s="14" t="s">
        <v>1220</v>
      </c>
    </row>
    <row r="2317" spans="1:15" x14ac:dyDescent="0.25">
      <c r="A2317" s="14" t="s">
        <v>5506</v>
      </c>
      <c r="B2317" s="14" t="s">
        <v>5507</v>
      </c>
      <c r="C2317" s="14" t="s">
        <v>5507</v>
      </c>
      <c r="D2317" s="14" t="s">
        <v>5392</v>
      </c>
      <c r="E2317" s="16">
        <v>10</v>
      </c>
      <c r="F2317" s="14" t="s">
        <v>1350</v>
      </c>
      <c r="G2317" s="16">
        <v>10</v>
      </c>
      <c r="H2317" s="14" t="s">
        <v>5392</v>
      </c>
      <c r="I2317" s="14" t="s">
        <v>1360</v>
      </c>
      <c r="J2317" s="14" t="s">
        <v>1360</v>
      </c>
      <c r="K2317" s="14" t="s">
        <v>1257</v>
      </c>
      <c r="L2317" s="14" t="s">
        <v>5508</v>
      </c>
      <c r="M2317" s="14" t="s">
        <v>1613</v>
      </c>
      <c r="N2317" s="14" t="s">
        <v>1219</v>
      </c>
      <c r="O2317" s="14" t="s">
        <v>1220</v>
      </c>
    </row>
    <row r="2318" spans="1:15" x14ac:dyDescent="0.25">
      <c r="A2318" s="14" t="s">
        <v>5509</v>
      </c>
      <c r="B2318" s="14" t="s">
        <v>5510</v>
      </c>
      <c r="C2318" s="14" t="s">
        <v>5510</v>
      </c>
      <c r="D2318" s="14" t="s">
        <v>5392</v>
      </c>
      <c r="E2318" s="16">
        <v>10</v>
      </c>
      <c r="F2318" s="14" t="s">
        <v>1350</v>
      </c>
      <c r="G2318" s="16">
        <v>10</v>
      </c>
      <c r="H2318" s="14" t="s">
        <v>5392</v>
      </c>
      <c r="I2318" s="14" t="s">
        <v>1360</v>
      </c>
      <c r="J2318" s="14" t="s">
        <v>1360</v>
      </c>
      <c r="K2318" s="14" t="s">
        <v>1257</v>
      </c>
      <c r="L2318" s="14" t="s">
        <v>5375</v>
      </c>
      <c r="M2318" s="14" t="s">
        <v>1613</v>
      </c>
      <c r="N2318" s="14" t="s">
        <v>1219</v>
      </c>
      <c r="O2318" s="14" t="s">
        <v>1220</v>
      </c>
    </row>
    <row r="2319" spans="1:15" x14ac:dyDescent="0.25">
      <c r="A2319" s="14">
        <v>4036</v>
      </c>
      <c r="B2319" s="14" t="s">
        <v>5511</v>
      </c>
      <c r="C2319" s="14" t="s">
        <v>5511</v>
      </c>
      <c r="D2319" s="14" t="s">
        <v>1349</v>
      </c>
      <c r="E2319" s="15"/>
      <c r="F2319" s="14"/>
      <c r="G2319" s="15"/>
      <c r="H2319" s="14" t="s">
        <v>5399</v>
      </c>
      <c r="I2319" s="14" t="s">
        <v>1360</v>
      </c>
      <c r="J2319" s="14" t="s">
        <v>1360</v>
      </c>
      <c r="K2319" s="14"/>
      <c r="L2319" s="14"/>
      <c r="M2319" s="14" t="s">
        <v>1613</v>
      </c>
      <c r="N2319" s="14" t="s">
        <v>1219</v>
      </c>
      <c r="O2319" s="14" t="s">
        <v>1220</v>
      </c>
    </row>
    <row r="2320" spans="1:15" x14ac:dyDescent="0.25">
      <c r="A2320" s="14">
        <v>4033</v>
      </c>
      <c r="B2320" s="14" t="s">
        <v>5512</v>
      </c>
      <c r="C2320" s="14" t="s">
        <v>5512</v>
      </c>
      <c r="D2320" s="14" t="s">
        <v>1349</v>
      </c>
      <c r="E2320" s="15"/>
      <c r="F2320" s="14"/>
      <c r="G2320" s="15"/>
      <c r="H2320" s="14" t="s">
        <v>5399</v>
      </c>
      <c r="I2320" s="14" t="s">
        <v>1360</v>
      </c>
      <c r="J2320" s="14" t="s">
        <v>1360</v>
      </c>
      <c r="K2320" s="14"/>
      <c r="L2320" s="14"/>
      <c r="M2320" s="14" t="s">
        <v>1613</v>
      </c>
      <c r="N2320" s="14" t="s">
        <v>1219</v>
      </c>
      <c r="O2320" s="14" t="s">
        <v>1220</v>
      </c>
    </row>
    <row r="2321" spans="1:15" x14ac:dyDescent="0.25">
      <c r="A2321" s="14">
        <v>4035</v>
      </c>
      <c r="B2321" s="14" t="s">
        <v>5513</v>
      </c>
      <c r="C2321" s="14" t="s">
        <v>5513</v>
      </c>
      <c r="D2321" s="14" t="s">
        <v>1349</v>
      </c>
      <c r="E2321" s="15"/>
      <c r="F2321" s="14"/>
      <c r="G2321" s="15"/>
      <c r="H2321" s="14" t="s">
        <v>5399</v>
      </c>
      <c r="I2321" s="14" t="s">
        <v>1360</v>
      </c>
      <c r="J2321" s="14" t="s">
        <v>1360</v>
      </c>
      <c r="K2321" s="14"/>
      <c r="L2321" s="14"/>
      <c r="M2321" s="14" t="s">
        <v>1613</v>
      </c>
      <c r="N2321" s="14" t="s">
        <v>1219</v>
      </c>
      <c r="O2321" s="14" t="s">
        <v>1220</v>
      </c>
    </row>
    <row r="2322" spans="1:15" x14ac:dyDescent="0.25">
      <c r="A2322" s="14">
        <v>4037</v>
      </c>
      <c r="B2322" s="14" t="s">
        <v>5514</v>
      </c>
      <c r="C2322" s="14" t="s">
        <v>5514</v>
      </c>
      <c r="D2322" s="14" t="s">
        <v>1349</v>
      </c>
      <c r="E2322" s="15"/>
      <c r="F2322" s="14"/>
      <c r="G2322" s="15"/>
      <c r="H2322" s="14" t="s">
        <v>5399</v>
      </c>
      <c r="I2322" s="14" t="s">
        <v>1360</v>
      </c>
      <c r="J2322" s="14" t="s">
        <v>1360</v>
      </c>
      <c r="K2322" s="14"/>
      <c r="L2322" s="14"/>
      <c r="M2322" s="14" t="s">
        <v>1613</v>
      </c>
      <c r="N2322" s="14" t="s">
        <v>1219</v>
      </c>
      <c r="O2322" s="14" t="s">
        <v>1220</v>
      </c>
    </row>
    <row r="2323" spans="1:15" x14ac:dyDescent="0.25">
      <c r="A2323" s="14">
        <v>4034</v>
      </c>
      <c r="B2323" s="14" t="s">
        <v>5515</v>
      </c>
      <c r="C2323" s="14" t="s">
        <v>5515</v>
      </c>
      <c r="D2323" s="14" t="s">
        <v>5516</v>
      </c>
      <c r="E2323" s="16">
        <v>20</v>
      </c>
      <c r="F2323" s="14" t="s">
        <v>1350</v>
      </c>
      <c r="G2323" s="16">
        <v>20</v>
      </c>
      <c r="H2323" s="14" t="s">
        <v>5399</v>
      </c>
      <c r="I2323" s="14" t="s">
        <v>1360</v>
      </c>
      <c r="J2323" s="14" t="s">
        <v>1360</v>
      </c>
      <c r="K2323" s="14" t="s">
        <v>1257</v>
      </c>
      <c r="L2323" s="14" t="s">
        <v>5375</v>
      </c>
      <c r="M2323" s="14" t="s">
        <v>1613</v>
      </c>
      <c r="N2323" s="14" t="s">
        <v>1219</v>
      </c>
      <c r="O2323" s="14" t="s">
        <v>1220</v>
      </c>
    </row>
    <row r="2324" spans="1:15" x14ac:dyDescent="0.25">
      <c r="A2324" s="14" t="s">
        <v>5517</v>
      </c>
      <c r="B2324" s="14" t="s">
        <v>5518</v>
      </c>
      <c r="C2324" s="14" t="s">
        <v>5518</v>
      </c>
      <c r="D2324" s="14" t="s">
        <v>1349</v>
      </c>
      <c r="E2324" s="15"/>
      <c r="F2324" s="14"/>
      <c r="G2324" s="15"/>
      <c r="H2324" s="14" t="s">
        <v>5392</v>
      </c>
      <c r="I2324" s="14" t="s">
        <v>1360</v>
      </c>
      <c r="J2324" s="14" t="s">
        <v>1360</v>
      </c>
      <c r="K2324" s="14"/>
      <c r="L2324" s="14"/>
      <c r="M2324" s="14" t="s">
        <v>1613</v>
      </c>
      <c r="N2324" s="14" t="s">
        <v>1219</v>
      </c>
      <c r="O2324" s="14" t="s">
        <v>1220</v>
      </c>
    </row>
    <row r="2325" spans="1:15" x14ac:dyDescent="0.25">
      <c r="A2325" s="14" t="s">
        <v>5519</v>
      </c>
      <c r="B2325" s="14" t="s">
        <v>5520</v>
      </c>
      <c r="C2325" s="14" t="s">
        <v>5520</v>
      </c>
      <c r="D2325" s="14" t="s">
        <v>5392</v>
      </c>
      <c r="E2325" s="16">
        <v>10</v>
      </c>
      <c r="F2325" s="14" t="s">
        <v>1350</v>
      </c>
      <c r="G2325" s="16">
        <v>10</v>
      </c>
      <c r="H2325" s="14" t="s">
        <v>5392</v>
      </c>
      <c r="I2325" s="14" t="s">
        <v>1360</v>
      </c>
      <c r="J2325" s="14" t="s">
        <v>1360</v>
      </c>
      <c r="K2325" s="14" t="s">
        <v>1257</v>
      </c>
      <c r="L2325" s="14" t="s">
        <v>5375</v>
      </c>
      <c r="M2325" s="14" t="s">
        <v>1613</v>
      </c>
      <c r="N2325" s="14" t="s">
        <v>1219</v>
      </c>
      <c r="O2325" s="14" t="s">
        <v>1220</v>
      </c>
    </row>
    <row r="2326" spans="1:15" x14ac:dyDescent="0.25">
      <c r="A2326" s="14" t="s">
        <v>5521</v>
      </c>
      <c r="B2326" s="14" t="s">
        <v>5522</v>
      </c>
      <c r="C2326" s="14" t="s">
        <v>5522</v>
      </c>
      <c r="D2326" s="14" t="s">
        <v>1349</v>
      </c>
      <c r="E2326" s="15"/>
      <c r="F2326" s="14"/>
      <c r="G2326" s="15"/>
      <c r="H2326" s="14" t="s">
        <v>5392</v>
      </c>
      <c r="I2326" s="14" t="s">
        <v>1360</v>
      </c>
      <c r="J2326" s="14" t="s">
        <v>1360</v>
      </c>
      <c r="K2326" s="14"/>
      <c r="L2326" s="14"/>
      <c r="M2326" s="14" t="s">
        <v>1613</v>
      </c>
      <c r="N2326" s="14" t="s">
        <v>1219</v>
      </c>
      <c r="O2326" s="14" t="s">
        <v>1220</v>
      </c>
    </row>
    <row r="2327" spans="1:15" x14ac:dyDescent="0.25">
      <c r="A2327" s="14">
        <v>4029</v>
      </c>
      <c r="B2327" s="14" t="s">
        <v>5523</v>
      </c>
      <c r="C2327" s="14" t="s">
        <v>5523</v>
      </c>
      <c r="D2327" s="14" t="s">
        <v>5493</v>
      </c>
      <c r="E2327" s="15"/>
      <c r="F2327" s="14"/>
      <c r="G2327" s="15"/>
      <c r="H2327" s="14" t="s">
        <v>5399</v>
      </c>
      <c r="I2327" s="14" t="s">
        <v>1360</v>
      </c>
      <c r="J2327" s="14" t="s">
        <v>1360</v>
      </c>
      <c r="K2327" s="14"/>
      <c r="L2327" s="14"/>
      <c r="M2327" s="14" t="s">
        <v>1613</v>
      </c>
      <c r="N2327" s="14" t="s">
        <v>1219</v>
      </c>
      <c r="O2327" s="14" t="s">
        <v>1220</v>
      </c>
    </row>
    <row r="2328" spans="1:15" x14ac:dyDescent="0.25">
      <c r="A2328" s="14">
        <v>4030</v>
      </c>
      <c r="B2328" s="14" t="s">
        <v>5524</v>
      </c>
      <c r="C2328" s="14" t="s">
        <v>5524</v>
      </c>
      <c r="D2328" s="14" t="s">
        <v>5493</v>
      </c>
      <c r="E2328" s="15"/>
      <c r="F2328" s="14"/>
      <c r="G2328" s="15"/>
      <c r="H2328" s="14" t="s">
        <v>5399</v>
      </c>
      <c r="I2328" s="14" t="s">
        <v>1360</v>
      </c>
      <c r="J2328" s="14" t="s">
        <v>1360</v>
      </c>
      <c r="K2328" s="14"/>
      <c r="L2328" s="14"/>
      <c r="M2328" s="14" t="s">
        <v>1613</v>
      </c>
      <c r="N2328" s="14" t="s">
        <v>1219</v>
      </c>
      <c r="O2328" s="14" t="s">
        <v>1220</v>
      </c>
    </row>
    <row r="2329" spans="1:15" x14ac:dyDescent="0.25">
      <c r="A2329" s="14">
        <v>4031</v>
      </c>
      <c r="B2329" s="14" t="s">
        <v>5525</v>
      </c>
      <c r="C2329" s="14" t="s">
        <v>5525</v>
      </c>
      <c r="D2329" s="14" t="s">
        <v>5493</v>
      </c>
      <c r="E2329" s="15"/>
      <c r="F2329" s="14"/>
      <c r="G2329" s="15"/>
      <c r="H2329" s="14" t="s">
        <v>5399</v>
      </c>
      <c r="I2329" s="14" t="s">
        <v>1360</v>
      </c>
      <c r="J2329" s="14" t="s">
        <v>1360</v>
      </c>
      <c r="K2329" s="14"/>
      <c r="L2329" s="14"/>
      <c r="M2329" s="14" t="s">
        <v>1613</v>
      </c>
      <c r="N2329" s="14" t="s">
        <v>1219</v>
      </c>
      <c r="O2329" s="14" t="s">
        <v>1220</v>
      </c>
    </row>
    <row r="2330" spans="1:15" x14ac:dyDescent="0.25">
      <c r="A2330" s="14">
        <v>4032</v>
      </c>
      <c r="B2330" s="14" t="s">
        <v>5526</v>
      </c>
      <c r="C2330" s="14" t="s">
        <v>5526</v>
      </c>
      <c r="D2330" s="14" t="s">
        <v>5493</v>
      </c>
      <c r="E2330" s="15"/>
      <c r="F2330" s="14"/>
      <c r="G2330" s="15"/>
      <c r="H2330" s="14" t="s">
        <v>5399</v>
      </c>
      <c r="I2330" s="14" t="s">
        <v>1360</v>
      </c>
      <c r="J2330" s="14" t="s">
        <v>1360</v>
      </c>
      <c r="K2330" s="14"/>
      <c r="L2330" s="14"/>
      <c r="M2330" s="14" t="s">
        <v>1613</v>
      </c>
      <c r="N2330" s="14" t="s">
        <v>1219</v>
      </c>
      <c r="O2330" s="14" t="s">
        <v>1220</v>
      </c>
    </row>
    <row r="2331" spans="1:15" x14ac:dyDescent="0.25">
      <c r="A2331" s="14" t="s">
        <v>5527</v>
      </c>
      <c r="B2331" s="14" t="s">
        <v>5528</v>
      </c>
      <c r="C2331" s="14" t="s">
        <v>5528</v>
      </c>
      <c r="D2331" s="14" t="s">
        <v>5392</v>
      </c>
      <c r="E2331" s="16">
        <v>10</v>
      </c>
      <c r="F2331" s="14" t="s">
        <v>1350</v>
      </c>
      <c r="G2331" s="16">
        <v>10</v>
      </c>
      <c r="H2331" s="14" t="s">
        <v>5392</v>
      </c>
      <c r="I2331" s="14" t="s">
        <v>1360</v>
      </c>
      <c r="J2331" s="14" t="s">
        <v>1360</v>
      </c>
      <c r="K2331" s="14" t="s">
        <v>1257</v>
      </c>
      <c r="L2331" s="14" t="s">
        <v>5375</v>
      </c>
      <c r="M2331" s="14" t="s">
        <v>1613</v>
      </c>
      <c r="N2331" s="14" t="s">
        <v>1219</v>
      </c>
      <c r="O2331" s="14" t="s">
        <v>1220</v>
      </c>
    </row>
    <row r="2332" spans="1:15" x14ac:dyDescent="0.25">
      <c r="A2332" s="14" t="s">
        <v>5529</v>
      </c>
      <c r="B2332" s="14" t="s">
        <v>5530</v>
      </c>
      <c r="C2332" s="14" t="s">
        <v>5530</v>
      </c>
      <c r="D2332" s="14" t="s">
        <v>5392</v>
      </c>
      <c r="E2332" s="16">
        <v>10</v>
      </c>
      <c r="F2332" s="14" t="s">
        <v>1350</v>
      </c>
      <c r="G2332" s="16">
        <v>10</v>
      </c>
      <c r="H2332" s="14" t="s">
        <v>5392</v>
      </c>
      <c r="I2332" s="14" t="s">
        <v>1360</v>
      </c>
      <c r="J2332" s="14" t="s">
        <v>1360</v>
      </c>
      <c r="K2332" s="14" t="s">
        <v>1257</v>
      </c>
      <c r="L2332" s="14" t="s">
        <v>5531</v>
      </c>
      <c r="M2332" s="14" t="s">
        <v>1613</v>
      </c>
      <c r="N2332" s="14" t="s">
        <v>1219</v>
      </c>
      <c r="O2332" s="14" t="s">
        <v>1220</v>
      </c>
    </row>
    <row r="2333" spans="1:15" x14ac:dyDescent="0.25">
      <c r="A2333" s="14" t="s">
        <v>5532</v>
      </c>
      <c r="B2333" s="14" t="s">
        <v>5533</v>
      </c>
      <c r="C2333" s="14" t="s">
        <v>5533</v>
      </c>
      <c r="D2333" s="14" t="s">
        <v>5392</v>
      </c>
      <c r="E2333" s="16">
        <v>10</v>
      </c>
      <c r="F2333" s="14" t="s">
        <v>1350</v>
      </c>
      <c r="G2333" s="16">
        <v>10</v>
      </c>
      <c r="H2333" s="14" t="s">
        <v>5392</v>
      </c>
      <c r="I2333" s="14" t="s">
        <v>1360</v>
      </c>
      <c r="J2333" s="14" t="s">
        <v>1360</v>
      </c>
      <c r="K2333" s="14" t="s">
        <v>1257</v>
      </c>
      <c r="L2333" s="14" t="s">
        <v>5375</v>
      </c>
      <c r="M2333" s="14" t="s">
        <v>1613</v>
      </c>
      <c r="N2333" s="14" t="s">
        <v>1219</v>
      </c>
      <c r="O2333" s="14" t="s">
        <v>1220</v>
      </c>
    </row>
    <row r="2334" spans="1:15" x14ac:dyDescent="0.25">
      <c r="A2334" s="14">
        <v>4028</v>
      </c>
      <c r="B2334" s="14" t="s">
        <v>5534</v>
      </c>
      <c r="C2334" s="14" t="s">
        <v>5534</v>
      </c>
      <c r="D2334" s="14" t="s">
        <v>1349</v>
      </c>
      <c r="E2334" s="15"/>
      <c r="F2334" s="14"/>
      <c r="G2334" s="15"/>
      <c r="H2334" s="14" t="s">
        <v>5399</v>
      </c>
      <c r="I2334" s="14" t="s">
        <v>1360</v>
      </c>
      <c r="J2334" s="14" t="s">
        <v>1360</v>
      </c>
      <c r="K2334" s="14"/>
      <c r="L2334" s="14"/>
      <c r="M2334" s="14" t="s">
        <v>1613</v>
      </c>
      <c r="N2334" s="14" t="s">
        <v>1219</v>
      </c>
      <c r="O2334" s="14" t="s">
        <v>1220</v>
      </c>
    </row>
    <row r="2335" spans="1:15" x14ac:dyDescent="0.25">
      <c r="A2335" s="14" t="s">
        <v>5535</v>
      </c>
      <c r="B2335" s="14" t="s">
        <v>5536</v>
      </c>
      <c r="C2335" s="14" t="s">
        <v>5536</v>
      </c>
      <c r="D2335" s="14" t="s">
        <v>1349</v>
      </c>
      <c r="E2335" s="15"/>
      <c r="F2335" s="14"/>
      <c r="G2335" s="15"/>
      <c r="H2335" s="14" t="s">
        <v>5392</v>
      </c>
      <c r="I2335" s="14" t="s">
        <v>1360</v>
      </c>
      <c r="J2335" s="14" t="s">
        <v>1360</v>
      </c>
      <c r="K2335" s="14"/>
      <c r="L2335" s="14"/>
      <c r="M2335" s="14" t="s">
        <v>1613</v>
      </c>
      <c r="N2335" s="14" t="s">
        <v>1219</v>
      </c>
      <c r="O2335" s="14" t="s">
        <v>1220</v>
      </c>
    </row>
    <row r="2336" spans="1:15" x14ac:dyDescent="0.25">
      <c r="A2336" s="14" t="s">
        <v>5537</v>
      </c>
      <c r="B2336" s="14" t="s">
        <v>5538</v>
      </c>
      <c r="C2336" s="14" t="s">
        <v>5538</v>
      </c>
      <c r="D2336" s="14" t="s">
        <v>5392</v>
      </c>
      <c r="E2336" s="16">
        <v>10</v>
      </c>
      <c r="F2336" s="14" t="s">
        <v>1350</v>
      </c>
      <c r="G2336" s="16">
        <v>10</v>
      </c>
      <c r="H2336" s="14" t="s">
        <v>5392</v>
      </c>
      <c r="I2336" s="14" t="s">
        <v>1360</v>
      </c>
      <c r="J2336" s="14" t="s">
        <v>1360</v>
      </c>
      <c r="K2336" s="14" t="s">
        <v>1257</v>
      </c>
      <c r="L2336" s="14" t="s">
        <v>5375</v>
      </c>
      <c r="M2336" s="14" t="s">
        <v>1613</v>
      </c>
      <c r="N2336" s="14" t="s">
        <v>1219</v>
      </c>
      <c r="O2336" s="14" t="s">
        <v>1220</v>
      </c>
    </row>
    <row r="2337" spans="1:15" x14ac:dyDescent="0.25">
      <c r="A2337" s="14" t="s">
        <v>5539</v>
      </c>
      <c r="B2337" s="14" t="s">
        <v>5540</v>
      </c>
      <c r="C2337" s="14" t="s">
        <v>5540</v>
      </c>
      <c r="D2337" s="14" t="s">
        <v>5392</v>
      </c>
      <c r="E2337" s="16">
        <v>10</v>
      </c>
      <c r="F2337" s="14" t="s">
        <v>1350</v>
      </c>
      <c r="G2337" s="16">
        <v>10</v>
      </c>
      <c r="H2337" s="14" t="s">
        <v>5392</v>
      </c>
      <c r="I2337" s="14" t="s">
        <v>1360</v>
      </c>
      <c r="J2337" s="14" t="s">
        <v>1360</v>
      </c>
      <c r="K2337" s="14" t="s">
        <v>1257</v>
      </c>
      <c r="L2337" s="14" t="s">
        <v>5375</v>
      </c>
      <c r="M2337" s="14" t="s">
        <v>1613</v>
      </c>
      <c r="N2337" s="14" t="s">
        <v>1219</v>
      </c>
      <c r="O2337" s="14" t="s">
        <v>1220</v>
      </c>
    </row>
    <row r="2338" spans="1:15" x14ac:dyDescent="0.25">
      <c r="A2338" s="14" t="s">
        <v>5541</v>
      </c>
      <c r="B2338" s="14" t="s">
        <v>5542</v>
      </c>
      <c r="C2338" s="14" t="s">
        <v>5542</v>
      </c>
      <c r="D2338" s="14" t="s">
        <v>5392</v>
      </c>
      <c r="E2338" s="16">
        <v>10</v>
      </c>
      <c r="F2338" s="14" t="s">
        <v>1350</v>
      </c>
      <c r="G2338" s="16">
        <v>10</v>
      </c>
      <c r="H2338" s="14" t="s">
        <v>5392</v>
      </c>
      <c r="I2338" s="14" t="s">
        <v>1360</v>
      </c>
      <c r="J2338" s="14" t="s">
        <v>1360</v>
      </c>
      <c r="K2338" s="14" t="s">
        <v>1257</v>
      </c>
      <c r="L2338" s="14" t="s">
        <v>5375</v>
      </c>
      <c r="M2338" s="14" t="s">
        <v>1613</v>
      </c>
      <c r="N2338" s="14" t="s">
        <v>1219</v>
      </c>
      <c r="O2338" s="14" t="s">
        <v>1220</v>
      </c>
    </row>
    <row r="2339" spans="1:15" x14ac:dyDescent="0.25">
      <c r="A2339" s="14">
        <v>4021</v>
      </c>
      <c r="B2339" s="14" t="s">
        <v>5543</v>
      </c>
      <c r="C2339" s="14" t="s">
        <v>5543</v>
      </c>
      <c r="D2339" s="14" t="s">
        <v>5544</v>
      </c>
      <c r="E2339" s="15"/>
      <c r="F2339" s="14"/>
      <c r="G2339" s="15"/>
      <c r="H2339" s="14" t="s">
        <v>5399</v>
      </c>
      <c r="I2339" s="14" t="s">
        <v>1360</v>
      </c>
      <c r="J2339" s="14" t="s">
        <v>1360</v>
      </c>
      <c r="K2339" s="14"/>
      <c r="L2339" s="14"/>
      <c r="M2339" s="14" t="s">
        <v>1613</v>
      </c>
      <c r="N2339" s="14" t="s">
        <v>1219</v>
      </c>
      <c r="O2339" s="14" t="s">
        <v>1220</v>
      </c>
    </row>
    <row r="2340" spans="1:15" x14ac:dyDescent="0.25">
      <c r="A2340" s="14">
        <v>4022</v>
      </c>
      <c r="B2340" s="14" t="s">
        <v>5545</v>
      </c>
      <c r="C2340" s="14" t="s">
        <v>5545</v>
      </c>
      <c r="D2340" s="14" t="s">
        <v>5544</v>
      </c>
      <c r="E2340" s="15"/>
      <c r="F2340" s="14"/>
      <c r="G2340" s="15"/>
      <c r="H2340" s="14" t="s">
        <v>5399</v>
      </c>
      <c r="I2340" s="14" t="s">
        <v>1360</v>
      </c>
      <c r="J2340" s="14" t="s">
        <v>1360</v>
      </c>
      <c r="K2340" s="14"/>
      <c r="L2340" s="14"/>
      <c r="M2340" s="14" t="s">
        <v>1613</v>
      </c>
      <c r="N2340" s="14" t="s">
        <v>1219</v>
      </c>
      <c r="O2340" s="14" t="s">
        <v>1220</v>
      </c>
    </row>
    <row r="2341" spans="1:15" x14ac:dyDescent="0.25">
      <c r="A2341" s="14">
        <v>4023</v>
      </c>
      <c r="B2341" s="14" t="s">
        <v>5546</v>
      </c>
      <c r="C2341" s="14" t="s">
        <v>5546</v>
      </c>
      <c r="D2341" s="14" t="s">
        <v>5544</v>
      </c>
      <c r="E2341" s="15"/>
      <c r="F2341" s="14"/>
      <c r="G2341" s="15"/>
      <c r="H2341" s="14" t="s">
        <v>5399</v>
      </c>
      <c r="I2341" s="14" t="s">
        <v>1360</v>
      </c>
      <c r="J2341" s="14" t="s">
        <v>1360</v>
      </c>
      <c r="K2341" s="14"/>
      <c r="L2341" s="14"/>
      <c r="M2341" s="14" t="s">
        <v>1613</v>
      </c>
      <c r="N2341" s="14" t="s">
        <v>1219</v>
      </c>
      <c r="O2341" s="14" t="s">
        <v>1220</v>
      </c>
    </row>
    <row r="2342" spans="1:15" x14ac:dyDescent="0.25">
      <c r="A2342" s="14" t="s">
        <v>5547</v>
      </c>
      <c r="B2342" s="14" t="s">
        <v>5548</v>
      </c>
      <c r="C2342" s="14" t="s">
        <v>5548</v>
      </c>
      <c r="D2342" s="14" t="s">
        <v>1349</v>
      </c>
      <c r="E2342" s="15"/>
      <c r="F2342" s="14" t="s">
        <v>1611</v>
      </c>
      <c r="G2342" s="15"/>
      <c r="H2342" s="14" t="s">
        <v>1612</v>
      </c>
      <c r="I2342" s="14"/>
      <c r="J2342" s="14" t="s">
        <v>1360</v>
      </c>
      <c r="K2342" s="14"/>
      <c r="L2342" s="14"/>
      <c r="M2342" s="14" t="s">
        <v>1613</v>
      </c>
      <c r="N2342" s="14" t="s">
        <v>1219</v>
      </c>
      <c r="O2342" s="14" t="s">
        <v>1220</v>
      </c>
    </row>
    <row r="2343" spans="1:15" x14ac:dyDescent="0.25">
      <c r="A2343" s="14" t="s">
        <v>5549</v>
      </c>
      <c r="B2343" s="14" t="s">
        <v>5550</v>
      </c>
      <c r="C2343" s="14" t="s">
        <v>5550</v>
      </c>
      <c r="D2343" s="14" t="s">
        <v>1349</v>
      </c>
      <c r="E2343" s="15"/>
      <c r="F2343" s="14" t="s">
        <v>1611</v>
      </c>
      <c r="G2343" s="15"/>
      <c r="H2343" s="14" t="s">
        <v>1612</v>
      </c>
      <c r="I2343" s="14"/>
      <c r="J2343" s="14" t="s">
        <v>1360</v>
      </c>
      <c r="K2343" s="14"/>
      <c r="L2343" s="14"/>
      <c r="M2343" s="14" t="s">
        <v>1613</v>
      </c>
      <c r="N2343" s="14" t="s">
        <v>1219</v>
      </c>
      <c r="O2343" s="14" t="s">
        <v>1220</v>
      </c>
    </row>
    <row r="2344" spans="1:15" x14ac:dyDescent="0.25">
      <c r="A2344" s="14" t="s">
        <v>5551</v>
      </c>
      <c r="B2344" s="14" t="s">
        <v>5552</v>
      </c>
      <c r="C2344" s="14" t="s">
        <v>5552</v>
      </c>
      <c r="D2344" s="14" t="s">
        <v>1349</v>
      </c>
      <c r="E2344" s="15"/>
      <c r="F2344" s="14" t="s">
        <v>1611</v>
      </c>
      <c r="G2344" s="15"/>
      <c r="H2344" s="14" t="s">
        <v>1612</v>
      </c>
      <c r="I2344" s="14"/>
      <c r="J2344" s="14" t="s">
        <v>1360</v>
      </c>
      <c r="K2344" s="14"/>
      <c r="L2344" s="14"/>
      <c r="M2344" s="14" t="s">
        <v>1613</v>
      </c>
      <c r="N2344" s="14" t="s">
        <v>1219</v>
      </c>
      <c r="O2344" s="14" t="s">
        <v>1220</v>
      </c>
    </row>
    <row r="2345" spans="1:15" x14ac:dyDescent="0.25">
      <c r="A2345" s="14" t="s">
        <v>5553</v>
      </c>
      <c r="B2345" s="14" t="s">
        <v>5554</v>
      </c>
      <c r="C2345" s="14" t="s">
        <v>5554</v>
      </c>
      <c r="D2345" s="14" t="s">
        <v>1349</v>
      </c>
      <c r="E2345" s="15"/>
      <c r="F2345" s="14" t="s">
        <v>1611</v>
      </c>
      <c r="G2345" s="15"/>
      <c r="H2345" s="14" t="s">
        <v>1612</v>
      </c>
      <c r="I2345" s="14"/>
      <c r="J2345" s="14" t="s">
        <v>1360</v>
      </c>
      <c r="K2345" s="14"/>
      <c r="L2345" s="14"/>
      <c r="M2345" s="14" t="s">
        <v>1613</v>
      </c>
      <c r="N2345" s="14" t="s">
        <v>1219</v>
      </c>
      <c r="O2345" s="14" t="s">
        <v>1220</v>
      </c>
    </row>
    <row r="2346" spans="1:15" x14ac:dyDescent="0.25">
      <c r="A2346" s="14" t="s">
        <v>5555</v>
      </c>
      <c r="B2346" s="14" t="s">
        <v>5556</v>
      </c>
      <c r="C2346" s="14" t="s">
        <v>5556</v>
      </c>
      <c r="D2346" s="14" t="s">
        <v>1349</v>
      </c>
      <c r="E2346" s="15"/>
      <c r="F2346" s="14" t="s">
        <v>1611</v>
      </c>
      <c r="G2346" s="15"/>
      <c r="H2346" s="14" t="s">
        <v>1612</v>
      </c>
      <c r="I2346" s="14"/>
      <c r="J2346" s="14" t="s">
        <v>1360</v>
      </c>
      <c r="K2346" s="14"/>
      <c r="L2346" s="14"/>
      <c r="M2346" s="14" t="s">
        <v>1613</v>
      </c>
      <c r="N2346" s="14" t="s">
        <v>1219</v>
      </c>
      <c r="O2346" s="14" t="s">
        <v>1220</v>
      </c>
    </row>
    <row r="2347" spans="1:15" x14ac:dyDescent="0.25">
      <c r="A2347" s="14" t="s">
        <v>5557</v>
      </c>
      <c r="B2347" s="14" t="s">
        <v>5558</v>
      </c>
      <c r="C2347" s="14" t="s">
        <v>5558</v>
      </c>
      <c r="D2347" s="14" t="s">
        <v>1349</v>
      </c>
      <c r="E2347" s="15"/>
      <c r="F2347" s="14" t="s">
        <v>1611</v>
      </c>
      <c r="G2347" s="15"/>
      <c r="H2347" s="14" t="s">
        <v>1612</v>
      </c>
      <c r="I2347" s="14"/>
      <c r="J2347" s="14" t="s">
        <v>1360</v>
      </c>
      <c r="K2347" s="14"/>
      <c r="L2347" s="14"/>
      <c r="M2347" s="14" t="s">
        <v>1613</v>
      </c>
      <c r="N2347" s="14" t="s">
        <v>1219</v>
      </c>
      <c r="O2347" s="14" t="s">
        <v>1220</v>
      </c>
    </row>
    <row r="2348" spans="1:15" x14ac:dyDescent="0.25">
      <c r="A2348" s="14" t="s">
        <v>5559</v>
      </c>
      <c r="B2348" s="14" t="s">
        <v>5560</v>
      </c>
      <c r="C2348" s="14" t="s">
        <v>5560</v>
      </c>
      <c r="D2348" s="14" t="s">
        <v>1349</v>
      </c>
      <c r="E2348" s="15"/>
      <c r="F2348" s="14" t="s">
        <v>1611</v>
      </c>
      <c r="G2348" s="15"/>
      <c r="H2348" s="14" t="s">
        <v>1612</v>
      </c>
      <c r="I2348" s="14"/>
      <c r="J2348" s="14" t="s">
        <v>1360</v>
      </c>
      <c r="K2348" s="14"/>
      <c r="L2348" s="14"/>
      <c r="M2348" s="14" t="s">
        <v>1613</v>
      </c>
      <c r="N2348" s="14" t="s">
        <v>1219</v>
      </c>
      <c r="O2348" s="14" t="s">
        <v>1220</v>
      </c>
    </row>
    <row r="2349" spans="1:15" x14ac:dyDescent="0.25">
      <c r="A2349" s="14" t="s">
        <v>5561</v>
      </c>
      <c r="B2349" s="14" t="s">
        <v>5562</v>
      </c>
      <c r="C2349" s="14" t="s">
        <v>5562</v>
      </c>
      <c r="D2349" s="14" t="s">
        <v>1349</v>
      </c>
      <c r="E2349" s="15"/>
      <c r="F2349" s="14" t="s">
        <v>1611</v>
      </c>
      <c r="G2349" s="15"/>
      <c r="H2349" s="14" t="s">
        <v>1612</v>
      </c>
      <c r="I2349" s="14"/>
      <c r="J2349" s="14" t="s">
        <v>1360</v>
      </c>
      <c r="K2349" s="14"/>
      <c r="L2349" s="14"/>
      <c r="M2349" s="14" t="s">
        <v>1613</v>
      </c>
      <c r="N2349" s="14" t="s">
        <v>1219</v>
      </c>
      <c r="O2349" s="14" t="s">
        <v>1220</v>
      </c>
    </row>
    <row r="2350" spans="1:15" x14ac:dyDescent="0.25">
      <c r="A2350" s="14" t="s">
        <v>5563</v>
      </c>
      <c r="B2350" s="14" t="s">
        <v>5564</v>
      </c>
      <c r="C2350" s="14" t="s">
        <v>5564</v>
      </c>
      <c r="D2350" s="14" t="s">
        <v>1349</v>
      </c>
      <c r="E2350" s="15"/>
      <c r="F2350" s="14" t="s">
        <v>1611</v>
      </c>
      <c r="G2350" s="15"/>
      <c r="H2350" s="14" t="s">
        <v>1612</v>
      </c>
      <c r="I2350" s="14"/>
      <c r="J2350" s="14" t="s">
        <v>1360</v>
      </c>
      <c r="K2350" s="14"/>
      <c r="L2350" s="14"/>
      <c r="M2350" s="14" t="s">
        <v>1613</v>
      </c>
      <c r="N2350" s="14" t="s">
        <v>1219</v>
      </c>
      <c r="O2350" s="14" t="s">
        <v>1220</v>
      </c>
    </row>
    <row r="2351" spans="1:15" x14ac:dyDescent="0.25">
      <c r="A2351" s="14" t="s">
        <v>5565</v>
      </c>
      <c r="B2351" s="14" t="s">
        <v>5566</v>
      </c>
      <c r="C2351" s="14" t="s">
        <v>5566</v>
      </c>
      <c r="D2351" s="14" t="s">
        <v>1349</v>
      </c>
      <c r="E2351" s="15"/>
      <c r="F2351" s="14" t="s">
        <v>1611</v>
      </c>
      <c r="G2351" s="15"/>
      <c r="H2351" s="14" t="s">
        <v>1612</v>
      </c>
      <c r="I2351" s="14"/>
      <c r="J2351" s="14" t="s">
        <v>1360</v>
      </c>
      <c r="K2351" s="14"/>
      <c r="L2351" s="14"/>
      <c r="M2351" s="14" t="s">
        <v>1613</v>
      </c>
      <c r="N2351" s="14" t="s">
        <v>1219</v>
      </c>
      <c r="O2351" s="14" t="s">
        <v>1220</v>
      </c>
    </row>
    <row r="2352" spans="1:15" x14ac:dyDescent="0.25">
      <c r="A2352" s="14" t="s">
        <v>5567</v>
      </c>
      <c r="B2352" s="14" t="s">
        <v>5568</v>
      </c>
      <c r="C2352" s="14" t="s">
        <v>5568</v>
      </c>
      <c r="D2352" s="14" t="s">
        <v>1349</v>
      </c>
      <c r="E2352" s="15"/>
      <c r="F2352" s="14" t="s">
        <v>1611</v>
      </c>
      <c r="G2352" s="15"/>
      <c r="H2352" s="14" t="s">
        <v>1612</v>
      </c>
      <c r="I2352" s="14"/>
      <c r="J2352" s="14" t="s">
        <v>1360</v>
      </c>
      <c r="K2352" s="14"/>
      <c r="L2352" s="14"/>
      <c r="M2352" s="14" t="s">
        <v>1613</v>
      </c>
      <c r="N2352" s="14" t="s">
        <v>1219</v>
      </c>
      <c r="O2352" s="14" t="s">
        <v>1220</v>
      </c>
    </row>
    <row r="2353" spans="1:15" x14ac:dyDescent="0.25">
      <c r="A2353" s="14" t="s">
        <v>5569</v>
      </c>
      <c r="B2353" s="14" t="s">
        <v>5570</v>
      </c>
      <c r="C2353" s="14" t="s">
        <v>5570</v>
      </c>
      <c r="D2353" s="14" t="s">
        <v>1349</v>
      </c>
      <c r="E2353" s="15"/>
      <c r="F2353" s="14" t="s">
        <v>1611</v>
      </c>
      <c r="G2353" s="15"/>
      <c r="H2353" s="14" t="s">
        <v>1612</v>
      </c>
      <c r="I2353" s="14"/>
      <c r="J2353" s="14" t="s">
        <v>1360</v>
      </c>
      <c r="K2353" s="14"/>
      <c r="L2353" s="14"/>
      <c r="M2353" s="14" t="s">
        <v>1613</v>
      </c>
      <c r="N2353" s="14" t="s">
        <v>1219</v>
      </c>
      <c r="O2353" s="14" t="s">
        <v>1220</v>
      </c>
    </row>
    <row r="2354" spans="1:15" x14ac:dyDescent="0.25">
      <c r="A2354" s="14" t="s">
        <v>5571</v>
      </c>
      <c r="B2354" s="14" t="s">
        <v>5572</v>
      </c>
      <c r="C2354" s="14" t="s">
        <v>5572</v>
      </c>
      <c r="D2354" s="14" t="s">
        <v>1349</v>
      </c>
      <c r="E2354" s="15"/>
      <c r="F2354" s="14" t="s">
        <v>1611</v>
      </c>
      <c r="G2354" s="15"/>
      <c r="H2354" s="14" t="s">
        <v>1612</v>
      </c>
      <c r="I2354" s="14"/>
      <c r="J2354" s="14" t="s">
        <v>1360</v>
      </c>
      <c r="K2354" s="14"/>
      <c r="L2354" s="14"/>
      <c r="M2354" s="14" t="s">
        <v>1613</v>
      </c>
      <c r="N2354" s="14" t="s">
        <v>1219</v>
      </c>
      <c r="O2354" s="14" t="s">
        <v>1220</v>
      </c>
    </row>
    <row r="2355" spans="1:15" x14ac:dyDescent="0.25">
      <c r="A2355" s="14" t="s">
        <v>5573</v>
      </c>
      <c r="B2355" s="14" t="s">
        <v>5574</v>
      </c>
      <c r="C2355" s="14" t="s">
        <v>5574</v>
      </c>
      <c r="D2355" s="14" t="s">
        <v>1349</v>
      </c>
      <c r="E2355" s="15"/>
      <c r="F2355" s="14" t="s">
        <v>1611</v>
      </c>
      <c r="G2355" s="15"/>
      <c r="H2355" s="14" t="s">
        <v>1612</v>
      </c>
      <c r="I2355" s="14"/>
      <c r="J2355" s="14" t="s">
        <v>1360</v>
      </c>
      <c r="K2355" s="14"/>
      <c r="L2355" s="14"/>
      <c r="M2355" s="14" t="s">
        <v>1613</v>
      </c>
      <c r="N2355" s="14" t="s">
        <v>1219</v>
      </c>
      <c r="O2355" s="14" t="s">
        <v>1220</v>
      </c>
    </row>
    <row r="2356" spans="1:15" x14ac:dyDescent="0.25">
      <c r="A2356" s="14" t="s">
        <v>5575</v>
      </c>
      <c r="B2356" s="14" t="s">
        <v>5576</v>
      </c>
      <c r="C2356" s="14" t="s">
        <v>5576</v>
      </c>
      <c r="D2356" s="14" t="s">
        <v>1349</v>
      </c>
      <c r="E2356" s="15"/>
      <c r="F2356" s="14" t="s">
        <v>1611</v>
      </c>
      <c r="G2356" s="15"/>
      <c r="H2356" s="14" t="s">
        <v>1612</v>
      </c>
      <c r="I2356" s="14"/>
      <c r="J2356" s="14" t="s">
        <v>1360</v>
      </c>
      <c r="K2356" s="14"/>
      <c r="L2356" s="14"/>
      <c r="M2356" s="14" t="s">
        <v>1613</v>
      </c>
      <c r="N2356" s="14" t="s">
        <v>1219</v>
      </c>
      <c r="O2356" s="14" t="s">
        <v>1220</v>
      </c>
    </row>
    <row r="2357" spans="1:15" x14ac:dyDescent="0.25">
      <c r="A2357" s="14" t="s">
        <v>5577</v>
      </c>
      <c r="B2357" s="14" t="s">
        <v>5578</v>
      </c>
      <c r="C2357" s="14" t="s">
        <v>5578</v>
      </c>
      <c r="D2357" s="14" t="s">
        <v>1349</v>
      </c>
      <c r="E2357" s="15"/>
      <c r="F2357" s="14" t="s">
        <v>1611</v>
      </c>
      <c r="G2357" s="15"/>
      <c r="H2357" s="14" t="s">
        <v>1612</v>
      </c>
      <c r="I2357" s="14"/>
      <c r="J2357" s="14" t="s">
        <v>1360</v>
      </c>
      <c r="K2357" s="14"/>
      <c r="L2357" s="14"/>
      <c r="M2357" s="14" t="s">
        <v>1613</v>
      </c>
      <c r="N2357" s="14" t="s">
        <v>1219</v>
      </c>
      <c r="O2357" s="14" t="s">
        <v>1220</v>
      </c>
    </row>
    <row r="2358" spans="1:15" x14ac:dyDescent="0.25">
      <c r="A2358" s="14" t="s">
        <v>5579</v>
      </c>
      <c r="B2358" s="14" t="s">
        <v>5580</v>
      </c>
      <c r="C2358" s="14" t="s">
        <v>5580</v>
      </c>
      <c r="D2358" s="14" t="s">
        <v>1349</v>
      </c>
      <c r="E2358" s="15"/>
      <c r="F2358" s="14" t="s">
        <v>1611</v>
      </c>
      <c r="G2358" s="15"/>
      <c r="H2358" s="14" t="s">
        <v>1612</v>
      </c>
      <c r="I2358" s="14"/>
      <c r="J2358" s="14" t="s">
        <v>1360</v>
      </c>
      <c r="K2358" s="14"/>
      <c r="L2358" s="14"/>
      <c r="M2358" s="14" t="s">
        <v>1613</v>
      </c>
      <c r="N2358" s="14" t="s">
        <v>1219</v>
      </c>
      <c r="O2358" s="14" t="s">
        <v>1220</v>
      </c>
    </row>
    <row r="2359" spans="1:15" x14ac:dyDescent="0.25">
      <c r="A2359" s="14" t="s">
        <v>5581</v>
      </c>
      <c r="B2359" s="14" t="s">
        <v>5582</v>
      </c>
      <c r="C2359" s="14" t="s">
        <v>5582</v>
      </c>
      <c r="D2359" s="14" t="s">
        <v>1349</v>
      </c>
      <c r="E2359" s="15"/>
      <c r="F2359" s="14" t="s">
        <v>1611</v>
      </c>
      <c r="G2359" s="15"/>
      <c r="H2359" s="14" t="s">
        <v>1612</v>
      </c>
      <c r="I2359" s="14"/>
      <c r="J2359" s="14" t="s">
        <v>1360</v>
      </c>
      <c r="K2359" s="14"/>
      <c r="L2359" s="14"/>
      <c r="M2359" s="14" t="s">
        <v>1613</v>
      </c>
      <c r="N2359" s="14" t="s">
        <v>1219</v>
      </c>
      <c r="O2359" s="14" t="s">
        <v>1220</v>
      </c>
    </row>
    <row r="2360" spans="1:15" x14ac:dyDescent="0.25">
      <c r="A2360" s="14" t="s">
        <v>5583</v>
      </c>
      <c r="B2360" s="14" t="s">
        <v>5584</v>
      </c>
      <c r="C2360" s="14" t="s">
        <v>5584</v>
      </c>
      <c r="D2360" s="14" t="s">
        <v>1349</v>
      </c>
      <c r="E2360" s="15"/>
      <c r="F2360" s="14" t="s">
        <v>1611</v>
      </c>
      <c r="G2360" s="15"/>
      <c r="H2360" s="14" t="s">
        <v>1612</v>
      </c>
      <c r="I2360" s="14"/>
      <c r="J2360" s="14" t="s">
        <v>1360</v>
      </c>
      <c r="K2360" s="14"/>
      <c r="L2360" s="14"/>
      <c r="M2360" s="14" t="s">
        <v>1613</v>
      </c>
      <c r="N2360" s="14" t="s">
        <v>1219</v>
      </c>
      <c r="O2360" s="14" t="s">
        <v>1220</v>
      </c>
    </row>
    <row r="2361" spans="1:15" x14ac:dyDescent="0.25">
      <c r="A2361" s="14" t="s">
        <v>5585</v>
      </c>
      <c r="B2361" s="14" t="s">
        <v>5586</v>
      </c>
      <c r="C2361" s="14" t="s">
        <v>5586</v>
      </c>
      <c r="D2361" s="14" t="s">
        <v>1349</v>
      </c>
      <c r="E2361" s="15"/>
      <c r="F2361" s="14" t="s">
        <v>1611</v>
      </c>
      <c r="G2361" s="15"/>
      <c r="H2361" s="14" t="s">
        <v>1612</v>
      </c>
      <c r="I2361" s="14"/>
      <c r="J2361" s="14" t="s">
        <v>1360</v>
      </c>
      <c r="K2361" s="14"/>
      <c r="L2361" s="14"/>
      <c r="M2361" s="14" t="s">
        <v>1613</v>
      </c>
      <c r="N2361" s="14" t="s">
        <v>1219</v>
      </c>
      <c r="O2361" s="14" t="s">
        <v>1220</v>
      </c>
    </row>
    <row r="2362" spans="1:15" x14ac:dyDescent="0.25">
      <c r="A2362" s="14" t="s">
        <v>5587</v>
      </c>
      <c r="B2362" s="14" t="s">
        <v>5588</v>
      </c>
      <c r="C2362" s="14" t="s">
        <v>5588</v>
      </c>
      <c r="D2362" s="14" t="s">
        <v>1349</v>
      </c>
      <c r="E2362" s="15"/>
      <c r="F2362" s="14" t="s">
        <v>1611</v>
      </c>
      <c r="G2362" s="15"/>
      <c r="H2362" s="14" t="s">
        <v>1612</v>
      </c>
      <c r="I2362" s="14"/>
      <c r="J2362" s="14" t="s">
        <v>1360</v>
      </c>
      <c r="K2362" s="14"/>
      <c r="L2362" s="14"/>
      <c r="M2362" s="14" t="s">
        <v>1613</v>
      </c>
      <c r="N2362" s="14" t="s">
        <v>1219</v>
      </c>
      <c r="O2362" s="14" t="s">
        <v>1220</v>
      </c>
    </row>
    <row r="2363" spans="1:15" x14ac:dyDescent="0.25">
      <c r="A2363" s="14" t="s">
        <v>5589</v>
      </c>
      <c r="B2363" s="14" t="s">
        <v>5590</v>
      </c>
      <c r="C2363" s="14" t="s">
        <v>5590</v>
      </c>
      <c r="D2363" s="14" t="s">
        <v>1349</v>
      </c>
      <c r="E2363" s="15"/>
      <c r="F2363" s="14" t="s">
        <v>1611</v>
      </c>
      <c r="G2363" s="15"/>
      <c r="H2363" s="14" t="s">
        <v>1612</v>
      </c>
      <c r="I2363" s="14"/>
      <c r="J2363" s="14" t="s">
        <v>1360</v>
      </c>
      <c r="K2363" s="14"/>
      <c r="L2363" s="14"/>
      <c r="M2363" s="14" t="s">
        <v>1613</v>
      </c>
      <c r="N2363" s="14" t="s">
        <v>1219</v>
      </c>
      <c r="O2363" s="14" t="s">
        <v>1220</v>
      </c>
    </row>
    <row r="2364" spans="1:15" x14ac:dyDescent="0.25">
      <c r="A2364" s="14" t="s">
        <v>5591</v>
      </c>
      <c r="B2364" s="14" t="s">
        <v>5592</v>
      </c>
      <c r="C2364" s="14" t="s">
        <v>5592</v>
      </c>
      <c r="D2364" s="14" t="s">
        <v>1349</v>
      </c>
      <c r="E2364" s="15"/>
      <c r="F2364" s="14" t="s">
        <v>1611</v>
      </c>
      <c r="G2364" s="15"/>
      <c r="H2364" s="14" t="s">
        <v>1612</v>
      </c>
      <c r="I2364" s="14"/>
      <c r="J2364" s="14" t="s">
        <v>1360</v>
      </c>
      <c r="K2364" s="14"/>
      <c r="L2364" s="14"/>
      <c r="M2364" s="14" t="s">
        <v>1613</v>
      </c>
      <c r="N2364" s="14" t="s">
        <v>1219</v>
      </c>
      <c r="O2364" s="14" t="s">
        <v>1220</v>
      </c>
    </row>
    <row r="2365" spans="1:15" x14ac:dyDescent="0.25">
      <c r="A2365" s="14" t="s">
        <v>5593</v>
      </c>
      <c r="B2365" s="14" t="s">
        <v>5594</v>
      </c>
      <c r="C2365" s="14" t="s">
        <v>5594</v>
      </c>
      <c r="D2365" s="14" t="s">
        <v>1349</v>
      </c>
      <c r="E2365" s="15"/>
      <c r="F2365" s="14" t="s">
        <v>1611</v>
      </c>
      <c r="G2365" s="15"/>
      <c r="H2365" s="14" t="s">
        <v>1612</v>
      </c>
      <c r="I2365" s="14"/>
      <c r="J2365" s="14" t="s">
        <v>1360</v>
      </c>
      <c r="K2365" s="14"/>
      <c r="L2365" s="14"/>
      <c r="M2365" s="14" t="s">
        <v>1613</v>
      </c>
      <c r="N2365" s="14" t="s">
        <v>1219</v>
      </c>
      <c r="O2365" s="14" t="s">
        <v>1220</v>
      </c>
    </row>
    <row r="2366" spans="1:15" x14ac:dyDescent="0.25">
      <c r="A2366" s="14" t="s">
        <v>5595</v>
      </c>
      <c r="B2366" s="14" t="s">
        <v>5596</v>
      </c>
      <c r="C2366" s="14" t="s">
        <v>5596</v>
      </c>
      <c r="D2366" s="14" t="s">
        <v>1349</v>
      </c>
      <c r="E2366" s="15"/>
      <c r="F2366" s="14" t="s">
        <v>1611</v>
      </c>
      <c r="G2366" s="15"/>
      <c r="H2366" s="14" t="s">
        <v>1612</v>
      </c>
      <c r="I2366" s="14"/>
      <c r="J2366" s="14" t="s">
        <v>1360</v>
      </c>
      <c r="K2366" s="14"/>
      <c r="L2366" s="14"/>
      <c r="M2366" s="14" t="s">
        <v>1613</v>
      </c>
      <c r="N2366" s="14" t="s">
        <v>1219</v>
      </c>
      <c r="O2366" s="14" t="s">
        <v>1220</v>
      </c>
    </row>
    <row r="2367" spans="1:15" x14ac:dyDescent="0.25">
      <c r="A2367" s="14" t="s">
        <v>5597</v>
      </c>
      <c r="B2367" s="14" t="s">
        <v>5598</v>
      </c>
      <c r="C2367" s="14" t="s">
        <v>5598</v>
      </c>
      <c r="D2367" s="14" t="s">
        <v>1349</v>
      </c>
      <c r="E2367" s="15"/>
      <c r="F2367" s="14" t="s">
        <v>1611</v>
      </c>
      <c r="G2367" s="15"/>
      <c r="H2367" s="14" t="s">
        <v>1612</v>
      </c>
      <c r="I2367" s="14"/>
      <c r="J2367" s="14" t="s">
        <v>1360</v>
      </c>
      <c r="K2367" s="14"/>
      <c r="L2367" s="14"/>
      <c r="M2367" s="14" t="s">
        <v>1613</v>
      </c>
      <c r="N2367" s="14" t="s">
        <v>1219</v>
      </c>
      <c r="O2367" s="14" t="s">
        <v>1220</v>
      </c>
    </row>
    <row r="2368" spans="1:15" x14ac:dyDescent="0.25">
      <c r="A2368" s="14" t="s">
        <v>5599</v>
      </c>
      <c r="B2368" s="14" t="s">
        <v>5600</v>
      </c>
      <c r="C2368" s="14" t="s">
        <v>5600</v>
      </c>
      <c r="D2368" s="14" t="s">
        <v>1349</v>
      </c>
      <c r="E2368" s="15"/>
      <c r="F2368" s="14" t="s">
        <v>1611</v>
      </c>
      <c r="G2368" s="15"/>
      <c r="H2368" s="14" t="s">
        <v>1612</v>
      </c>
      <c r="I2368" s="14"/>
      <c r="J2368" s="14" t="s">
        <v>1360</v>
      </c>
      <c r="K2368" s="14"/>
      <c r="L2368" s="14"/>
      <c r="M2368" s="14" t="s">
        <v>1613</v>
      </c>
      <c r="N2368" s="14" t="s">
        <v>1219</v>
      </c>
      <c r="O2368" s="14" t="s">
        <v>1220</v>
      </c>
    </row>
    <row r="2369" spans="1:15" x14ac:dyDescent="0.25">
      <c r="A2369" s="14" t="s">
        <v>5601</v>
      </c>
      <c r="B2369" s="14" t="s">
        <v>5602</v>
      </c>
      <c r="C2369" s="14" t="s">
        <v>5602</v>
      </c>
      <c r="D2369" s="14" t="s">
        <v>1349</v>
      </c>
      <c r="E2369" s="15"/>
      <c r="F2369" s="14" t="s">
        <v>1611</v>
      </c>
      <c r="G2369" s="15"/>
      <c r="H2369" s="14" t="s">
        <v>1612</v>
      </c>
      <c r="I2369" s="14"/>
      <c r="J2369" s="14" t="s">
        <v>1360</v>
      </c>
      <c r="K2369" s="14"/>
      <c r="L2369" s="14"/>
      <c r="M2369" s="14" t="s">
        <v>1613</v>
      </c>
      <c r="N2369" s="14" t="s">
        <v>1219</v>
      </c>
      <c r="O2369" s="14" t="s">
        <v>1220</v>
      </c>
    </row>
    <row r="2370" spans="1:15" x14ac:dyDescent="0.25">
      <c r="A2370" s="14" t="s">
        <v>5603</v>
      </c>
      <c r="B2370" s="14" t="s">
        <v>5604</v>
      </c>
      <c r="C2370" s="14" t="s">
        <v>5604</v>
      </c>
      <c r="D2370" s="14" t="s">
        <v>1349</v>
      </c>
      <c r="E2370" s="15"/>
      <c r="F2370" s="14" t="s">
        <v>1611</v>
      </c>
      <c r="G2370" s="15"/>
      <c r="H2370" s="14" t="s">
        <v>1612</v>
      </c>
      <c r="I2370" s="14"/>
      <c r="J2370" s="14" t="s">
        <v>1360</v>
      </c>
      <c r="K2370" s="14"/>
      <c r="L2370" s="14"/>
      <c r="M2370" s="14" t="s">
        <v>1613</v>
      </c>
      <c r="N2370" s="14" t="s">
        <v>1219</v>
      </c>
      <c r="O2370" s="14" t="s">
        <v>1220</v>
      </c>
    </row>
    <row r="2371" spans="1:15" x14ac:dyDescent="0.25">
      <c r="A2371" s="14" t="s">
        <v>5605</v>
      </c>
      <c r="B2371" s="14" t="s">
        <v>5606</v>
      </c>
      <c r="C2371" s="14" t="s">
        <v>5606</v>
      </c>
      <c r="D2371" s="14" t="s">
        <v>1349</v>
      </c>
      <c r="E2371" s="15"/>
      <c r="F2371" s="14" t="s">
        <v>1611</v>
      </c>
      <c r="G2371" s="15"/>
      <c r="H2371" s="14" t="s">
        <v>1612</v>
      </c>
      <c r="I2371" s="14"/>
      <c r="J2371" s="14" t="s">
        <v>1360</v>
      </c>
      <c r="K2371" s="14"/>
      <c r="L2371" s="14"/>
      <c r="M2371" s="14" t="s">
        <v>1613</v>
      </c>
      <c r="N2371" s="14" t="s">
        <v>1219</v>
      </c>
      <c r="O2371" s="14" t="s">
        <v>1220</v>
      </c>
    </row>
    <row r="2372" spans="1:15" x14ac:dyDescent="0.25">
      <c r="A2372" s="14" t="s">
        <v>5607</v>
      </c>
      <c r="B2372" s="14" t="s">
        <v>5608</v>
      </c>
      <c r="C2372" s="14" t="s">
        <v>5608</v>
      </c>
      <c r="D2372" s="14" t="s">
        <v>1349</v>
      </c>
      <c r="E2372" s="15"/>
      <c r="F2372" s="14" t="s">
        <v>1611</v>
      </c>
      <c r="G2372" s="15"/>
      <c r="H2372" s="14" t="s">
        <v>1612</v>
      </c>
      <c r="I2372" s="14"/>
      <c r="J2372" s="14" t="s">
        <v>1360</v>
      </c>
      <c r="K2372" s="14"/>
      <c r="L2372" s="14"/>
      <c r="M2372" s="14" t="s">
        <v>1613</v>
      </c>
      <c r="N2372" s="14" t="s">
        <v>1219</v>
      </c>
      <c r="O2372" s="14" t="s">
        <v>1220</v>
      </c>
    </row>
    <row r="2373" spans="1:15" x14ac:dyDescent="0.25">
      <c r="A2373" s="14" t="s">
        <v>5609</v>
      </c>
      <c r="B2373" s="14" t="s">
        <v>5610</v>
      </c>
      <c r="C2373" s="14" t="s">
        <v>5610</v>
      </c>
      <c r="D2373" s="14" t="s">
        <v>1349</v>
      </c>
      <c r="E2373" s="15"/>
      <c r="F2373" s="14" t="s">
        <v>1611</v>
      </c>
      <c r="G2373" s="15"/>
      <c r="H2373" s="14" t="s">
        <v>1612</v>
      </c>
      <c r="I2373" s="14"/>
      <c r="J2373" s="14" t="s">
        <v>1360</v>
      </c>
      <c r="K2373" s="14"/>
      <c r="L2373" s="14"/>
      <c r="M2373" s="14" t="s">
        <v>1613</v>
      </c>
      <c r="N2373" s="14" t="s">
        <v>1219</v>
      </c>
      <c r="O2373" s="14" t="s">
        <v>1220</v>
      </c>
    </row>
    <row r="2374" spans="1:15" x14ac:dyDescent="0.25">
      <c r="A2374" s="14" t="s">
        <v>5611</v>
      </c>
      <c r="B2374" s="14" t="s">
        <v>5612</v>
      </c>
      <c r="C2374" s="14" t="s">
        <v>5612</v>
      </c>
      <c r="D2374" s="14" t="s">
        <v>1349</v>
      </c>
      <c r="E2374" s="15"/>
      <c r="F2374" s="14" t="s">
        <v>1611</v>
      </c>
      <c r="G2374" s="15"/>
      <c r="H2374" s="14" t="s">
        <v>1612</v>
      </c>
      <c r="I2374" s="14"/>
      <c r="J2374" s="14" t="s">
        <v>1360</v>
      </c>
      <c r="K2374" s="14"/>
      <c r="L2374" s="14"/>
      <c r="M2374" s="14" t="s">
        <v>1613</v>
      </c>
      <c r="N2374" s="14" t="s">
        <v>1219</v>
      </c>
      <c r="O2374" s="14" t="s">
        <v>1220</v>
      </c>
    </row>
    <row r="2375" spans="1:15" x14ac:dyDescent="0.25">
      <c r="A2375" s="14" t="s">
        <v>5613</v>
      </c>
      <c r="B2375" s="14" t="s">
        <v>5614</v>
      </c>
      <c r="C2375" s="14" t="s">
        <v>5614</v>
      </c>
      <c r="D2375" s="14" t="s">
        <v>1349</v>
      </c>
      <c r="E2375" s="15"/>
      <c r="F2375" s="14" t="s">
        <v>1611</v>
      </c>
      <c r="G2375" s="15"/>
      <c r="H2375" s="14" t="s">
        <v>1612</v>
      </c>
      <c r="I2375" s="14"/>
      <c r="J2375" s="14" t="s">
        <v>1360</v>
      </c>
      <c r="K2375" s="14"/>
      <c r="L2375" s="14"/>
      <c r="M2375" s="14" t="s">
        <v>1613</v>
      </c>
      <c r="N2375" s="14" t="s">
        <v>1219</v>
      </c>
      <c r="O2375" s="14" t="s">
        <v>1220</v>
      </c>
    </row>
    <row r="2376" spans="1:15" x14ac:dyDescent="0.25">
      <c r="A2376" s="14" t="s">
        <v>5615</v>
      </c>
      <c r="B2376" s="14" t="s">
        <v>5616</v>
      </c>
      <c r="C2376" s="14" t="s">
        <v>5616</v>
      </c>
      <c r="D2376" s="14" t="s">
        <v>1349</v>
      </c>
      <c r="E2376" s="15"/>
      <c r="F2376" s="14" t="s">
        <v>1611</v>
      </c>
      <c r="G2376" s="15"/>
      <c r="H2376" s="14" t="s">
        <v>1612</v>
      </c>
      <c r="I2376" s="14"/>
      <c r="J2376" s="14" t="s">
        <v>1360</v>
      </c>
      <c r="K2376" s="14"/>
      <c r="L2376" s="14"/>
      <c r="M2376" s="14" t="s">
        <v>1613</v>
      </c>
      <c r="N2376" s="14" t="s">
        <v>1219</v>
      </c>
      <c r="O2376" s="14" t="s">
        <v>1220</v>
      </c>
    </row>
    <row r="2377" spans="1:15" x14ac:dyDescent="0.25">
      <c r="A2377" s="14" t="s">
        <v>5617</v>
      </c>
      <c r="B2377" s="14" t="s">
        <v>5618</v>
      </c>
      <c r="C2377" s="14" t="s">
        <v>5618</v>
      </c>
      <c r="D2377" s="14" t="s">
        <v>1349</v>
      </c>
      <c r="E2377" s="15"/>
      <c r="F2377" s="14" t="s">
        <v>1611</v>
      </c>
      <c r="G2377" s="15"/>
      <c r="H2377" s="14" t="s">
        <v>1612</v>
      </c>
      <c r="I2377" s="14"/>
      <c r="J2377" s="14" t="s">
        <v>1360</v>
      </c>
      <c r="K2377" s="14"/>
      <c r="L2377" s="14"/>
      <c r="M2377" s="14" t="s">
        <v>1613</v>
      </c>
      <c r="N2377" s="14" t="s">
        <v>1219</v>
      </c>
      <c r="O2377" s="14" t="s">
        <v>1220</v>
      </c>
    </row>
    <row r="2378" spans="1:15" x14ac:dyDescent="0.25">
      <c r="A2378" s="14" t="s">
        <v>5619</v>
      </c>
      <c r="B2378" s="14" t="s">
        <v>5620</v>
      </c>
      <c r="C2378" s="14" t="s">
        <v>5620</v>
      </c>
      <c r="D2378" s="14" t="s">
        <v>1349</v>
      </c>
      <c r="E2378" s="15"/>
      <c r="F2378" s="14" t="s">
        <v>1611</v>
      </c>
      <c r="G2378" s="15"/>
      <c r="H2378" s="14" t="s">
        <v>1612</v>
      </c>
      <c r="I2378" s="14"/>
      <c r="J2378" s="14" t="s">
        <v>1360</v>
      </c>
      <c r="K2378" s="14"/>
      <c r="L2378" s="14"/>
      <c r="M2378" s="14" t="s">
        <v>1613</v>
      </c>
      <c r="N2378" s="14" t="s">
        <v>1219</v>
      </c>
      <c r="O2378" s="14" t="s">
        <v>1220</v>
      </c>
    </row>
    <row r="2379" spans="1:15" x14ac:dyDescent="0.25">
      <c r="A2379" s="14" t="s">
        <v>5621</v>
      </c>
      <c r="B2379" s="14" t="s">
        <v>5622</v>
      </c>
      <c r="C2379" s="14" t="s">
        <v>5622</v>
      </c>
      <c r="D2379" s="14" t="s">
        <v>1349</v>
      </c>
      <c r="E2379" s="15"/>
      <c r="F2379" s="14" t="s">
        <v>1611</v>
      </c>
      <c r="G2379" s="15"/>
      <c r="H2379" s="14" t="s">
        <v>1612</v>
      </c>
      <c r="I2379" s="14"/>
      <c r="J2379" s="14" t="s">
        <v>1360</v>
      </c>
      <c r="K2379" s="14"/>
      <c r="L2379" s="14"/>
      <c r="M2379" s="14" t="s">
        <v>1613</v>
      </c>
      <c r="N2379" s="14" t="s">
        <v>1219</v>
      </c>
      <c r="O2379" s="14" t="s">
        <v>1220</v>
      </c>
    </row>
    <row r="2380" spans="1:15" x14ac:dyDescent="0.25">
      <c r="A2380" s="14" t="s">
        <v>5623</v>
      </c>
      <c r="B2380" s="14" t="s">
        <v>5624</v>
      </c>
      <c r="C2380" s="14" t="s">
        <v>5624</v>
      </c>
      <c r="D2380" s="14" t="s">
        <v>1349</v>
      </c>
      <c r="E2380" s="15"/>
      <c r="F2380" s="14" t="s">
        <v>1611</v>
      </c>
      <c r="G2380" s="15"/>
      <c r="H2380" s="14" t="s">
        <v>1612</v>
      </c>
      <c r="I2380" s="14"/>
      <c r="J2380" s="14" t="s">
        <v>1360</v>
      </c>
      <c r="K2380" s="14"/>
      <c r="L2380" s="14"/>
      <c r="M2380" s="14" t="s">
        <v>1613</v>
      </c>
      <c r="N2380" s="14" t="s">
        <v>1219</v>
      </c>
      <c r="O2380" s="14" t="s">
        <v>1220</v>
      </c>
    </row>
    <row r="2381" spans="1:15" x14ac:dyDescent="0.25">
      <c r="A2381" s="14" t="s">
        <v>5625</v>
      </c>
      <c r="B2381" s="14" t="s">
        <v>5626</v>
      </c>
      <c r="C2381" s="14" t="s">
        <v>5626</v>
      </c>
      <c r="D2381" s="14" t="s">
        <v>1349</v>
      </c>
      <c r="E2381" s="15"/>
      <c r="F2381" s="14" t="s">
        <v>1611</v>
      </c>
      <c r="G2381" s="15"/>
      <c r="H2381" s="14" t="s">
        <v>1612</v>
      </c>
      <c r="I2381" s="14"/>
      <c r="J2381" s="14" t="s">
        <v>1360</v>
      </c>
      <c r="K2381" s="14"/>
      <c r="L2381" s="14"/>
      <c r="M2381" s="14" t="s">
        <v>1613</v>
      </c>
      <c r="N2381" s="14" t="s">
        <v>1219</v>
      </c>
      <c r="O2381" s="14" t="s">
        <v>1220</v>
      </c>
    </row>
    <row r="2382" spans="1:15" x14ac:dyDescent="0.25">
      <c r="A2382" s="14" t="s">
        <v>5627</v>
      </c>
      <c r="B2382" s="14" t="s">
        <v>5628</v>
      </c>
      <c r="C2382" s="14" t="s">
        <v>5628</v>
      </c>
      <c r="D2382" s="14" t="s">
        <v>1349</v>
      </c>
      <c r="E2382" s="15"/>
      <c r="F2382" s="14" t="s">
        <v>1611</v>
      </c>
      <c r="G2382" s="15"/>
      <c r="H2382" s="14" t="s">
        <v>1612</v>
      </c>
      <c r="I2382" s="14"/>
      <c r="J2382" s="14" t="s">
        <v>1360</v>
      </c>
      <c r="K2382" s="14"/>
      <c r="L2382" s="14"/>
      <c r="M2382" s="14" t="s">
        <v>1613</v>
      </c>
      <c r="N2382" s="14" t="s">
        <v>1219</v>
      </c>
      <c r="O2382" s="14" t="s">
        <v>1220</v>
      </c>
    </row>
    <row r="2383" spans="1:15" x14ac:dyDescent="0.25">
      <c r="A2383" s="14" t="s">
        <v>5629</v>
      </c>
      <c r="B2383" s="14" t="s">
        <v>5630</v>
      </c>
      <c r="C2383" s="14" t="s">
        <v>5630</v>
      </c>
      <c r="D2383" s="14" t="s">
        <v>1349</v>
      </c>
      <c r="E2383" s="15"/>
      <c r="F2383" s="14" t="s">
        <v>1611</v>
      </c>
      <c r="G2383" s="15"/>
      <c r="H2383" s="14" t="s">
        <v>1612</v>
      </c>
      <c r="I2383" s="14"/>
      <c r="J2383" s="14" t="s">
        <v>1360</v>
      </c>
      <c r="K2383" s="14"/>
      <c r="L2383" s="14"/>
      <c r="M2383" s="14" t="s">
        <v>1613</v>
      </c>
      <c r="N2383" s="14" t="s">
        <v>1219</v>
      </c>
      <c r="O2383" s="14" t="s">
        <v>1220</v>
      </c>
    </row>
    <row r="2384" spans="1:15" x14ac:dyDescent="0.25">
      <c r="A2384" s="14" t="s">
        <v>5631</v>
      </c>
      <c r="B2384" s="14" t="s">
        <v>5632</v>
      </c>
      <c r="C2384" s="14" t="s">
        <v>5632</v>
      </c>
      <c r="D2384" s="14" t="s">
        <v>1349</v>
      </c>
      <c r="E2384" s="15"/>
      <c r="F2384" s="14" t="s">
        <v>1611</v>
      </c>
      <c r="G2384" s="15"/>
      <c r="H2384" s="14" t="s">
        <v>1612</v>
      </c>
      <c r="I2384" s="14"/>
      <c r="J2384" s="14" t="s">
        <v>1360</v>
      </c>
      <c r="K2384" s="14"/>
      <c r="L2384" s="14"/>
      <c r="M2384" s="14" t="s">
        <v>1613</v>
      </c>
      <c r="N2384" s="14" t="s">
        <v>1219</v>
      </c>
      <c r="O2384" s="14" t="s">
        <v>1220</v>
      </c>
    </row>
    <row r="2385" spans="1:15" x14ac:dyDescent="0.25">
      <c r="A2385" s="14" t="s">
        <v>5633</v>
      </c>
      <c r="B2385" s="14" t="s">
        <v>5634</v>
      </c>
      <c r="C2385" s="14" t="s">
        <v>5634</v>
      </c>
      <c r="D2385" s="14" t="s">
        <v>1349</v>
      </c>
      <c r="E2385" s="15"/>
      <c r="F2385" s="14" t="s">
        <v>1611</v>
      </c>
      <c r="G2385" s="15"/>
      <c r="H2385" s="14" t="s">
        <v>1612</v>
      </c>
      <c r="I2385" s="14"/>
      <c r="J2385" s="14" t="s">
        <v>1360</v>
      </c>
      <c r="K2385" s="14"/>
      <c r="L2385" s="14"/>
      <c r="M2385" s="14" t="s">
        <v>1613</v>
      </c>
      <c r="N2385" s="14" t="s">
        <v>1219</v>
      </c>
      <c r="O2385" s="14" t="s">
        <v>1220</v>
      </c>
    </row>
    <row r="2386" spans="1:15" x14ac:dyDescent="0.25">
      <c r="A2386" s="14" t="s">
        <v>5635</v>
      </c>
      <c r="B2386" s="14" t="s">
        <v>5636</v>
      </c>
      <c r="C2386" s="14" t="s">
        <v>5636</v>
      </c>
      <c r="D2386" s="14" t="s">
        <v>1349</v>
      </c>
      <c r="E2386" s="15"/>
      <c r="F2386" s="14" t="s">
        <v>1611</v>
      </c>
      <c r="G2386" s="15"/>
      <c r="H2386" s="14" t="s">
        <v>1612</v>
      </c>
      <c r="I2386" s="14"/>
      <c r="J2386" s="14" t="s">
        <v>1360</v>
      </c>
      <c r="K2386" s="14"/>
      <c r="L2386" s="14"/>
      <c r="M2386" s="14" t="s">
        <v>1613</v>
      </c>
      <c r="N2386" s="14" t="s">
        <v>1219</v>
      </c>
      <c r="O2386" s="14" t="s">
        <v>1220</v>
      </c>
    </row>
    <row r="2387" spans="1:15" x14ac:dyDescent="0.25">
      <c r="A2387" s="14" t="s">
        <v>5637</v>
      </c>
      <c r="B2387" s="14" t="s">
        <v>5638</v>
      </c>
      <c r="C2387" s="14" t="s">
        <v>5638</v>
      </c>
      <c r="D2387" s="14" t="s">
        <v>1349</v>
      </c>
      <c r="E2387" s="15"/>
      <c r="F2387" s="14" t="s">
        <v>1611</v>
      </c>
      <c r="G2387" s="15"/>
      <c r="H2387" s="14" t="s">
        <v>1612</v>
      </c>
      <c r="I2387" s="14"/>
      <c r="J2387" s="14" t="s">
        <v>1360</v>
      </c>
      <c r="K2387" s="14"/>
      <c r="L2387" s="14"/>
      <c r="M2387" s="14" t="s">
        <v>1613</v>
      </c>
      <c r="N2387" s="14" t="s">
        <v>1219</v>
      </c>
      <c r="O2387" s="14" t="s">
        <v>1220</v>
      </c>
    </row>
    <row r="2388" spans="1:15" x14ac:dyDescent="0.25">
      <c r="A2388" s="14" t="s">
        <v>5639</v>
      </c>
      <c r="B2388" s="14" t="s">
        <v>5640</v>
      </c>
      <c r="C2388" s="14" t="s">
        <v>5640</v>
      </c>
      <c r="D2388" s="14" t="s">
        <v>1349</v>
      </c>
      <c r="E2388" s="15"/>
      <c r="F2388" s="14" t="s">
        <v>1611</v>
      </c>
      <c r="G2388" s="15"/>
      <c r="H2388" s="14" t="s">
        <v>1612</v>
      </c>
      <c r="I2388" s="14"/>
      <c r="J2388" s="14" t="s">
        <v>1360</v>
      </c>
      <c r="K2388" s="14"/>
      <c r="L2388" s="14"/>
      <c r="M2388" s="14" t="s">
        <v>1613</v>
      </c>
      <c r="N2388" s="14" t="s">
        <v>1219</v>
      </c>
      <c r="O2388" s="14" t="s">
        <v>1220</v>
      </c>
    </row>
    <row r="2389" spans="1:15" x14ac:dyDescent="0.25">
      <c r="A2389" s="14" t="s">
        <v>5641</v>
      </c>
      <c r="B2389" s="14" t="s">
        <v>5642</v>
      </c>
      <c r="C2389" s="14" t="s">
        <v>5642</v>
      </c>
      <c r="D2389" s="14" t="s">
        <v>1349</v>
      </c>
      <c r="E2389" s="15"/>
      <c r="F2389" s="14" t="s">
        <v>1611</v>
      </c>
      <c r="G2389" s="15"/>
      <c r="H2389" s="14" t="s">
        <v>1612</v>
      </c>
      <c r="I2389" s="14"/>
      <c r="J2389" s="14" t="s">
        <v>1360</v>
      </c>
      <c r="K2389" s="14"/>
      <c r="L2389" s="14"/>
      <c r="M2389" s="14" t="s">
        <v>1613</v>
      </c>
      <c r="N2389" s="14" t="s">
        <v>1219</v>
      </c>
      <c r="O2389" s="14" t="s">
        <v>1220</v>
      </c>
    </row>
    <row r="2390" spans="1:15" x14ac:dyDescent="0.25">
      <c r="A2390" s="14" t="s">
        <v>5643</v>
      </c>
      <c r="B2390" s="14" t="s">
        <v>5644</v>
      </c>
      <c r="C2390" s="14" t="s">
        <v>5644</v>
      </c>
      <c r="D2390" s="14" t="s">
        <v>1349</v>
      </c>
      <c r="E2390" s="15"/>
      <c r="F2390" s="14" t="s">
        <v>1611</v>
      </c>
      <c r="G2390" s="15"/>
      <c r="H2390" s="14" t="s">
        <v>1612</v>
      </c>
      <c r="I2390" s="14"/>
      <c r="J2390" s="14" t="s">
        <v>1360</v>
      </c>
      <c r="K2390" s="14"/>
      <c r="L2390" s="14"/>
      <c r="M2390" s="14" t="s">
        <v>1613</v>
      </c>
      <c r="N2390" s="14" t="s">
        <v>1219</v>
      </c>
      <c r="O2390" s="14" t="s">
        <v>1220</v>
      </c>
    </row>
    <row r="2391" spans="1:15" x14ac:dyDescent="0.25">
      <c r="A2391" s="14" t="s">
        <v>5645</v>
      </c>
      <c r="B2391" s="14" t="s">
        <v>5646</v>
      </c>
      <c r="C2391" s="14" t="s">
        <v>5646</v>
      </c>
      <c r="D2391" s="14" t="s">
        <v>1349</v>
      </c>
      <c r="E2391" s="15"/>
      <c r="F2391" s="14" t="s">
        <v>1611</v>
      </c>
      <c r="G2391" s="15"/>
      <c r="H2391" s="14" t="s">
        <v>1612</v>
      </c>
      <c r="I2391" s="14"/>
      <c r="J2391" s="14" t="s">
        <v>1360</v>
      </c>
      <c r="K2391" s="14"/>
      <c r="L2391" s="14"/>
      <c r="M2391" s="14" t="s">
        <v>1613</v>
      </c>
      <c r="N2391" s="14" t="s">
        <v>1219</v>
      </c>
      <c r="O2391" s="14" t="s">
        <v>1220</v>
      </c>
    </row>
    <row r="2392" spans="1:15" x14ac:dyDescent="0.25">
      <c r="A2392" s="14" t="s">
        <v>5647</v>
      </c>
      <c r="B2392" s="14" t="s">
        <v>5648</v>
      </c>
      <c r="C2392" s="14" t="s">
        <v>5648</v>
      </c>
      <c r="D2392" s="14" t="s">
        <v>1349</v>
      </c>
      <c r="E2392" s="15"/>
      <c r="F2392" s="14" t="s">
        <v>1611</v>
      </c>
      <c r="G2392" s="15"/>
      <c r="H2392" s="14" t="s">
        <v>1612</v>
      </c>
      <c r="I2392" s="14"/>
      <c r="J2392" s="14" t="s">
        <v>1360</v>
      </c>
      <c r="K2392" s="14"/>
      <c r="L2392" s="14"/>
      <c r="M2392" s="14" t="s">
        <v>1613</v>
      </c>
      <c r="N2392" s="14" t="s">
        <v>1219</v>
      </c>
      <c r="O2392" s="14" t="s">
        <v>1220</v>
      </c>
    </row>
    <row r="2393" spans="1:15" x14ac:dyDescent="0.25">
      <c r="A2393" s="14" t="s">
        <v>5649</v>
      </c>
      <c r="B2393" s="14" t="s">
        <v>5650</v>
      </c>
      <c r="C2393" s="14" t="s">
        <v>5650</v>
      </c>
      <c r="D2393" s="14" t="s">
        <v>1349</v>
      </c>
      <c r="E2393" s="15"/>
      <c r="F2393" s="14" t="s">
        <v>1611</v>
      </c>
      <c r="G2393" s="15"/>
      <c r="H2393" s="14" t="s">
        <v>1612</v>
      </c>
      <c r="I2393" s="14"/>
      <c r="J2393" s="14" t="s">
        <v>1360</v>
      </c>
      <c r="K2393" s="14"/>
      <c r="L2393" s="14"/>
      <c r="M2393" s="14" t="s">
        <v>1613</v>
      </c>
      <c r="N2393" s="14" t="s">
        <v>1219</v>
      </c>
      <c r="O2393" s="14" t="s">
        <v>1220</v>
      </c>
    </row>
    <row r="2394" spans="1:15" x14ac:dyDescent="0.25">
      <c r="A2394" s="14" t="s">
        <v>5651</v>
      </c>
      <c r="B2394" s="14" t="s">
        <v>5652</v>
      </c>
      <c r="C2394" s="14" t="s">
        <v>5652</v>
      </c>
      <c r="D2394" s="14" t="s">
        <v>1349</v>
      </c>
      <c r="E2394" s="15"/>
      <c r="F2394" s="14" t="s">
        <v>1611</v>
      </c>
      <c r="G2394" s="15"/>
      <c r="H2394" s="14" t="s">
        <v>1612</v>
      </c>
      <c r="I2394" s="14"/>
      <c r="J2394" s="14" t="s">
        <v>1360</v>
      </c>
      <c r="K2394" s="14"/>
      <c r="L2394" s="14"/>
      <c r="M2394" s="14" t="s">
        <v>1613</v>
      </c>
      <c r="N2394" s="14" t="s">
        <v>1219</v>
      </c>
      <c r="O2394" s="14" t="s">
        <v>1220</v>
      </c>
    </row>
    <row r="2395" spans="1:15" x14ac:dyDescent="0.25">
      <c r="A2395" s="14" t="s">
        <v>5653</v>
      </c>
      <c r="B2395" s="14" t="s">
        <v>5654</v>
      </c>
      <c r="C2395" s="14" t="s">
        <v>5655</v>
      </c>
      <c r="D2395" s="14" t="s">
        <v>1349</v>
      </c>
      <c r="E2395" s="15"/>
      <c r="F2395" s="14" t="s">
        <v>1611</v>
      </c>
      <c r="G2395" s="15"/>
      <c r="H2395" s="14" t="s">
        <v>1612</v>
      </c>
      <c r="I2395" s="14"/>
      <c r="J2395" s="14" t="s">
        <v>1360</v>
      </c>
      <c r="K2395" s="14"/>
      <c r="L2395" s="14"/>
      <c r="M2395" s="14" t="s">
        <v>1613</v>
      </c>
      <c r="N2395" s="14" t="s">
        <v>1219</v>
      </c>
      <c r="O2395" s="14" t="s">
        <v>1220</v>
      </c>
    </row>
    <row r="2396" spans="1:15" x14ac:dyDescent="0.25">
      <c r="A2396" s="14" t="s">
        <v>5656</v>
      </c>
      <c r="B2396" s="14" t="s">
        <v>5657</v>
      </c>
      <c r="C2396" s="14" t="s">
        <v>5657</v>
      </c>
      <c r="D2396" s="14" t="s">
        <v>1349</v>
      </c>
      <c r="E2396" s="15"/>
      <c r="F2396" s="14" t="s">
        <v>1611</v>
      </c>
      <c r="G2396" s="15"/>
      <c r="H2396" s="14" t="s">
        <v>1612</v>
      </c>
      <c r="I2396" s="14"/>
      <c r="J2396" s="14" t="s">
        <v>1360</v>
      </c>
      <c r="K2396" s="14"/>
      <c r="L2396" s="14"/>
      <c r="M2396" s="14" t="s">
        <v>1613</v>
      </c>
      <c r="N2396" s="14" t="s">
        <v>1219</v>
      </c>
      <c r="O2396" s="14" t="s">
        <v>1220</v>
      </c>
    </row>
    <row r="2397" spans="1:15" x14ac:dyDescent="0.25">
      <c r="A2397" s="14" t="s">
        <v>5658</v>
      </c>
      <c r="B2397" s="14" t="s">
        <v>5659</v>
      </c>
      <c r="C2397" s="14" t="s">
        <v>5659</v>
      </c>
      <c r="D2397" s="14" t="s">
        <v>1349</v>
      </c>
      <c r="E2397" s="15"/>
      <c r="F2397" s="14" t="s">
        <v>1611</v>
      </c>
      <c r="G2397" s="15"/>
      <c r="H2397" s="14" t="s">
        <v>1612</v>
      </c>
      <c r="I2397" s="14"/>
      <c r="J2397" s="14" t="s">
        <v>1360</v>
      </c>
      <c r="K2397" s="14"/>
      <c r="L2397" s="14"/>
      <c r="M2397" s="14" t="s">
        <v>1613</v>
      </c>
      <c r="N2397" s="14" t="s">
        <v>1219</v>
      </c>
      <c r="O2397" s="14" t="s">
        <v>1220</v>
      </c>
    </row>
    <row r="2398" spans="1:15" x14ac:dyDescent="0.25">
      <c r="A2398" s="14" t="s">
        <v>5660</v>
      </c>
      <c r="B2398" s="14" t="s">
        <v>5661</v>
      </c>
      <c r="C2398" s="14" t="s">
        <v>5661</v>
      </c>
      <c r="D2398" s="14" t="s">
        <v>1349</v>
      </c>
      <c r="E2398" s="15"/>
      <c r="F2398" s="14" t="s">
        <v>1611</v>
      </c>
      <c r="G2398" s="15"/>
      <c r="H2398" s="14" t="s">
        <v>1612</v>
      </c>
      <c r="I2398" s="14"/>
      <c r="J2398" s="14" t="s">
        <v>1360</v>
      </c>
      <c r="K2398" s="14"/>
      <c r="L2398" s="14"/>
      <c r="M2398" s="14" t="s">
        <v>1613</v>
      </c>
      <c r="N2398" s="14" t="s">
        <v>1219</v>
      </c>
      <c r="O2398" s="14" t="s">
        <v>1220</v>
      </c>
    </row>
    <row r="2399" spans="1:15" x14ac:dyDescent="0.25">
      <c r="A2399" s="14" t="s">
        <v>5662</v>
      </c>
      <c r="B2399" s="14" t="s">
        <v>5663</v>
      </c>
      <c r="C2399" s="14" t="s">
        <v>5663</v>
      </c>
      <c r="D2399" s="14" t="s">
        <v>1349</v>
      </c>
      <c r="E2399" s="15"/>
      <c r="F2399" s="14" t="s">
        <v>1611</v>
      </c>
      <c r="G2399" s="15"/>
      <c r="H2399" s="14" t="s">
        <v>1612</v>
      </c>
      <c r="I2399" s="14"/>
      <c r="J2399" s="14" t="s">
        <v>1360</v>
      </c>
      <c r="K2399" s="14"/>
      <c r="L2399" s="14"/>
      <c r="M2399" s="14" t="s">
        <v>1613</v>
      </c>
      <c r="N2399" s="14" t="s">
        <v>1219</v>
      </c>
      <c r="O2399" s="14" t="s">
        <v>1220</v>
      </c>
    </row>
    <row r="2400" spans="1:15" x14ac:dyDescent="0.25">
      <c r="A2400" s="14" t="s">
        <v>5664</v>
      </c>
      <c r="B2400" s="14" t="s">
        <v>5665</v>
      </c>
      <c r="C2400" s="14" t="s">
        <v>5665</v>
      </c>
      <c r="D2400" s="14" t="s">
        <v>1349</v>
      </c>
      <c r="E2400" s="15"/>
      <c r="F2400" s="14" t="s">
        <v>1611</v>
      </c>
      <c r="G2400" s="15"/>
      <c r="H2400" s="14" t="s">
        <v>1612</v>
      </c>
      <c r="I2400" s="14"/>
      <c r="J2400" s="14" t="s">
        <v>1360</v>
      </c>
      <c r="K2400" s="14"/>
      <c r="L2400" s="14"/>
      <c r="M2400" s="14" t="s">
        <v>1613</v>
      </c>
      <c r="N2400" s="14" t="s">
        <v>1219</v>
      </c>
      <c r="O2400" s="14" t="s">
        <v>1220</v>
      </c>
    </row>
    <row r="2401" spans="1:15" x14ac:dyDescent="0.25">
      <c r="A2401" s="14" t="s">
        <v>5666</v>
      </c>
      <c r="B2401" s="14" t="s">
        <v>5667</v>
      </c>
      <c r="C2401" s="14" t="s">
        <v>5667</v>
      </c>
      <c r="D2401" s="14" t="s">
        <v>1349</v>
      </c>
      <c r="E2401" s="15"/>
      <c r="F2401" s="14" t="s">
        <v>1611</v>
      </c>
      <c r="G2401" s="15"/>
      <c r="H2401" s="14" t="s">
        <v>1612</v>
      </c>
      <c r="I2401" s="14"/>
      <c r="J2401" s="14" t="s">
        <v>1360</v>
      </c>
      <c r="K2401" s="14"/>
      <c r="L2401" s="14"/>
      <c r="M2401" s="14" t="s">
        <v>1613</v>
      </c>
      <c r="N2401" s="14" t="s">
        <v>1219</v>
      </c>
      <c r="O2401" s="14" t="s">
        <v>1220</v>
      </c>
    </row>
    <row r="2402" spans="1:15" x14ac:dyDescent="0.25">
      <c r="A2402" s="14" t="s">
        <v>5668</v>
      </c>
      <c r="B2402" s="14" t="s">
        <v>5669</v>
      </c>
      <c r="C2402" s="14" t="s">
        <v>5669</v>
      </c>
      <c r="D2402" s="14" t="s">
        <v>1349</v>
      </c>
      <c r="E2402" s="15"/>
      <c r="F2402" s="14" t="s">
        <v>1611</v>
      </c>
      <c r="G2402" s="15"/>
      <c r="H2402" s="14" t="s">
        <v>1612</v>
      </c>
      <c r="I2402" s="14"/>
      <c r="J2402" s="14" t="s">
        <v>1360</v>
      </c>
      <c r="K2402" s="14"/>
      <c r="L2402" s="14"/>
      <c r="M2402" s="14" t="s">
        <v>1613</v>
      </c>
      <c r="N2402" s="14" t="s">
        <v>1219</v>
      </c>
      <c r="O2402" s="14" t="s">
        <v>1220</v>
      </c>
    </row>
    <row r="2403" spans="1:15" x14ac:dyDescent="0.25">
      <c r="A2403" s="14" t="s">
        <v>5670</v>
      </c>
      <c r="B2403" s="14" t="s">
        <v>5671</v>
      </c>
      <c r="C2403" s="14" t="s">
        <v>5671</v>
      </c>
      <c r="D2403" s="14" t="s">
        <v>1349</v>
      </c>
      <c r="E2403" s="15"/>
      <c r="F2403" s="14" t="s">
        <v>1611</v>
      </c>
      <c r="G2403" s="15"/>
      <c r="H2403" s="14" t="s">
        <v>1612</v>
      </c>
      <c r="I2403" s="14"/>
      <c r="J2403" s="14" t="s">
        <v>1360</v>
      </c>
      <c r="K2403" s="14"/>
      <c r="L2403" s="14"/>
      <c r="M2403" s="14" t="s">
        <v>1613</v>
      </c>
      <c r="N2403" s="14" t="s">
        <v>1219</v>
      </c>
      <c r="O2403" s="14" t="s">
        <v>1220</v>
      </c>
    </row>
    <row r="2404" spans="1:15" x14ac:dyDescent="0.25">
      <c r="A2404" s="14" t="s">
        <v>5672</v>
      </c>
      <c r="B2404" s="14" t="s">
        <v>5673</v>
      </c>
      <c r="C2404" s="14" t="s">
        <v>5673</v>
      </c>
      <c r="D2404" s="14" t="s">
        <v>1349</v>
      </c>
      <c r="E2404" s="15"/>
      <c r="F2404" s="14" t="s">
        <v>1611</v>
      </c>
      <c r="G2404" s="15"/>
      <c r="H2404" s="14" t="s">
        <v>1612</v>
      </c>
      <c r="I2404" s="14"/>
      <c r="J2404" s="14" t="s">
        <v>1360</v>
      </c>
      <c r="K2404" s="14"/>
      <c r="L2404" s="14"/>
      <c r="M2404" s="14" t="s">
        <v>1613</v>
      </c>
      <c r="N2404" s="14" t="s">
        <v>1219</v>
      </c>
      <c r="O2404" s="14" t="s">
        <v>1220</v>
      </c>
    </row>
    <row r="2405" spans="1:15" x14ac:dyDescent="0.25">
      <c r="A2405" s="14" t="s">
        <v>5674</v>
      </c>
      <c r="B2405" s="14" t="s">
        <v>5675</v>
      </c>
      <c r="C2405" s="14" t="s">
        <v>5675</v>
      </c>
      <c r="D2405" s="14" t="s">
        <v>1349</v>
      </c>
      <c r="E2405" s="15"/>
      <c r="F2405" s="14" t="s">
        <v>1611</v>
      </c>
      <c r="G2405" s="15"/>
      <c r="H2405" s="14" t="s">
        <v>1612</v>
      </c>
      <c r="I2405" s="14"/>
      <c r="J2405" s="14" t="s">
        <v>1360</v>
      </c>
      <c r="K2405" s="14"/>
      <c r="L2405" s="14"/>
      <c r="M2405" s="14" t="s">
        <v>1613</v>
      </c>
      <c r="N2405" s="14" t="s">
        <v>1219</v>
      </c>
      <c r="O2405" s="14" t="s">
        <v>1220</v>
      </c>
    </row>
    <row r="2406" spans="1:15" x14ac:dyDescent="0.25">
      <c r="A2406" s="14" t="s">
        <v>5676</v>
      </c>
      <c r="B2406" s="14" t="s">
        <v>5677</v>
      </c>
      <c r="C2406" s="14" t="s">
        <v>5677</v>
      </c>
      <c r="D2406" s="14" t="s">
        <v>1349</v>
      </c>
      <c r="E2406" s="15"/>
      <c r="F2406" s="14" t="s">
        <v>1611</v>
      </c>
      <c r="G2406" s="15"/>
      <c r="H2406" s="14" t="s">
        <v>1612</v>
      </c>
      <c r="I2406" s="14"/>
      <c r="J2406" s="14" t="s">
        <v>1360</v>
      </c>
      <c r="K2406" s="14"/>
      <c r="L2406" s="14"/>
      <c r="M2406" s="14" t="s">
        <v>1613</v>
      </c>
      <c r="N2406" s="14" t="s">
        <v>1219</v>
      </c>
      <c r="O2406" s="14" t="s">
        <v>1220</v>
      </c>
    </row>
    <row r="2407" spans="1:15" x14ac:dyDescent="0.25">
      <c r="A2407" s="14" t="s">
        <v>5678</v>
      </c>
      <c r="B2407" s="14" t="s">
        <v>5679</v>
      </c>
      <c r="C2407" s="14" t="s">
        <v>5679</v>
      </c>
      <c r="D2407" s="14" t="s">
        <v>1349</v>
      </c>
      <c r="E2407" s="15"/>
      <c r="F2407" s="14" t="s">
        <v>1611</v>
      </c>
      <c r="G2407" s="15"/>
      <c r="H2407" s="14" t="s">
        <v>1612</v>
      </c>
      <c r="I2407" s="14"/>
      <c r="J2407" s="14" t="s">
        <v>1360</v>
      </c>
      <c r="K2407" s="14"/>
      <c r="L2407" s="14"/>
      <c r="M2407" s="14" t="s">
        <v>1613</v>
      </c>
      <c r="N2407" s="14" t="s">
        <v>1219</v>
      </c>
      <c r="O2407" s="14" t="s">
        <v>1220</v>
      </c>
    </row>
    <row r="2408" spans="1:15" x14ac:dyDescent="0.25">
      <c r="A2408" s="14" t="s">
        <v>5680</v>
      </c>
      <c r="B2408" s="14" t="s">
        <v>5681</v>
      </c>
      <c r="C2408" s="14" t="s">
        <v>5681</v>
      </c>
      <c r="D2408" s="14" t="s">
        <v>1349</v>
      </c>
      <c r="E2408" s="15"/>
      <c r="F2408" s="14" t="s">
        <v>1611</v>
      </c>
      <c r="G2408" s="15"/>
      <c r="H2408" s="14" t="s">
        <v>1612</v>
      </c>
      <c r="I2408" s="14"/>
      <c r="J2408" s="14" t="s">
        <v>1360</v>
      </c>
      <c r="K2408" s="14"/>
      <c r="L2408" s="14"/>
      <c r="M2408" s="14" t="s">
        <v>1613</v>
      </c>
      <c r="N2408" s="14" t="s">
        <v>1219</v>
      </c>
      <c r="O2408" s="14" t="s">
        <v>1220</v>
      </c>
    </row>
    <row r="2409" spans="1:15" x14ac:dyDescent="0.25">
      <c r="A2409" s="14" t="s">
        <v>5682</v>
      </c>
      <c r="B2409" s="14" t="s">
        <v>5683</v>
      </c>
      <c r="C2409" s="14" t="s">
        <v>5683</v>
      </c>
      <c r="D2409" s="14" t="s">
        <v>1349</v>
      </c>
      <c r="E2409" s="15"/>
      <c r="F2409" s="14" t="s">
        <v>1611</v>
      </c>
      <c r="G2409" s="15"/>
      <c r="H2409" s="14" t="s">
        <v>1612</v>
      </c>
      <c r="I2409" s="14"/>
      <c r="J2409" s="14" t="s">
        <v>1360</v>
      </c>
      <c r="K2409" s="14"/>
      <c r="L2409" s="14"/>
      <c r="M2409" s="14" t="s">
        <v>1613</v>
      </c>
      <c r="N2409" s="14" t="s">
        <v>1219</v>
      </c>
      <c r="O2409" s="14" t="s">
        <v>1220</v>
      </c>
    </row>
    <row r="2410" spans="1:15" x14ac:dyDescent="0.25">
      <c r="A2410" s="14" t="s">
        <v>5684</v>
      </c>
      <c r="B2410" s="14" t="s">
        <v>5685</v>
      </c>
      <c r="C2410" s="14" t="s">
        <v>5685</v>
      </c>
      <c r="D2410" s="14" t="s">
        <v>1349</v>
      </c>
      <c r="E2410" s="15"/>
      <c r="F2410" s="14" t="s">
        <v>1611</v>
      </c>
      <c r="G2410" s="15"/>
      <c r="H2410" s="14" t="s">
        <v>1612</v>
      </c>
      <c r="I2410" s="14"/>
      <c r="J2410" s="14" t="s">
        <v>1360</v>
      </c>
      <c r="K2410" s="14"/>
      <c r="L2410" s="14"/>
      <c r="M2410" s="14" t="s">
        <v>1613</v>
      </c>
      <c r="N2410" s="14" t="s">
        <v>1219</v>
      </c>
      <c r="O2410" s="14" t="s">
        <v>1220</v>
      </c>
    </row>
    <row r="2411" spans="1:15" x14ac:dyDescent="0.25">
      <c r="A2411" s="14" t="s">
        <v>5686</v>
      </c>
      <c r="B2411" s="14" t="s">
        <v>5687</v>
      </c>
      <c r="C2411" s="14" t="s">
        <v>5687</v>
      </c>
      <c r="D2411" s="14" t="s">
        <v>1349</v>
      </c>
      <c r="E2411" s="15"/>
      <c r="F2411" s="14" t="s">
        <v>1611</v>
      </c>
      <c r="G2411" s="15"/>
      <c r="H2411" s="14" t="s">
        <v>1612</v>
      </c>
      <c r="I2411" s="14"/>
      <c r="J2411" s="14" t="s">
        <v>1360</v>
      </c>
      <c r="K2411" s="14"/>
      <c r="L2411" s="14"/>
      <c r="M2411" s="14" t="s">
        <v>1613</v>
      </c>
      <c r="N2411" s="14" t="s">
        <v>1219</v>
      </c>
      <c r="O2411" s="14" t="s">
        <v>1220</v>
      </c>
    </row>
    <row r="2412" spans="1:15" x14ac:dyDescent="0.25">
      <c r="A2412" s="14" t="s">
        <v>5688</v>
      </c>
      <c r="B2412" s="14" t="s">
        <v>5689</v>
      </c>
      <c r="C2412" s="14" t="s">
        <v>5689</v>
      </c>
      <c r="D2412" s="14" t="s">
        <v>1349</v>
      </c>
      <c r="E2412" s="15"/>
      <c r="F2412" s="14" t="s">
        <v>1611</v>
      </c>
      <c r="G2412" s="15"/>
      <c r="H2412" s="14" t="s">
        <v>1612</v>
      </c>
      <c r="I2412" s="14"/>
      <c r="J2412" s="14" t="s">
        <v>1360</v>
      </c>
      <c r="K2412" s="14"/>
      <c r="L2412" s="14"/>
      <c r="M2412" s="14" t="s">
        <v>1613</v>
      </c>
      <c r="N2412" s="14" t="s">
        <v>1219</v>
      </c>
      <c r="O2412" s="14" t="s">
        <v>1220</v>
      </c>
    </row>
    <row r="2413" spans="1:15" x14ac:dyDescent="0.25">
      <c r="A2413" s="14" t="s">
        <v>5690</v>
      </c>
      <c r="B2413" s="14" t="s">
        <v>5691</v>
      </c>
      <c r="C2413" s="14" t="s">
        <v>5691</v>
      </c>
      <c r="D2413" s="14" t="s">
        <v>1349</v>
      </c>
      <c r="E2413" s="15"/>
      <c r="F2413" s="14" t="s">
        <v>1611</v>
      </c>
      <c r="G2413" s="15"/>
      <c r="H2413" s="14" t="s">
        <v>1612</v>
      </c>
      <c r="I2413" s="14"/>
      <c r="J2413" s="14" t="s">
        <v>1360</v>
      </c>
      <c r="K2413" s="14"/>
      <c r="L2413" s="14"/>
      <c r="M2413" s="14" t="s">
        <v>1613</v>
      </c>
      <c r="N2413" s="14" t="s">
        <v>1219</v>
      </c>
      <c r="O2413" s="14" t="s">
        <v>1220</v>
      </c>
    </row>
    <row r="2414" spans="1:15" x14ac:dyDescent="0.25">
      <c r="A2414" s="14" t="s">
        <v>5692</v>
      </c>
      <c r="B2414" s="14" t="s">
        <v>5693</v>
      </c>
      <c r="C2414" s="14" t="s">
        <v>5693</v>
      </c>
      <c r="D2414" s="14" t="s">
        <v>1349</v>
      </c>
      <c r="E2414" s="15"/>
      <c r="F2414" s="14" t="s">
        <v>1611</v>
      </c>
      <c r="G2414" s="15"/>
      <c r="H2414" s="14" t="s">
        <v>1612</v>
      </c>
      <c r="I2414" s="14"/>
      <c r="J2414" s="14" t="s">
        <v>1360</v>
      </c>
      <c r="K2414" s="14"/>
      <c r="L2414" s="14"/>
      <c r="M2414" s="14" t="s">
        <v>1613</v>
      </c>
      <c r="N2414" s="14" t="s">
        <v>1219</v>
      </c>
      <c r="O2414" s="14" t="s">
        <v>1220</v>
      </c>
    </row>
    <row r="2415" spans="1:15" x14ac:dyDescent="0.25">
      <c r="A2415" s="14" t="s">
        <v>5694</v>
      </c>
      <c r="B2415" s="14" t="s">
        <v>5695</v>
      </c>
      <c r="C2415" s="14" t="s">
        <v>5695</v>
      </c>
      <c r="D2415" s="14" t="s">
        <v>1349</v>
      </c>
      <c r="E2415" s="15"/>
      <c r="F2415" s="14" t="s">
        <v>1611</v>
      </c>
      <c r="G2415" s="15"/>
      <c r="H2415" s="14" t="s">
        <v>1612</v>
      </c>
      <c r="I2415" s="14"/>
      <c r="J2415" s="14" t="s">
        <v>1360</v>
      </c>
      <c r="K2415" s="14"/>
      <c r="L2415" s="14"/>
      <c r="M2415" s="14" t="s">
        <v>1613</v>
      </c>
      <c r="N2415" s="14" t="s">
        <v>1219</v>
      </c>
      <c r="O2415" s="14" t="s">
        <v>1220</v>
      </c>
    </row>
    <row r="2416" spans="1:15" x14ac:dyDescent="0.25">
      <c r="A2416" s="14" t="s">
        <v>5696</v>
      </c>
      <c r="B2416" s="14" t="s">
        <v>5697</v>
      </c>
      <c r="C2416" s="14" t="s">
        <v>5697</v>
      </c>
      <c r="D2416" s="14" t="s">
        <v>1349</v>
      </c>
      <c r="E2416" s="15"/>
      <c r="F2416" s="14" t="s">
        <v>1611</v>
      </c>
      <c r="G2416" s="15"/>
      <c r="H2416" s="14" t="s">
        <v>1612</v>
      </c>
      <c r="I2416" s="14"/>
      <c r="J2416" s="14" t="s">
        <v>1360</v>
      </c>
      <c r="K2416" s="14"/>
      <c r="L2416" s="14"/>
      <c r="M2416" s="14" t="s">
        <v>1613</v>
      </c>
      <c r="N2416" s="14" t="s">
        <v>1219</v>
      </c>
      <c r="O2416" s="14" t="s">
        <v>1220</v>
      </c>
    </row>
    <row r="2417" spans="1:15" x14ac:dyDescent="0.25">
      <c r="A2417" s="14" t="s">
        <v>5698</v>
      </c>
      <c r="B2417" s="14" t="s">
        <v>5699</v>
      </c>
      <c r="C2417" s="14" t="s">
        <v>5699</v>
      </c>
      <c r="D2417" s="14" t="s">
        <v>1349</v>
      </c>
      <c r="E2417" s="15"/>
      <c r="F2417" s="14" t="s">
        <v>1611</v>
      </c>
      <c r="G2417" s="15"/>
      <c r="H2417" s="14" t="s">
        <v>1612</v>
      </c>
      <c r="I2417" s="14"/>
      <c r="J2417" s="14" t="s">
        <v>1360</v>
      </c>
      <c r="K2417" s="14"/>
      <c r="L2417" s="14"/>
      <c r="M2417" s="14" t="s">
        <v>1613</v>
      </c>
      <c r="N2417" s="14" t="s">
        <v>1219</v>
      </c>
      <c r="O2417" s="14" t="s">
        <v>1220</v>
      </c>
    </row>
    <row r="2418" spans="1:15" x14ac:dyDescent="0.25">
      <c r="A2418" s="14" t="s">
        <v>5700</v>
      </c>
      <c r="B2418" s="14" t="s">
        <v>5701</v>
      </c>
      <c r="C2418" s="14" t="s">
        <v>5701</v>
      </c>
      <c r="D2418" s="14" t="s">
        <v>1349</v>
      </c>
      <c r="E2418" s="15"/>
      <c r="F2418" s="14" t="s">
        <v>1611</v>
      </c>
      <c r="G2418" s="15"/>
      <c r="H2418" s="14" t="s">
        <v>1612</v>
      </c>
      <c r="I2418" s="14"/>
      <c r="J2418" s="14" t="s">
        <v>1360</v>
      </c>
      <c r="K2418" s="14"/>
      <c r="L2418" s="14"/>
      <c r="M2418" s="14" t="s">
        <v>1613</v>
      </c>
      <c r="N2418" s="14" t="s">
        <v>1219</v>
      </c>
      <c r="O2418" s="14" t="s">
        <v>1220</v>
      </c>
    </row>
    <row r="2419" spans="1:15" x14ac:dyDescent="0.25">
      <c r="A2419" s="14" t="s">
        <v>5702</v>
      </c>
      <c r="B2419" s="14" t="s">
        <v>5703</v>
      </c>
      <c r="C2419" s="14" t="s">
        <v>5703</v>
      </c>
      <c r="D2419" s="14" t="s">
        <v>1349</v>
      </c>
      <c r="E2419" s="15"/>
      <c r="F2419" s="14" t="s">
        <v>1611</v>
      </c>
      <c r="G2419" s="15"/>
      <c r="H2419" s="14" t="s">
        <v>1612</v>
      </c>
      <c r="I2419" s="14"/>
      <c r="J2419" s="14" t="s">
        <v>1360</v>
      </c>
      <c r="K2419" s="14"/>
      <c r="L2419" s="14"/>
      <c r="M2419" s="14" t="s">
        <v>1613</v>
      </c>
      <c r="N2419" s="14" t="s">
        <v>1219</v>
      </c>
      <c r="O2419" s="14" t="s">
        <v>1220</v>
      </c>
    </row>
    <row r="2420" spans="1:15" x14ac:dyDescent="0.25">
      <c r="A2420" s="14" t="s">
        <v>5704</v>
      </c>
      <c r="B2420" s="14" t="s">
        <v>5705</v>
      </c>
      <c r="C2420" s="14" t="s">
        <v>5705</v>
      </c>
      <c r="D2420" s="14" t="s">
        <v>1349</v>
      </c>
      <c r="E2420" s="15"/>
      <c r="F2420" s="14" t="s">
        <v>1611</v>
      </c>
      <c r="G2420" s="15"/>
      <c r="H2420" s="14" t="s">
        <v>1612</v>
      </c>
      <c r="I2420" s="14"/>
      <c r="J2420" s="14" t="s">
        <v>1360</v>
      </c>
      <c r="K2420" s="14"/>
      <c r="L2420" s="14"/>
      <c r="M2420" s="14" t="s">
        <v>1613</v>
      </c>
      <c r="N2420" s="14" t="s">
        <v>1219</v>
      </c>
      <c r="O2420" s="14" t="s">
        <v>1220</v>
      </c>
    </row>
    <row r="2421" spans="1:15" x14ac:dyDescent="0.25">
      <c r="A2421" s="14" t="s">
        <v>5706</v>
      </c>
      <c r="B2421" s="14" t="s">
        <v>5707</v>
      </c>
      <c r="C2421" s="14" t="s">
        <v>5707</v>
      </c>
      <c r="D2421" s="14" t="s">
        <v>1349</v>
      </c>
      <c r="E2421" s="15"/>
      <c r="F2421" s="14" t="s">
        <v>1611</v>
      </c>
      <c r="G2421" s="15"/>
      <c r="H2421" s="14" t="s">
        <v>1612</v>
      </c>
      <c r="I2421" s="14"/>
      <c r="J2421" s="14" t="s">
        <v>1360</v>
      </c>
      <c r="K2421" s="14"/>
      <c r="L2421" s="14"/>
      <c r="M2421" s="14" t="s">
        <v>1613</v>
      </c>
      <c r="N2421" s="14" t="s">
        <v>1219</v>
      </c>
      <c r="O2421" s="14" t="s">
        <v>1220</v>
      </c>
    </row>
    <row r="2422" spans="1:15" x14ac:dyDescent="0.25">
      <c r="A2422" s="14" t="s">
        <v>5708</v>
      </c>
      <c r="B2422" s="14" t="s">
        <v>5709</v>
      </c>
      <c r="C2422" s="14" t="s">
        <v>5709</v>
      </c>
      <c r="D2422" s="14" t="s">
        <v>1349</v>
      </c>
      <c r="E2422" s="15"/>
      <c r="F2422" s="14" t="s">
        <v>1611</v>
      </c>
      <c r="G2422" s="15"/>
      <c r="H2422" s="14" t="s">
        <v>1612</v>
      </c>
      <c r="I2422" s="14"/>
      <c r="J2422" s="14" t="s">
        <v>1360</v>
      </c>
      <c r="K2422" s="14"/>
      <c r="L2422" s="14"/>
      <c r="M2422" s="14" t="s">
        <v>1613</v>
      </c>
      <c r="N2422" s="14" t="s">
        <v>1219</v>
      </c>
      <c r="O2422" s="14" t="s">
        <v>1220</v>
      </c>
    </row>
    <row r="2423" spans="1:15" x14ac:dyDescent="0.25">
      <c r="A2423" s="14" t="s">
        <v>5710</v>
      </c>
      <c r="B2423" s="14" t="s">
        <v>5711</v>
      </c>
      <c r="C2423" s="14" t="s">
        <v>5711</v>
      </c>
      <c r="D2423" s="14" t="s">
        <v>1349</v>
      </c>
      <c r="E2423" s="15"/>
      <c r="F2423" s="14" t="s">
        <v>1611</v>
      </c>
      <c r="G2423" s="15"/>
      <c r="H2423" s="14" t="s">
        <v>1612</v>
      </c>
      <c r="I2423" s="14"/>
      <c r="J2423" s="14" t="s">
        <v>1360</v>
      </c>
      <c r="K2423" s="14"/>
      <c r="L2423" s="14"/>
      <c r="M2423" s="14" t="s">
        <v>1613</v>
      </c>
      <c r="N2423" s="14" t="s">
        <v>1219</v>
      </c>
      <c r="O2423" s="14" t="s">
        <v>1220</v>
      </c>
    </row>
    <row r="2424" spans="1:15" x14ac:dyDescent="0.25">
      <c r="A2424" s="14" t="s">
        <v>5712</v>
      </c>
      <c r="B2424" s="14" t="s">
        <v>5713</v>
      </c>
      <c r="C2424" s="14" t="s">
        <v>5713</v>
      </c>
      <c r="D2424" s="14" t="s">
        <v>1349</v>
      </c>
      <c r="E2424" s="15"/>
      <c r="F2424" s="14" t="s">
        <v>1611</v>
      </c>
      <c r="G2424" s="15"/>
      <c r="H2424" s="14" t="s">
        <v>1612</v>
      </c>
      <c r="I2424" s="14"/>
      <c r="J2424" s="14" t="s">
        <v>1360</v>
      </c>
      <c r="K2424" s="14"/>
      <c r="L2424" s="14"/>
      <c r="M2424" s="14" t="s">
        <v>1613</v>
      </c>
      <c r="N2424" s="14" t="s">
        <v>1219</v>
      </c>
      <c r="O2424" s="14" t="s">
        <v>1220</v>
      </c>
    </row>
    <row r="2425" spans="1:15" x14ac:dyDescent="0.25">
      <c r="A2425" s="14" t="s">
        <v>5714</v>
      </c>
      <c r="B2425" s="14" t="s">
        <v>5715</v>
      </c>
      <c r="C2425" s="14" t="s">
        <v>5715</v>
      </c>
      <c r="D2425" s="14" t="s">
        <v>1349</v>
      </c>
      <c r="E2425" s="15"/>
      <c r="F2425" s="14" t="s">
        <v>1611</v>
      </c>
      <c r="G2425" s="15"/>
      <c r="H2425" s="14" t="s">
        <v>1612</v>
      </c>
      <c r="I2425" s="14"/>
      <c r="J2425" s="14" t="s">
        <v>1360</v>
      </c>
      <c r="K2425" s="14"/>
      <c r="L2425" s="14"/>
      <c r="M2425" s="14" t="s">
        <v>1613</v>
      </c>
      <c r="N2425" s="14" t="s">
        <v>1219</v>
      </c>
      <c r="O2425" s="14" t="s">
        <v>1220</v>
      </c>
    </row>
    <row r="2426" spans="1:15" x14ac:dyDescent="0.25">
      <c r="A2426" s="14" t="s">
        <v>5716</v>
      </c>
      <c r="B2426" s="14" t="s">
        <v>5717</v>
      </c>
      <c r="C2426" s="14" t="s">
        <v>5718</v>
      </c>
      <c r="D2426" s="14" t="s">
        <v>1349</v>
      </c>
      <c r="E2426" s="15"/>
      <c r="F2426" s="14" t="s">
        <v>1611</v>
      </c>
      <c r="G2426" s="15"/>
      <c r="H2426" s="14" t="s">
        <v>1612</v>
      </c>
      <c r="I2426" s="14"/>
      <c r="J2426" s="14" t="s">
        <v>1360</v>
      </c>
      <c r="K2426" s="14"/>
      <c r="L2426" s="14"/>
      <c r="M2426" s="14" t="s">
        <v>1613</v>
      </c>
      <c r="N2426" s="14" t="s">
        <v>1219</v>
      </c>
      <c r="O2426" s="14" t="s">
        <v>1220</v>
      </c>
    </row>
    <row r="2427" spans="1:15" x14ac:dyDescent="0.25">
      <c r="A2427" s="14" t="s">
        <v>5719</v>
      </c>
      <c r="B2427" s="14" t="s">
        <v>5720</v>
      </c>
      <c r="C2427" s="14" t="s">
        <v>5720</v>
      </c>
      <c r="D2427" s="14" t="s">
        <v>1349</v>
      </c>
      <c r="E2427" s="15"/>
      <c r="F2427" s="14" t="s">
        <v>1611</v>
      </c>
      <c r="G2427" s="15"/>
      <c r="H2427" s="14" t="s">
        <v>1612</v>
      </c>
      <c r="I2427" s="14"/>
      <c r="J2427" s="14" t="s">
        <v>1360</v>
      </c>
      <c r="K2427" s="14"/>
      <c r="L2427" s="14"/>
      <c r="M2427" s="14" t="s">
        <v>1613</v>
      </c>
      <c r="N2427" s="14" t="s">
        <v>1219</v>
      </c>
      <c r="O2427" s="14" t="s">
        <v>1220</v>
      </c>
    </row>
    <row r="2428" spans="1:15" x14ac:dyDescent="0.25">
      <c r="A2428" s="14" t="s">
        <v>5721</v>
      </c>
      <c r="B2428" s="14" t="s">
        <v>5722</v>
      </c>
      <c r="C2428" s="14" t="s">
        <v>5722</v>
      </c>
      <c r="D2428" s="14" t="s">
        <v>1349</v>
      </c>
      <c r="E2428" s="15"/>
      <c r="F2428" s="14" t="s">
        <v>1611</v>
      </c>
      <c r="G2428" s="15"/>
      <c r="H2428" s="14" t="s">
        <v>1612</v>
      </c>
      <c r="I2428" s="14"/>
      <c r="J2428" s="14" t="s">
        <v>1360</v>
      </c>
      <c r="K2428" s="14"/>
      <c r="L2428" s="14"/>
      <c r="M2428" s="14" t="s">
        <v>1613</v>
      </c>
      <c r="N2428" s="14" t="s">
        <v>1219</v>
      </c>
      <c r="O2428" s="14" t="s">
        <v>1220</v>
      </c>
    </row>
    <row r="2429" spans="1:15" x14ac:dyDescent="0.25">
      <c r="A2429" s="14" t="s">
        <v>5723</v>
      </c>
      <c r="B2429" s="14" t="s">
        <v>5724</v>
      </c>
      <c r="C2429" s="14" t="s">
        <v>5724</v>
      </c>
      <c r="D2429" s="14" t="s">
        <v>1349</v>
      </c>
      <c r="E2429" s="15"/>
      <c r="F2429" s="14" t="s">
        <v>1611</v>
      </c>
      <c r="G2429" s="15"/>
      <c r="H2429" s="14" t="s">
        <v>1612</v>
      </c>
      <c r="I2429" s="14"/>
      <c r="J2429" s="14" t="s">
        <v>1360</v>
      </c>
      <c r="K2429" s="14"/>
      <c r="L2429" s="14"/>
      <c r="M2429" s="14" t="s">
        <v>1613</v>
      </c>
      <c r="N2429" s="14" t="s">
        <v>1219</v>
      </c>
      <c r="O2429" s="14" t="s">
        <v>1220</v>
      </c>
    </row>
    <row r="2430" spans="1:15" x14ac:dyDescent="0.25">
      <c r="A2430" s="14" t="s">
        <v>5725</v>
      </c>
      <c r="B2430" s="14" t="s">
        <v>5726</v>
      </c>
      <c r="C2430" s="14" t="s">
        <v>5726</v>
      </c>
      <c r="D2430" s="14" t="s">
        <v>1349</v>
      </c>
      <c r="E2430" s="15"/>
      <c r="F2430" s="14" t="s">
        <v>1611</v>
      </c>
      <c r="G2430" s="15"/>
      <c r="H2430" s="14" t="s">
        <v>1612</v>
      </c>
      <c r="I2430" s="14"/>
      <c r="J2430" s="14" t="s">
        <v>1360</v>
      </c>
      <c r="K2430" s="14"/>
      <c r="L2430" s="14"/>
      <c r="M2430" s="14" t="s">
        <v>1613</v>
      </c>
      <c r="N2430" s="14" t="s">
        <v>1219</v>
      </c>
      <c r="O2430" s="14" t="s">
        <v>1220</v>
      </c>
    </row>
    <row r="2431" spans="1:15" x14ac:dyDescent="0.25">
      <c r="A2431" s="14" t="s">
        <v>5727</v>
      </c>
      <c r="B2431" s="14" t="s">
        <v>5728</v>
      </c>
      <c r="C2431" s="14" t="s">
        <v>5728</v>
      </c>
      <c r="D2431" s="14" t="s">
        <v>1349</v>
      </c>
      <c r="E2431" s="15"/>
      <c r="F2431" s="14" t="s">
        <v>1611</v>
      </c>
      <c r="G2431" s="15"/>
      <c r="H2431" s="14" t="s">
        <v>1612</v>
      </c>
      <c r="I2431" s="14"/>
      <c r="J2431" s="14" t="s">
        <v>1360</v>
      </c>
      <c r="K2431" s="14"/>
      <c r="L2431" s="14"/>
      <c r="M2431" s="14" t="s">
        <v>1613</v>
      </c>
      <c r="N2431" s="14" t="s">
        <v>1219</v>
      </c>
      <c r="O2431" s="14" t="s">
        <v>1220</v>
      </c>
    </row>
    <row r="2432" spans="1:15" x14ac:dyDescent="0.25">
      <c r="A2432" s="14" t="s">
        <v>5729</v>
      </c>
      <c r="B2432" s="14" t="s">
        <v>5730</v>
      </c>
      <c r="C2432" s="14" t="s">
        <v>5730</v>
      </c>
      <c r="D2432" s="14" t="s">
        <v>1349</v>
      </c>
      <c r="E2432" s="15"/>
      <c r="F2432" s="14" t="s">
        <v>1611</v>
      </c>
      <c r="G2432" s="15"/>
      <c r="H2432" s="14" t="s">
        <v>1612</v>
      </c>
      <c r="I2432" s="14"/>
      <c r="J2432" s="14" t="s">
        <v>1360</v>
      </c>
      <c r="K2432" s="14"/>
      <c r="L2432" s="14"/>
      <c r="M2432" s="14" t="s">
        <v>1613</v>
      </c>
      <c r="N2432" s="14" t="s">
        <v>1219</v>
      </c>
      <c r="O2432" s="14" t="s">
        <v>1220</v>
      </c>
    </row>
    <row r="2433" spans="1:15" x14ac:dyDescent="0.25">
      <c r="A2433" s="14" t="s">
        <v>5731</v>
      </c>
      <c r="B2433" s="14" t="s">
        <v>5732</v>
      </c>
      <c r="C2433" s="14" t="s">
        <v>5732</v>
      </c>
      <c r="D2433" s="14" t="s">
        <v>1349</v>
      </c>
      <c r="E2433" s="15"/>
      <c r="F2433" s="14" t="s">
        <v>1611</v>
      </c>
      <c r="G2433" s="15"/>
      <c r="H2433" s="14" t="s">
        <v>1612</v>
      </c>
      <c r="I2433" s="14"/>
      <c r="J2433" s="14" t="s">
        <v>1360</v>
      </c>
      <c r="K2433" s="14"/>
      <c r="L2433" s="14"/>
      <c r="M2433" s="14" t="s">
        <v>1613</v>
      </c>
      <c r="N2433" s="14" t="s">
        <v>1219</v>
      </c>
      <c r="O2433" s="14" t="s">
        <v>1220</v>
      </c>
    </row>
    <row r="2434" spans="1:15" x14ac:dyDescent="0.25">
      <c r="A2434" s="14" t="s">
        <v>5733</v>
      </c>
      <c r="B2434" s="14" t="s">
        <v>5734</v>
      </c>
      <c r="C2434" s="14" t="s">
        <v>5734</v>
      </c>
      <c r="D2434" s="14" t="s">
        <v>1349</v>
      </c>
      <c r="E2434" s="15"/>
      <c r="F2434" s="14" t="s">
        <v>1611</v>
      </c>
      <c r="G2434" s="15"/>
      <c r="H2434" s="14" t="s">
        <v>1612</v>
      </c>
      <c r="I2434" s="14"/>
      <c r="J2434" s="14" t="s">
        <v>1360</v>
      </c>
      <c r="K2434" s="14"/>
      <c r="L2434" s="14"/>
      <c r="M2434" s="14" t="s">
        <v>1613</v>
      </c>
      <c r="N2434" s="14" t="s">
        <v>1219</v>
      </c>
      <c r="O2434" s="14" t="s">
        <v>1220</v>
      </c>
    </row>
    <row r="2435" spans="1:15" x14ac:dyDescent="0.25">
      <c r="A2435" s="14" t="s">
        <v>5735</v>
      </c>
      <c r="B2435" s="14" t="s">
        <v>5736</v>
      </c>
      <c r="C2435" s="14" t="s">
        <v>5736</v>
      </c>
      <c r="D2435" s="14" t="s">
        <v>1349</v>
      </c>
      <c r="E2435" s="15"/>
      <c r="F2435" s="14" t="s">
        <v>1611</v>
      </c>
      <c r="G2435" s="15"/>
      <c r="H2435" s="14" t="s">
        <v>1612</v>
      </c>
      <c r="I2435" s="14"/>
      <c r="J2435" s="14" t="s">
        <v>1360</v>
      </c>
      <c r="K2435" s="14"/>
      <c r="L2435" s="14"/>
      <c r="M2435" s="14" t="s">
        <v>1613</v>
      </c>
      <c r="N2435" s="14" t="s">
        <v>1219</v>
      </c>
      <c r="O2435" s="14" t="s">
        <v>1220</v>
      </c>
    </row>
    <row r="2436" spans="1:15" x14ac:dyDescent="0.25">
      <c r="A2436" s="14" t="s">
        <v>5737</v>
      </c>
      <c r="B2436" s="14" t="s">
        <v>5738</v>
      </c>
      <c r="C2436" s="14" t="s">
        <v>5738</v>
      </c>
      <c r="D2436" s="14" t="s">
        <v>1349</v>
      </c>
      <c r="E2436" s="15"/>
      <c r="F2436" s="14" t="s">
        <v>1611</v>
      </c>
      <c r="G2436" s="15"/>
      <c r="H2436" s="14" t="s">
        <v>1612</v>
      </c>
      <c r="I2436" s="14"/>
      <c r="J2436" s="14" t="s">
        <v>1360</v>
      </c>
      <c r="K2436" s="14"/>
      <c r="L2436" s="14"/>
      <c r="M2436" s="14" t="s">
        <v>1613</v>
      </c>
      <c r="N2436" s="14" t="s">
        <v>1219</v>
      </c>
      <c r="O2436" s="14" t="s">
        <v>1220</v>
      </c>
    </row>
    <row r="2437" spans="1:15" x14ac:dyDescent="0.25">
      <c r="A2437" s="14" t="s">
        <v>5739</v>
      </c>
      <c r="B2437" s="14" t="s">
        <v>5740</v>
      </c>
      <c r="C2437" s="14" t="s">
        <v>5740</v>
      </c>
      <c r="D2437" s="14" t="s">
        <v>1349</v>
      </c>
      <c r="E2437" s="15"/>
      <c r="F2437" s="14" t="s">
        <v>1611</v>
      </c>
      <c r="G2437" s="15"/>
      <c r="H2437" s="14" t="s">
        <v>1612</v>
      </c>
      <c r="I2437" s="14"/>
      <c r="J2437" s="14" t="s">
        <v>1360</v>
      </c>
      <c r="K2437" s="14"/>
      <c r="L2437" s="14"/>
      <c r="M2437" s="14" t="s">
        <v>1613</v>
      </c>
      <c r="N2437" s="14" t="s">
        <v>1219</v>
      </c>
      <c r="O2437" s="14" t="s">
        <v>1220</v>
      </c>
    </row>
    <row r="2438" spans="1:15" x14ac:dyDescent="0.25">
      <c r="A2438" s="14" t="s">
        <v>5741</v>
      </c>
      <c r="B2438" s="14" t="s">
        <v>5742</v>
      </c>
      <c r="C2438" s="14" t="s">
        <v>5742</v>
      </c>
      <c r="D2438" s="14" t="s">
        <v>1349</v>
      </c>
      <c r="E2438" s="15"/>
      <c r="F2438" s="14" t="s">
        <v>1611</v>
      </c>
      <c r="G2438" s="15"/>
      <c r="H2438" s="14" t="s">
        <v>1612</v>
      </c>
      <c r="I2438" s="14"/>
      <c r="J2438" s="14" t="s">
        <v>1360</v>
      </c>
      <c r="K2438" s="14"/>
      <c r="L2438" s="14"/>
      <c r="M2438" s="14" t="s">
        <v>1613</v>
      </c>
      <c r="N2438" s="14" t="s">
        <v>1219</v>
      </c>
      <c r="O2438" s="14" t="s">
        <v>1220</v>
      </c>
    </row>
    <row r="2439" spans="1:15" x14ac:dyDescent="0.25">
      <c r="A2439" s="14" t="s">
        <v>5743</v>
      </c>
      <c r="B2439" s="14" t="s">
        <v>5744</v>
      </c>
      <c r="C2439" s="14" t="s">
        <v>5744</v>
      </c>
      <c r="D2439" s="14" t="s">
        <v>1349</v>
      </c>
      <c r="E2439" s="15"/>
      <c r="F2439" s="14" t="s">
        <v>1611</v>
      </c>
      <c r="G2439" s="15"/>
      <c r="H2439" s="14" t="s">
        <v>1612</v>
      </c>
      <c r="I2439" s="14"/>
      <c r="J2439" s="14" t="s">
        <v>1360</v>
      </c>
      <c r="K2439" s="14"/>
      <c r="L2439" s="14"/>
      <c r="M2439" s="14" t="s">
        <v>1613</v>
      </c>
      <c r="N2439" s="14" t="s">
        <v>1219</v>
      </c>
      <c r="O2439" s="14" t="s">
        <v>1220</v>
      </c>
    </row>
    <row r="2440" spans="1:15" x14ac:dyDescent="0.25">
      <c r="A2440" s="14" t="s">
        <v>5745</v>
      </c>
      <c r="B2440" s="14" t="s">
        <v>5746</v>
      </c>
      <c r="C2440" s="14" t="s">
        <v>5746</v>
      </c>
      <c r="D2440" s="14" t="s">
        <v>1349</v>
      </c>
      <c r="E2440" s="15"/>
      <c r="F2440" s="14" t="s">
        <v>1611</v>
      </c>
      <c r="G2440" s="15"/>
      <c r="H2440" s="14" t="s">
        <v>1612</v>
      </c>
      <c r="I2440" s="14"/>
      <c r="J2440" s="14" t="s">
        <v>1360</v>
      </c>
      <c r="K2440" s="14"/>
      <c r="L2440" s="14"/>
      <c r="M2440" s="14" t="s">
        <v>1613</v>
      </c>
      <c r="N2440" s="14" t="s">
        <v>1219</v>
      </c>
      <c r="O2440" s="14" t="s">
        <v>1220</v>
      </c>
    </row>
    <row r="2441" spans="1:15" x14ac:dyDescent="0.25">
      <c r="A2441" s="14" t="s">
        <v>5747</v>
      </c>
      <c r="B2441" s="14" t="s">
        <v>5748</v>
      </c>
      <c r="C2441" s="14" t="s">
        <v>5748</v>
      </c>
      <c r="D2441" s="14" t="s">
        <v>1349</v>
      </c>
      <c r="E2441" s="15"/>
      <c r="F2441" s="14" t="s">
        <v>1611</v>
      </c>
      <c r="G2441" s="15"/>
      <c r="H2441" s="14" t="s">
        <v>1612</v>
      </c>
      <c r="I2441" s="14"/>
      <c r="J2441" s="14" t="s">
        <v>1360</v>
      </c>
      <c r="K2441" s="14"/>
      <c r="L2441" s="14"/>
      <c r="M2441" s="14" t="s">
        <v>1613</v>
      </c>
      <c r="N2441" s="14" t="s">
        <v>1219</v>
      </c>
      <c r="O2441" s="14" t="s">
        <v>1220</v>
      </c>
    </row>
    <row r="2442" spans="1:15" x14ac:dyDescent="0.25">
      <c r="A2442" s="14" t="s">
        <v>5749</v>
      </c>
      <c r="B2442" s="14" t="s">
        <v>5750</v>
      </c>
      <c r="C2442" s="14" t="s">
        <v>5750</v>
      </c>
      <c r="D2442" s="14" t="s">
        <v>1349</v>
      </c>
      <c r="E2442" s="15"/>
      <c r="F2442" s="14" t="s">
        <v>1611</v>
      </c>
      <c r="G2442" s="15"/>
      <c r="H2442" s="14" t="s">
        <v>1612</v>
      </c>
      <c r="I2442" s="14"/>
      <c r="J2442" s="14" t="s">
        <v>1360</v>
      </c>
      <c r="K2442" s="14"/>
      <c r="L2442" s="14"/>
      <c r="M2442" s="14" t="s">
        <v>1613</v>
      </c>
      <c r="N2442" s="14" t="s">
        <v>1219</v>
      </c>
      <c r="O2442" s="14" t="s">
        <v>1220</v>
      </c>
    </row>
    <row r="2443" spans="1:15" x14ac:dyDescent="0.25">
      <c r="A2443" s="14" t="s">
        <v>5751</v>
      </c>
      <c r="B2443" s="14" t="s">
        <v>5752</v>
      </c>
      <c r="C2443" s="14" t="s">
        <v>5752</v>
      </c>
      <c r="D2443" s="14" t="s">
        <v>1349</v>
      </c>
      <c r="E2443" s="15"/>
      <c r="F2443" s="14" t="s">
        <v>1611</v>
      </c>
      <c r="G2443" s="15"/>
      <c r="H2443" s="14" t="s">
        <v>1612</v>
      </c>
      <c r="I2443" s="14"/>
      <c r="J2443" s="14" t="s">
        <v>1360</v>
      </c>
      <c r="K2443" s="14"/>
      <c r="L2443" s="14"/>
      <c r="M2443" s="14" t="s">
        <v>1613</v>
      </c>
      <c r="N2443" s="14" t="s">
        <v>1219</v>
      </c>
      <c r="O2443" s="14" t="s">
        <v>1220</v>
      </c>
    </row>
    <row r="2444" spans="1:15" x14ac:dyDescent="0.25">
      <c r="A2444" s="14" t="s">
        <v>5753</v>
      </c>
      <c r="B2444" s="14" t="s">
        <v>5754</v>
      </c>
      <c r="C2444" s="14" t="s">
        <v>5754</v>
      </c>
      <c r="D2444" s="14" t="s">
        <v>1349</v>
      </c>
      <c r="E2444" s="15"/>
      <c r="F2444" s="14" t="s">
        <v>1611</v>
      </c>
      <c r="G2444" s="15"/>
      <c r="H2444" s="14" t="s">
        <v>1612</v>
      </c>
      <c r="I2444" s="14"/>
      <c r="J2444" s="14" t="s">
        <v>1360</v>
      </c>
      <c r="K2444" s="14"/>
      <c r="L2444" s="14"/>
      <c r="M2444" s="14" t="s">
        <v>1613</v>
      </c>
      <c r="N2444" s="14" t="s">
        <v>1219</v>
      </c>
      <c r="O2444" s="14" t="s">
        <v>1220</v>
      </c>
    </row>
    <row r="2445" spans="1:15" x14ac:dyDescent="0.25">
      <c r="A2445" s="14" t="s">
        <v>5755</v>
      </c>
      <c r="B2445" s="14" t="s">
        <v>5756</v>
      </c>
      <c r="C2445" s="14" t="s">
        <v>5756</v>
      </c>
      <c r="D2445" s="14" t="s">
        <v>1349</v>
      </c>
      <c r="E2445" s="15"/>
      <c r="F2445" s="14" t="s">
        <v>1611</v>
      </c>
      <c r="G2445" s="15"/>
      <c r="H2445" s="14" t="s">
        <v>1612</v>
      </c>
      <c r="I2445" s="14"/>
      <c r="J2445" s="14" t="s">
        <v>1360</v>
      </c>
      <c r="K2445" s="14"/>
      <c r="L2445" s="14"/>
      <c r="M2445" s="14" t="s">
        <v>1613</v>
      </c>
      <c r="N2445" s="14" t="s">
        <v>1219</v>
      </c>
      <c r="O2445" s="14" t="s">
        <v>1220</v>
      </c>
    </row>
    <row r="2446" spans="1:15" x14ac:dyDescent="0.25">
      <c r="A2446" s="14" t="s">
        <v>5757</v>
      </c>
      <c r="B2446" s="14" t="s">
        <v>5758</v>
      </c>
      <c r="C2446" s="14" t="s">
        <v>5758</v>
      </c>
      <c r="D2446" s="14" t="s">
        <v>1349</v>
      </c>
      <c r="E2446" s="15"/>
      <c r="F2446" s="14" t="s">
        <v>1611</v>
      </c>
      <c r="G2446" s="15"/>
      <c r="H2446" s="14" t="s">
        <v>1612</v>
      </c>
      <c r="I2446" s="14"/>
      <c r="J2446" s="14" t="s">
        <v>1360</v>
      </c>
      <c r="K2446" s="14"/>
      <c r="L2446" s="14"/>
      <c r="M2446" s="14" t="s">
        <v>1613</v>
      </c>
      <c r="N2446" s="14" t="s">
        <v>1219</v>
      </c>
      <c r="O2446" s="14" t="s">
        <v>1220</v>
      </c>
    </row>
    <row r="2447" spans="1:15" x14ac:dyDescent="0.25">
      <c r="A2447" s="14" t="s">
        <v>5759</v>
      </c>
      <c r="B2447" s="14" t="s">
        <v>5760</v>
      </c>
      <c r="C2447" s="14" t="s">
        <v>5760</v>
      </c>
      <c r="D2447" s="14" t="s">
        <v>1349</v>
      </c>
      <c r="E2447" s="15"/>
      <c r="F2447" s="14" t="s">
        <v>1611</v>
      </c>
      <c r="G2447" s="15"/>
      <c r="H2447" s="14" t="s">
        <v>1612</v>
      </c>
      <c r="I2447" s="14"/>
      <c r="J2447" s="14" t="s">
        <v>1360</v>
      </c>
      <c r="K2447" s="14"/>
      <c r="L2447" s="14"/>
      <c r="M2447" s="14" t="s">
        <v>1613</v>
      </c>
      <c r="N2447" s="14" t="s">
        <v>1219</v>
      </c>
      <c r="O2447" s="14" t="s">
        <v>1220</v>
      </c>
    </row>
    <row r="2448" spans="1:15" x14ac:dyDescent="0.25">
      <c r="A2448" s="14" t="s">
        <v>5761</v>
      </c>
      <c r="B2448" s="14" t="s">
        <v>5762</v>
      </c>
      <c r="C2448" s="14" t="s">
        <v>5762</v>
      </c>
      <c r="D2448" s="14" t="s">
        <v>1349</v>
      </c>
      <c r="E2448" s="15"/>
      <c r="F2448" s="14" t="s">
        <v>1611</v>
      </c>
      <c r="G2448" s="15"/>
      <c r="H2448" s="14" t="s">
        <v>1612</v>
      </c>
      <c r="I2448" s="14"/>
      <c r="J2448" s="14" t="s">
        <v>1360</v>
      </c>
      <c r="K2448" s="14"/>
      <c r="L2448" s="14"/>
      <c r="M2448" s="14" t="s">
        <v>1613</v>
      </c>
      <c r="N2448" s="14" t="s">
        <v>1219</v>
      </c>
      <c r="O2448" s="14" t="s">
        <v>1220</v>
      </c>
    </row>
    <row r="2449" spans="1:15" x14ac:dyDescent="0.25">
      <c r="A2449" s="14" t="s">
        <v>5763</v>
      </c>
      <c r="B2449" s="14" t="s">
        <v>5764</v>
      </c>
      <c r="C2449" s="14" t="s">
        <v>5764</v>
      </c>
      <c r="D2449" s="14" t="s">
        <v>1349</v>
      </c>
      <c r="E2449" s="15"/>
      <c r="F2449" s="14" t="s">
        <v>1611</v>
      </c>
      <c r="G2449" s="15"/>
      <c r="H2449" s="14" t="s">
        <v>1612</v>
      </c>
      <c r="I2449" s="14"/>
      <c r="J2449" s="14" t="s">
        <v>1360</v>
      </c>
      <c r="K2449" s="14"/>
      <c r="L2449" s="14"/>
      <c r="M2449" s="14" t="s">
        <v>1613</v>
      </c>
      <c r="N2449" s="14" t="s">
        <v>1219</v>
      </c>
      <c r="O2449" s="14" t="s">
        <v>1220</v>
      </c>
    </row>
    <row r="2450" spans="1:15" x14ac:dyDescent="0.25">
      <c r="A2450" s="14" t="s">
        <v>5765</v>
      </c>
      <c r="B2450" s="14" t="s">
        <v>5766</v>
      </c>
      <c r="C2450" s="14" t="s">
        <v>5766</v>
      </c>
      <c r="D2450" s="14" t="s">
        <v>1349</v>
      </c>
      <c r="E2450" s="15"/>
      <c r="F2450" s="14" t="s">
        <v>1611</v>
      </c>
      <c r="G2450" s="15"/>
      <c r="H2450" s="14" t="s">
        <v>1612</v>
      </c>
      <c r="I2450" s="14"/>
      <c r="J2450" s="14" t="s">
        <v>1360</v>
      </c>
      <c r="K2450" s="14"/>
      <c r="L2450" s="14"/>
      <c r="M2450" s="14" t="s">
        <v>1613</v>
      </c>
      <c r="N2450" s="14" t="s">
        <v>1219</v>
      </c>
      <c r="O2450" s="14" t="s">
        <v>1220</v>
      </c>
    </row>
    <row r="2451" spans="1:15" x14ac:dyDescent="0.25">
      <c r="A2451" s="14" t="s">
        <v>5767</v>
      </c>
      <c r="B2451" s="14" t="s">
        <v>5768</v>
      </c>
      <c r="C2451" s="14" t="s">
        <v>5768</v>
      </c>
      <c r="D2451" s="14" t="s">
        <v>1349</v>
      </c>
      <c r="E2451" s="15"/>
      <c r="F2451" s="14" t="s">
        <v>1611</v>
      </c>
      <c r="G2451" s="15"/>
      <c r="H2451" s="14" t="s">
        <v>1612</v>
      </c>
      <c r="I2451" s="14"/>
      <c r="J2451" s="14" t="s">
        <v>1360</v>
      </c>
      <c r="K2451" s="14"/>
      <c r="L2451" s="14"/>
      <c r="M2451" s="14" t="s">
        <v>1613</v>
      </c>
      <c r="N2451" s="14" t="s">
        <v>1219</v>
      </c>
      <c r="O2451" s="14" t="s">
        <v>1220</v>
      </c>
    </row>
    <row r="2452" spans="1:15" x14ac:dyDescent="0.25">
      <c r="A2452" s="14" t="s">
        <v>5769</v>
      </c>
      <c r="B2452" s="14" t="s">
        <v>5770</v>
      </c>
      <c r="C2452" s="14" t="s">
        <v>5770</v>
      </c>
      <c r="D2452" s="14" t="s">
        <v>1349</v>
      </c>
      <c r="E2452" s="15"/>
      <c r="F2452" s="14" t="s">
        <v>1611</v>
      </c>
      <c r="G2452" s="15"/>
      <c r="H2452" s="14" t="s">
        <v>1612</v>
      </c>
      <c r="I2452" s="14"/>
      <c r="J2452" s="14" t="s">
        <v>1360</v>
      </c>
      <c r="K2452" s="14"/>
      <c r="L2452" s="14"/>
      <c r="M2452" s="14" t="s">
        <v>1613</v>
      </c>
      <c r="N2452" s="14" t="s">
        <v>1219</v>
      </c>
      <c r="O2452" s="14" t="s">
        <v>1220</v>
      </c>
    </row>
    <row r="2453" spans="1:15" x14ac:dyDescent="0.25">
      <c r="A2453" s="14" t="s">
        <v>5771</v>
      </c>
      <c r="B2453" s="14" t="s">
        <v>5772</v>
      </c>
      <c r="C2453" s="14" t="s">
        <v>5772</v>
      </c>
      <c r="D2453" s="14" t="s">
        <v>1349</v>
      </c>
      <c r="E2453" s="15"/>
      <c r="F2453" s="14" t="s">
        <v>1611</v>
      </c>
      <c r="G2453" s="15"/>
      <c r="H2453" s="14" t="s">
        <v>1612</v>
      </c>
      <c r="I2453" s="14"/>
      <c r="J2453" s="14" t="s">
        <v>1360</v>
      </c>
      <c r="K2453" s="14"/>
      <c r="L2453" s="14"/>
      <c r="M2453" s="14" t="s">
        <v>1613</v>
      </c>
      <c r="N2453" s="14" t="s">
        <v>1219</v>
      </c>
      <c r="O2453" s="14" t="s">
        <v>1220</v>
      </c>
    </row>
    <row r="2454" spans="1:15" x14ac:dyDescent="0.25">
      <c r="A2454" s="14" t="s">
        <v>5773</v>
      </c>
      <c r="B2454" s="14" t="s">
        <v>5774</v>
      </c>
      <c r="C2454" s="14" t="s">
        <v>5774</v>
      </c>
      <c r="D2454" s="14" t="s">
        <v>1349</v>
      </c>
      <c r="E2454" s="15"/>
      <c r="F2454" s="14" t="s">
        <v>1611</v>
      </c>
      <c r="G2454" s="15"/>
      <c r="H2454" s="14" t="s">
        <v>1612</v>
      </c>
      <c r="I2454" s="14"/>
      <c r="J2454" s="14" t="s">
        <v>1360</v>
      </c>
      <c r="K2454" s="14"/>
      <c r="L2454" s="14"/>
      <c r="M2454" s="14" t="s">
        <v>1613</v>
      </c>
      <c r="N2454" s="14" t="s">
        <v>1219</v>
      </c>
      <c r="O2454" s="14" t="s">
        <v>1220</v>
      </c>
    </row>
    <row r="2455" spans="1:15" x14ac:dyDescent="0.25">
      <c r="A2455" s="14" t="s">
        <v>5775</v>
      </c>
      <c r="B2455" s="14" t="s">
        <v>5776</v>
      </c>
      <c r="C2455" s="14" t="s">
        <v>5776</v>
      </c>
      <c r="D2455" s="14" t="s">
        <v>1349</v>
      </c>
      <c r="E2455" s="15"/>
      <c r="F2455" s="14" t="s">
        <v>1611</v>
      </c>
      <c r="G2455" s="15"/>
      <c r="H2455" s="14" t="s">
        <v>1612</v>
      </c>
      <c r="I2455" s="14"/>
      <c r="J2455" s="14" t="s">
        <v>1360</v>
      </c>
      <c r="K2455" s="14"/>
      <c r="L2455" s="14"/>
      <c r="M2455" s="14" t="s">
        <v>1613</v>
      </c>
      <c r="N2455" s="14" t="s">
        <v>1219</v>
      </c>
      <c r="O2455" s="14" t="s">
        <v>1220</v>
      </c>
    </row>
    <row r="2456" spans="1:15" x14ac:dyDescent="0.25">
      <c r="A2456" s="14" t="s">
        <v>5777</v>
      </c>
      <c r="B2456" s="14" t="s">
        <v>5778</v>
      </c>
      <c r="C2456" s="14" t="s">
        <v>5778</v>
      </c>
      <c r="D2456" s="14" t="s">
        <v>1349</v>
      </c>
      <c r="E2456" s="15"/>
      <c r="F2456" s="14" t="s">
        <v>1611</v>
      </c>
      <c r="G2456" s="15"/>
      <c r="H2456" s="14" t="s">
        <v>1612</v>
      </c>
      <c r="I2456" s="14"/>
      <c r="J2456" s="14" t="s">
        <v>1360</v>
      </c>
      <c r="K2456" s="14"/>
      <c r="L2456" s="14"/>
      <c r="M2456" s="14" t="s">
        <v>1613</v>
      </c>
      <c r="N2456" s="14" t="s">
        <v>1219</v>
      </c>
      <c r="O2456" s="14" t="s">
        <v>1220</v>
      </c>
    </row>
    <row r="2457" spans="1:15" x14ac:dyDescent="0.25">
      <c r="A2457" s="14" t="s">
        <v>5779</v>
      </c>
      <c r="B2457" s="14" t="s">
        <v>5780</v>
      </c>
      <c r="C2457" s="14" t="s">
        <v>5780</v>
      </c>
      <c r="D2457" s="14" t="s">
        <v>1349</v>
      </c>
      <c r="E2457" s="15"/>
      <c r="F2457" s="14" t="s">
        <v>1611</v>
      </c>
      <c r="G2457" s="15"/>
      <c r="H2457" s="14" t="s">
        <v>1612</v>
      </c>
      <c r="I2457" s="14"/>
      <c r="J2457" s="14" t="s">
        <v>1360</v>
      </c>
      <c r="K2457" s="14"/>
      <c r="L2457" s="14"/>
      <c r="M2457" s="14" t="s">
        <v>1613</v>
      </c>
      <c r="N2457" s="14" t="s">
        <v>1219</v>
      </c>
      <c r="O2457" s="14" t="s">
        <v>1220</v>
      </c>
    </row>
    <row r="2458" spans="1:15" x14ac:dyDescent="0.25">
      <c r="A2458" s="14" t="s">
        <v>5781</v>
      </c>
      <c r="B2458" s="14" t="s">
        <v>5782</v>
      </c>
      <c r="C2458" s="14" t="s">
        <v>5782</v>
      </c>
      <c r="D2458" s="14" t="s">
        <v>1349</v>
      </c>
      <c r="E2458" s="15"/>
      <c r="F2458" s="14" t="s">
        <v>1611</v>
      </c>
      <c r="G2458" s="15"/>
      <c r="H2458" s="14" t="s">
        <v>1612</v>
      </c>
      <c r="I2458" s="14"/>
      <c r="J2458" s="14" t="s">
        <v>1360</v>
      </c>
      <c r="K2458" s="14"/>
      <c r="L2458" s="14"/>
      <c r="M2458" s="14" t="s">
        <v>1613</v>
      </c>
      <c r="N2458" s="14" t="s">
        <v>1219</v>
      </c>
      <c r="O2458" s="14" t="s">
        <v>1220</v>
      </c>
    </row>
    <row r="2459" spans="1:15" x14ac:dyDescent="0.25">
      <c r="A2459" s="14" t="s">
        <v>5783</v>
      </c>
      <c r="B2459" s="14" t="s">
        <v>5784</v>
      </c>
      <c r="C2459" s="14" t="s">
        <v>5784</v>
      </c>
      <c r="D2459" s="14" t="s">
        <v>1222</v>
      </c>
      <c r="E2459" s="15"/>
      <c r="F2459" s="14"/>
      <c r="G2459" s="15"/>
      <c r="H2459" s="14" t="s">
        <v>1223</v>
      </c>
      <c r="I2459" s="14"/>
      <c r="J2459" s="14"/>
      <c r="K2459" s="14"/>
      <c r="L2459" s="14"/>
      <c r="M2459" s="14"/>
      <c r="N2459" s="14" t="s">
        <v>1219</v>
      </c>
      <c r="O2459" s="14" t="s">
        <v>1220</v>
      </c>
    </row>
    <row r="2460" spans="1:15" x14ac:dyDescent="0.25">
      <c r="A2460" s="14" t="s">
        <v>5785</v>
      </c>
      <c r="B2460" s="14" t="s">
        <v>5786</v>
      </c>
      <c r="C2460" s="14" t="s">
        <v>5786</v>
      </c>
      <c r="D2460" s="14" t="s">
        <v>1222</v>
      </c>
      <c r="E2460" s="15"/>
      <c r="F2460" s="14"/>
      <c r="G2460" s="15"/>
      <c r="H2460" s="14" t="s">
        <v>1223</v>
      </c>
      <c r="I2460" s="14"/>
      <c r="J2460" s="14"/>
      <c r="K2460" s="14"/>
      <c r="L2460" s="14"/>
      <c r="M2460" s="14"/>
      <c r="N2460" s="14" t="s">
        <v>1219</v>
      </c>
      <c r="O2460" s="14" t="s">
        <v>1220</v>
      </c>
    </row>
    <row r="2461" spans="1:15" x14ac:dyDescent="0.25">
      <c r="A2461" s="14" t="s">
        <v>5787</v>
      </c>
      <c r="B2461" s="14" t="s">
        <v>5788</v>
      </c>
      <c r="C2461" s="14" t="s">
        <v>5788</v>
      </c>
      <c r="D2461" s="14" t="s">
        <v>1587</v>
      </c>
      <c r="E2461" s="15"/>
      <c r="F2461" s="14"/>
      <c r="G2461" s="15"/>
      <c r="H2461" s="14" t="s">
        <v>1588</v>
      </c>
      <c r="I2461" s="14"/>
      <c r="J2461" s="14"/>
      <c r="K2461" s="14"/>
      <c r="L2461" s="14" t="s">
        <v>5789</v>
      </c>
      <c r="M2461" s="14"/>
      <c r="N2461" s="14" t="s">
        <v>1219</v>
      </c>
      <c r="O2461" s="14" t="s">
        <v>1429</v>
      </c>
    </row>
    <row r="2462" spans="1:15" x14ac:dyDescent="0.25">
      <c r="A2462" s="14" t="s">
        <v>5790</v>
      </c>
      <c r="B2462" s="14" t="s">
        <v>5791</v>
      </c>
      <c r="C2462" s="14" t="s">
        <v>5791</v>
      </c>
      <c r="D2462" s="14" t="s">
        <v>1587</v>
      </c>
      <c r="E2462" s="15"/>
      <c r="F2462" s="14"/>
      <c r="G2462" s="15"/>
      <c r="H2462" s="14" t="s">
        <v>1588</v>
      </c>
      <c r="I2462" s="14"/>
      <c r="J2462" s="14"/>
      <c r="K2462" s="14"/>
      <c r="L2462" s="14" t="s">
        <v>5792</v>
      </c>
      <c r="M2462" s="14"/>
      <c r="N2462" s="14" t="s">
        <v>1219</v>
      </c>
      <c r="O2462" s="14" t="s">
        <v>1429</v>
      </c>
    </row>
    <row r="2463" spans="1:15" x14ac:dyDescent="0.25">
      <c r="A2463" s="14" t="s">
        <v>5793</v>
      </c>
      <c r="B2463" s="14" t="s">
        <v>5794</v>
      </c>
      <c r="C2463" s="14" t="s">
        <v>5794</v>
      </c>
      <c r="D2463" s="14" t="s">
        <v>1587</v>
      </c>
      <c r="E2463" s="15"/>
      <c r="F2463" s="14"/>
      <c r="G2463" s="15"/>
      <c r="H2463" s="14" t="s">
        <v>1588</v>
      </c>
      <c r="I2463" s="14"/>
      <c r="J2463" s="14"/>
      <c r="K2463" s="14"/>
      <c r="L2463" s="14" t="s">
        <v>5795</v>
      </c>
      <c r="M2463" s="14"/>
      <c r="N2463" s="14" t="s">
        <v>1219</v>
      </c>
      <c r="O2463" s="14" t="s">
        <v>1429</v>
      </c>
    </row>
    <row r="2464" spans="1:15" x14ac:dyDescent="0.25">
      <c r="A2464" s="14" t="s">
        <v>5796</v>
      </c>
      <c r="B2464" s="14" t="s">
        <v>5797</v>
      </c>
      <c r="C2464" s="14" t="s">
        <v>5797</v>
      </c>
      <c r="D2464" s="14" t="s">
        <v>1222</v>
      </c>
      <c r="E2464" s="15"/>
      <c r="F2464" s="14"/>
      <c r="G2464" s="15"/>
      <c r="H2464" s="14" t="s">
        <v>1223</v>
      </c>
      <c r="I2464" s="14"/>
      <c r="J2464" s="14"/>
      <c r="K2464" s="14"/>
      <c r="L2464" s="14"/>
      <c r="M2464" s="14"/>
      <c r="N2464" s="14" t="s">
        <v>1219</v>
      </c>
      <c r="O2464" s="14" t="s">
        <v>1220</v>
      </c>
    </row>
    <row r="2465" spans="1:15" x14ac:dyDescent="0.25">
      <c r="A2465" s="14">
        <v>2611</v>
      </c>
      <c r="B2465" s="14" t="s">
        <v>281</v>
      </c>
      <c r="C2465" s="14" t="s">
        <v>281</v>
      </c>
      <c r="D2465" s="14" t="s">
        <v>1553</v>
      </c>
      <c r="E2465" s="16">
        <v>50</v>
      </c>
      <c r="F2465" s="14" t="s">
        <v>1544</v>
      </c>
      <c r="G2465" s="16">
        <v>50</v>
      </c>
      <c r="H2465" s="14" t="s">
        <v>1545</v>
      </c>
      <c r="I2465" s="14" t="s">
        <v>1256</v>
      </c>
      <c r="J2465" s="14" t="s">
        <v>1233</v>
      </c>
      <c r="K2465" s="14" t="s">
        <v>1546</v>
      </c>
      <c r="L2465" s="14" t="s">
        <v>5798</v>
      </c>
      <c r="M2465" s="14" t="s">
        <v>5799</v>
      </c>
      <c r="N2465" s="14" t="s">
        <v>1237</v>
      </c>
      <c r="O2465" s="14" t="s">
        <v>1220</v>
      </c>
    </row>
    <row r="2466" spans="1:15" x14ac:dyDescent="0.25">
      <c r="A2466" s="14">
        <v>2607</v>
      </c>
      <c r="B2466" s="14" t="s">
        <v>282</v>
      </c>
      <c r="C2466" s="14" t="s">
        <v>282</v>
      </c>
      <c r="D2466" s="14" t="s">
        <v>1553</v>
      </c>
      <c r="E2466" s="16">
        <v>80</v>
      </c>
      <c r="F2466" s="14" t="s">
        <v>1544</v>
      </c>
      <c r="G2466" s="16">
        <v>80</v>
      </c>
      <c r="H2466" s="14" t="s">
        <v>1545</v>
      </c>
      <c r="I2466" s="14" t="s">
        <v>1351</v>
      </c>
      <c r="J2466" s="14" t="s">
        <v>1233</v>
      </c>
      <c r="K2466" s="14" t="s">
        <v>1546</v>
      </c>
      <c r="L2466" s="14" t="s">
        <v>5800</v>
      </c>
      <c r="M2466" s="14" t="s">
        <v>1976</v>
      </c>
      <c r="N2466" s="14" t="s">
        <v>1237</v>
      </c>
      <c r="O2466" s="14" t="s">
        <v>1220</v>
      </c>
    </row>
    <row r="2467" spans="1:15" x14ac:dyDescent="0.25">
      <c r="A2467" s="14" t="s">
        <v>5801</v>
      </c>
      <c r="B2467" s="14" t="s">
        <v>5802</v>
      </c>
      <c r="C2467" s="14" t="s">
        <v>5803</v>
      </c>
      <c r="D2467" s="14" t="s">
        <v>1553</v>
      </c>
      <c r="E2467" s="15"/>
      <c r="F2467" s="14" t="s">
        <v>1544</v>
      </c>
      <c r="G2467" s="15"/>
      <c r="H2467" s="14" t="s">
        <v>1545</v>
      </c>
      <c r="I2467" s="14" t="s">
        <v>1262</v>
      </c>
      <c r="J2467" s="14" t="s">
        <v>1262</v>
      </c>
      <c r="K2467" s="14"/>
      <c r="L2467" s="14" t="s">
        <v>5800</v>
      </c>
      <c r="M2467" s="14" t="s">
        <v>1548</v>
      </c>
      <c r="N2467" s="14" t="s">
        <v>1219</v>
      </c>
      <c r="O2467" s="14" t="s">
        <v>1220</v>
      </c>
    </row>
    <row r="2468" spans="1:15" x14ac:dyDescent="0.25">
      <c r="A2468" s="14">
        <v>2608</v>
      </c>
      <c r="B2468" s="14" t="s">
        <v>283</v>
      </c>
      <c r="C2468" s="14" t="s">
        <v>283</v>
      </c>
      <c r="D2468" s="14" t="s">
        <v>1553</v>
      </c>
      <c r="E2468" s="16">
        <v>64</v>
      </c>
      <c r="F2468" s="14" t="s">
        <v>1544</v>
      </c>
      <c r="G2468" s="16">
        <v>64</v>
      </c>
      <c r="H2468" s="14" t="s">
        <v>1545</v>
      </c>
      <c r="I2468" s="14" t="s">
        <v>1351</v>
      </c>
      <c r="J2468" s="14" t="s">
        <v>1351</v>
      </c>
      <c r="K2468" s="14" t="s">
        <v>1546</v>
      </c>
      <c r="L2468" s="14" t="s">
        <v>5804</v>
      </c>
      <c r="M2468" s="14" t="s">
        <v>1976</v>
      </c>
      <c r="N2468" s="14" t="s">
        <v>1237</v>
      </c>
      <c r="O2468" s="14" t="s">
        <v>1220</v>
      </c>
    </row>
    <row r="2469" spans="1:15" x14ac:dyDescent="0.25">
      <c r="A2469" s="14" t="s">
        <v>5805</v>
      </c>
      <c r="B2469" s="14" t="s">
        <v>5806</v>
      </c>
      <c r="C2469" s="14" t="s">
        <v>5806</v>
      </c>
      <c r="D2469" s="14" t="s">
        <v>1553</v>
      </c>
      <c r="E2469" s="15"/>
      <c r="F2469" s="14" t="s">
        <v>1544</v>
      </c>
      <c r="G2469" s="15"/>
      <c r="H2469" s="14" t="s">
        <v>1545</v>
      </c>
      <c r="I2469" s="14" t="s">
        <v>1262</v>
      </c>
      <c r="J2469" s="14" t="s">
        <v>1262</v>
      </c>
      <c r="K2469" s="14"/>
      <c r="L2469" s="14" t="s">
        <v>5804</v>
      </c>
      <c r="M2469" s="14" t="s">
        <v>1548</v>
      </c>
      <c r="N2469" s="14" t="s">
        <v>1219</v>
      </c>
      <c r="O2469" s="14" t="s">
        <v>1220</v>
      </c>
    </row>
    <row r="2470" spans="1:15" x14ac:dyDescent="0.25">
      <c r="A2470" s="14">
        <v>2609</v>
      </c>
      <c r="B2470" s="14" t="s">
        <v>284</v>
      </c>
      <c r="C2470" s="14" t="s">
        <v>284</v>
      </c>
      <c r="D2470" s="14" t="s">
        <v>1553</v>
      </c>
      <c r="E2470" s="16">
        <v>80</v>
      </c>
      <c r="F2470" s="14" t="s">
        <v>1544</v>
      </c>
      <c r="G2470" s="16">
        <v>80</v>
      </c>
      <c r="H2470" s="14" t="s">
        <v>1545</v>
      </c>
      <c r="I2470" s="14" t="s">
        <v>1351</v>
      </c>
      <c r="J2470" s="14" t="s">
        <v>1233</v>
      </c>
      <c r="K2470" s="14" t="s">
        <v>1546</v>
      </c>
      <c r="L2470" s="14" t="s">
        <v>5807</v>
      </c>
      <c r="M2470" s="14" t="s">
        <v>1976</v>
      </c>
      <c r="N2470" s="14" t="s">
        <v>1237</v>
      </c>
      <c r="O2470" s="14" t="s">
        <v>1220</v>
      </c>
    </row>
    <row r="2471" spans="1:15" x14ac:dyDescent="0.25">
      <c r="A2471" s="14" t="s">
        <v>5808</v>
      </c>
      <c r="B2471" s="14" t="s">
        <v>5809</v>
      </c>
      <c r="C2471" s="14" t="s">
        <v>5809</v>
      </c>
      <c r="D2471" s="14" t="s">
        <v>1553</v>
      </c>
      <c r="E2471" s="15"/>
      <c r="F2471" s="14" t="s">
        <v>1544</v>
      </c>
      <c r="G2471" s="15"/>
      <c r="H2471" s="14" t="s">
        <v>1545</v>
      </c>
      <c r="I2471" s="14" t="s">
        <v>1262</v>
      </c>
      <c r="J2471" s="14" t="s">
        <v>1262</v>
      </c>
      <c r="K2471" s="14"/>
      <c r="L2471" s="14" t="s">
        <v>5807</v>
      </c>
      <c r="M2471" s="14" t="s">
        <v>1548</v>
      </c>
      <c r="N2471" s="14" t="s">
        <v>1219</v>
      </c>
      <c r="O2471" s="14" t="s">
        <v>1220</v>
      </c>
    </row>
    <row r="2472" spans="1:15" x14ac:dyDescent="0.25">
      <c r="A2472" s="14">
        <v>2610</v>
      </c>
      <c r="B2472" s="14" t="s">
        <v>285</v>
      </c>
      <c r="C2472" s="14" t="s">
        <v>285</v>
      </c>
      <c r="D2472" s="14" t="s">
        <v>1553</v>
      </c>
      <c r="E2472" s="16">
        <v>64</v>
      </c>
      <c r="F2472" s="14" t="s">
        <v>1544</v>
      </c>
      <c r="G2472" s="16">
        <v>64</v>
      </c>
      <c r="H2472" s="14" t="s">
        <v>1545</v>
      </c>
      <c r="I2472" s="14" t="s">
        <v>1351</v>
      </c>
      <c r="J2472" s="14" t="s">
        <v>1242</v>
      </c>
      <c r="K2472" s="14" t="s">
        <v>1546</v>
      </c>
      <c r="L2472" s="14" t="s">
        <v>5810</v>
      </c>
      <c r="M2472" s="14" t="s">
        <v>1976</v>
      </c>
      <c r="N2472" s="14" t="s">
        <v>1237</v>
      </c>
      <c r="O2472" s="14" t="s">
        <v>1220</v>
      </c>
    </row>
    <row r="2473" spans="1:15" x14ac:dyDescent="0.25">
      <c r="A2473" s="14" t="s">
        <v>5811</v>
      </c>
      <c r="B2473" s="14" t="s">
        <v>5812</v>
      </c>
      <c r="C2473" s="14" t="s">
        <v>5812</v>
      </c>
      <c r="D2473" s="14" t="s">
        <v>1553</v>
      </c>
      <c r="E2473" s="15"/>
      <c r="F2473" s="14" t="s">
        <v>1544</v>
      </c>
      <c r="G2473" s="15"/>
      <c r="H2473" s="14" t="s">
        <v>1545</v>
      </c>
      <c r="I2473" s="14" t="s">
        <v>1262</v>
      </c>
      <c r="J2473" s="14" t="s">
        <v>1262</v>
      </c>
      <c r="K2473" s="14"/>
      <c r="L2473" s="14" t="s">
        <v>5810</v>
      </c>
      <c r="M2473" s="14" t="s">
        <v>1548</v>
      </c>
      <c r="N2473" s="14" t="s">
        <v>1219</v>
      </c>
      <c r="O2473" s="14" t="s">
        <v>1220</v>
      </c>
    </row>
    <row r="2474" spans="1:15" x14ac:dyDescent="0.25">
      <c r="A2474" s="14" t="s">
        <v>5813</v>
      </c>
      <c r="B2474" s="14" t="s">
        <v>5814</v>
      </c>
      <c r="C2474" s="14" t="s">
        <v>5814</v>
      </c>
      <c r="D2474" s="14" t="s">
        <v>1283</v>
      </c>
      <c r="E2474" s="15"/>
      <c r="F2474" s="14" t="s">
        <v>3365</v>
      </c>
      <c r="G2474" s="15"/>
      <c r="H2474" s="14" t="s">
        <v>1255</v>
      </c>
      <c r="I2474" s="14" t="s">
        <v>1217</v>
      </c>
      <c r="J2474" s="14" t="s">
        <v>1242</v>
      </c>
      <c r="K2474" s="14"/>
      <c r="L2474" s="14"/>
      <c r="M2474" s="14" t="s">
        <v>1259</v>
      </c>
      <c r="N2474" s="14" t="s">
        <v>1219</v>
      </c>
      <c r="O2474" s="14" t="s">
        <v>1220</v>
      </c>
    </row>
    <row r="2475" spans="1:15" x14ac:dyDescent="0.25">
      <c r="A2475" s="14" t="s">
        <v>5815</v>
      </c>
      <c r="B2475" s="14" t="s">
        <v>5816</v>
      </c>
      <c r="C2475" s="14" t="s">
        <v>5816</v>
      </c>
      <c r="D2475" s="14" t="s">
        <v>1283</v>
      </c>
      <c r="E2475" s="15"/>
      <c r="F2475" s="14" t="s">
        <v>1742</v>
      </c>
      <c r="G2475" s="15"/>
      <c r="H2475" s="14" t="s">
        <v>1255</v>
      </c>
      <c r="I2475" s="14" t="s">
        <v>1217</v>
      </c>
      <c r="J2475" s="14" t="s">
        <v>1242</v>
      </c>
      <c r="K2475" s="14"/>
      <c r="L2475" s="14"/>
      <c r="M2475" s="14" t="s">
        <v>1259</v>
      </c>
      <c r="N2475" s="14" t="s">
        <v>1219</v>
      </c>
      <c r="O2475" s="14" t="s">
        <v>1220</v>
      </c>
    </row>
    <row r="2476" spans="1:15" x14ac:dyDescent="0.25">
      <c r="A2476" s="14" t="s">
        <v>5817</v>
      </c>
      <c r="B2476" s="14" t="s">
        <v>5818</v>
      </c>
      <c r="C2476" s="14" t="s">
        <v>5818</v>
      </c>
      <c r="D2476" s="14" t="s">
        <v>1283</v>
      </c>
      <c r="E2476" s="15"/>
      <c r="F2476" s="14" t="s">
        <v>1742</v>
      </c>
      <c r="G2476" s="15"/>
      <c r="H2476" s="14" t="s">
        <v>1255</v>
      </c>
      <c r="I2476" s="14" t="s">
        <v>1217</v>
      </c>
      <c r="J2476" s="14" t="s">
        <v>1296</v>
      </c>
      <c r="K2476" s="14"/>
      <c r="L2476" s="14"/>
      <c r="M2476" s="14" t="s">
        <v>1259</v>
      </c>
      <c r="N2476" s="14" t="s">
        <v>1219</v>
      </c>
      <c r="O2476" s="14" t="s">
        <v>1220</v>
      </c>
    </row>
    <row r="2477" spans="1:15" x14ac:dyDescent="0.25">
      <c r="A2477" s="14" t="s">
        <v>5819</v>
      </c>
      <c r="B2477" s="14" t="s">
        <v>5820</v>
      </c>
      <c r="C2477" s="14" t="s">
        <v>5820</v>
      </c>
      <c r="D2477" s="14" t="s">
        <v>1283</v>
      </c>
      <c r="E2477" s="15"/>
      <c r="F2477" s="14" t="s">
        <v>1742</v>
      </c>
      <c r="G2477" s="15"/>
      <c r="H2477" s="14" t="s">
        <v>1255</v>
      </c>
      <c r="I2477" s="14" t="s">
        <v>1217</v>
      </c>
      <c r="J2477" s="14" t="s">
        <v>1296</v>
      </c>
      <c r="K2477" s="14"/>
      <c r="L2477" s="14"/>
      <c r="M2477" s="14" t="s">
        <v>1259</v>
      </c>
      <c r="N2477" s="14" t="s">
        <v>1219</v>
      </c>
      <c r="O2477" s="14" t="s">
        <v>1220</v>
      </c>
    </row>
    <row r="2478" spans="1:15" x14ac:dyDescent="0.25">
      <c r="A2478" s="14" t="s">
        <v>5821</v>
      </c>
      <c r="B2478" s="14" t="s">
        <v>5822</v>
      </c>
      <c r="C2478" s="14" t="s">
        <v>5822</v>
      </c>
      <c r="D2478" s="14" t="s">
        <v>1283</v>
      </c>
      <c r="E2478" s="15"/>
      <c r="F2478" s="14" t="s">
        <v>1742</v>
      </c>
      <c r="G2478" s="15"/>
      <c r="H2478" s="14" t="s">
        <v>1255</v>
      </c>
      <c r="I2478" s="14" t="s">
        <v>1217</v>
      </c>
      <c r="J2478" s="14" t="s">
        <v>1296</v>
      </c>
      <c r="K2478" s="14"/>
      <c r="L2478" s="14"/>
      <c r="M2478" s="14" t="s">
        <v>1259</v>
      </c>
      <c r="N2478" s="14" t="s">
        <v>1219</v>
      </c>
      <c r="O2478" s="14" t="s">
        <v>1220</v>
      </c>
    </row>
    <row r="2479" spans="1:15" x14ac:dyDescent="0.25">
      <c r="A2479" s="14" t="s">
        <v>5823</v>
      </c>
      <c r="B2479" s="14" t="s">
        <v>5824</v>
      </c>
      <c r="C2479" s="14" t="s">
        <v>5824</v>
      </c>
      <c r="D2479" s="14" t="s">
        <v>1283</v>
      </c>
      <c r="E2479" s="15"/>
      <c r="F2479" s="14" t="s">
        <v>1742</v>
      </c>
      <c r="G2479" s="15"/>
      <c r="H2479" s="14" t="s">
        <v>1255</v>
      </c>
      <c r="I2479" s="14" t="s">
        <v>1217</v>
      </c>
      <c r="J2479" s="14" t="s">
        <v>1296</v>
      </c>
      <c r="K2479" s="14"/>
      <c r="L2479" s="14"/>
      <c r="M2479" s="14" t="s">
        <v>1259</v>
      </c>
      <c r="N2479" s="14" t="s">
        <v>1219</v>
      </c>
      <c r="O2479" s="14" t="s">
        <v>1220</v>
      </c>
    </row>
    <row r="2480" spans="1:15" x14ac:dyDescent="0.25">
      <c r="A2480" s="14">
        <v>4511</v>
      </c>
      <c r="B2480" s="14" t="s">
        <v>669</v>
      </c>
      <c r="C2480" s="14" t="s">
        <v>5825</v>
      </c>
      <c r="D2480" s="14" t="s">
        <v>5826</v>
      </c>
      <c r="E2480" s="16">
        <v>15</v>
      </c>
      <c r="F2480" s="14" t="s">
        <v>1321</v>
      </c>
      <c r="G2480" s="16">
        <v>165</v>
      </c>
      <c r="H2480" s="14" t="s">
        <v>1322</v>
      </c>
      <c r="I2480" s="14" t="s">
        <v>1256</v>
      </c>
      <c r="J2480" s="14" t="s">
        <v>1242</v>
      </c>
      <c r="K2480" s="14" t="s">
        <v>1387</v>
      </c>
      <c r="L2480" s="14" t="s">
        <v>5827</v>
      </c>
      <c r="M2480" s="14" t="s">
        <v>1324</v>
      </c>
      <c r="N2480" s="14" t="s">
        <v>1237</v>
      </c>
      <c r="O2480" s="14" t="s">
        <v>1220</v>
      </c>
    </row>
    <row r="2481" spans="1:15" x14ac:dyDescent="0.25">
      <c r="A2481" s="14">
        <v>2571</v>
      </c>
      <c r="B2481" s="14" t="s">
        <v>670</v>
      </c>
      <c r="C2481" s="14" t="s">
        <v>5828</v>
      </c>
      <c r="D2481" s="14" t="s">
        <v>5826</v>
      </c>
      <c r="E2481" s="16">
        <v>20</v>
      </c>
      <c r="F2481" s="14" t="s">
        <v>1321</v>
      </c>
      <c r="G2481" s="16">
        <v>20</v>
      </c>
      <c r="H2481" s="14" t="s">
        <v>1322</v>
      </c>
      <c r="I2481" s="14" t="s">
        <v>1256</v>
      </c>
      <c r="J2481" s="14" t="s">
        <v>1242</v>
      </c>
      <c r="K2481" s="14" t="s">
        <v>1387</v>
      </c>
      <c r="L2481" s="14" t="s">
        <v>5829</v>
      </c>
      <c r="M2481" s="14" t="s">
        <v>1324</v>
      </c>
      <c r="N2481" s="14" t="s">
        <v>1237</v>
      </c>
      <c r="O2481" s="14" t="s">
        <v>1220</v>
      </c>
    </row>
    <row r="2482" spans="1:15" x14ac:dyDescent="0.25">
      <c r="A2482" s="14">
        <v>4514</v>
      </c>
      <c r="B2482" s="14" t="s">
        <v>671</v>
      </c>
      <c r="C2482" s="14" t="s">
        <v>5830</v>
      </c>
      <c r="D2482" s="14" t="s">
        <v>5826</v>
      </c>
      <c r="E2482" s="16">
        <v>25</v>
      </c>
      <c r="F2482" s="14" t="s">
        <v>1321</v>
      </c>
      <c r="G2482" s="16">
        <v>100</v>
      </c>
      <c r="H2482" s="14" t="s">
        <v>1322</v>
      </c>
      <c r="I2482" s="14" t="s">
        <v>1256</v>
      </c>
      <c r="J2482" s="14" t="s">
        <v>1296</v>
      </c>
      <c r="K2482" s="14" t="s">
        <v>1387</v>
      </c>
      <c r="L2482" s="14" t="s">
        <v>5831</v>
      </c>
      <c r="M2482" s="14" t="s">
        <v>1324</v>
      </c>
      <c r="N2482" s="14" t="s">
        <v>1237</v>
      </c>
      <c r="O2482" s="14" t="s">
        <v>1220</v>
      </c>
    </row>
    <row r="2483" spans="1:15" x14ac:dyDescent="0.25">
      <c r="A2483" s="14">
        <v>4513</v>
      </c>
      <c r="B2483" s="14" t="s">
        <v>672</v>
      </c>
      <c r="C2483" s="14" t="s">
        <v>5832</v>
      </c>
      <c r="D2483" s="14" t="s">
        <v>5826</v>
      </c>
      <c r="E2483" s="16">
        <v>25</v>
      </c>
      <c r="F2483" s="14" t="s">
        <v>1321</v>
      </c>
      <c r="G2483" s="16">
        <v>100</v>
      </c>
      <c r="H2483" s="14" t="s">
        <v>1322</v>
      </c>
      <c r="I2483" s="14" t="s">
        <v>1256</v>
      </c>
      <c r="J2483" s="14" t="s">
        <v>1296</v>
      </c>
      <c r="K2483" s="14" t="s">
        <v>1387</v>
      </c>
      <c r="L2483" s="14" t="s">
        <v>5833</v>
      </c>
      <c r="M2483" s="14" t="s">
        <v>1324</v>
      </c>
      <c r="N2483" s="14" t="s">
        <v>1237</v>
      </c>
      <c r="O2483" s="14" t="s">
        <v>1220</v>
      </c>
    </row>
    <row r="2484" spans="1:15" x14ac:dyDescent="0.25">
      <c r="A2484" s="14">
        <v>2568</v>
      </c>
      <c r="B2484" s="14" t="s">
        <v>666</v>
      </c>
      <c r="C2484" s="14" t="s">
        <v>5834</v>
      </c>
      <c r="D2484" s="14" t="s">
        <v>5826</v>
      </c>
      <c r="E2484" s="16">
        <v>140</v>
      </c>
      <c r="F2484" s="14" t="s">
        <v>1321</v>
      </c>
      <c r="G2484" s="17">
        <v>7560</v>
      </c>
      <c r="H2484" s="14" t="s">
        <v>1322</v>
      </c>
      <c r="I2484" s="14" t="s">
        <v>1256</v>
      </c>
      <c r="J2484" s="14" t="s">
        <v>1233</v>
      </c>
      <c r="K2484" s="14" t="s">
        <v>1257</v>
      </c>
      <c r="L2484" s="14" t="s">
        <v>5835</v>
      </c>
      <c r="M2484" s="14" t="s">
        <v>1324</v>
      </c>
      <c r="N2484" s="14" t="s">
        <v>1237</v>
      </c>
      <c r="O2484" s="14" t="s">
        <v>1220</v>
      </c>
    </row>
    <row r="2485" spans="1:15" x14ac:dyDescent="0.25">
      <c r="A2485" s="14" t="s">
        <v>5836</v>
      </c>
      <c r="B2485" s="14" t="s">
        <v>5837</v>
      </c>
      <c r="C2485" s="14" t="s">
        <v>5838</v>
      </c>
      <c r="D2485" s="14" t="s">
        <v>5826</v>
      </c>
      <c r="E2485" s="15"/>
      <c r="F2485" s="14" t="s">
        <v>1321</v>
      </c>
      <c r="G2485" s="15"/>
      <c r="H2485" s="14" t="s">
        <v>1322</v>
      </c>
      <c r="I2485" s="14" t="s">
        <v>1262</v>
      </c>
      <c r="J2485" s="14" t="s">
        <v>1262</v>
      </c>
      <c r="K2485" s="14"/>
      <c r="L2485" s="14" t="s">
        <v>5835</v>
      </c>
      <c r="M2485" s="14" t="s">
        <v>1324</v>
      </c>
      <c r="N2485" s="14" t="s">
        <v>1219</v>
      </c>
      <c r="O2485" s="14" t="s">
        <v>1220</v>
      </c>
    </row>
    <row r="2486" spans="1:15" x14ac:dyDescent="0.25">
      <c r="A2486" s="14">
        <v>2381</v>
      </c>
      <c r="B2486" s="14" t="s">
        <v>677</v>
      </c>
      <c r="C2486" s="14" t="s">
        <v>5839</v>
      </c>
      <c r="D2486" s="14" t="s">
        <v>5826</v>
      </c>
      <c r="E2486" s="16">
        <v>120</v>
      </c>
      <c r="F2486" s="14" t="s">
        <v>1321</v>
      </c>
      <c r="G2486" s="17">
        <v>3240</v>
      </c>
      <c r="H2486" s="14" t="s">
        <v>1322</v>
      </c>
      <c r="I2486" s="14" t="s">
        <v>1256</v>
      </c>
      <c r="J2486" s="14" t="s">
        <v>1233</v>
      </c>
      <c r="K2486" s="14" t="s">
        <v>1257</v>
      </c>
      <c r="L2486" s="14" t="s">
        <v>5840</v>
      </c>
      <c r="M2486" s="14" t="s">
        <v>1324</v>
      </c>
      <c r="N2486" s="14" t="s">
        <v>1237</v>
      </c>
      <c r="O2486" s="14" t="s">
        <v>1220</v>
      </c>
    </row>
    <row r="2487" spans="1:15" x14ac:dyDescent="0.25">
      <c r="A2487" s="14" t="s">
        <v>5841</v>
      </c>
      <c r="B2487" s="14" t="s">
        <v>5842</v>
      </c>
      <c r="C2487" s="14" t="s">
        <v>5843</v>
      </c>
      <c r="D2487" s="14" t="s">
        <v>5826</v>
      </c>
      <c r="E2487" s="15"/>
      <c r="F2487" s="14" t="s">
        <v>1321</v>
      </c>
      <c r="G2487" s="15"/>
      <c r="H2487" s="14" t="s">
        <v>1322</v>
      </c>
      <c r="I2487" s="14" t="s">
        <v>1262</v>
      </c>
      <c r="J2487" s="14" t="s">
        <v>1262</v>
      </c>
      <c r="K2487" s="14"/>
      <c r="L2487" s="14" t="s">
        <v>5840</v>
      </c>
      <c r="M2487" s="14" t="s">
        <v>1324</v>
      </c>
      <c r="N2487" s="14" t="s">
        <v>1219</v>
      </c>
      <c r="O2487" s="14" t="s">
        <v>1220</v>
      </c>
    </row>
    <row r="2488" spans="1:15" x14ac:dyDescent="0.25">
      <c r="A2488" s="14">
        <v>2574</v>
      </c>
      <c r="B2488" s="14" t="s">
        <v>680</v>
      </c>
      <c r="C2488" s="14" t="s">
        <v>5844</v>
      </c>
      <c r="D2488" s="14" t="s">
        <v>5826</v>
      </c>
      <c r="E2488" s="16">
        <v>120</v>
      </c>
      <c r="F2488" s="14" t="s">
        <v>1321</v>
      </c>
      <c r="G2488" s="17">
        <v>3240</v>
      </c>
      <c r="H2488" s="14" t="s">
        <v>1322</v>
      </c>
      <c r="I2488" s="14" t="s">
        <v>1256</v>
      </c>
      <c r="J2488" s="14" t="s">
        <v>1233</v>
      </c>
      <c r="K2488" s="14" t="s">
        <v>1257</v>
      </c>
      <c r="L2488" s="14" t="s">
        <v>5845</v>
      </c>
      <c r="M2488" s="14" t="s">
        <v>1324</v>
      </c>
      <c r="N2488" s="14" t="s">
        <v>1237</v>
      </c>
      <c r="O2488" s="14" t="s">
        <v>1220</v>
      </c>
    </row>
    <row r="2489" spans="1:15" x14ac:dyDescent="0.25">
      <c r="A2489" s="14" t="s">
        <v>5846</v>
      </c>
      <c r="B2489" s="14" t="s">
        <v>5847</v>
      </c>
      <c r="C2489" s="14" t="s">
        <v>5848</v>
      </c>
      <c r="D2489" s="14" t="s">
        <v>5826</v>
      </c>
      <c r="E2489" s="15"/>
      <c r="F2489" s="14" t="s">
        <v>1321</v>
      </c>
      <c r="G2489" s="15"/>
      <c r="H2489" s="14" t="s">
        <v>1322</v>
      </c>
      <c r="I2489" s="14" t="s">
        <v>1262</v>
      </c>
      <c r="J2489" s="14" t="s">
        <v>1262</v>
      </c>
      <c r="K2489" s="14"/>
      <c r="L2489" s="14" t="s">
        <v>5845</v>
      </c>
      <c r="M2489" s="14" t="s">
        <v>1324</v>
      </c>
      <c r="N2489" s="14" t="s">
        <v>1219</v>
      </c>
      <c r="O2489" s="14" t="s">
        <v>1220</v>
      </c>
    </row>
    <row r="2490" spans="1:15" x14ac:dyDescent="0.25">
      <c r="A2490" s="14">
        <v>2380</v>
      </c>
      <c r="B2490" s="14" t="s">
        <v>683</v>
      </c>
      <c r="C2490" s="14" t="s">
        <v>5849</v>
      </c>
      <c r="D2490" s="14" t="s">
        <v>5826</v>
      </c>
      <c r="E2490" s="16">
        <v>120</v>
      </c>
      <c r="F2490" s="14" t="s">
        <v>1321</v>
      </c>
      <c r="G2490" s="17">
        <v>7080</v>
      </c>
      <c r="H2490" s="14" t="s">
        <v>1322</v>
      </c>
      <c r="I2490" s="14" t="s">
        <v>1256</v>
      </c>
      <c r="J2490" s="14" t="s">
        <v>1233</v>
      </c>
      <c r="K2490" s="14" t="s">
        <v>1257</v>
      </c>
      <c r="L2490" s="14" t="s">
        <v>5850</v>
      </c>
      <c r="M2490" s="14" t="s">
        <v>1324</v>
      </c>
      <c r="N2490" s="14" t="s">
        <v>1237</v>
      </c>
      <c r="O2490" s="14" t="s">
        <v>1220</v>
      </c>
    </row>
    <row r="2491" spans="1:15" x14ac:dyDescent="0.25">
      <c r="A2491" s="14" t="s">
        <v>5851</v>
      </c>
      <c r="B2491" s="14" t="s">
        <v>5852</v>
      </c>
      <c r="C2491" s="14" t="s">
        <v>5853</v>
      </c>
      <c r="D2491" s="14" t="s">
        <v>5826</v>
      </c>
      <c r="E2491" s="15"/>
      <c r="F2491" s="14" t="s">
        <v>1321</v>
      </c>
      <c r="G2491" s="15"/>
      <c r="H2491" s="14" t="s">
        <v>1322</v>
      </c>
      <c r="I2491" s="14" t="s">
        <v>1262</v>
      </c>
      <c r="J2491" s="14" t="s">
        <v>1262</v>
      </c>
      <c r="K2491" s="14"/>
      <c r="L2491" s="14" t="s">
        <v>5850</v>
      </c>
      <c r="M2491" s="14" t="s">
        <v>1324</v>
      </c>
      <c r="N2491" s="14" t="s">
        <v>1219</v>
      </c>
      <c r="O2491" s="14" t="s">
        <v>1220</v>
      </c>
    </row>
    <row r="2492" spans="1:15" x14ac:dyDescent="0.25">
      <c r="A2492" s="14">
        <v>2379</v>
      </c>
      <c r="B2492" s="14" t="s">
        <v>686</v>
      </c>
      <c r="C2492" s="14" t="s">
        <v>5854</v>
      </c>
      <c r="D2492" s="14" t="s">
        <v>5826</v>
      </c>
      <c r="E2492" s="16">
        <v>100</v>
      </c>
      <c r="F2492" s="14" t="s">
        <v>1321</v>
      </c>
      <c r="G2492" s="17">
        <v>3000</v>
      </c>
      <c r="H2492" s="14" t="s">
        <v>1322</v>
      </c>
      <c r="I2492" s="14" t="s">
        <v>1256</v>
      </c>
      <c r="J2492" s="14" t="s">
        <v>1233</v>
      </c>
      <c r="K2492" s="14" t="s">
        <v>1257</v>
      </c>
      <c r="L2492" s="14" t="s">
        <v>5855</v>
      </c>
      <c r="M2492" s="14" t="s">
        <v>1324</v>
      </c>
      <c r="N2492" s="14" t="s">
        <v>1237</v>
      </c>
      <c r="O2492" s="14" t="s">
        <v>1220</v>
      </c>
    </row>
    <row r="2493" spans="1:15" x14ac:dyDescent="0.25">
      <c r="A2493" s="14" t="s">
        <v>5856</v>
      </c>
      <c r="B2493" s="14" t="s">
        <v>5857</v>
      </c>
      <c r="C2493" s="14" t="s">
        <v>5858</v>
      </c>
      <c r="D2493" s="14" t="s">
        <v>5826</v>
      </c>
      <c r="E2493" s="15"/>
      <c r="F2493" s="14" t="s">
        <v>1321</v>
      </c>
      <c r="G2493" s="15"/>
      <c r="H2493" s="14" t="s">
        <v>1322</v>
      </c>
      <c r="I2493" s="14" t="s">
        <v>1262</v>
      </c>
      <c r="J2493" s="14" t="s">
        <v>1262</v>
      </c>
      <c r="K2493" s="14"/>
      <c r="L2493" s="14" t="s">
        <v>5855</v>
      </c>
      <c r="M2493" s="14" t="s">
        <v>1324</v>
      </c>
      <c r="N2493" s="14" t="s">
        <v>1219</v>
      </c>
      <c r="O2493" s="14" t="s">
        <v>1220</v>
      </c>
    </row>
    <row r="2494" spans="1:15" x14ac:dyDescent="0.25">
      <c r="A2494" s="14">
        <v>2575</v>
      </c>
      <c r="B2494" s="14" t="s">
        <v>689</v>
      </c>
      <c r="C2494" s="14" t="s">
        <v>5859</v>
      </c>
      <c r="D2494" s="14" t="s">
        <v>5826</v>
      </c>
      <c r="E2494" s="16">
        <v>150</v>
      </c>
      <c r="F2494" s="14" t="s">
        <v>1321</v>
      </c>
      <c r="G2494" s="17">
        <v>5550</v>
      </c>
      <c r="H2494" s="14" t="s">
        <v>1322</v>
      </c>
      <c r="I2494" s="14" t="s">
        <v>1256</v>
      </c>
      <c r="J2494" s="14" t="s">
        <v>1233</v>
      </c>
      <c r="K2494" s="14" t="s">
        <v>1257</v>
      </c>
      <c r="L2494" s="14" t="s">
        <v>5860</v>
      </c>
      <c r="M2494" s="14" t="s">
        <v>1324</v>
      </c>
      <c r="N2494" s="14" t="s">
        <v>1237</v>
      </c>
      <c r="O2494" s="14" t="s">
        <v>1220</v>
      </c>
    </row>
    <row r="2495" spans="1:15" x14ac:dyDescent="0.25">
      <c r="A2495" s="14" t="s">
        <v>5861</v>
      </c>
      <c r="B2495" s="14" t="s">
        <v>5862</v>
      </c>
      <c r="C2495" s="14" t="s">
        <v>5863</v>
      </c>
      <c r="D2495" s="14" t="s">
        <v>5826</v>
      </c>
      <c r="E2495" s="15"/>
      <c r="F2495" s="14" t="s">
        <v>1321</v>
      </c>
      <c r="G2495" s="15"/>
      <c r="H2495" s="14" t="s">
        <v>1322</v>
      </c>
      <c r="I2495" s="14" t="s">
        <v>1262</v>
      </c>
      <c r="J2495" s="14" t="s">
        <v>1262</v>
      </c>
      <c r="K2495" s="14"/>
      <c r="L2495" s="14" t="s">
        <v>5860</v>
      </c>
      <c r="M2495" s="14" t="s">
        <v>1324</v>
      </c>
      <c r="N2495" s="14" t="s">
        <v>1219</v>
      </c>
      <c r="O2495" s="14" t="s">
        <v>1220</v>
      </c>
    </row>
    <row r="2496" spans="1:15" x14ac:dyDescent="0.25">
      <c r="A2496" s="14">
        <v>3485</v>
      </c>
      <c r="B2496" s="14" t="s">
        <v>464</v>
      </c>
      <c r="C2496" s="14" t="s">
        <v>464</v>
      </c>
      <c r="D2496" s="14" t="s">
        <v>5826</v>
      </c>
      <c r="E2496" s="16">
        <v>3</v>
      </c>
      <c r="F2496" s="14" t="s">
        <v>1255</v>
      </c>
      <c r="G2496" s="16">
        <v>15</v>
      </c>
      <c r="H2496" s="14" t="s">
        <v>1255</v>
      </c>
      <c r="I2496" s="14" t="s">
        <v>1256</v>
      </c>
      <c r="J2496" s="14" t="s">
        <v>1296</v>
      </c>
      <c r="K2496" s="14" t="s">
        <v>1257</v>
      </c>
      <c r="L2496" s="14" t="s">
        <v>5864</v>
      </c>
      <c r="M2496" s="14" t="s">
        <v>1259</v>
      </c>
      <c r="N2496" s="14" t="s">
        <v>1237</v>
      </c>
      <c r="O2496" s="14" t="s">
        <v>1220</v>
      </c>
    </row>
    <row r="2497" spans="1:15" x14ac:dyDescent="0.25">
      <c r="A2497" s="14">
        <v>2570</v>
      </c>
      <c r="B2497" s="14" t="s">
        <v>673</v>
      </c>
      <c r="C2497" s="14" t="s">
        <v>5865</v>
      </c>
      <c r="D2497" s="14" t="s">
        <v>5826</v>
      </c>
      <c r="E2497" s="16">
        <v>40</v>
      </c>
      <c r="F2497" s="14" t="s">
        <v>1321</v>
      </c>
      <c r="G2497" s="16">
        <v>880</v>
      </c>
      <c r="H2497" s="14" t="s">
        <v>1322</v>
      </c>
      <c r="I2497" s="14" t="s">
        <v>1256</v>
      </c>
      <c r="J2497" s="14" t="s">
        <v>1233</v>
      </c>
      <c r="K2497" s="14" t="s">
        <v>1257</v>
      </c>
      <c r="L2497" s="14" t="s">
        <v>5866</v>
      </c>
      <c r="M2497" s="14" t="s">
        <v>1324</v>
      </c>
      <c r="N2497" s="14" t="s">
        <v>1237</v>
      </c>
      <c r="O2497" s="14" t="s">
        <v>1220</v>
      </c>
    </row>
    <row r="2498" spans="1:15" x14ac:dyDescent="0.25">
      <c r="A2498" s="14" t="s">
        <v>5867</v>
      </c>
      <c r="B2498" s="14" t="s">
        <v>5868</v>
      </c>
      <c r="C2498" s="14" t="s">
        <v>5869</v>
      </c>
      <c r="D2498" s="14" t="s">
        <v>5826</v>
      </c>
      <c r="E2498" s="15"/>
      <c r="F2498" s="14" t="s">
        <v>1350</v>
      </c>
      <c r="G2498" s="15"/>
      <c r="H2498" s="14" t="s">
        <v>1322</v>
      </c>
      <c r="I2498" s="14" t="s">
        <v>1262</v>
      </c>
      <c r="J2498" s="14" t="s">
        <v>1262</v>
      </c>
      <c r="K2498" s="14" t="s">
        <v>1257</v>
      </c>
      <c r="L2498" s="14" t="s">
        <v>5866</v>
      </c>
      <c r="M2498" s="14" t="s">
        <v>1324</v>
      </c>
      <c r="N2498" s="14" t="s">
        <v>1219</v>
      </c>
      <c r="O2498" s="14" t="s">
        <v>1220</v>
      </c>
    </row>
    <row r="2499" spans="1:15" x14ac:dyDescent="0.25">
      <c r="A2499" s="14">
        <v>4522</v>
      </c>
      <c r="B2499" s="14" t="s">
        <v>679</v>
      </c>
      <c r="C2499" s="14" t="s">
        <v>5870</v>
      </c>
      <c r="D2499" s="14" t="s">
        <v>5826</v>
      </c>
      <c r="E2499" s="16">
        <v>30</v>
      </c>
      <c r="F2499" s="14" t="s">
        <v>1321</v>
      </c>
      <c r="G2499" s="16">
        <v>210</v>
      </c>
      <c r="H2499" s="14" t="s">
        <v>1322</v>
      </c>
      <c r="I2499" s="14" t="s">
        <v>1256</v>
      </c>
      <c r="J2499" s="14" t="s">
        <v>1296</v>
      </c>
      <c r="K2499" s="14" t="s">
        <v>1257</v>
      </c>
      <c r="L2499" s="14" t="s">
        <v>5871</v>
      </c>
      <c r="M2499" s="14" t="s">
        <v>1324</v>
      </c>
      <c r="N2499" s="14" t="s">
        <v>1237</v>
      </c>
      <c r="O2499" s="14" t="s">
        <v>1220</v>
      </c>
    </row>
    <row r="2500" spans="1:15" x14ac:dyDescent="0.25">
      <c r="A2500" s="14">
        <v>4520</v>
      </c>
      <c r="B2500" s="14" t="s">
        <v>685</v>
      </c>
      <c r="C2500" s="14" t="s">
        <v>5872</v>
      </c>
      <c r="D2500" s="14" t="s">
        <v>5826</v>
      </c>
      <c r="E2500" s="16">
        <v>30</v>
      </c>
      <c r="F2500" s="14" t="s">
        <v>1321</v>
      </c>
      <c r="G2500" s="16">
        <v>180</v>
      </c>
      <c r="H2500" s="14" t="s">
        <v>1322</v>
      </c>
      <c r="I2500" s="14" t="s">
        <v>1256</v>
      </c>
      <c r="J2500" s="14" t="s">
        <v>1296</v>
      </c>
      <c r="K2500" s="14" t="s">
        <v>1257</v>
      </c>
      <c r="L2500" s="14" t="s">
        <v>5873</v>
      </c>
      <c r="M2500" s="14" t="s">
        <v>1324</v>
      </c>
      <c r="N2500" s="14" t="s">
        <v>1237</v>
      </c>
      <c r="O2500" s="14" t="s">
        <v>1220</v>
      </c>
    </row>
    <row r="2501" spans="1:15" x14ac:dyDescent="0.25">
      <c r="A2501" s="14">
        <v>2382</v>
      </c>
      <c r="B2501" s="14" t="s">
        <v>674</v>
      </c>
      <c r="C2501" s="14" t="s">
        <v>5874</v>
      </c>
      <c r="D2501" s="14" t="s">
        <v>5826</v>
      </c>
      <c r="E2501" s="16">
        <v>60</v>
      </c>
      <c r="F2501" s="14" t="s">
        <v>1321</v>
      </c>
      <c r="G2501" s="17">
        <v>1440</v>
      </c>
      <c r="H2501" s="14" t="s">
        <v>1322</v>
      </c>
      <c r="I2501" s="14" t="s">
        <v>1256</v>
      </c>
      <c r="J2501" s="14" t="s">
        <v>1242</v>
      </c>
      <c r="K2501" s="14" t="s">
        <v>1257</v>
      </c>
      <c r="L2501" s="14" t="s">
        <v>5875</v>
      </c>
      <c r="M2501" s="14" t="s">
        <v>1324</v>
      </c>
      <c r="N2501" s="14" t="s">
        <v>1237</v>
      </c>
      <c r="O2501" s="14" t="s">
        <v>1220</v>
      </c>
    </row>
    <row r="2502" spans="1:15" x14ac:dyDescent="0.25">
      <c r="A2502" s="14" t="s">
        <v>5876</v>
      </c>
      <c r="B2502" s="14" t="s">
        <v>5877</v>
      </c>
      <c r="C2502" s="14" t="s">
        <v>5878</v>
      </c>
      <c r="D2502" s="14" t="s">
        <v>5826</v>
      </c>
      <c r="E2502" s="15"/>
      <c r="F2502" s="14" t="s">
        <v>1321</v>
      </c>
      <c r="G2502" s="15"/>
      <c r="H2502" s="14" t="s">
        <v>1322</v>
      </c>
      <c r="I2502" s="14" t="s">
        <v>1262</v>
      </c>
      <c r="J2502" s="14" t="s">
        <v>1262</v>
      </c>
      <c r="K2502" s="14" t="s">
        <v>1257</v>
      </c>
      <c r="L2502" s="14" t="s">
        <v>5875</v>
      </c>
      <c r="M2502" s="14" t="s">
        <v>1324</v>
      </c>
      <c r="N2502" s="14" t="s">
        <v>1219</v>
      </c>
      <c r="O2502" s="14" t="s">
        <v>1220</v>
      </c>
    </row>
    <row r="2503" spans="1:15" x14ac:dyDescent="0.25">
      <c r="A2503" s="14">
        <v>2573</v>
      </c>
      <c r="B2503" s="14" t="s">
        <v>675</v>
      </c>
      <c r="C2503" s="14" t="s">
        <v>5879</v>
      </c>
      <c r="D2503" s="14" t="s">
        <v>5826</v>
      </c>
      <c r="E2503" s="16">
        <v>50</v>
      </c>
      <c r="F2503" s="14" t="s">
        <v>1321</v>
      </c>
      <c r="G2503" s="16">
        <v>550</v>
      </c>
      <c r="H2503" s="14" t="s">
        <v>1322</v>
      </c>
      <c r="I2503" s="14" t="s">
        <v>1256</v>
      </c>
      <c r="J2503" s="14" t="s">
        <v>1296</v>
      </c>
      <c r="K2503" s="14" t="s">
        <v>1257</v>
      </c>
      <c r="L2503" s="14" t="s">
        <v>5880</v>
      </c>
      <c r="M2503" s="14" t="s">
        <v>1324</v>
      </c>
      <c r="N2503" s="14" t="s">
        <v>1237</v>
      </c>
      <c r="O2503" s="14" t="s">
        <v>1220</v>
      </c>
    </row>
    <row r="2504" spans="1:15" x14ac:dyDescent="0.25">
      <c r="A2504" s="14" t="s">
        <v>5881</v>
      </c>
      <c r="B2504" s="14" t="s">
        <v>5882</v>
      </c>
      <c r="C2504" s="14" t="s">
        <v>5883</v>
      </c>
      <c r="D2504" s="14" t="s">
        <v>5826</v>
      </c>
      <c r="E2504" s="15"/>
      <c r="F2504" s="14" t="s">
        <v>1321</v>
      </c>
      <c r="G2504" s="15"/>
      <c r="H2504" s="14" t="s">
        <v>1322</v>
      </c>
      <c r="I2504" s="14" t="s">
        <v>1262</v>
      </c>
      <c r="J2504" s="14" t="s">
        <v>1262</v>
      </c>
      <c r="K2504" s="14"/>
      <c r="L2504" s="14" t="s">
        <v>5880</v>
      </c>
      <c r="M2504" s="14" t="s">
        <v>1324</v>
      </c>
      <c r="N2504" s="14" t="s">
        <v>1219</v>
      </c>
      <c r="O2504" s="14" t="s">
        <v>1220</v>
      </c>
    </row>
    <row r="2505" spans="1:15" x14ac:dyDescent="0.25">
      <c r="A2505" s="14">
        <v>4518</v>
      </c>
      <c r="B2505" s="14" t="s">
        <v>688</v>
      </c>
      <c r="C2505" s="14" t="s">
        <v>5884</v>
      </c>
      <c r="D2505" s="14" t="s">
        <v>5826</v>
      </c>
      <c r="E2505" s="16">
        <v>40</v>
      </c>
      <c r="F2505" s="14" t="s">
        <v>1321</v>
      </c>
      <c r="G2505" s="16">
        <v>200</v>
      </c>
      <c r="H2505" s="14" t="s">
        <v>1322</v>
      </c>
      <c r="I2505" s="14" t="s">
        <v>1256</v>
      </c>
      <c r="J2505" s="14" t="s">
        <v>1296</v>
      </c>
      <c r="K2505" s="14" t="s">
        <v>1257</v>
      </c>
      <c r="L2505" s="14" t="s">
        <v>5885</v>
      </c>
      <c r="M2505" s="14" t="s">
        <v>1324</v>
      </c>
      <c r="N2505" s="14" t="s">
        <v>1237</v>
      </c>
      <c r="O2505" s="14" t="s">
        <v>1220</v>
      </c>
    </row>
    <row r="2506" spans="1:15" x14ac:dyDescent="0.25">
      <c r="A2506" s="14">
        <v>2577</v>
      </c>
      <c r="B2506" s="14" t="s">
        <v>692</v>
      </c>
      <c r="C2506" s="14" t="s">
        <v>5886</v>
      </c>
      <c r="D2506" s="14" t="s">
        <v>5826</v>
      </c>
      <c r="E2506" s="16">
        <v>40</v>
      </c>
      <c r="F2506" s="14" t="s">
        <v>1321</v>
      </c>
      <c r="G2506" s="17">
        <v>1000</v>
      </c>
      <c r="H2506" s="14" t="s">
        <v>1322</v>
      </c>
      <c r="I2506" s="14" t="s">
        <v>1256</v>
      </c>
      <c r="J2506" s="14" t="s">
        <v>1242</v>
      </c>
      <c r="K2506" s="14" t="s">
        <v>1257</v>
      </c>
      <c r="L2506" s="14" t="s">
        <v>5887</v>
      </c>
      <c r="M2506" s="14" t="s">
        <v>1324</v>
      </c>
      <c r="N2506" s="14" t="s">
        <v>1237</v>
      </c>
      <c r="O2506" s="14" t="s">
        <v>1220</v>
      </c>
    </row>
    <row r="2507" spans="1:15" x14ac:dyDescent="0.25">
      <c r="A2507" s="14" t="s">
        <v>5888</v>
      </c>
      <c r="B2507" s="14" t="s">
        <v>5889</v>
      </c>
      <c r="C2507" s="14" t="s">
        <v>5890</v>
      </c>
      <c r="D2507" s="14" t="s">
        <v>5826</v>
      </c>
      <c r="E2507" s="15"/>
      <c r="F2507" s="14" t="s">
        <v>1350</v>
      </c>
      <c r="G2507" s="15"/>
      <c r="H2507" s="14" t="s">
        <v>1322</v>
      </c>
      <c r="I2507" s="14" t="s">
        <v>1262</v>
      </c>
      <c r="J2507" s="14" t="s">
        <v>1262</v>
      </c>
      <c r="K2507" s="14" t="s">
        <v>1257</v>
      </c>
      <c r="L2507" s="14" t="s">
        <v>5887</v>
      </c>
      <c r="M2507" s="14" t="s">
        <v>1324</v>
      </c>
      <c r="N2507" s="14" t="s">
        <v>1219</v>
      </c>
      <c r="O2507" s="14" t="s">
        <v>1220</v>
      </c>
    </row>
    <row r="2508" spans="1:15" x14ac:dyDescent="0.25">
      <c r="A2508" s="14">
        <v>3477</v>
      </c>
      <c r="B2508" s="14" t="s">
        <v>465</v>
      </c>
      <c r="C2508" s="14" t="s">
        <v>465</v>
      </c>
      <c r="D2508" s="14" t="s">
        <v>5826</v>
      </c>
      <c r="E2508" s="16">
        <v>300</v>
      </c>
      <c r="F2508" s="14" t="s">
        <v>3365</v>
      </c>
      <c r="G2508" s="17">
        <v>3000</v>
      </c>
      <c r="H2508" s="14" t="s">
        <v>1255</v>
      </c>
      <c r="I2508" s="14" t="s">
        <v>1256</v>
      </c>
      <c r="J2508" s="14" t="s">
        <v>1242</v>
      </c>
      <c r="K2508" s="14" t="s">
        <v>1257</v>
      </c>
      <c r="L2508" s="14" t="s">
        <v>5891</v>
      </c>
      <c r="M2508" s="14" t="s">
        <v>1259</v>
      </c>
      <c r="N2508" s="14" t="s">
        <v>1237</v>
      </c>
      <c r="O2508" s="14" t="s">
        <v>1220</v>
      </c>
    </row>
    <row r="2509" spans="1:15" x14ac:dyDescent="0.25">
      <c r="A2509" s="14" t="s">
        <v>5892</v>
      </c>
      <c r="B2509" s="14" t="s">
        <v>5893</v>
      </c>
      <c r="C2509" s="14" t="s">
        <v>5893</v>
      </c>
      <c r="D2509" s="14" t="s">
        <v>5826</v>
      </c>
      <c r="E2509" s="15"/>
      <c r="F2509" s="14" t="s">
        <v>3365</v>
      </c>
      <c r="G2509" s="15"/>
      <c r="H2509" s="14" t="s">
        <v>1255</v>
      </c>
      <c r="I2509" s="14" t="s">
        <v>1262</v>
      </c>
      <c r="J2509" s="14" t="s">
        <v>1262</v>
      </c>
      <c r="K2509" s="14"/>
      <c r="L2509" s="14" t="s">
        <v>5891</v>
      </c>
      <c r="M2509" s="14" t="s">
        <v>1259</v>
      </c>
      <c r="N2509" s="14" t="s">
        <v>1219</v>
      </c>
      <c r="O2509" s="14" t="s">
        <v>1220</v>
      </c>
    </row>
    <row r="2510" spans="1:15" x14ac:dyDescent="0.25">
      <c r="A2510" s="14">
        <v>3478</v>
      </c>
      <c r="B2510" s="14" t="s">
        <v>466</v>
      </c>
      <c r="C2510" s="14" t="s">
        <v>466</v>
      </c>
      <c r="D2510" s="14" t="s">
        <v>5826</v>
      </c>
      <c r="E2510" s="16">
        <v>160</v>
      </c>
      <c r="F2510" s="14" t="s">
        <v>1255</v>
      </c>
      <c r="G2510" s="17">
        <v>1600</v>
      </c>
      <c r="H2510" s="14" t="s">
        <v>1255</v>
      </c>
      <c r="I2510" s="14" t="s">
        <v>1256</v>
      </c>
      <c r="J2510" s="14" t="s">
        <v>1242</v>
      </c>
      <c r="K2510" s="14" t="s">
        <v>1257</v>
      </c>
      <c r="L2510" s="14" t="s">
        <v>5894</v>
      </c>
      <c r="M2510" s="14" t="s">
        <v>1259</v>
      </c>
      <c r="N2510" s="14" t="s">
        <v>1237</v>
      </c>
      <c r="O2510" s="14" t="s">
        <v>1220</v>
      </c>
    </row>
    <row r="2511" spans="1:15" x14ac:dyDescent="0.25">
      <c r="A2511" s="14" t="s">
        <v>5895</v>
      </c>
      <c r="B2511" s="14" t="s">
        <v>5896</v>
      </c>
      <c r="C2511" s="14" t="s">
        <v>5896</v>
      </c>
      <c r="D2511" s="14" t="s">
        <v>5826</v>
      </c>
      <c r="E2511" s="15"/>
      <c r="F2511" s="14" t="s">
        <v>1255</v>
      </c>
      <c r="G2511" s="15"/>
      <c r="H2511" s="14" t="s">
        <v>1255</v>
      </c>
      <c r="I2511" s="14" t="s">
        <v>1262</v>
      </c>
      <c r="J2511" s="14" t="s">
        <v>1262</v>
      </c>
      <c r="K2511" s="14"/>
      <c r="L2511" s="14" t="s">
        <v>5894</v>
      </c>
      <c r="M2511" s="14" t="s">
        <v>1259</v>
      </c>
      <c r="N2511" s="14" t="s">
        <v>1219</v>
      </c>
      <c r="O2511" s="14" t="s">
        <v>1220</v>
      </c>
    </row>
    <row r="2512" spans="1:15" x14ac:dyDescent="0.25">
      <c r="A2512" s="14">
        <v>4512</v>
      </c>
      <c r="B2512" s="14" t="s">
        <v>676</v>
      </c>
      <c r="C2512" s="14" t="s">
        <v>5897</v>
      </c>
      <c r="D2512" s="14" t="s">
        <v>5826</v>
      </c>
      <c r="E2512" s="16">
        <v>10</v>
      </c>
      <c r="F2512" s="14" t="s">
        <v>1321</v>
      </c>
      <c r="G2512" s="16">
        <v>480</v>
      </c>
      <c r="H2512" s="14" t="s">
        <v>1322</v>
      </c>
      <c r="I2512" s="14" t="s">
        <v>1256</v>
      </c>
      <c r="J2512" s="14" t="s">
        <v>1296</v>
      </c>
      <c r="K2512" s="14" t="s">
        <v>1387</v>
      </c>
      <c r="L2512" s="14" t="s">
        <v>5898</v>
      </c>
      <c r="M2512" s="14" t="s">
        <v>1324</v>
      </c>
      <c r="N2512" s="14" t="s">
        <v>1237</v>
      </c>
      <c r="O2512" s="14" t="s">
        <v>1220</v>
      </c>
    </row>
    <row r="2513" spans="1:15" x14ac:dyDescent="0.25">
      <c r="A2513" s="14">
        <v>2572</v>
      </c>
      <c r="B2513" s="14" t="s">
        <v>668</v>
      </c>
      <c r="C2513" s="14" t="s">
        <v>5899</v>
      </c>
      <c r="D2513" s="14" t="s">
        <v>5826</v>
      </c>
      <c r="E2513" s="16">
        <v>80</v>
      </c>
      <c r="F2513" s="14" t="s">
        <v>1321</v>
      </c>
      <c r="G2513" s="17">
        <v>2400</v>
      </c>
      <c r="H2513" s="14" t="s">
        <v>1322</v>
      </c>
      <c r="I2513" s="14" t="s">
        <v>1256</v>
      </c>
      <c r="J2513" s="14" t="s">
        <v>1242</v>
      </c>
      <c r="K2513" s="14" t="s">
        <v>1257</v>
      </c>
      <c r="L2513" s="14" t="s">
        <v>5900</v>
      </c>
      <c r="M2513" s="14" t="s">
        <v>1324</v>
      </c>
      <c r="N2513" s="14" t="s">
        <v>1237</v>
      </c>
      <c r="O2513" s="14" t="s">
        <v>1220</v>
      </c>
    </row>
    <row r="2514" spans="1:15" x14ac:dyDescent="0.25">
      <c r="A2514" s="14" t="s">
        <v>5901</v>
      </c>
      <c r="B2514" s="14" t="s">
        <v>5902</v>
      </c>
      <c r="C2514" s="14" t="s">
        <v>5903</v>
      </c>
      <c r="D2514" s="14" t="s">
        <v>5826</v>
      </c>
      <c r="E2514" s="15"/>
      <c r="F2514" s="14" t="s">
        <v>1321</v>
      </c>
      <c r="G2514" s="15"/>
      <c r="H2514" s="14" t="s">
        <v>1322</v>
      </c>
      <c r="I2514" s="14" t="s">
        <v>1262</v>
      </c>
      <c r="J2514" s="14" t="s">
        <v>1262</v>
      </c>
      <c r="K2514" s="14"/>
      <c r="L2514" s="14" t="s">
        <v>5900</v>
      </c>
      <c r="M2514" s="14" t="s">
        <v>1324</v>
      </c>
      <c r="N2514" s="14" t="s">
        <v>1219</v>
      </c>
      <c r="O2514" s="14" t="s">
        <v>1220</v>
      </c>
    </row>
    <row r="2515" spans="1:15" x14ac:dyDescent="0.25">
      <c r="A2515" s="14">
        <v>4516</v>
      </c>
      <c r="B2515" s="14" t="s">
        <v>682</v>
      </c>
      <c r="C2515" s="14" t="s">
        <v>5904</v>
      </c>
      <c r="D2515" s="14" t="s">
        <v>5826</v>
      </c>
      <c r="E2515" s="16">
        <v>100</v>
      </c>
      <c r="F2515" s="14" t="s">
        <v>1321</v>
      </c>
      <c r="G2515" s="17">
        <v>1100</v>
      </c>
      <c r="H2515" s="14" t="s">
        <v>1322</v>
      </c>
      <c r="I2515" s="14" t="s">
        <v>1256</v>
      </c>
      <c r="J2515" s="14" t="s">
        <v>1242</v>
      </c>
      <c r="K2515" s="14" t="s">
        <v>1257</v>
      </c>
      <c r="L2515" s="14" t="s">
        <v>5905</v>
      </c>
      <c r="M2515" s="14" t="s">
        <v>1324</v>
      </c>
      <c r="N2515" s="14" t="s">
        <v>1237</v>
      </c>
      <c r="O2515" s="14" t="s">
        <v>1220</v>
      </c>
    </row>
    <row r="2516" spans="1:15" x14ac:dyDescent="0.25">
      <c r="A2516" s="14" t="s">
        <v>5906</v>
      </c>
      <c r="B2516" s="14" t="s">
        <v>5907</v>
      </c>
      <c r="C2516" s="14" t="s">
        <v>5908</v>
      </c>
      <c r="D2516" s="14" t="s">
        <v>5826</v>
      </c>
      <c r="E2516" s="15"/>
      <c r="F2516" s="14" t="s">
        <v>1321</v>
      </c>
      <c r="G2516" s="15"/>
      <c r="H2516" s="14" t="s">
        <v>1322</v>
      </c>
      <c r="I2516" s="14" t="s">
        <v>1262</v>
      </c>
      <c r="J2516" s="14" t="s">
        <v>1262</v>
      </c>
      <c r="K2516" s="14"/>
      <c r="L2516" s="14" t="s">
        <v>5905</v>
      </c>
      <c r="M2516" s="14" t="s">
        <v>1324</v>
      </c>
      <c r="N2516" s="14" t="s">
        <v>1219</v>
      </c>
      <c r="O2516" s="14" t="s">
        <v>1220</v>
      </c>
    </row>
    <row r="2517" spans="1:15" x14ac:dyDescent="0.25">
      <c r="A2517" s="14">
        <v>2569</v>
      </c>
      <c r="B2517" s="14" t="s">
        <v>667</v>
      </c>
      <c r="C2517" s="14" t="s">
        <v>5909</v>
      </c>
      <c r="D2517" s="14" t="s">
        <v>5826</v>
      </c>
      <c r="E2517" s="16">
        <v>70</v>
      </c>
      <c r="F2517" s="14" t="s">
        <v>1321</v>
      </c>
      <c r="G2517" s="17">
        <v>3920</v>
      </c>
      <c r="H2517" s="14" t="s">
        <v>1322</v>
      </c>
      <c r="I2517" s="14" t="s">
        <v>1256</v>
      </c>
      <c r="J2517" s="14" t="s">
        <v>1233</v>
      </c>
      <c r="K2517" s="14" t="s">
        <v>1257</v>
      </c>
      <c r="L2517" s="14" t="s">
        <v>5910</v>
      </c>
      <c r="M2517" s="14" t="s">
        <v>1324</v>
      </c>
      <c r="N2517" s="14" t="s">
        <v>1237</v>
      </c>
      <c r="O2517" s="14" t="s">
        <v>1220</v>
      </c>
    </row>
    <row r="2518" spans="1:15" x14ac:dyDescent="0.25">
      <c r="A2518" s="14" t="s">
        <v>5911</v>
      </c>
      <c r="B2518" s="14" t="s">
        <v>5912</v>
      </c>
      <c r="C2518" s="14" t="s">
        <v>5913</v>
      </c>
      <c r="D2518" s="14" t="s">
        <v>5826</v>
      </c>
      <c r="E2518" s="15"/>
      <c r="F2518" s="14" t="s">
        <v>1321</v>
      </c>
      <c r="G2518" s="15"/>
      <c r="H2518" s="14" t="s">
        <v>1322</v>
      </c>
      <c r="I2518" s="14" t="s">
        <v>1262</v>
      </c>
      <c r="J2518" s="14" t="s">
        <v>1262</v>
      </c>
      <c r="K2518" s="14"/>
      <c r="L2518" s="14" t="s">
        <v>5910</v>
      </c>
      <c r="M2518" s="14" t="s">
        <v>1324</v>
      </c>
      <c r="N2518" s="14" t="s">
        <v>1219</v>
      </c>
      <c r="O2518" s="14" t="s">
        <v>1220</v>
      </c>
    </row>
    <row r="2519" spans="1:15" x14ac:dyDescent="0.25">
      <c r="A2519" s="14">
        <v>4521</v>
      </c>
      <c r="B2519" s="14" t="s">
        <v>678</v>
      </c>
      <c r="C2519" s="14" t="s">
        <v>5914</v>
      </c>
      <c r="D2519" s="14" t="s">
        <v>5826</v>
      </c>
      <c r="E2519" s="16">
        <v>60</v>
      </c>
      <c r="F2519" s="14" t="s">
        <v>1321</v>
      </c>
      <c r="G2519" s="16">
        <v>600</v>
      </c>
      <c r="H2519" s="14" t="s">
        <v>1322</v>
      </c>
      <c r="I2519" s="14" t="s">
        <v>1256</v>
      </c>
      <c r="J2519" s="14" t="s">
        <v>1296</v>
      </c>
      <c r="K2519" s="14" t="s">
        <v>1257</v>
      </c>
      <c r="L2519" s="14" t="s">
        <v>5915</v>
      </c>
      <c r="M2519" s="14" t="s">
        <v>1324</v>
      </c>
      <c r="N2519" s="14" t="s">
        <v>1237</v>
      </c>
      <c r="O2519" s="14" t="s">
        <v>1220</v>
      </c>
    </row>
    <row r="2520" spans="1:15" x14ac:dyDescent="0.25">
      <c r="A2520" s="14" t="s">
        <v>5916</v>
      </c>
      <c r="B2520" s="14" t="s">
        <v>5917</v>
      </c>
      <c r="C2520" s="14" t="s">
        <v>5918</v>
      </c>
      <c r="D2520" s="14" t="s">
        <v>5826</v>
      </c>
      <c r="E2520" s="15"/>
      <c r="F2520" s="14" t="s">
        <v>1321</v>
      </c>
      <c r="G2520" s="15"/>
      <c r="H2520" s="14" t="s">
        <v>1322</v>
      </c>
      <c r="I2520" s="14" t="s">
        <v>1262</v>
      </c>
      <c r="J2520" s="14" t="s">
        <v>1262</v>
      </c>
      <c r="K2520" s="14"/>
      <c r="L2520" s="14" t="s">
        <v>5915</v>
      </c>
      <c r="M2520" s="14" t="s">
        <v>1324</v>
      </c>
      <c r="N2520" s="14" t="s">
        <v>1219</v>
      </c>
      <c r="O2520" s="14" t="s">
        <v>1220</v>
      </c>
    </row>
    <row r="2521" spans="1:15" x14ac:dyDescent="0.25">
      <c r="A2521" s="14">
        <v>4515</v>
      </c>
      <c r="B2521" s="14" t="s">
        <v>681</v>
      </c>
      <c r="C2521" s="14" t="s">
        <v>5919</v>
      </c>
      <c r="D2521" s="14" t="s">
        <v>5826</v>
      </c>
      <c r="E2521" s="16">
        <v>80</v>
      </c>
      <c r="F2521" s="14" t="s">
        <v>1321</v>
      </c>
      <c r="G2521" s="17">
        <v>1120</v>
      </c>
      <c r="H2521" s="14" t="s">
        <v>1322</v>
      </c>
      <c r="I2521" s="14" t="s">
        <v>1256</v>
      </c>
      <c r="J2521" s="14" t="s">
        <v>1296</v>
      </c>
      <c r="K2521" s="14" t="s">
        <v>1257</v>
      </c>
      <c r="L2521" s="14" t="s">
        <v>5920</v>
      </c>
      <c r="M2521" s="14" t="s">
        <v>1324</v>
      </c>
      <c r="N2521" s="14" t="s">
        <v>1237</v>
      </c>
      <c r="O2521" s="14" t="s">
        <v>1220</v>
      </c>
    </row>
    <row r="2522" spans="1:15" x14ac:dyDescent="0.25">
      <c r="A2522" s="14" t="s">
        <v>5921</v>
      </c>
      <c r="B2522" s="14" t="s">
        <v>5922</v>
      </c>
      <c r="C2522" s="14" t="s">
        <v>5923</v>
      </c>
      <c r="D2522" s="14" t="s">
        <v>5826</v>
      </c>
      <c r="E2522" s="15"/>
      <c r="F2522" s="14" t="s">
        <v>1321</v>
      </c>
      <c r="G2522" s="15"/>
      <c r="H2522" s="14" t="s">
        <v>1322</v>
      </c>
      <c r="I2522" s="14" t="s">
        <v>1262</v>
      </c>
      <c r="J2522" s="14" t="s">
        <v>1262</v>
      </c>
      <c r="K2522" s="14"/>
      <c r="L2522" s="14" t="s">
        <v>5920</v>
      </c>
      <c r="M2522" s="14" t="s">
        <v>1324</v>
      </c>
      <c r="N2522" s="14" t="s">
        <v>1219</v>
      </c>
      <c r="O2522" s="14" t="s">
        <v>1220</v>
      </c>
    </row>
    <row r="2523" spans="1:15" x14ac:dyDescent="0.25">
      <c r="A2523" s="14">
        <v>4519</v>
      </c>
      <c r="B2523" s="14" t="s">
        <v>684</v>
      </c>
      <c r="C2523" s="14" t="s">
        <v>5924</v>
      </c>
      <c r="D2523" s="14" t="s">
        <v>5826</v>
      </c>
      <c r="E2523" s="16">
        <v>60</v>
      </c>
      <c r="F2523" s="14" t="s">
        <v>1321</v>
      </c>
      <c r="G2523" s="16">
        <v>840</v>
      </c>
      <c r="H2523" s="14" t="s">
        <v>1322</v>
      </c>
      <c r="I2523" s="14" t="s">
        <v>1256</v>
      </c>
      <c r="J2523" s="14" t="s">
        <v>1242</v>
      </c>
      <c r="K2523" s="14" t="s">
        <v>1257</v>
      </c>
      <c r="L2523" s="14" t="s">
        <v>5925</v>
      </c>
      <c r="M2523" s="14" t="s">
        <v>1324</v>
      </c>
      <c r="N2523" s="14" t="s">
        <v>1237</v>
      </c>
      <c r="O2523" s="14" t="s">
        <v>1220</v>
      </c>
    </row>
    <row r="2524" spans="1:15" x14ac:dyDescent="0.25">
      <c r="A2524" s="14" t="s">
        <v>5926</v>
      </c>
      <c r="B2524" s="14" t="s">
        <v>5927</v>
      </c>
      <c r="C2524" s="14" t="s">
        <v>5928</v>
      </c>
      <c r="D2524" s="14" t="s">
        <v>5826</v>
      </c>
      <c r="E2524" s="15"/>
      <c r="F2524" s="14" t="s">
        <v>1321</v>
      </c>
      <c r="G2524" s="15"/>
      <c r="H2524" s="14" t="s">
        <v>1322</v>
      </c>
      <c r="I2524" s="14" t="s">
        <v>1262</v>
      </c>
      <c r="J2524" s="14" t="s">
        <v>1262</v>
      </c>
      <c r="K2524" s="14"/>
      <c r="L2524" s="14" t="s">
        <v>5925</v>
      </c>
      <c r="M2524" s="14" t="s">
        <v>1324</v>
      </c>
      <c r="N2524" s="14" t="s">
        <v>1219</v>
      </c>
      <c r="O2524" s="14" t="s">
        <v>1220</v>
      </c>
    </row>
    <row r="2525" spans="1:15" x14ac:dyDescent="0.25">
      <c r="A2525" s="14">
        <v>4517</v>
      </c>
      <c r="B2525" s="14" t="s">
        <v>691</v>
      </c>
      <c r="C2525" s="14" t="s">
        <v>5929</v>
      </c>
      <c r="D2525" s="14" t="s">
        <v>5826</v>
      </c>
      <c r="E2525" s="16">
        <v>80</v>
      </c>
      <c r="F2525" s="14" t="s">
        <v>1321</v>
      </c>
      <c r="G2525" s="16">
        <v>800</v>
      </c>
      <c r="H2525" s="14" t="s">
        <v>1322</v>
      </c>
      <c r="I2525" s="14" t="s">
        <v>1256</v>
      </c>
      <c r="J2525" s="14" t="s">
        <v>1296</v>
      </c>
      <c r="K2525" s="14" t="s">
        <v>1257</v>
      </c>
      <c r="L2525" s="14" t="s">
        <v>5930</v>
      </c>
      <c r="M2525" s="14" t="s">
        <v>1324</v>
      </c>
      <c r="N2525" s="14" t="s">
        <v>1237</v>
      </c>
      <c r="O2525" s="14" t="s">
        <v>1220</v>
      </c>
    </row>
    <row r="2526" spans="1:15" x14ac:dyDescent="0.25">
      <c r="A2526" s="14" t="s">
        <v>5931</v>
      </c>
      <c r="B2526" s="14" t="s">
        <v>5932</v>
      </c>
      <c r="C2526" s="14" t="s">
        <v>5933</v>
      </c>
      <c r="D2526" s="14" t="s">
        <v>5826</v>
      </c>
      <c r="E2526" s="15"/>
      <c r="F2526" s="14" t="s">
        <v>1321</v>
      </c>
      <c r="G2526" s="15"/>
      <c r="H2526" s="14" t="s">
        <v>1322</v>
      </c>
      <c r="I2526" s="14" t="s">
        <v>1262</v>
      </c>
      <c r="J2526" s="14" t="s">
        <v>1262</v>
      </c>
      <c r="K2526" s="14"/>
      <c r="L2526" s="14" t="s">
        <v>5930</v>
      </c>
      <c r="M2526" s="14" t="s">
        <v>1324</v>
      </c>
      <c r="N2526" s="14" t="s">
        <v>1219</v>
      </c>
      <c r="O2526" s="14" t="s">
        <v>1220</v>
      </c>
    </row>
    <row r="2527" spans="1:15" x14ac:dyDescent="0.25">
      <c r="A2527" s="14">
        <v>2578</v>
      </c>
      <c r="B2527" s="14" t="s">
        <v>687</v>
      </c>
      <c r="C2527" s="14" t="s">
        <v>5934</v>
      </c>
      <c r="D2527" s="14" t="s">
        <v>5826</v>
      </c>
      <c r="E2527" s="16">
        <v>60</v>
      </c>
      <c r="F2527" s="14" t="s">
        <v>1321</v>
      </c>
      <c r="G2527" s="16">
        <v>840</v>
      </c>
      <c r="H2527" s="14" t="s">
        <v>1322</v>
      </c>
      <c r="I2527" s="14" t="s">
        <v>1256</v>
      </c>
      <c r="J2527" s="14" t="s">
        <v>1296</v>
      </c>
      <c r="K2527" s="14" t="s">
        <v>1257</v>
      </c>
      <c r="L2527" s="14" t="s">
        <v>5935</v>
      </c>
      <c r="M2527" s="14" t="s">
        <v>1324</v>
      </c>
      <c r="N2527" s="14" t="s">
        <v>1237</v>
      </c>
      <c r="O2527" s="14" t="s">
        <v>1220</v>
      </c>
    </row>
    <row r="2528" spans="1:15" x14ac:dyDescent="0.25">
      <c r="A2528" s="14" t="s">
        <v>5936</v>
      </c>
      <c r="B2528" s="14" t="s">
        <v>5937</v>
      </c>
      <c r="C2528" s="14" t="s">
        <v>5938</v>
      </c>
      <c r="D2528" s="14" t="s">
        <v>5826</v>
      </c>
      <c r="E2528" s="15"/>
      <c r="F2528" s="14" t="s">
        <v>1321</v>
      </c>
      <c r="G2528" s="15"/>
      <c r="H2528" s="14" t="s">
        <v>1322</v>
      </c>
      <c r="I2528" s="14" t="s">
        <v>1262</v>
      </c>
      <c r="J2528" s="14" t="s">
        <v>1262</v>
      </c>
      <c r="K2528" s="14"/>
      <c r="L2528" s="14" t="s">
        <v>5935</v>
      </c>
      <c r="M2528" s="14" t="s">
        <v>1324</v>
      </c>
      <c r="N2528" s="14" t="s">
        <v>1219</v>
      </c>
      <c r="O2528" s="14" t="s">
        <v>1220</v>
      </c>
    </row>
    <row r="2529" spans="1:15" x14ac:dyDescent="0.25">
      <c r="A2529" s="14">
        <v>2576</v>
      </c>
      <c r="B2529" s="14" t="s">
        <v>690</v>
      </c>
      <c r="C2529" s="14" t="s">
        <v>5939</v>
      </c>
      <c r="D2529" s="14" t="s">
        <v>5826</v>
      </c>
      <c r="E2529" s="16">
        <v>70</v>
      </c>
      <c r="F2529" s="14" t="s">
        <v>1321</v>
      </c>
      <c r="G2529" s="17">
        <v>1400</v>
      </c>
      <c r="H2529" s="14" t="s">
        <v>1322</v>
      </c>
      <c r="I2529" s="14" t="s">
        <v>1256</v>
      </c>
      <c r="J2529" s="14" t="s">
        <v>1242</v>
      </c>
      <c r="K2529" s="14" t="s">
        <v>1257</v>
      </c>
      <c r="L2529" s="14" t="s">
        <v>5940</v>
      </c>
      <c r="M2529" s="14" t="s">
        <v>1324</v>
      </c>
      <c r="N2529" s="14" t="s">
        <v>1237</v>
      </c>
      <c r="O2529" s="14" t="s">
        <v>1220</v>
      </c>
    </row>
    <row r="2530" spans="1:15" x14ac:dyDescent="0.25">
      <c r="A2530" s="14" t="s">
        <v>5941</v>
      </c>
      <c r="B2530" s="14" t="s">
        <v>5942</v>
      </c>
      <c r="C2530" s="14" t="s">
        <v>5943</v>
      </c>
      <c r="D2530" s="14" t="s">
        <v>5826</v>
      </c>
      <c r="E2530" s="15"/>
      <c r="F2530" s="14" t="s">
        <v>1321</v>
      </c>
      <c r="G2530" s="15"/>
      <c r="H2530" s="14" t="s">
        <v>1322</v>
      </c>
      <c r="I2530" s="14" t="s">
        <v>1262</v>
      </c>
      <c r="J2530" s="14" t="s">
        <v>1262</v>
      </c>
      <c r="K2530" s="14"/>
      <c r="L2530" s="14" t="s">
        <v>5940</v>
      </c>
      <c r="M2530" s="14" t="s">
        <v>1324</v>
      </c>
      <c r="N2530" s="14" t="s">
        <v>1219</v>
      </c>
      <c r="O2530" s="14" t="s">
        <v>1220</v>
      </c>
    </row>
    <row r="2531" spans="1:15" x14ac:dyDescent="0.25">
      <c r="A2531" s="14">
        <v>3479</v>
      </c>
      <c r="B2531" s="14" t="s">
        <v>467</v>
      </c>
      <c r="C2531" s="14" t="s">
        <v>467</v>
      </c>
      <c r="D2531" s="14" t="s">
        <v>5826</v>
      </c>
      <c r="E2531" s="16">
        <v>80</v>
      </c>
      <c r="F2531" s="14" t="s">
        <v>1255</v>
      </c>
      <c r="G2531" s="16">
        <v>800</v>
      </c>
      <c r="H2531" s="14" t="s">
        <v>1255</v>
      </c>
      <c r="I2531" s="14" t="s">
        <v>1256</v>
      </c>
      <c r="J2531" s="14" t="s">
        <v>1242</v>
      </c>
      <c r="K2531" s="14" t="s">
        <v>1257</v>
      </c>
      <c r="L2531" s="14" t="s">
        <v>5944</v>
      </c>
      <c r="M2531" s="14" t="s">
        <v>1259</v>
      </c>
      <c r="N2531" s="14" t="s">
        <v>1237</v>
      </c>
      <c r="O2531" s="14" t="s">
        <v>1220</v>
      </c>
    </row>
    <row r="2532" spans="1:15" x14ac:dyDescent="0.25">
      <c r="A2532" s="14" t="s">
        <v>5945</v>
      </c>
      <c r="B2532" s="14" t="s">
        <v>5946</v>
      </c>
      <c r="C2532" s="14" t="s">
        <v>5946</v>
      </c>
      <c r="D2532" s="14" t="s">
        <v>5826</v>
      </c>
      <c r="E2532" s="15"/>
      <c r="F2532" s="14" t="s">
        <v>1255</v>
      </c>
      <c r="G2532" s="15"/>
      <c r="H2532" s="14" t="s">
        <v>1255</v>
      </c>
      <c r="I2532" s="14" t="s">
        <v>1262</v>
      </c>
      <c r="J2532" s="14" t="s">
        <v>1262</v>
      </c>
      <c r="K2532" s="14"/>
      <c r="L2532" s="14" t="s">
        <v>5944</v>
      </c>
      <c r="M2532" s="14" t="s">
        <v>1259</v>
      </c>
      <c r="N2532" s="14" t="s">
        <v>1219</v>
      </c>
      <c r="O2532" s="14" t="s">
        <v>1220</v>
      </c>
    </row>
    <row r="2533" spans="1:15" x14ac:dyDescent="0.25">
      <c r="A2533" s="14">
        <v>3480</v>
      </c>
      <c r="B2533" s="14" t="s">
        <v>468</v>
      </c>
      <c r="C2533" s="14" t="s">
        <v>468</v>
      </c>
      <c r="D2533" s="14" t="s">
        <v>5826</v>
      </c>
      <c r="E2533" s="16">
        <v>50</v>
      </c>
      <c r="F2533" s="14" t="s">
        <v>1255</v>
      </c>
      <c r="G2533" s="16">
        <v>250</v>
      </c>
      <c r="H2533" s="14" t="s">
        <v>1255</v>
      </c>
      <c r="I2533" s="14" t="s">
        <v>1256</v>
      </c>
      <c r="J2533" s="14" t="s">
        <v>1296</v>
      </c>
      <c r="K2533" s="14" t="s">
        <v>1257</v>
      </c>
      <c r="L2533" s="14" t="s">
        <v>5947</v>
      </c>
      <c r="M2533" s="14" t="s">
        <v>1259</v>
      </c>
      <c r="N2533" s="14" t="s">
        <v>1237</v>
      </c>
      <c r="O2533" s="14" t="s">
        <v>1220</v>
      </c>
    </row>
    <row r="2534" spans="1:15" x14ac:dyDescent="0.25">
      <c r="A2534" s="14">
        <v>3481</v>
      </c>
      <c r="B2534" s="14" t="s">
        <v>469</v>
      </c>
      <c r="C2534" s="14" t="s">
        <v>469</v>
      </c>
      <c r="D2534" s="14" t="s">
        <v>5826</v>
      </c>
      <c r="E2534" s="16">
        <v>30</v>
      </c>
      <c r="F2534" s="14" t="s">
        <v>1255</v>
      </c>
      <c r="G2534" s="16">
        <v>300</v>
      </c>
      <c r="H2534" s="14" t="s">
        <v>1255</v>
      </c>
      <c r="I2534" s="14" t="s">
        <v>1256</v>
      </c>
      <c r="J2534" s="14" t="s">
        <v>1296</v>
      </c>
      <c r="K2534" s="14" t="s">
        <v>1257</v>
      </c>
      <c r="L2534" s="14" t="s">
        <v>5948</v>
      </c>
      <c r="M2534" s="14" t="s">
        <v>1259</v>
      </c>
      <c r="N2534" s="14" t="s">
        <v>1237</v>
      </c>
      <c r="O2534" s="14" t="s">
        <v>1220</v>
      </c>
    </row>
    <row r="2535" spans="1:15" x14ac:dyDescent="0.25">
      <c r="A2535" s="14">
        <v>3482</v>
      </c>
      <c r="B2535" s="14" t="s">
        <v>470</v>
      </c>
      <c r="C2535" s="14" t="s">
        <v>470</v>
      </c>
      <c r="D2535" s="14" t="s">
        <v>5826</v>
      </c>
      <c r="E2535" s="16">
        <v>20</v>
      </c>
      <c r="F2535" s="14" t="s">
        <v>1255</v>
      </c>
      <c r="G2535" s="16">
        <v>160</v>
      </c>
      <c r="H2535" s="14" t="s">
        <v>1255</v>
      </c>
      <c r="I2535" s="14" t="s">
        <v>1256</v>
      </c>
      <c r="J2535" s="14" t="s">
        <v>1296</v>
      </c>
      <c r="K2535" s="14" t="s">
        <v>1257</v>
      </c>
      <c r="L2535" s="14" t="s">
        <v>5949</v>
      </c>
      <c r="M2535" s="14" t="s">
        <v>1259</v>
      </c>
      <c r="N2535" s="14" t="s">
        <v>1237</v>
      </c>
      <c r="O2535" s="14" t="s">
        <v>1220</v>
      </c>
    </row>
    <row r="2536" spans="1:15" x14ac:dyDescent="0.25">
      <c r="A2536" s="14">
        <v>3483</v>
      </c>
      <c r="B2536" s="14" t="s">
        <v>471</v>
      </c>
      <c r="C2536" s="14" t="s">
        <v>471</v>
      </c>
      <c r="D2536" s="14" t="s">
        <v>5826</v>
      </c>
      <c r="E2536" s="16">
        <v>12</v>
      </c>
      <c r="F2536" s="14" t="s">
        <v>1255</v>
      </c>
      <c r="G2536" s="16">
        <v>120</v>
      </c>
      <c r="H2536" s="14" t="s">
        <v>1255</v>
      </c>
      <c r="I2536" s="14" t="s">
        <v>1256</v>
      </c>
      <c r="J2536" s="14" t="s">
        <v>1296</v>
      </c>
      <c r="K2536" s="14" t="s">
        <v>1257</v>
      </c>
      <c r="L2536" s="14" t="s">
        <v>5950</v>
      </c>
      <c r="M2536" s="14" t="s">
        <v>1259</v>
      </c>
      <c r="N2536" s="14" t="s">
        <v>1237</v>
      </c>
      <c r="O2536" s="14" t="s">
        <v>1220</v>
      </c>
    </row>
    <row r="2537" spans="1:15" x14ac:dyDescent="0.25">
      <c r="A2537" s="14">
        <v>3484</v>
      </c>
      <c r="B2537" s="14" t="s">
        <v>472</v>
      </c>
      <c r="C2537" s="14" t="s">
        <v>472</v>
      </c>
      <c r="D2537" s="14" t="s">
        <v>5826</v>
      </c>
      <c r="E2537" s="16">
        <v>8</v>
      </c>
      <c r="F2537" s="14" t="s">
        <v>1255</v>
      </c>
      <c r="G2537" s="16">
        <v>40</v>
      </c>
      <c r="H2537" s="14" t="s">
        <v>1255</v>
      </c>
      <c r="I2537" s="14" t="s">
        <v>1256</v>
      </c>
      <c r="J2537" s="14" t="s">
        <v>1296</v>
      </c>
      <c r="K2537" s="14" t="s">
        <v>1257</v>
      </c>
      <c r="L2537" s="14" t="s">
        <v>5951</v>
      </c>
      <c r="M2537" s="14" t="s">
        <v>1259</v>
      </c>
      <c r="N2537" s="14" t="s">
        <v>1237</v>
      </c>
      <c r="O2537" s="14" t="s">
        <v>1220</v>
      </c>
    </row>
    <row r="2538" spans="1:15" x14ac:dyDescent="0.25">
      <c r="A2538" s="14" t="s">
        <v>5952</v>
      </c>
      <c r="B2538" s="14" t="s">
        <v>5953</v>
      </c>
      <c r="C2538" s="14" t="s">
        <v>5953</v>
      </c>
      <c r="D2538" s="14" t="s">
        <v>1283</v>
      </c>
      <c r="E2538" s="15"/>
      <c r="F2538" s="14" t="s">
        <v>1742</v>
      </c>
      <c r="G2538" s="15"/>
      <c r="H2538" s="14" t="s">
        <v>1255</v>
      </c>
      <c r="I2538" s="14" t="s">
        <v>1217</v>
      </c>
      <c r="J2538" s="14" t="s">
        <v>1296</v>
      </c>
      <c r="K2538" s="14"/>
      <c r="L2538" s="14"/>
      <c r="M2538" s="14" t="s">
        <v>1259</v>
      </c>
      <c r="N2538" s="14" t="s">
        <v>1219</v>
      </c>
      <c r="O2538" s="14" t="s">
        <v>1220</v>
      </c>
    </row>
    <row r="2539" spans="1:15" x14ac:dyDescent="0.25">
      <c r="A2539" s="14" t="s">
        <v>5954</v>
      </c>
      <c r="B2539" s="14" t="s">
        <v>5955</v>
      </c>
      <c r="C2539" s="14" t="s">
        <v>5955</v>
      </c>
      <c r="D2539" s="14" t="s">
        <v>1283</v>
      </c>
      <c r="E2539" s="15"/>
      <c r="F2539" s="14" t="s">
        <v>1742</v>
      </c>
      <c r="G2539" s="15"/>
      <c r="H2539" s="14" t="s">
        <v>1255</v>
      </c>
      <c r="I2539" s="14" t="s">
        <v>1217</v>
      </c>
      <c r="J2539" s="14" t="s">
        <v>1296</v>
      </c>
      <c r="K2539" s="14"/>
      <c r="L2539" s="14"/>
      <c r="M2539" s="14" t="s">
        <v>1259</v>
      </c>
      <c r="N2539" s="14" t="s">
        <v>1219</v>
      </c>
      <c r="O2539" s="14" t="s">
        <v>1220</v>
      </c>
    </row>
    <row r="2540" spans="1:15" x14ac:dyDescent="0.25">
      <c r="A2540" s="14" t="s">
        <v>5956</v>
      </c>
      <c r="B2540" s="14" t="s">
        <v>5957</v>
      </c>
      <c r="C2540" s="14" t="s">
        <v>5957</v>
      </c>
      <c r="D2540" s="14" t="s">
        <v>1283</v>
      </c>
      <c r="E2540" s="15"/>
      <c r="F2540" s="14" t="s">
        <v>1742</v>
      </c>
      <c r="G2540" s="15"/>
      <c r="H2540" s="14" t="s">
        <v>1255</v>
      </c>
      <c r="I2540" s="14" t="s">
        <v>1217</v>
      </c>
      <c r="J2540" s="14" t="s">
        <v>1296</v>
      </c>
      <c r="K2540" s="14"/>
      <c r="L2540" s="14"/>
      <c r="M2540" s="14" t="s">
        <v>1259</v>
      </c>
      <c r="N2540" s="14" t="s">
        <v>1219</v>
      </c>
      <c r="O2540" s="14" t="s">
        <v>1220</v>
      </c>
    </row>
    <row r="2541" spans="1:15" x14ac:dyDescent="0.25">
      <c r="A2541" s="14" t="s">
        <v>5958</v>
      </c>
      <c r="B2541" s="14" t="s">
        <v>5959</v>
      </c>
      <c r="C2541" s="14" t="s">
        <v>5959</v>
      </c>
      <c r="D2541" s="14" t="s">
        <v>1283</v>
      </c>
      <c r="E2541" s="15"/>
      <c r="F2541" s="14" t="s">
        <v>1742</v>
      </c>
      <c r="G2541" s="15"/>
      <c r="H2541" s="14" t="s">
        <v>1255</v>
      </c>
      <c r="I2541" s="14" t="s">
        <v>1217</v>
      </c>
      <c r="J2541" s="14" t="s">
        <v>1296</v>
      </c>
      <c r="K2541" s="14"/>
      <c r="L2541" s="14"/>
      <c r="M2541" s="14" t="s">
        <v>1259</v>
      </c>
      <c r="N2541" s="14" t="s">
        <v>1219</v>
      </c>
      <c r="O2541" s="14" t="s">
        <v>1220</v>
      </c>
    </row>
    <row r="2542" spans="1:15" x14ac:dyDescent="0.25">
      <c r="A2542" s="14" t="s">
        <v>5960</v>
      </c>
      <c r="B2542" s="14" t="s">
        <v>5961</v>
      </c>
      <c r="C2542" s="14" t="s">
        <v>5961</v>
      </c>
      <c r="D2542" s="14" t="s">
        <v>1283</v>
      </c>
      <c r="E2542" s="15"/>
      <c r="F2542" s="14" t="s">
        <v>1742</v>
      </c>
      <c r="G2542" s="15"/>
      <c r="H2542" s="14" t="s">
        <v>1255</v>
      </c>
      <c r="I2542" s="14" t="s">
        <v>1217</v>
      </c>
      <c r="J2542" s="14" t="s">
        <v>1296</v>
      </c>
      <c r="K2542" s="14"/>
      <c r="L2542" s="14"/>
      <c r="M2542" s="14" t="s">
        <v>1259</v>
      </c>
      <c r="N2542" s="14" t="s">
        <v>1219</v>
      </c>
      <c r="O2542" s="14" t="s">
        <v>1220</v>
      </c>
    </row>
    <row r="2543" spans="1:15" x14ac:dyDescent="0.25">
      <c r="A2543" s="14" t="s">
        <v>5962</v>
      </c>
      <c r="B2543" s="14" t="s">
        <v>5963</v>
      </c>
      <c r="C2543" s="14" t="s">
        <v>5963</v>
      </c>
      <c r="D2543" s="14" t="s">
        <v>1283</v>
      </c>
      <c r="E2543" s="15"/>
      <c r="F2543" s="14" t="s">
        <v>1742</v>
      </c>
      <c r="G2543" s="15"/>
      <c r="H2543" s="14" t="s">
        <v>1255</v>
      </c>
      <c r="I2543" s="14" t="s">
        <v>1217</v>
      </c>
      <c r="J2543" s="14" t="s">
        <v>1296</v>
      </c>
      <c r="K2543" s="14"/>
      <c r="L2543" s="14"/>
      <c r="M2543" s="14" t="s">
        <v>1259</v>
      </c>
      <c r="N2543" s="14" t="s">
        <v>1219</v>
      </c>
      <c r="O2543" s="14" t="s">
        <v>1220</v>
      </c>
    </row>
    <row r="2544" spans="1:15" x14ac:dyDescent="0.25">
      <c r="A2544" s="14" t="s">
        <v>5964</v>
      </c>
      <c r="B2544" s="14" t="s">
        <v>5965</v>
      </c>
      <c r="C2544" s="14" t="s">
        <v>5965</v>
      </c>
      <c r="D2544" s="14" t="s">
        <v>1283</v>
      </c>
      <c r="E2544" s="15"/>
      <c r="F2544" s="14" t="s">
        <v>1742</v>
      </c>
      <c r="G2544" s="15"/>
      <c r="H2544" s="14" t="s">
        <v>1255</v>
      </c>
      <c r="I2544" s="14" t="s">
        <v>1217</v>
      </c>
      <c r="J2544" s="14" t="s">
        <v>1242</v>
      </c>
      <c r="K2544" s="14"/>
      <c r="L2544" s="14"/>
      <c r="M2544" s="14" t="s">
        <v>1259</v>
      </c>
      <c r="N2544" s="14" t="s">
        <v>1219</v>
      </c>
      <c r="O2544" s="14" t="s">
        <v>1220</v>
      </c>
    </row>
    <row r="2545" spans="1:15" x14ac:dyDescent="0.25">
      <c r="A2545" s="14" t="s">
        <v>5966</v>
      </c>
      <c r="B2545" s="14" t="s">
        <v>5967</v>
      </c>
      <c r="C2545" s="14" t="s">
        <v>5967</v>
      </c>
      <c r="D2545" s="14" t="s">
        <v>1283</v>
      </c>
      <c r="E2545" s="15"/>
      <c r="F2545" s="14" t="s">
        <v>1742</v>
      </c>
      <c r="G2545" s="15"/>
      <c r="H2545" s="14" t="s">
        <v>1255</v>
      </c>
      <c r="I2545" s="14" t="s">
        <v>1217</v>
      </c>
      <c r="J2545" s="14" t="s">
        <v>1296</v>
      </c>
      <c r="K2545" s="14"/>
      <c r="L2545" s="14"/>
      <c r="M2545" s="14" t="s">
        <v>1259</v>
      </c>
      <c r="N2545" s="14" t="s">
        <v>1219</v>
      </c>
      <c r="O2545" s="14" t="s">
        <v>1220</v>
      </c>
    </row>
    <row r="2546" spans="1:15" x14ac:dyDescent="0.25">
      <c r="A2546" s="14" t="s">
        <v>5968</v>
      </c>
      <c r="B2546" s="14" t="s">
        <v>5969</v>
      </c>
      <c r="C2546" s="14" t="s">
        <v>5969</v>
      </c>
      <c r="D2546" s="14" t="s">
        <v>1283</v>
      </c>
      <c r="E2546" s="15"/>
      <c r="F2546" s="14" t="s">
        <v>1742</v>
      </c>
      <c r="G2546" s="15"/>
      <c r="H2546" s="14" t="s">
        <v>1255</v>
      </c>
      <c r="I2546" s="14" t="s">
        <v>1217</v>
      </c>
      <c r="J2546" s="14" t="s">
        <v>1296</v>
      </c>
      <c r="K2546" s="14"/>
      <c r="L2546" s="14"/>
      <c r="M2546" s="14" t="s">
        <v>1259</v>
      </c>
      <c r="N2546" s="14" t="s">
        <v>1219</v>
      </c>
      <c r="O2546" s="14" t="s">
        <v>1220</v>
      </c>
    </row>
    <row r="2547" spans="1:15" x14ac:dyDescent="0.25">
      <c r="A2547" s="14" t="s">
        <v>5970</v>
      </c>
      <c r="B2547" s="14" t="s">
        <v>5971</v>
      </c>
      <c r="C2547" s="14" t="s">
        <v>5971</v>
      </c>
      <c r="D2547" s="14" t="s">
        <v>1283</v>
      </c>
      <c r="E2547" s="15"/>
      <c r="F2547" s="14" t="s">
        <v>1742</v>
      </c>
      <c r="G2547" s="15"/>
      <c r="H2547" s="14" t="s">
        <v>1255</v>
      </c>
      <c r="I2547" s="14" t="s">
        <v>1217</v>
      </c>
      <c r="J2547" s="14" t="s">
        <v>1296</v>
      </c>
      <c r="K2547" s="14"/>
      <c r="L2547" s="14"/>
      <c r="M2547" s="14" t="s">
        <v>1259</v>
      </c>
      <c r="N2547" s="14" t="s">
        <v>1219</v>
      </c>
      <c r="O2547" s="14" t="s">
        <v>1220</v>
      </c>
    </row>
    <row r="2548" spans="1:15" x14ac:dyDescent="0.25">
      <c r="A2548" s="14" t="s">
        <v>5972</v>
      </c>
      <c r="B2548" s="14" t="s">
        <v>5973</v>
      </c>
      <c r="C2548" s="14" t="s">
        <v>5973</v>
      </c>
      <c r="D2548" s="14" t="s">
        <v>1283</v>
      </c>
      <c r="E2548" s="15"/>
      <c r="F2548" s="14" t="s">
        <v>1742</v>
      </c>
      <c r="G2548" s="15"/>
      <c r="H2548" s="14" t="s">
        <v>1255</v>
      </c>
      <c r="I2548" s="14" t="s">
        <v>1217</v>
      </c>
      <c r="J2548" s="14" t="s">
        <v>1296</v>
      </c>
      <c r="K2548" s="14"/>
      <c r="L2548" s="14"/>
      <c r="M2548" s="14" t="s">
        <v>1259</v>
      </c>
      <c r="N2548" s="14" t="s">
        <v>1219</v>
      </c>
      <c r="O2548" s="14" t="s">
        <v>1220</v>
      </c>
    </row>
    <row r="2549" spans="1:15" x14ac:dyDescent="0.25">
      <c r="A2549" s="14" t="s">
        <v>5974</v>
      </c>
      <c r="B2549" s="14" t="s">
        <v>5975</v>
      </c>
      <c r="C2549" s="14" t="s">
        <v>5975</v>
      </c>
      <c r="D2549" s="14" t="s">
        <v>1283</v>
      </c>
      <c r="E2549" s="15"/>
      <c r="F2549" s="14" t="s">
        <v>1742</v>
      </c>
      <c r="G2549" s="15"/>
      <c r="H2549" s="14" t="s">
        <v>1255</v>
      </c>
      <c r="I2549" s="14" t="s">
        <v>1217</v>
      </c>
      <c r="J2549" s="14" t="s">
        <v>1296</v>
      </c>
      <c r="K2549" s="14"/>
      <c r="L2549" s="14"/>
      <c r="M2549" s="14" t="s">
        <v>1259</v>
      </c>
      <c r="N2549" s="14" t="s">
        <v>1219</v>
      </c>
      <c r="O2549" s="14" t="s">
        <v>1220</v>
      </c>
    </row>
    <row r="2550" spans="1:15" x14ac:dyDescent="0.25">
      <c r="A2550" s="14" t="s">
        <v>5976</v>
      </c>
      <c r="B2550" s="14" t="s">
        <v>5977</v>
      </c>
      <c r="C2550" s="14" t="s">
        <v>5977</v>
      </c>
      <c r="D2550" s="14" t="s">
        <v>1283</v>
      </c>
      <c r="E2550" s="15"/>
      <c r="F2550" s="14" t="s">
        <v>1742</v>
      </c>
      <c r="G2550" s="15"/>
      <c r="H2550" s="14" t="s">
        <v>1255</v>
      </c>
      <c r="I2550" s="14" t="s">
        <v>1217</v>
      </c>
      <c r="J2550" s="14" t="s">
        <v>1296</v>
      </c>
      <c r="K2550" s="14"/>
      <c r="L2550" s="14"/>
      <c r="M2550" s="14" t="s">
        <v>1259</v>
      </c>
      <c r="N2550" s="14" t="s">
        <v>1219</v>
      </c>
      <c r="O2550" s="14" t="s">
        <v>1220</v>
      </c>
    </row>
    <row r="2551" spans="1:15" x14ac:dyDescent="0.25">
      <c r="A2551" s="14" t="s">
        <v>5978</v>
      </c>
      <c r="B2551" s="14" t="s">
        <v>5979</v>
      </c>
      <c r="C2551" s="14" t="s">
        <v>5979</v>
      </c>
      <c r="D2551" s="14" t="s">
        <v>1283</v>
      </c>
      <c r="E2551" s="15"/>
      <c r="F2551" s="14" t="s">
        <v>1742</v>
      </c>
      <c r="G2551" s="15"/>
      <c r="H2551" s="14" t="s">
        <v>1255</v>
      </c>
      <c r="I2551" s="14" t="s">
        <v>1217</v>
      </c>
      <c r="J2551" s="14" t="s">
        <v>1296</v>
      </c>
      <c r="K2551" s="14"/>
      <c r="L2551" s="14"/>
      <c r="M2551" s="14" t="s">
        <v>1259</v>
      </c>
      <c r="N2551" s="14" t="s">
        <v>1219</v>
      </c>
      <c r="O2551" s="14" t="s">
        <v>1220</v>
      </c>
    </row>
    <row r="2552" spans="1:15" x14ac:dyDescent="0.25">
      <c r="A2552" s="14" t="s">
        <v>5980</v>
      </c>
      <c r="B2552" s="14" t="s">
        <v>5981</v>
      </c>
      <c r="C2552" s="14" t="s">
        <v>5981</v>
      </c>
      <c r="D2552" s="14" t="s">
        <v>1283</v>
      </c>
      <c r="E2552" s="15"/>
      <c r="F2552" s="14" t="s">
        <v>1742</v>
      </c>
      <c r="G2552" s="15"/>
      <c r="H2552" s="14" t="s">
        <v>1255</v>
      </c>
      <c r="I2552" s="14" t="s">
        <v>1217</v>
      </c>
      <c r="J2552" s="14" t="s">
        <v>1296</v>
      </c>
      <c r="K2552" s="14"/>
      <c r="L2552" s="14"/>
      <c r="M2552" s="14" t="s">
        <v>1259</v>
      </c>
      <c r="N2552" s="14" t="s">
        <v>1219</v>
      </c>
      <c r="O2552" s="14" t="s">
        <v>1220</v>
      </c>
    </row>
    <row r="2553" spans="1:15" x14ac:dyDescent="0.25">
      <c r="A2553" s="14" t="s">
        <v>5982</v>
      </c>
      <c r="B2553" s="14" t="s">
        <v>5983</v>
      </c>
      <c r="C2553" s="14" t="s">
        <v>5983</v>
      </c>
      <c r="D2553" s="14" t="s">
        <v>1283</v>
      </c>
      <c r="E2553" s="15"/>
      <c r="F2553" s="14" t="s">
        <v>1742</v>
      </c>
      <c r="G2553" s="15"/>
      <c r="H2553" s="14" t="s">
        <v>1255</v>
      </c>
      <c r="I2553" s="14" t="s">
        <v>1217</v>
      </c>
      <c r="J2553" s="14" t="s">
        <v>1296</v>
      </c>
      <c r="K2553" s="14"/>
      <c r="L2553" s="14"/>
      <c r="M2553" s="14" t="s">
        <v>1259</v>
      </c>
      <c r="N2553" s="14" t="s">
        <v>1219</v>
      </c>
      <c r="O2553" s="14" t="s">
        <v>1220</v>
      </c>
    </row>
    <row r="2554" spans="1:15" x14ac:dyDescent="0.25">
      <c r="A2554" s="14" t="s">
        <v>5984</v>
      </c>
      <c r="B2554" s="14" t="s">
        <v>5985</v>
      </c>
      <c r="C2554" s="14" t="s">
        <v>5985</v>
      </c>
      <c r="D2554" s="14" t="s">
        <v>1283</v>
      </c>
      <c r="E2554" s="15"/>
      <c r="F2554" s="14" t="s">
        <v>1742</v>
      </c>
      <c r="G2554" s="15"/>
      <c r="H2554" s="14" t="s">
        <v>1255</v>
      </c>
      <c r="I2554" s="14" t="s">
        <v>1217</v>
      </c>
      <c r="J2554" s="14" t="s">
        <v>1296</v>
      </c>
      <c r="K2554" s="14"/>
      <c r="L2554" s="14"/>
      <c r="M2554" s="14" t="s">
        <v>1259</v>
      </c>
      <c r="N2554" s="14" t="s">
        <v>1219</v>
      </c>
      <c r="O2554" s="14" t="s">
        <v>1220</v>
      </c>
    </row>
    <row r="2555" spans="1:15" x14ac:dyDescent="0.25">
      <c r="A2555" s="14" t="s">
        <v>5986</v>
      </c>
      <c r="B2555" s="14" t="s">
        <v>5987</v>
      </c>
      <c r="C2555" s="14" t="s">
        <v>5987</v>
      </c>
      <c r="D2555" s="14" t="s">
        <v>1283</v>
      </c>
      <c r="E2555" s="15"/>
      <c r="F2555" s="14" t="s">
        <v>1742</v>
      </c>
      <c r="G2555" s="15"/>
      <c r="H2555" s="14" t="s">
        <v>1255</v>
      </c>
      <c r="I2555" s="14" t="s">
        <v>1217</v>
      </c>
      <c r="J2555" s="14" t="s">
        <v>1296</v>
      </c>
      <c r="K2555" s="14"/>
      <c r="L2555" s="14"/>
      <c r="M2555" s="14" t="s">
        <v>1259</v>
      </c>
      <c r="N2555" s="14" t="s">
        <v>1219</v>
      </c>
      <c r="O2555" s="14" t="s">
        <v>1220</v>
      </c>
    </row>
    <row r="2556" spans="1:15" x14ac:dyDescent="0.25">
      <c r="A2556" s="14">
        <v>3495</v>
      </c>
      <c r="B2556" s="14" t="s">
        <v>5988</v>
      </c>
      <c r="C2556" s="14" t="s">
        <v>5988</v>
      </c>
      <c r="D2556" s="14" t="s">
        <v>1349</v>
      </c>
      <c r="E2556" s="15"/>
      <c r="F2556" s="14"/>
      <c r="G2556" s="15"/>
      <c r="H2556" s="14" t="s">
        <v>1255</v>
      </c>
      <c r="I2556" s="14" t="s">
        <v>1360</v>
      </c>
      <c r="J2556" s="14" t="s">
        <v>1360</v>
      </c>
      <c r="K2556" s="14"/>
      <c r="L2556" s="14"/>
      <c r="M2556" s="14" t="s">
        <v>1259</v>
      </c>
      <c r="N2556" s="14" t="s">
        <v>1219</v>
      </c>
      <c r="O2556" s="14" t="s">
        <v>1220</v>
      </c>
    </row>
    <row r="2557" spans="1:15" x14ac:dyDescent="0.25">
      <c r="A2557" s="14">
        <v>3496</v>
      </c>
      <c r="B2557" s="14" t="s">
        <v>473</v>
      </c>
      <c r="C2557" s="14" t="s">
        <v>473</v>
      </c>
      <c r="D2557" s="14" t="s">
        <v>5826</v>
      </c>
      <c r="E2557" s="16">
        <v>160</v>
      </c>
      <c r="F2557" s="14" t="s">
        <v>1255</v>
      </c>
      <c r="G2557" s="17">
        <v>1600</v>
      </c>
      <c r="H2557" s="14" t="s">
        <v>1255</v>
      </c>
      <c r="I2557" s="14" t="s">
        <v>1256</v>
      </c>
      <c r="J2557" s="14" t="s">
        <v>1296</v>
      </c>
      <c r="K2557" s="14" t="s">
        <v>1257</v>
      </c>
      <c r="L2557" s="14" t="s">
        <v>5989</v>
      </c>
      <c r="M2557" s="14" t="s">
        <v>1259</v>
      </c>
      <c r="N2557" s="14" t="s">
        <v>1237</v>
      </c>
      <c r="O2557" s="14" t="s">
        <v>1220</v>
      </c>
    </row>
    <row r="2558" spans="1:15" x14ac:dyDescent="0.25">
      <c r="A2558" s="14">
        <v>3497</v>
      </c>
      <c r="B2558" s="14" t="s">
        <v>474</v>
      </c>
      <c r="C2558" s="14" t="s">
        <v>474</v>
      </c>
      <c r="D2558" s="14" t="s">
        <v>5826</v>
      </c>
      <c r="E2558" s="16">
        <v>180</v>
      </c>
      <c r="F2558" s="14" t="s">
        <v>1255</v>
      </c>
      <c r="G2558" s="17">
        <v>1800</v>
      </c>
      <c r="H2558" s="14" t="s">
        <v>1255</v>
      </c>
      <c r="I2558" s="14" t="s">
        <v>1256</v>
      </c>
      <c r="J2558" s="14" t="s">
        <v>1296</v>
      </c>
      <c r="K2558" s="14" t="s">
        <v>1257</v>
      </c>
      <c r="L2558" s="14" t="s">
        <v>5990</v>
      </c>
      <c r="M2558" s="14" t="s">
        <v>1259</v>
      </c>
      <c r="N2558" s="14" t="s">
        <v>1237</v>
      </c>
      <c r="O2558" s="14" t="s">
        <v>1220</v>
      </c>
    </row>
    <row r="2559" spans="1:15" x14ac:dyDescent="0.25">
      <c r="A2559" s="14" t="s">
        <v>5991</v>
      </c>
      <c r="B2559" s="14" t="s">
        <v>5992</v>
      </c>
      <c r="C2559" s="14" t="s">
        <v>5992</v>
      </c>
      <c r="D2559" s="14" t="s">
        <v>5826</v>
      </c>
      <c r="E2559" s="15"/>
      <c r="F2559" s="14" t="s">
        <v>1255</v>
      </c>
      <c r="G2559" s="15"/>
      <c r="H2559" s="14" t="s">
        <v>1255</v>
      </c>
      <c r="I2559" s="14" t="s">
        <v>1262</v>
      </c>
      <c r="J2559" s="14" t="s">
        <v>1262</v>
      </c>
      <c r="K2559" s="14"/>
      <c r="L2559" s="14" t="s">
        <v>5990</v>
      </c>
      <c r="M2559" s="14" t="s">
        <v>1259</v>
      </c>
      <c r="N2559" s="14" t="s">
        <v>1219</v>
      </c>
      <c r="O2559" s="14" t="s">
        <v>1220</v>
      </c>
    </row>
    <row r="2560" spans="1:15" x14ac:dyDescent="0.25">
      <c r="A2560" s="14">
        <v>3498</v>
      </c>
      <c r="B2560" s="14" t="s">
        <v>5993</v>
      </c>
      <c r="C2560" s="14" t="s">
        <v>5993</v>
      </c>
      <c r="D2560" s="14" t="s">
        <v>1349</v>
      </c>
      <c r="E2560" s="15"/>
      <c r="F2560" s="14"/>
      <c r="G2560" s="15"/>
      <c r="H2560" s="14" t="s">
        <v>1255</v>
      </c>
      <c r="I2560" s="14" t="s">
        <v>1360</v>
      </c>
      <c r="J2560" s="14" t="s">
        <v>1360</v>
      </c>
      <c r="K2560" s="14"/>
      <c r="L2560" s="14"/>
      <c r="M2560" s="14" t="s">
        <v>1259</v>
      </c>
      <c r="N2560" s="14" t="s">
        <v>1219</v>
      </c>
      <c r="O2560" s="14" t="s">
        <v>1220</v>
      </c>
    </row>
    <row r="2561" spans="1:15" x14ac:dyDescent="0.25">
      <c r="A2561" s="14">
        <v>3499</v>
      </c>
      <c r="B2561" s="14" t="s">
        <v>475</v>
      </c>
      <c r="C2561" s="14" t="s">
        <v>475</v>
      </c>
      <c r="D2561" s="14" t="s">
        <v>5826</v>
      </c>
      <c r="E2561" s="16">
        <v>130</v>
      </c>
      <c r="F2561" s="14" t="s">
        <v>1255</v>
      </c>
      <c r="G2561" s="17">
        <v>1000</v>
      </c>
      <c r="H2561" s="14" t="s">
        <v>1255</v>
      </c>
      <c r="I2561" s="14" t="s">
        <v>1256</v>
      </c>
      <c r="J2561" s="14" t="s">
        <v>1296</v>
      </c>
      <c r="K2561" s="14" t="s">
        <v>1257</v>
      </c>
      <c r="L2561" s="14" t="s">
        <v>5994</v>
      </c>
      <c r="M2561" s="14" t="s">
        <v>1259</v>
      </c>
      <c r="N2561" s="14" t="s">
        <v>1237</v>
      </c>
      <c r="O2561" s="14" t="s">
        <v>1220</v>
      </c>
    </row>
    <row r="2562" spans="1:15" x14ac:dyDescent="0.25">
      <c r="A2562" s="14" t="s">
        <v>5995</v>
      </c>
      <c r="B2562" s="14" t="s">
        <v>5996</v>
      </c>
      <c r="C2562" s="14" t="s">
        <v>5996</v>
      </c>
      <c r="D2562" s="14" t="s">
        <v>5826</v>
      </c>
      <c r="E2562" s="15"/>
      <c r="F2562" s="14" t="s">
        <v>1255</v>
      </c>
      <c r="G2562" s="15"/>
      <c r="H2562" s="14" t="s">
        <v>1255</v>
      </c>
      <c r="I2562" s="14" t="s">
        <v>1262</v>
      </c>
      <c r="J2562" s="14" t="s">
        <v>1262</v>
      </c>
      <c r="K2562" s="14"/>
      <c r="L2562" s="14" t="s">
        <v>5994</v>
      </c>
      <c r="M2562" s="14" t="s">
        <v>1259</v>
      </c>
      <c r="N2562" s="14" t="s">
        <v>1219</v>
      </c>
      <c r="O2562" s="14" t="s">
        <v>1220</v>
      </c>
    </row>
    <row r="2563" spans="1:15" x14ac:dyDescent="0.25">
      <c r="A2563" s="14">
        <v>3500</v>
      </c>
      <c r="B2563" s="14" t="s">
        <v>476</v>
      </c>
      <c r="C2563" s="14" t="s">
        <v>476</v>
      </c>
      <c r="D2563" s="14" t="s">
        <v>5826</v>
      </c>
      <c r="E2563" s="16">
        <v>100</v>
      </c>
      <c r="F2563" s="14" t="s">
        <v>1255</v>
      </c>
      <c r="G2563" s="17">
        <v>1000</v>
      </c>
      <c r="H2563" s="14" t="s">
        <v>1255</v>
      </c>
      <c r="I2563" s="14" t="s">
        <v>1256</v>
      </c>
      <c r="J2563" s="14" t="s">
        <v>1296</v>
      </c>
      <c r="K2563" s="14" t="s">
        <v>1257</v>
      </c>
      <c r="L2563" s="14" t="s">
        <v>5997</v>
      </c>
      <c r="M2563" s="14" t="s">
        <v>1259</v>
      </c>
      <c r="N2563" s="14" t="s">
        <v>1237</v>
      </c>
      <c r="O2563" s="14" t="s">
        <v>1220</v>
      </c>
    </row>
    <row r="2564" spans="1:15" x14ac:dyDescent="0.25">
      <c r="A2564" s="14" t="s">
        <v>5998</v>
      </c>
      <c r="B2564" s="14" t="s">
        <v>5999</v>
      </c>
      <c r="C2564" s="14" t="s">
        <v>5999</v>
      </c>
      <c r="D2564" s="14" t="s">
        <v>5826</v>
      </c>
      <c r="E2564" s="15"/>
      <c r="F2564" s="14" t="s">
        <v>1255</v>
      </c>
      <c r="G2564" s="15"/>
      <c r="H2564" s="14" t="s">
        <v>1255</v>
      </c>
      <c r="I2564" s="14" t="s">
        <v>1262</v>
      </c>
      <c r="J2564" s="14" t="s">
        <v>1262</v>
      </c>
      <c r="K2564" s="14"/>
      <c r="L2564" s="14" t="s">
        <v>5997</v>
      </c>
      <c r="M2564" s="14" t="s">
        <v>1259</v>
      </c>
      <c r="N2564" s="14" t="s">
        <v>1219</v>
      </c>
      <c r="O2564" s="14" t="s">
        <v>1220</v>
      </c>
    </row>
    <row r="2565" spans="1:15" x14ac:dyDescent="0.25">
      <c r="A2565" s="14">
        <v>3501</v>
      </c>
      <c r="B2565" s="14" t="s">
        <v>477</v>
      </c>
      <c r="C2565" s="14" t="s">
        <v>477</v>
      </c>
      <c r="D2565" s="14" t="s">
        <v>5826</v>
      </c>
      <c r="E2565" s="16">
        <v>100</v>
      </c>
      <c r="F2565" s="14" t="s">
        <v>1255</v>
      </c>
      <c r="G2565" s="16">
        <v>600</v>
      </c>
      <c r="H2565" s="14" t="s">
        <v>1255</v>
      </c>
      <c r="I2565" s="14" t="s">
        <v>1256</v>
      </c>
      <c r="J2565" s="14" t="s">
        <v>1296</v>
      </c>
      <c r="K2565" s="14" t="s">
        <v>1257</v>
      </c>
      <c r="L2565" s="14" t="s">
        <v>6000</v>
      </c>
      <c r="M2565" s="14" t="s">
        <v>1259</v>
      </c>
      <c r="N2565" s="14" t="s">
        <v>1237</v>
      </c>
      <c r="O2565" s="14" t="s">
        <v>1220</v>
      </c>
    </row>
    <row r="2566" spans="1:15" x14ac:dyDescent="0.25">
      <c r="A2566" s="14" t="s">
        <v>6001</v>
      </c>
      <c r="B2566" s="14" t="s">
        <v>6002</v>
      </c>
      <c r="C2566" s="14" t="s">
        <v>6002</v>
      </c>
      <c r="D2566" s="14" t="s">
        <v>5826</v>
      </c>
      <c r="E2566" s="15"/>
      <c r="F2566" s="14" t="s">
        <v>1255</v>
      </c>
      <c r="G2566" s="15"/>
      <c r="H2566" s="14" t="s">
        <v>1255</v>
      </c>
      <c r="I2566" s="14" t="s">
        <v>1262</v>
      </c>
      <c r="J2566" s="14" t="s">
        <v>1262</v>
      </c>
      <c r="K2566" s="14"/>
      <c r="L2566" s="14" t="s">
        <v>6000</v>
      </c>
      <c r="M2566" s="14" t="s">
        <v>1259</v>
      </c>
      <c r="N2566" s="14" t="s">
        <v>1219</v>
      </c>
      <c r="O2566" s="14" t="s">
        <v>1220</v>
      </c>
    </row>
    <row r="2567" spans="1:15" x14ac:dyDescent="0.25">
      <c r="A2567" s="14">
        <v>3502</v>
      </c>
      <c r="B2567" s="14" t="s">
        <v>478</v>
      </c>
      <c r="C2567" s="14" t="s">
        <v>478</v>
      </c>
      <c r="D2567" s="14" t="s">
        <v>5826</v>
      </c>
      <c r="E2567" s="16">
        <v>100</v>
      </c>
      <c r="F2567" s="14" t="s">
        <v>1255</v>
      </c>
      <c r="G2567" s="16">
        <v>500</v>
      </c>
      <c r="H2567" s="14" t="s">
        <v>1255</v>
      </c>
      <c r="I2567" s="14" t="s">
        <v>1256</v>
      </c>
      <c r="J2567" s="14" t="s">
        <v>1296</v>
      </c>
      <c r="K2567" s="14" t="s">
        <v>1257</v>
      </c>
      <c r="L2567" s="14" t="s">
        <v>6003</v>
      </c>
      <c r="M2567" s="14" t="s">
        <v>1259</v>
      </c>
      <c r="N2567" s="14" t="s">
        <v>1237</v>
      </c>
      <c r="O2567" s="14" t="s">
        <v>1220</v>
      </c>
    </row>
    <row r="2568" spans="1:15" x14ac:dyDescent="0.25">
      <c r="A2568" s="14" t="s">
        <v>6004</v>
      </c>
      <c r="B2568" s="14" t="s">
        <v>6005</v>
      </c>
      <c r="C2568" s="14" t="s">
        <v>6005</v>
      </c>
      <c r="D2568" s="14" t="s">
        <v>5826</v>
      </c>
      <c r="E2568" s="15"/>
      <c r="F2568" s="14" t="s">
        <v>1255</v>
      </c>
      <c r="G2568" s="15"/>
      <c r="H2568" s="14" t="s">
        <v>1255</v>
      </c>
      <c r="I2568" s="14" t="s">
        <v>1262</v>
      </c>
      <c r="J2568" s="14" t="s">
        <v>1262</v>
      </c>
      <c r="K2568" s="14"/>
      <c r="L2568" s="14" t="s">
        <v>6003</v>
      </c>
      <c r="M2568" s="14" t="s">
        <v>1259</v>
      </c>
      <c r="N2568" s="14" t="s">
        <v>1219</v>
      </c>
      <c r="O2568" s="14" t="s">
        <v>1220</v>
      </c>
    </row>
    <row r="2569" spans="1:15" x14ac:dyDescent="0.25">
      <c r="A2569" s="14">
        <v>3503</v>
      </c>
      <c r="B2569" s="14" t="s">
        <v>479</v>
      </c>
      <c r="C2569" s="14" t="s">
        <v>479</v>
      </c>
      <c r="D2569" s="14" t="s">
        <v>5826</v>
      </c>
      <c r="E2569" s="16">
        <v>100</v>
      </c>
      <c r="F2569" s="14" t="s">
        <v>1255</v>
      </c>
      <c r="G2569" s="17">
        <v>1000</v>
      </c>
      <c r="H2569" s="14" t="s">
        <v>1255</v>
      </c>
      <c r="I2569" s="14" t="s">
        <v>1256</v>
      </c>
      <c r="J2569" s="14" t="s">
        <v>1296</v>
      </c>
      <c r="K2569" s="14" t="s">
        <v>1257</v>
      </c>
      <c r="L2569" s="14" t="s">
        <v>6006</v>
      </c>
      <c r="M2569" s="14" t="s">
        <v>1259</v>
      </c>
      <c r="N2569" s="14" t="s">
        <v>1237</v>
      </c>
      <c r="O2569" s="14" t="s">
        <v>1220</v>
      </c>
    </row>
    <row r="2570" spans="1:15" x14ac:dyDescent="0.25">
      <c r="A2570" s="14" t="s">
        <v>6007</v>
      </c>
      <c r="B2570" s="14" t="s">
        <v>6008</v>
      </c>
      <c r="C2570" s="14" t="s">
        <v>6008</v>
      </c>
      <c r="D2570" s="14" t="s">
        <v>5826</v>
      </c>
      <c r="E2570" s="15"/>
      <c r="F2570" s="14" t="s">
        <v>1255</v>
      </c>
      <c r="G2570" s="15"/>
      <c r="H2570" s="14" t="s">
        <v>1255</v>
      </c>
      <c r="I2570" s="14" t="s">
        <v>1262</v>
      </c>
      <c r="J2570" s="14" t="s">
        <v>1262</v>
      </c>
      <c r="K2570" s="14"/>
      <c r="L2570" s="14" t="s">
        <v>6006</v>
      </c>
      <c r="M2570" s="14" t="s">
        <v>1259</v>
      </c>
      <c r="N2570" s="14" t="s">
        <v>1219</v>
      </c>
      <c r="O2570" s="14" t="s">
        <v>1220</v>
      </c>
    </row>
    <row r="2571" spans="1:15" x14ac:dyDescent="0.25">
      <c r="A2571" s="14">
        <v>3504</v>
      </c>
      <c r="B2571" s="14" t="s">
        <v>480</v>
      </c>
      <c r="C2571" s="14" t="s">
        <v>480</v>
      </c>
      <c r="D2571" s="14" t="s">
        <v>5826</v>
      </c>
      <c r="E2571" s="16">
        <v>100</v>
      </c>
      <c r="F2571" s="14" t="s">
        <v>1255</v>
      </c>
      <c r="G2571" s="17">
        <v>1000</v>
      </c>
      <c r="H2571" s="14" t="s">
        <v>1255</v>
      </c>
      <c r="I2571" s="14" t="s">
        <v>1256</v>
      </c>
      <c r="J2571" s="14" t="s">
        <v>1296</v>
      </c>
      <c r="K2571" s="14" t="s">
        <v>1257</v>
      </c>
      <c r="L2571" s="14" t="s">
        <v>6009</v>
      </c>
      <c r="M2571" s="14" t="s">
        <v>1259</v>
      </c>
      <c r="N2571" s="14" t="s">
        <v>1237</v>
      </c>
      <c r="O2571" s="14" t="s">
        <v>1220</v>
      </c>
    </row>
    <row r="2572" spans="1:15" x14ac:dyDescent="0.25">
      <c r="A2572" s="14" t="s">
        <v>6010</v>
      </c>
      <c r="B2572" s="14" t="s">
        <v>6011</v>
      </c>
      <c r="C2572" s="14" t="s">
        <v>6011</v>
      </c>
      <c r="D2572" s="14" t="s">
        <v>5826</v>
      </c>
      <c r="E2572" s="15"/>
      <c r="F2572" s="14" t="s">
        <v>1255</v>
      </c>
      <c r="G2572" s="15"/>
      <c r="H2572" s="14" t="s">
        <v>1255</v>
      </c>
      <c r="I2572" s="14" t="s">
        <v>1262</v>
      </c>
      <c r="J2572" s="14" t="s">
        <v>1262</v>
      </c>
      <c r="K2572" s="14"/>
      <c r="L2572" s="14" t="s">
        <v>6009</v>
      </c>
      <c r="M2572" s="14" t="s">
        <v>1259</v>
      </c>
      <c r="N2572" s="14" t="s">
        <v>1219</v>
      </c>
      <c r="O2572" s="14" t="s">
        <v>1220</v>
      </c>
    </row>
    <row r="2573" spans="1:15" x14ac:dyDescent="0.25">
      <c r="A2573" s="14">
        <v>3505</v>
      </c>
      <c r="B2573" s="14" t="s">
        <v>481</v>
      </c>
      <c r="C2573" s="14" t="s">
        <v>481</v>
      </c>
      <c r="D2573" s="14" t="s">
        <v>5826</v>
      </c>
      <c r="E2573" s="16">
        <v>70</v>
      </c>
      <c r="F2573" s="14" t="s">
        <v>1255</v>
      </c>
      <c r="G2573" s="16">
        <v>400</v>
      </c>
      <c r="H2573" s="14" t="s">
        <v>1255</v>
      </c>
      <c r="I2573" s="14" t="s">
        <v>1256</v>
      </c>
      <c r="J2573" s="14" t="s">
        <v>1296</v>
      </c>
      <c r="K2573" s="14" t="s">
        <v>1257</v>
      </c>
      <c r="L2573" s="14" t="s">
        <v>6012</v>
      </c>
      <c r="M2573" s="14" t="s">
        <v>1259</v>
      </c>
      <c r="N2573" s="14" t="s">
        <v>1237</v>
      </c>
      <c r="O2573" s="14" t="s">
        <v>1220</v>
      </c>
    </row>
    <row r="2574" spans="1:15" x14ac:dyDescent="0.25">
      <c r="A2574" s="14">
        <v>3506</v>
      </c>
      <c r="B2574" s="14" t="s">
        <v>482</v>
      </c>
      <c r="C2574" s="14" t="s">
        <v>482</v>
      </c>
      <c r="D2574" s="14" t="s">
        <v>5826</v>
      </c>
      <c r="E2574" s="16">
        <v>70</v>
      </c>
      <c r="F2574" s="14" t="s">
        <v>1255</v>
      </c>
      <c r="G2574" s="16">
        <v>350</v>
      </c>
      <c r="H2574" s="14" t="s">
        <v>1255</v>
      </c>
      <c r="I2574" s="14" t="s">
        <v>1256</v>
      </c>
      <c r="J2574" s="14" t="s">
        <v>1296</v>
      </c>
      <c r="K2574" s="14" t="s">
        <v>1257</v>
      </c>
      <c r="L2574" s="14" t="s">
        <v>6013</v>
      </c>
      <c r="M2574" s="14" t="s">
        <v>1259</v>
      </c>
      <c r="N2574" s="14" t="s">
        <v>1237</v>
      </c>
      <c r="O2574" s="14" t="s">
        <v>1220</v>
      </c>
    </row>
    <row r="2575" spans="1:15" x14ac:dyDescent="0.25">
      <c r="A2575" s="14">
        <v>3507</v>
      </c>
      <c r="B2575" s="14" t="s">
        <v>483</v>
      </c>
      <c r="C2575" s="14" t="s">
        <v>483</v>
      </c>
      <c r="D2575" s="14" t="s">
        <v>5826</v>
      </c>
      <c r="E2575" s="16">
        <v>60</v>
      </c>
      <c r="F2575" s="14" t="s">
        <v>1255</v>
      </c>
      <c r="G2575" s="16">
        <v>300</v>
      </c>
      <c r="H2575" s="14" t="s">
        <v>1255</v>
      </c>
      <c r="I2575" s="14" t="s">
        <v>1256</v>
      </c>
      <c r="J2575" s="14" t="s">
        <v>1296</v>
      </c>
      <c r="K2575" s="14" t="s">
        <v>1257</v>
      </c>
      <c r="L2575" s="14" t="s">
        <v>6014</v>
      </c>
      <c r="M2575" s="14" t="s">
        <v>1259</v>
      </c>
      <c r="N2575" s="14" t="s">
        <v>1237</v>
      </c>
      <c r="O2575" s="14" t="s">
        <v>1220</v>
      </c>
    </row>
    <row r="2576" spans="1:15" x14ac:dyDescent="0.25">
      <c r="A2576" s="14">
        <v>3508</v>
      </c>
      <c r="B2576" s="14" t="s">
        <v>484</v>
      </c>
      <c r="C2576" s="14" t="s">
        <v>484</v>
      </c>
      <c r="D2576" s="14" t="s">
        <v>5826</v>
      </c>
      <c r="E2576" s="16">
        <v>40</v>
      </c>
      <c r="F2576" s="14" t="s">
        <v>1255</v>
      </c>
      <c r="G2576" s="16">
        <v>500</v>
      </c>
      <c r="H2576" s="14" t="s">
        <v>1255</v>
      </c>
      <c r="I2576" s="14" t="s">
        <v>1256</v>
      </c>
      <c r="J2576" s="14" t="s">
        <v>1296</v>
      </c>
      <c r="K2576" s="14" t="s">
        <v>1257</v>
      </c>
      <c r="L2576" s="14" t="s">
        <v>6015</v>
      </c>
      <c r="M2576" s="14" t="s">
        <v>1259</v>
      </c>
      <c r="N2576" s="14" t="s">
        <v>1237</v>
      </c>
      <c r="O2576" s="14" t="s">
        <v>1220</v>
      </c>
    </row>
    <row r="2577" spans="1:15" x14ac:dyDescent="0.25">
      <c r="A2577" s="14">
        <v>3509</v>
      </c>
      <c r="B2577" s="14" t="s">
        <v>485</v>
      </c>
      <c r="C2577" s="14" t="s">
        <v>485</v>
      </c>
      <c r="D2577" s="14" t="s">
        <v>5826</v>
      </c>
      <c r="E2577" s="16">
        <v>40</v>
      </c>
      <c r="F2577" s="14" t="s">
        <v>1255</v>
      </c>
      <c r="G2577" s="16">
        <v>400</v>
      </c>
      <c r="H2577" s="14" t="s">
        <v>1255</v>
      </c>
      <c r="I2577" s="14" t="s">
        <v>1256</v>
      </c>
      <c r="J2577" s="14" t="s">
        <v>1296</v>
      </c>
      <c r="K2577" s="14" t="s">
        <v>1257</v>
      </c>
      <c r="L2577" s="14" t="s">
        <v>6016</v>
      </c>
      <c r="M2577" s="14" t="s">
        <v>1259</v>
      </c>
      <c r="N2577" s="14" t="s">
        <v>1237</v>
      </c>
      <c r="O2577" s="14" t="s">
        <v>1220</v>
      </c>
    </row>
    <row r="2578" spans="1:15" x14ac:dyDescent="0.25">
      <c r="A2578" s="14">
        <v>3510</v>
      </c>
      <c r="B2578" s="14" t="s">
        <v>486</v>
      </c>
      <c r="C2578" s="14" t="s">
        <v>486</v>
      </c>
      <c r="D2578" s="14" t="s">
        <v>5826</v>
      </c>
      <c r="E2578" s="16">
        <v>40</v>
      </c>
      <c r="F2578" s="14" t="s">
        <v>1255</v>
      </c>
      <c r="G2578" s="16">
        <v>400</v>
      </c>
      <c r="H2578" s="14" t="s">
        <v>1255</v>
      </c>
      <c r="I2578" s="14" t="s">
        <v>1256</v>
      </c>
      <c r="J2578" s="14" t="s">
        <v>1296</v>
      </c>
      <c r="K2578" s="14" t="s">
        <v>1257</v>
      </c>
      <c r="L2578" s="14" t="s">
        <v>6017</v>
      </c>
      <c r="M2578" s="14" t="s">
        <v>1259</v>
      </c>
      <c r="N2578" s="14" t="s">
        <v>1237</v>
      </c>
      <c r="O2578" s="14" t="s">
        <v>1220</v>
      </c>
    </row>
    <row r="2579" spans="1:15" x14ac:dyDescent="0.25">
      <c r="A2579" s="14">
        <v>3511</v>
      </c>
      <c r="B2579" s="14" t="s">
        <v>487</v>
      </c>
      <c r="C2579" s="14" t="s">
        <v>487</v>
      </c>
      <c r="D2579" s="14" t="s">
        <v>5826</v>
      </c>
      <c r="E2579" s="16">
        <v>40</v>
      </c>
      <c r="F2579" s="14" t="s">
        <v>1255</v>
      </c>
      <c r="G2579" s="16">
        <v>150</v>
      </c>
      <c r="H2579" s="14" t="s">
        <v>1255</v>
      </c>
      <c r="I2579" s="14" t="s">
        <v>1256</v>
      </c>
      <c r="J2579" s="14" t="s">
        <v>1296</v>
      </c>
      <c r="K2579" s="14" t="s">
        <v>1257</v>
      </c>
      <c r="L2579" s="14" t="s">
        <v>6018</v>
      </c>
      <c r="M2579" s="14" t="s">
        <v>1259</v>
      </c>
      <c r="N2579" s="14" t="s">
        <v>1237</v>
      </c>
      <c r="O2579" s="14" t="s">
        <v>1220</v>
      </c>
    </row>
    <row r="2580" spans="1:15" x14ac:dyDescent="0.25">
      <c r="A2580" s="14">
        <v>3512</v>
      </c>
      <c r="B2580" s="14" t="s">
        <v>488</v>
      </c>
      <c r="C2580" s="14" t="s">
        <v>488</v>
      </c>
      <c r="D2580" s="14" t="s">
        <v>5826</v>
      </c>
      <c r="E2580" s="16">
        <v>30</v>
      </c>
      <c r="F2580" s="14" t="s">
        <v>1255</v>
      </c>
      <c r="G2580" s="16">
        <v>200</v>
      </c>
      <c r="H2580" s="14" t="s">
        <v>1255</v>
      </c>
      <c r="I2580" s="14" t="s">
        <v>1256</v>
      </c>
      <c r="J2580" s="14" t="s">
        <v>1296</v>
      </c>
      <c r="K2580" s="14" t="s">
        <v>1257</v>
      </c>
      <c r="L2580" s="14" t="s">
        <v>6019</v>
      </c>
      <c r="M2580" s="14" t="s">
        <v>1259</v>
      </c>
      <c r="N2580" s="14" t="s">
        <v>1237</v>
      </c>
      <c r="O2580" s="14" t="s">
        <v>1220</v>
      </c>
    </row>
    <row r="2581" spans="1:15" x14ac:dyDescent="0.25">
      <c r="A2581" s="14">
        <v>3513</v>
      </c>
      <c r="B2581" s="14" t="s">
        <v>489</v>
      </c>
      <c r="C2581" s="14" t="s">
        <v>489</v>
      </c>
      <c r="D2581" s="14" t="s">
        <v>5826</v>
      </c>
      <c r="E2581" s="16">
        <v>32</v>
      </c>
      <c r="F2581" s="14" t="s">
        <v>1255</v>
      </c>
      <c r="G2581" s="16">
        <v>320</v>
      </c>
      <c r="H2581" s="14" t="s">
        <v>1255</v>
      </c>
      <c r="I2581" s="14" t="s">
        <v>1256</v>
      </c>
      <c r="J2581" s="14" t="s">
        <v>1296</v>
      </c>
      <c r="K2581" s="14" t="s">
        <v>1257</v>
      </c>
      <c r="L2581" s="14" t="s">
        <v>6020</v>
      </c>
      <c r="M2581" s="14" t="s">
        <v>1259</v>
      </c>
      <c r="N2581" s="14" t="s">
        <v>1237</v>
      </c>
      <c r="O2581" s="14" t="s">
        <v>1220</v>
      </c>
    </row>
    <row r="2582" spans="1:15" x14ac:dyDescent="0.25">
      <c r="A2582" s="14">
        <v>3514</v>
      </c>
      <c r="B2582" s="14" t="s">
        <v>490</v>
      </c>
      <c r="C2582" s="14" t="s">
        <v>490</v>
      </c>
      <c r="D2582" s="14" t="s">
        <v>5826</v>
      </c>
      <c r="E2582" s="16">
        <v>25</v>
      </c>
      <c r="F2582" s="14" t="s">
        <v>1255</v>
      </c>
      <c r="G2582" s="16">
        <v>240</v>
      </c>
      <c r="H2582" s="14" t="s">
        <v>1255</v>
      </c>
      <c r="I2582" s="14" t="s">
        <v>1256</v>
      </c>
      <c r="J2582" s="14" t="s">
        <v>1296</v>
      </c>
      <c r="K2582" s="14" t="s">
        <v>1257</v>
      </c>
      <c r="L2582" s="14" t="s">
        <v>6021</v>
      </c>
      <c r="M2582" s="14" t="s">
        <v>1259</v>
      </c>
      <c r="N2582" s="14" t="s">
        <v>1237</v>
      </c>
      <c r="O2582" s="14" t="s">
        <v>1220</v>
      </c>
    </row>
    <row r="2583" spans="1:15" x14ac:dyDescent="0.25">
      <c r="A2583" s="14">
        <v>3515</v>
      </c>
      <c r="B2583" s="14" t="s">
        <v>491</v>
      </c>
      <c r="C2583" s="14" t="s">
        <v>491</v>
      </c>
      <c r="D2583" s="14" t="s">
        <v>5826</v>
      </c>
      <c r="E2583" s="16">
        <v>25</v>
      </c>
      <c r="F2583" s="14" t="s">
        <v>1255</v>
      </c>
      <c r="G2583" s="16">
        <v>120</v>
      </c>
      <c r="H2583" s="14" t="s">
        <v>1255</v>
      </c>
      <c r="I2583" s="14" t="s">
        <v>1256</v>
      </c>
      <c r="J2583" s="14" t="s">
        <v>1296</v>
      </c>
      <c r="K2583" s="14" t="s">
        <v>1257</v>
      </c>
      <c r="L2583" s="14" t="s">
        <v>6022</v>
      </c>
      <c r="M2583" s="14" t="s">
        <v>1259</v>
      </c>
      <c r="N2583" s="14" t="s">
        <v>1237</v>
      </c>
      <c r="O2583" s="14" t="s">
        <v>1220</v>
      </c>
    </row>
    <row r="2584" spans="1:15" x14ac:dyDescent="0.25">
      <c r="A2584" s="14">
        <v>3516</v>
      </c>
      <c r="B2584" s="14" t="s">
        <v>492</v>
      </c>
      <c r="C2584" s="14" t="s">
        <v>492</v>
      </c>
      <c r="D2584" s="14" t="s">
        <v>5826</v>
      </c>
      <c r="E2584" s="16">
        <v>16</v>
      </c>
      <c r="F2584" s="14" t="s">
        <v>1255</v>
      </c>
      <c r="G2584" s="16">
        <v>80</v>
      </c>
      <c r="H2584" s="14" t="s">
        <v>1255</v>
      </c>
      <c r="I2584" s="14" t="s">
        <v>1256</v>
      </c>
      <c r="J2584" s="14" t="s">
        <v>1296</v>
      </c>
      <c r="K2584" s="14" t="s">
        <v>1257</v>
      </c>
      <c r="L2584" s="14" t="s">
        <v>6023</v>
      </c>
      <c r="M2584" s="14" t="s">
        <v>1259</v>
      </c>
      <c r="N2584" s="14" t="s">
        <v>1237</v>
      </c>
      <c r="O2584" s="14" t="s">
        <v>1220</v>
      </c>
    </row>
    <row r="2585" spans="1:15" x14ac:dyDescent="0.25">
      <c r="A2585" s="14" t="s">
        <v>6024</v>
      </c>
      <c r="B2585" s="14" t="s">
        <v>6025</v>
      </c>
      <c r="C2585" s="14" t="s">
        <v>6025</v>
      </c>
      <c r="D2585" s="14" t="s">
        <v>1283</v>
      </c>
      <c r="E2585" s="15"/>
      <c r="F2585" s="14" t="s">
        <v>1742</v>
      </c>
      <c r="G2585" s="15"/>
      <c r="H2585" s="14" t="s">
        <v>1255</v>
      </c>
      <c r="I2585" s="14" t="s">
        <v>1217</v>
      </c>
      <c r="J2585" s="14" t="s">
        <v>1296</v>
      </c>
      <c r="K2585" s="14"/>
      <c r="L2585" s="14"/>
      <c r="M2585" s="14" t="s">
        <v>1259</v>
      </c>
      <c r="N2585" s="14" t="s">
        <v>1219</v>
      </c>
      <c r="O2585" s="14" t="s">
        <v>1220</v>
      </c>
    </row>
    <row r="2586" spans="1:15" x14ac:dyDescent="0.25">
      <c r="A2586" s="14" t="s">
        <v>6026</v>
      </c>
      <c r="B2586" s="14" t="s">
        <v>6027</v>
      </c>
      <c r="C2586" s="14" t="s">
        <v>6027</v>
      </c>
      <c r="D2586" s="14" t="s">
        <v>5826</v>
      </c>
      <c r="E2586" s="15"/>
      <c r="F2586" s="14" t="s">
        <v>1510</v>
      </c>
      <c r="G2586" s="15"/>
      <c r="H2586" s="14" t="s">
        <v>1510</v>
      </c>
      <c r="I2586" s="14" t="s">
        <v>1262</v>
      </c>
      <c r="J2586" s="14" t="s">
        <v>1262</v>
      </c>
      <c r="K2586" s="14" t="s">
        <v>1257</v>
      </c>
      <c r="L2586" s="14" t="s">
        <v>6028</v>
      </c>
      <c r="M2586" s="14" t="s">
        <v>1324</v>
      </c>
      <c r="N2586" s="14" t="s">
        <v>1219</v>
      </c>
      <c r="O2586" s="14" t="s">
        <v>1220</v>
      </c>
    </row>
    <row r="2587" spans="1:15" x14ac:dyDescent="0.25">
      <c r="A2587" s="14" t="s">
        <v>6029</v>
      </c>
      <c r="B2587" s="14" t="s">
        <v>6030</v>
      </c>
      <c r="C2587" s="14" t="s">
        <v>6030</v>
      </c>
      <c r="D2587" s="14" t="s">
        <v>5826</v>
      </c>
      <c r="E2587" s="15"/>
      <c r="F2587" s="14" t="s">
        <v>1510</v>
      </c>
      <c r="G2587" s="15"/>
      <c r="H2587" s="14" t="s">
        <v>1510</v>
      </c>
      <c r="I2587" s="14" t="s">
        <v>1262</v>
      </c>
      <c r="J2587" s="14" t="s">
        <v>1262</v>
      </c>
      <c r="K2587" s="14" t="s">
        <v>1257</v>
      </c>
      <c r="L2587" s="14" t="s">
        <v>6031</v>
      </c>
      <c r="M2587" s="14" t="s">
        <v>1324</v>
      </c>
      <c r="N2587" s="14" t="s">
        <v>1219</v>
      </c>
      <c r="O2587" s="14" t="s">
        <v>1220</v>
      </c>
    </row>
    <row r="2588" spans="1:15" x14ac:dyDescent="0.25">
      <c r="A2588" s="14" t="s">
        <v>6032</v>
      </c>
      <c r="B2588" s="14" t="s">
        <v>6033</v>
      </c>
      <c r="C2588" s="14" t="s">
        <v>6033</v>
      </c>
      <c r="D2588" s="14" t="s">
        <v>5826</v>
      </c>
      <c r="E2588" s="15"/>
      <c r="F2588" s="14" t="s">
        <v>1510</v>
      </c>
      <c r="G2588" s="15"/>
      <c r="H2588" s="14" t="s">
        <v>1510</v>
      </c>
      <c r="I2588" s="14" t="s">
        <v>1262</v>
      </c>
      <c r="J2588" s="14" t="s">
        <v>1262</v>
      </c>
      <c r="K2588" s="14" t="s">
        <v>1257</v>
      </c>
      <c r="L2588" s="14" t="s">
        <v>6034</v>
      </c>
      <c r="M2588" s="14" t="s">
        <v>1324</v>
      </c>
      <c r="N2588" s="14" t="s">
        <v>1219</v>
      </c>
      <c r="O2588" s="14" t="s">
        <v>1220</v>
      </c>
    </row>
    <row r="2589" spans="1:15" x14ac:dyDescent="0.25">
      <c r="A2589" s="14" t="s">
        <v>6035</v>
      </c>
      <c r="B2589" s="14" t="s">
        <v>6036</v>
      </c>
      <c r="C2589" s="14" t="s">
        <v>6036</v>
      </c>
      <c r="D2589" s="14" t="s">
        <v>5826</v>
      </c>
      <c r="E2589" s="15"/>
      <c r="F2589" s="14" t="s">
        <v>1510</v>
      </c>
      <c r="G2589" s="15"/>
      <c r="H2589" s="14" t="s">
        <v>1510</v>
      </c>
      <c r="I2589" s="14" t="s">
        <v>1262</v>
      </c>
      <c r="J2589" s="14" t="s">
        <v>1262</v>
      </c>
      <c r="K2589" s="14" t="s">
        <v>1257</v>
      </c>
      <c r="L2589" s="14" t="s">
        <v>6037</v>
      </c>
      <c r="M2589" s="14" t="s">
        <v>1324</v>
      </c>
      <c r="N2589" s="14" t="s">
        <v>1219</v>
      </c>
      <c r="O2589" s="14" t="s">
        <v>1220</v>
      </c>
    </row>
    <row r="2590" spans="1:15" x14ac:dyDescent="0.25">
      <c r="A2590" s="14" t="s">
        <v>6038</v>
      </c>
      <c r="B2590" s="14" t="s">
        <v>6039</v>
      </c>
      <c r="C2590" s="14" t="s">
        <v>6039</v>
      </c>
      <c r="D2590" s="14" t="s">
        <v>5826</v>
      </c>
      <c r="E2590" s="15"/>
      <c r="F2590" s="14" t="s">
        <v>1510</v>
      </c>
      <c r="G2590" s="15"/>
      <c r="H2590" s="14" t="s">
        <v>1510</v>
      </c>
      <c r="I2590" s="14" t="s">
        <v>1262</v>
      </c>
      <c r="J2590" s="14" t="s">
        <v>1262</v>
      </c>
      <c r="K2590" s="14" t="s">
        <v>1257</v>
      </c>
      <c r="L2590" s="14" t="s">
        <v>6040</v>
      </c>
      <c r="M2590" s="14" t="s">
        <v>1324</v>
      </c>
      <c r="N2590" s="14" t="s">
        <v>1219</v>
      </c>
      <c r="O2590" s="14" t="s">
        <v>1220</v>
      </c>
    </row>
    <row r="2591" spans="1:15" x14ac:dyDescent="0.25">
      <c r="A2591" s="14" t="s">
        <v>6041</v>
      </c>
      <c r="B2591" s="14" t="s">
        <v>6042</v>
      </c>
      <c r="C2591" s="14" t="s">
        <v>6042</v>
      </c>
      <c r="D2591" s="14" t="s">
        <v>5826</v>
      </c>
      <c r="E2591" s="15"/>
      <c r="F2591" s="14" t="s">
        <v>1510</v>
      </c>
      <c r="G2591" s="15"/>
      <c r="H2591" s="14" t="s">
        <v>1510</v>
      </c>
      <c r="I2591" s="14" t="s">
        <v>1262</v>
      </c>
      <c r="J2591" s="14" t="s">
        <v>1262</v>
      </c>
      <c r="K2591" s="14" t="s">
        <v>1257</v>
      </c>
      <c r="L2591" s="14" t="s">
        <v>6043</v>
      </c>
      <c r="M2591" s="14" t="s">
        <v>1324</v>
      </c>
      <c r="N2591" s="14" t="s">
        <v>1219</v>
      </c>
      <c r="O2591" s="14" t="s">
        <v>1220</v>
      </c>
    </row>
    <row r="2592" spans="1:15" x14ac:dyDescent="0.25">
      <c r="A2592" s="14" t="s">
        <v>6044</v>
      </c>
      <c r="B2592" s="14" t="s">
        <v>6045</v>
      </c>
      <c r="C2592" s="14" t="s">
        <v>6045</v>
      </c>
      <c r="D2592" s="14" t="s">
        <v>1349</v>
      </c>
      <c r="E2592" s="15"/>
      <c r="F2592" s="14"/>
      <c r="G2592" s="15"/>
      <c r="H2592" s="14" t="s">
        <v>1380</v>
      </c>
      <c r="I2592" s="14" t="s">
        <v>1360</v>
      </c>
      <c r="J2592" s="14" t="s">
        <v>1360</v>
      </c>
      <c r="K2592" s="14"/>
      <c r="L2592" s="14"/>
      <c r="M2592" s="14" t="s">
        <v>1324</v>
      </c>
      <c r="N2592" s="14" t="s">
        <v>1219</v>
      </c>
      <c r="O2592" s="14" t="s">
        <v>1220</v>
      </c>
    </row>
    <row r="2593" spans="1:15" x14ac:dyDescent="0.25">
      <c r="A2593" s="14" t="s">
        <v>6046</v>
      </c>
      <c r="B2593" s="14" t="s">
        <v>6047</v>
      </c>
      <c r="C2593" s="14" t="s">
        <v>6047</v>
      </c>
      <c r="D2593" s="14" t="s">
        <v>1349</v>
      </c>
      <c r="E2593" s="15"/>
      <c r="F2593" s="14" t="s">
        <v>1350</v>
      </c>
      <c r="G2593" s="15"/>
      <c r="H2593" s="14" t="s">
        <v>1380</v>
      </c>
      <c r="I2593" s="14" t="s">
        <v>1360</v>
      </c>
      <c r="J2593" s="14" t="s">
        <v>1360</v>
      </c>
      <c r="K2593" s="14" t="s">
        <v>1257</v>
      </c>
      <c r="L2593" s="14" t="s">
        <v>6043</v>
      </c>
      <c r="M2593" s="14" t="s">
        <v>1324</v>
      </c>
      <c r="N2593" s="14" t="s">
        <v>1219</v>
      </c>
      <c r="O2593" s="14" t="s">
        <v>1220</v>
      </c>
    </row>
    <row r="2594" spans="1:15" x14ac:dyDescent="0.25">
      <c r="A2594" s="14" t="s">
        <v>6048</v>
      </c>
      <c r="B2594" s="14" t="s">
        <v>6049</v>
      </c>
      <c r="C2594" s="14" t="s">
        <v>6049</v>
      </c>
      <c r="D2594" s="14" t="s">
        <v>1349</v>
      </c>
      <c r="E2594" s="15"/>
      <c r="F2594" s="14"/>
      <c r="G2594" s="15"/>
      <c r="H2594" s="14" t="s">
        <v>1380</v>
      </c>
      <c r="I2594" s="14" t="s">
        <v>1360</v>
      </c>
      <c r="J2594" s="14" t="s">
        <v>1360</v>
      </c>
      <c r="K2594" s="14"/>
      <c r="L2594" s="14"/>
      <c r="M2594" s="14" t="s">
        <v>1324</v>
      </c>
      <c r="N2594" s="14" t="s">
        <v>1219</v>
      </c>
      <c r="O2594" s="14" t="s">
        <v>1220</v>
      </c>
    </row>
    <row r="2595" spans="1:15" x14ac:dyDescent="0.25">
      <c r="A2595" s="14" t="s">
        <v>6050</v>
      </c>
      <c r="B2595" s="14" t="s">
        <v>6051</v>
      </c>
      <c r="C2595" s="14" t="s">
        <v>6051</v>
      </c>
      <c r="D2595" s="14" t="s">
        <v>1349</v>
      </c>
      <c r="E2595" s="15"/>
      <c r="F2595" s="14"/>
      <c r="G2595" s="15"/>
      <c r="H2595" s="14" t="s">
        <v>1380</v>
      </c>
      <c r="I2595" s="14" t="s">
        <v>1360</v>
      </c>
      <c r="J2595" s="14" t="s">
        <v>1360</v>
      </c>
      <c r="K2595" s="14"/>
      <c r="L2595" s="14"/>
      <c r="M2595" s="14" t="s">
        <v>1324</v>
      </c>
      <c r="N2595" s="14" t="s">
        <v>1219</v>
      </c>
      <c r="O2595" s="14" t="s">
        <v>1220</v>
      </c>
    </row>
    <row r="2596" spans="1:15" x14ac:dyDescent="0.25">
      <c r="A2596" s="14" t="s">
        <v>6052</v>
      </c>
      <c r="B2596" s="14" t="s">
        <v>6053</v>
      </c>
      <c r="C2596" s="14" t="s">
        <v>6053</v>
      </c>
      <c r="D2596" s="14" t="s">
        <v>1349</v>
      </c>
      <c r="E2596" s="15"/>
      <c r="F2596" s="14"/>
      <c r="G2596" s="15"/>
      <c r="H2596" s="14" t="s">
        <v>1380</v>
      </c>
      <c r="I2596" s="14" t="s">
        <v>1360</v>
      </c>
      <c r="J2596" s="14" t="s">
        <v>1360</v>
      </c>
      <c r="K2596" s="14"/>
      <c r="L2596" s="14"/>
      <c r="M2596" s="14" t="s">
        <v>1324</v>
      </c>
      <c r="N2596" s="14" t="s">
        <v>1219</v>
      </c>
      <c r="O2596" s="14" t="s">
        <v>1220</v>
      </c>
    </row>
    <row r="2597" spans="1:15" x14ac:dyDescent="0.25">
      <c r="A2597" s="14" t="s">
        <v>6054</v>
      </c>
      <c r="B2597" s="14" t="s">
        <v>6055</v>
      </c>
      <c r="C2597" s="14" t="s">
        <v>6055</v>
      </c>
      <c r="D2597" s="14" t="s">
        <v>1349</v>
      </c>
      <c r="E2597" s="15"/>
      <c r="F2597" s="14"/>
      <c r="G2597" s="15"/>
      <c r="H2597" s="14" t="s">
        <v>1380</v>
      </c>
      <c r="I2597" s="14" t="s">
        <v>1360</v>
      </c>
      <c r="J2597" s="14" t="s">
        <v>1360</v>
      </c>
      <c r="K2597" s="14"/>
      <c r="L2597" s="14"/>
      <c r="M2597" s="14" t="s">
        <v>1324</v>
      </c>
      <c r="N2597" s="14" t="s">
        <v>1219</v>
      </c>
      <c r="O2597" s="14" t="s">
        <v>1220</v>
      </c>
    </row>
    <row r="2598" spans="1:15" x14ac:dyDescent="0.25">
      <c r="A2598" s="14" t="s">
        <v>6056</v>
      </c>
      <c r="B2598" s="14" t="s">
        <v>6057</v>
      </c>
      <c r="C2598" s="14" t="s">
        <v>6057</v>
      </c>
      <c r="D2598" s="14" t="s">
        <v>1349</v>
      </c>
      <c r="E2598" s="15"/>
      <c r="F2598" s="14"/>
      <c r="G2598" s="15"/>
      <c r="H2598" s="14" t="s">
        <v>1380</v>
      </c>
      <c r="I2598" s="14" t="s">
        <v>1360</v>
      </c>
      <c r="J2598" s="14" t="s">
        <v>1360</v>
      </c>
      <c r="K2598" s="14"/>
      <c r="L2598" s="14"/>
      <c r="M2598" s="14" t="s">
        <v>1324</v>
      </c>
      <c r="N2598" s="14" t="s">
        <v>1219</v>
      </c>
      <c r="O2598" s="14" t="s">
        <v>1220</v>
      </c>
    </row>
    <row r="2599" spans="1:15" x14ac:dyDescent="0.25">
      <c r="A2599" s="14" t="s">
        <v>6058</v>
      </c>
      <c r="B2599" s="14" t="s">
        <v>6059</v>
      </c>
      <c r="C2599" s="14" t="s">
        <v>6059</v>
      </c>
      <c r="D2599" s="14" t="s">
        <v>1349</v>
      </c>
      <c r="E2599" s="15"/>
      <c r="F2599" s="14"/>
      <c r="G2599" s="15"/>
      <c r="H2599" s="14" t="s">
        <v>1380</v>
      </c>
      <c r="I2599" s="14" t="s">
        <v>1360</v>
      </c>
      <c r="J2599" s="14" t="s">
        <v>1360</v>
      </c>
      <c r="K2599" s="14"/>
      <c r="L2599" s="14"/>
      <c r="M2599" s="14" t="s">
        <v>1324</v>
      </c>
      <c r="N2599" s="14" t="s">
        <v>1219</v>
      </c>
      <c r="O2599" s="14" t="s">
        <v>1220</v>
      </c>
    </row>
    <row r="2600" spans="1:15" x14ac:dyDescent="0.25">
      <c r="A2600" s="14" t="s">
        <v>6060</v>
      </c>
      <c r="B2600" s="14" t="s">
        <v>6061</v>
      </c>
      <c r="C2600" s="14" t="s">
        <v>6061</v>
      </c>
      <c r="D2600" s="14" t="s">
        <v>1349</v>
      </c>
      <c r="E2600" s="15"/>
      <c r="F2600" s="14"/>
      <c r="G2600" s="15"/>
      <c r="H2600" s="14" t="s">
        <v>1380</v>
      </c>
      <c r="I2600" s="14" t="s">
        <v>1360</v>
      </c>
      <c r="J2600" s="14" t="s">
        <v>1360</v>
      </c>
      <c r="K2600" s="14"/>
      <c r="L2600" s="14"/>
      <c r="M2600" s="14" t="s">
        <v>1324</v>
      </c>
      <c r="N2600" s="14" t="s">
        <v>1219</v>
      </c>
      <c r="O2600" s="14" t="s">
        <v>1220</v>
      </c>
    </row>
    <row r="2601" spans="1:15" x14ac:dyDescent="0.25">
      <c r="A2601" s="14" t="s">
        <v>6062</v>
      </c>
      <c r="B2601" s="14" t="s">
        <v>6063</v>
      </c>
      <c r="C2601" s="14" t="s">
        <v>6063</v>
      </c>
      <c r="D2601" s="14" t="s">
        <v>1349</v>
      </c>
      <c r="E2601" s="15"/>
      <c r="F2601" s="14"/>
      <c r="G2601" s="15"/>
      <c r="H2601" s="14" t="s">
        <v>1380</v>
      </c>
      <c r="I2601" s="14" t="s">
        <v>1360</v>
      </c>
      <c r="J2601" s="14" t="s">
        <v>1360</v>
      </c>
      <c r="K2601" s="14"/>
      <c r="L2601" s="14"/>
      <c r="M2601" s="14" t="s">
        <v>1324</v>
      </c>
      <c r="N2601" s="14" t="s">
        <v>1219</v>
      </c>
      <c r="O2601" s="14" t="s">
        <v>1220</v>
      </c>
    </row>
    <row r="2602" spans="1:15" x14ac:dyDescent="0.25">
      <c r="A2602" s="14" t="s">
        <v>6064</v>
      </c>
      <c r="B2602" s="14" t="s">
        <v>6065</v>
      </c>
      <c r="C2602" s="14" t="s">
        <v>6065</v>
      </c>
      <c r="D2602" s="14" t="s">
        <v>1349</v>
      </c>
      <c r="E2602" s="15"/>
      <c r="F2602" s="14"/>
      <c r="G2602" s="15"/>
      <c r="H2602" s="14" t="s">
        <v>1380</v>
      </c>
      <c r="I2602" s="14" t="s">
        <v>1360</v>
      </c>
      <c r="J2602" s="14" t="s">
        <v>1360</v>
      </c>
      <c r="K2602" s="14"/>
      <c r="L2602" s="14"/>
      <c r="M2602" s="14" t="s">
        <v>1324</v>
      </c>
      <c r="N2602" s="14" t="s">
        <v>1219</v>
      </c>
      <c r="O2602" s="14" t="s">
        <v>1220</v>
      </c>
    </row>
    <row r="2603" spans="1:15" x14ac:dyDescent="0.25">
      <c r="A2603" s="14" t="s">
        <v>6066</v>
      </c>
      <c r="B2603" s="14" t="s">
        <v>6067</v>
      </c>
      <c r="C2603" s="14" t="s">
        <v>6067</v>
      </c>
      <c r="D2603" s="14" t="s">
        <v>1349</v>
      </c>
      <c r="E2603" s="15"/>
      <c r="F2603" s="14"/>
      <c r="G2603" s="15"/>
      <c r="H2603" s="14" t="s">
        <v>1380</v>
      </c>
      <c r="I2603" s="14" t="s">
        <v>1360</v>
      </c>
      <c r="J2603" s="14" t="s">
        <v>1360</v>
      </c>
      <c r="K2603" s="14"/>
      <c r="L2603" s="14"/>
      <c r="M2603" s="14" t="s">
        <v>1324</v>
      </c>
      <c r="N2603" s="14" t="s">
        <v>1219</v>
      </c>
      <c r="O2603" s="14" t="s">
        <v>1220</v>
      </c>
    </row>
    <row r="2604" spans="1:15" x14ac:dyDescent="0.25">
      <c r="A2604" s="14" t="s">
        <v>6068</v>
      </c>
      <c r="B2604" s="14" t="s">
        <v>6069</v>
      </c>
      <c r="C2604" s="14" t="s">
        <v>6069</v>
      </c>
      <c r="D2604" s="14" t="s">
        <v>1349</v>
      </c>
      <c r="E2604" s="15"/>
      <c r="F2604" s="14"/>
      <c r="G2604" s="15"/>
      <c r="H2604" s="14" t="s">
        <v>1380</v>
      </c>
      <c r="I2604" s="14" t="s">
        <v>1360</v>
      </c>
      <c r="J2604" s="14" t="s">
        <v>1360</v>
      </c>
      <c r="K2604" s="14"/>
      <c r="L2604" s="14"/>
      <c r="M2604" s="14" t="s">
        <v>1324</v>
      </c>
      <c r="N2604" s="14" t="s">
        <v>1219</v>
      </c>
      <c r="O2604" s="14" t="s">
        <v>1220</v>
      </c>
    </row>
    <row r="2605" spans="1:15" x14ac:dyDescent="0.25">
      <c r="A2605" s="14">
        <v>288</v>
      </c>
      <c r="B2605" s="14" t="s">
        <v>322</v>
      </c>
      <c r="C2605" s="14" t="s">
        <v>6070</v>
      </c>
      <c r="D2605" s="14" t="s">
        <v>5826</v>
      </c>
      <c r="E2605" s="16">
        <v>80</v>
      </c>
      <c r="F2605" s="14" t="s">
        <v>1510</v>
      </c>
      <c r="G2605" s="16">
        <v>800</v>
      </c>
      <c r="H2605" s="14" t="s">
        <v>1510</v>
      </c>
      <c r="I2605" s="14" t="s">
        <v>1256</v>
      </c>
      <c r="J2605" s="14" t="s">
        <v>1242</v>
      </c>
      <c r="K2605" s="14" t="s">
        <v>1257</v>
      </c>
      <c r="L2605" s="14" t="s">
        <v>6071</v>
      </c>
      <c r="M2605" s="14" t="s">
        <v>1324</v>
      </c>
      <c r="N2605" s="14" t="s">
        <v>1237</v>
      </c>
      <c r="O2605" s="14" t="s">
        <v>1220</v>
      </c>
    </row>
    <row r="2606" spans="1:15" x14ac:dyDescent="0.25">
      <c r="A2606" s="14" t="s">
        <v>6072</v>
      </c>
      <c r="B2606" s="14" t="s">
        <v>6073</v>
      </c>
      <c r="C2606" s="14" t="s">
        <v>6074</v>
      </c>
      <c r="D2606" s="14" t="s">
        <v>1517</v>
      </c>
      <c r="E2606" s="15"/>
      <c r="F2606" s="14" t="s">
        <v>1510</v>
      </c>
      <c r="G2606" s="15"/>
      <c r="H2606" s="14" t="s">
        <v>1510</v>
      </c>
      <c r="I2606" s="14" t="s">
        <v>1262</v>
      </c>
      <c r="J2606" s="14" t="s">
        <v>1262</v>
      </c>
      <c r="K2606" s="14"/>
      <c r="L2606" s="14" t="s">
        <v>6071</v>
      </c>
      <c r="M2606" s="14" t="s">
        <v>1324</v>
      </c>
      <c r="N2606" s="14" t="s">
        <v>1219</v>
      </c>
      <c r="O2606" s="14" t="s">
        <v>1220</v>
      </c>
    </row>
    <row r="2607" spans="1:15" x14ac:dyDescent="0.25">
      <c r="A2607" s="14">
        <v>164</v>
      </c>
      <c r="B2607" s="14" t="s">
        <v>326</v>
      </c>
      <c r="C2607" s="14" t="s">
        <v>6075</v>
      </c>
      <c r="D2607" s="14" t="s">
        <v>5826</v>
      </c>
      <c r="E2607" s="16">
        <v>60</v>
      </c>
      <c r="F2607" s="14" t="s">
        <v>1510</v>
      </c>
      <c r="G2607" s="16">
        <v>300</v>
      </c>
      <c r="H2607" s="14" t="s">
        <v>1510</v>
      </c>
      <c r="I2607" s="14" t="s">
        <v>1256</v>
      </c>
      <c r="J2607" s="14" t="s">
        <v>1296</v>
      </c>
      <c r="K2607" s="14" t="s">
        <v>1257</v>
      </c>
      <c r="L2607" s="14" t="s">
        <v>6031</v>
      </c>
      <c r="M2607" s="14" t="s">
        <v>1324</v>
      </c>
      <c r="N2607" s="14" t="s">
        <v>1237</v>
      </c>
      <c r="O2607" s="14" t="s">
        <v>1220</v>
      </c>
    </row>
    <row r="2608" spans="1:15" x14ac:dyDescent="0.25">
      <c r="A2608" s="14">
        <v>291</v>
      </c>
      <c r="B2608" s="14" t="s">
        <v>328</v>
      </c>
      <c r="C2608" s="14" t="s">
        <v>6076</v>
      </c>
      <c r="D2608" s="14" t="s">
        <v>5826</v>
      </c>
      <c r="E2608" s="16">
        <v>50</v>
      </c>
      <c r="F2608" s="14" t="s">
        <v>1510</v>
      </c>
      <c r="G2608" s="16">
        <v>500</v>
      </c>
      <c r="H2608" s="14" t="s">
        <v>1510</v>
      </c>
      <c r="I2608" s="14" t="s">
        <v>1256</v>
      </c>
      <c r="J2608" s="14" t="s">
        <v>1242</v>
      </c>
      <c r="K2608" s="14" t="s">
        <v>1257</v>
      </c>
      <c r="L2608" s="14" t="s">
        <v>6034</v>
      </c>
      <c r="M2608" s="14" t="s">
        <v>1324</v>
      </c>
      <c r="N2608" s="14" t="s">
        <v>1237</v>
      </c>
      <c r="O2608" s="14" t="s">
        <v>1220</v>
      </c>
    </row>
    <row r="2609" spans="1:15" x14ac:dyDescent="0.25">
      <c r="A2609" s="14">
        <v>473</v>
      </c>
      <c r="B2609" s="14" t="s">
        <v>332</v>
      </c>
      <c r="C2609" s="14" t="s">
        <v>6077</v>
      </c>
      <c r="D2609" s="14" t="s">
        <v>5826</v>
      </c>
      <c r="E2609" s="16">
        <v>50</v>
      </c>
      <c r="F2609" s="14" t="s">
        <v>1510</v>
      </c>
      <c r="G2609" s="16">
        <v>350</v>
      </c>
      <c r="H2609" s="14" t="s">
        <v>1510</v>
      </c>
      <c r="I2609" s="14" t="s">
        <v>1256</v>
      </c>
      <c r="J2609" s="14" t="s">
        <v>1296</v>
      </c>
      <c r="K2609" s="14" t="s">
        <v>1257</v>
      </c>
      <c r="L2609" s="14" t="s">
        <v>6040</v>
      </c>
      <c r="M2609" s="14" t="s">
        <v>1324</v>
      </c>
      <c r="N2609" s="14" t="s">
        <v>1237</v>
      </c>
      <c r="O2609" s="14" t="s">
        <v>1220</v>
      </c>
    </row>
    <row r="2610" spans="1:15" x14ac:dyDescent="0.25">
      <c r="A2610" s="14">
        <v>476</v>
      </c>
      <c r="B2610" s="14" t="s">
        <v>6078</v>
      </c>
      <c r="C2610" s="14" t="s">
        <v>6079</v>
      </c>
      <c r="D2610" s="14" t="s">
        <v>1349</v>
      </c>
      <c r="E2610" s="15"/>
      <c r="F2610" s="14"/>
      <c r="G2610" s="15"/>
      <c r="H2610" s="14" t="s">
        <v>1510</v>
      </c>
      <c r="I2610" s="14" t="s">
        <v>1360</v>
      </c>
      <c r="J2610" s="14" t="s">
        <v>1360</v>
      </c>
      <c r="K2610" s="14"/>
      <c r="L2610" s="14"/>
      <c r="M2610" s="14" t="s">
        <v>1324</v>
      </c>
      <c r="N2610" s="14" t="s">
        <v>1219</v>
      </c>
      <c r="O2610" s="14" t="s">
        <v>1220</v>
      </c>
    </row>
    <row r="2611" spans="1:15" x14ac:dyDescent="0.25">
      <c r="A2611" s="14">
        <v>475</v>
      </c>
      <c r="B2611" s="14" t="s">
        <v>6080</v>
      </c>
      <c r="C2611" s="14" t="s">
        <v>6081</v>
      </c>
      <c r="D2611" s="14" t="s">
        <v>5826</v>
      </c>
      <c r="E2611" s="15"/>
      <c r="F2611" s="14" t="s">
        <v>1350</v>
      </c>
      <c r="G2611" s="15"/>
      <c r="H2611" s="14" t="s">
        <v>1510</v>
      </c>
      <c r="I2611" s="14" t="s">
        <v>1360</v>
      </c>
      <c r="J2611" s="14" t="s">
        <v>1360</v>
      </c>
      <c r="K2611" s="14" t="s">
        <v>1257</v>
      </c>
      <c r="L2611" s="14" t="s">
        <v>6043</v>
      </c>
      <c r="M2611" s="14" t="s">
        <v>1324</v>
      </c>
      <c r="N2611" s="14" t="s">
        <v>1219</v>
      </c>
      <c r="O2611" s="14" t="s">
        <v>1220</v>
      </c>
    </row>
    <row r="2612" spans="1:15" x14ac:dyDescent="0.25">
      <c r="A2612" s="14">
        <v>185</v>
      </c>
      <c r="B2612" s="14" t="s">
        <v>6082</v>
      </c>
      <c r="C2612" s="14" t="s">
        <v>6083</v>
      </c>
      <c r="D2612" s="14" t="s">
        <v>5826</v>
      </c>
      <c r="E2612" s="15"/>
      <c r="F2612" s="14" t="s">
        <v>1350</v>
      </c>
      <c r="G2612" s="15"/>
      <c r="H2612" s="14" t="s">
        <v>1510</v>
      </c>
      <c r="I2612" s="14" t="s">
        <v>1360</v>
      </c>
      <c r="J2612" s="14" t="s">
        <v>1360</v>
      </c>
      <c r="K2612" s="14" t="s">
        <v>1257</v>
      </c>
      <c r="L2612" s="14" t="s">
        <v>6043</v>
      </c>
      <c r="M2612" s="14" t="s">
        <v>1324</v>
      </c>
      <c r="N2612" s="14" t="s">
        <v>1219</v>
      </c>
      <c r="O2612" s="14" t="s">
        <v>1220</v>
      </c>
    </row>
    <row r="2613" spans="1:15" x14ac:dyDescent="0.25">
      <c r="A2613" s="14">
        <v>281</v>
      </c>
      <c r="B2613" s="14" t="s">
        <v>6084</v>
      </c>
      <c r="C2613" s="14" t="s">
        <v>6085</v>
      </c>
      <c r="D2613" s="14" t="s">
        <v>5826</v>
      </c>
      <c r="E2613" s="15"/>
      <c r="F2613" s="14" t="s">
        <v>1350</v>
      </c>
      <c r="G2613" s="15"/>
      <c r="H2613" s="14" t="s">
        <v>1510</v>
      </c>
      <c r="I2613" s="14" t="s">
        <v>1351</v>
      </c>
      <c r="J2613" s="14" t="s">
        <v>1385</v>
      </c>
      <c r="K2613" s="14" t="s">
        <v>1257</v>
      </c>
      <c r="L2613" s="14" t="s">
        <v>6043</v>
      </c>
      <c r="M2613" s="14" t="s">
        <v>1324</v>
      </c>
      <c r="N2613" s="14" t="s">
        <v>1219</v>
      </c>
      <c r="O2613" s="14" t="s">
        <v>1220</v>
      </c>
    </row>
    <row r="2614" spans="1:15" x14ac:dyDescent="0.25">
      <c r="A2614" s="14">
        <v>194</v>
      </c>
      <c r="B2614" s="14" t="s">
        <v>6086</v>
      </c>
      <c r="C2614" s="14" t="s">
        <v>6087</v>
      </c>
      <c r="D2614" s="14" t="s">
        <v>5826</v>
      </c>
      <c r="E2614" s="15"/>
      <c r="F2614" s="14" t="s">
        <v>1350</v>
      </c>
      <c r="G2614" s="15"/>
      <c r="H2614" s="14" t="s">
        <v>1510</v>
      </c>
      <c r="I2614" s="14" t="s">
        <v>1360</v>
      </c>
      <c r="J2614" s="14" t="s">
        <v>1360</v>
      </c>
      <c r="K2614" s="14" t="s">
        <v>1257</v>
      </c>
      <c r="L2614" s="14" t="s">
        <v>6043</v>
      </c>
      <c r="M2614" s="14" t="s">
        <v>1324</v>
      </c>
      <c r="N2614" s="14" t="s">
        <v>1219</v>
      </c>
      <c r="O2614" s="14" t="s">
        <v>1220</v>
      </c>
    </row>
    <row r="2615" spans="1:15" x14ac:dyDescent="0.25">
      <c r="A2615" s="14">
        <v>196</v>
      </c>
      <c r="B2615" s="14" t="s">
        <v>6088</v>
      </c>
      <c r="C2615" s="14" t="s">
        <v>6089</v>
      </c>
      <c r="D2615" s="14" t="s">
        <v>5826</v>
      </c>
      <c r="E2615" s="15"/>
      <c r="F2615" s="14" t="s">
        <v>1350</v>
      </c>
      <c r="G2615" s="15"/>
      <c r="H2615" s="14" t="s">
        <v>1510</v>
      </c>
      <c r="I2615" s="14" t="s">
        <v>1351</v>
      </c>
      <c r="J2615" s="14" t="s">
        <v>1351</v>
      </c>
      <c r="K2615" s="14" t="s">
        <v>1257</v>
      </c>
      <c r="L2615" s="14" t="s">
        <v>6043</v>
      </c>
      <c r="M2615" s="14" t="s">
        <v>1324</v>
      </c>
      <c r="N2615" s="14" t="s">
        <v>1219</v>
      </c>
      <c r="O2615" s="14" t="s">
        <v>1220</v>
      </c>
    </row>
    <row r="2616" spans="1:15" x14ac:dyDescent="0.25">
      <c r="A2616" s="14">
        <v>287</v>
      </c>
      <c r="B2616" s="14" t="s">
        <v>323</v>
      </c>
      <c r="C2616" s="14" t="s">
        <v>6090</v>
      </c>
      <c r="D2616" s="14" t="s">
        <v>5826</v>
      </c>
      <c r="E2616" s="16">
        <v>100</v>
      </c>
      <c r="F2616" s="14" t="s">
        <v>1510</v>
      </c>
      <c r="G2616" s="17">
        <v>1000</v>
      </c>
      <c r="H2616" s="14" t="s">
        <v>1510</v>
      </c>
      <c r="I2616" s="14" t="s">
        <v>1256</v>
      </c>
      <c r="J2616" s="14" t="s">
        <v>1233</v>
      </c>
      <c r="K2616" s="14" t="s">
        <v>1257</v>
      </c>
      <c r="L2616" s="14" t="s">
        <v>6091</v>
      </c>
      <c r="M2616" s="14" t="s">
        <v>1324</v>
      </c>
      <c r="N2616" s="14" t="s">
        <v>1237</v>
      </c>
      <c r="O2616" s="14" t="s">
        <v>1220</v>
      </c>
    </row>
    <row r="2617" spans="1:15" x14ac:dyDescent="0.25">
      <c r="A2617" s="14" t="s">
        <v>6092</v>
      </c>
      <c r="B2617" s="14" t="s">
        <v>6093</v>
      </c>
      <c r="C2617" s="14" t="s">
        <v>6094</v>
      </c>
      <c r="D2617" s="14" t="s">
        <v>1517</v>
      </c>
      <c r="E2617" s="15"/>
      <c r="F2617" s="14" t="s">
        <v>1510</v>
      </c>
      <c r="G2617" s="15"/>
      <c r="H2617" s="14" t="s">
        <v>1510</v>
      </c>
      <c r="I2617" s="14" t="s">
        <v>1262</v>
      </c>
      <c r="J2617" s="14" t="s">
        <v>1262</v>
      </c>
      <c r="K2617" s="14"/>
      <c r="L2617" s="14" t="s">
        <v>6091</v>
      </c>
      <c r="M2617" s="14" t="s">
        <v>1324</v>
      </c>
      <c r="N2617" s="14" t="s">
        <v>1219</v>
      </c>
      <c r="O2617" s="14" t="s">
        <v>1220</v>
      </c>
    </row>
    <row r="2618" spans="1:15" x14ac:dyDescent="0.25">
      <c r="A2618" s="14">
        <v>306</v>
      </c>
      <c r="B2618" s="14" t="s">
        <v>327</v>
      </c>
      <c r="C2618" s="14" t="s">
        <v>6095</v>
      </c>
      <c r="D2618" s="14" t="s">
        <v>5826</v>
      </c>
      <c r="E2618" s="16">
        <v>70</v>
      </c>
      <c r="F2618" s="14" t="s">
        <v>1510</v>
      </c>
      <c r="G2618" s="16">
        <v>700</v>
      </c>
      <c r="H2618" s="14" t="s">
        <v>1510</v>
      </c>
      <c r="I2618" s="14" t="s">
        <v>1256</v>
      </c>
      <c r="J2618" s="14" t="s">
        <v>1296</v>
      </c>
      <c r="K2618" s="14" t="s">
        <v>1257</v>
      </c>
      <c r="L2618" s="14" t="s">
        <v>6096</v>
      </c>
      <c r="M2618" s="14" t="s">
        <v>1324</v>
      </c>
      <c r="N2618" s="14" t="s">
        <v>1237</v>
      </c>
      <c r="O2618" s="14" t="s">
        <v>1220</v>
      </c>
    </row>
    <row r="2619" spans="1:15" x14ac:dyDescent="0.25">
      <c r="A2619" s="14" t="s">
        <v>6097</v>
      </c>
      <c r="B2619" s="14" t="s">
        <v>6098</v>
      </c>
      <c r="C2619" s="14" t="s">
        <v>6099</v>
      </c>
      <c r="D2619" s="14" t="s">
        <v>1517</v>
      </c>
      <c r="E2619" s="15"/>
      <c r="F2619" s="14" t="s">
        <v>1510</v>
      </c>
      <c r="G2619" s="15"/>
      <c r="H2619" s="14" t="s">
        <v>1510</v>
      </c>
      <c r="I2619" s="14" t="s">
        <v>1262</v>
      </c>
      <c r="J2619" s="14" t="s">
        <v>1262</v>
      </c>
      <c r="K2619" s="14"/>
      <c r="L2619" s="14" t="s">
        <v>6096</v>
      </c>
      <c r="M2619" s="14" t="s">
        <v>1324</v>
      </c>
      <c r="N2619" s="14" t="s">
        <v>1219</v>
      </c>
      <c r="O2619" s="14" t="s">
        <v>1220</v>
      </c>
    </row>
    <row r="2620" spans="1:15" x14ac:dyDescent="0.25">
      <c r="A2620" s="14">
        <v>292</v>
      </c>
      <c r="B2620" s="14" t="s">
        <v>329</v>
      </c>
      <c r="C2620" s="14" t="s">
        <v>6100</v>
      </c>
      <c r="D2620" s="14" t="s">
        <v>5826</v>
      </c>
      <c r="E2620" s="16">
        <v>60</v>
      </c>
      <c r="F2620" s="14" t="s">
        <v>1510</v>
      </c>
      <c r="G2620" s="16">
        <v>600</v>
      </c>
      <c r="H2620" s="14" t="s">
        <v>1510</v>
      </c>
      <c r="I2620" s="14" t="s">
        <v>1256</v>
      </c>
      <c r="J2620" s="14" t="s">
        <v>1242</v>
      </c>
      <c r="K2620" s="14" t="s">
        <v>1257</v>
      </c>
      <c r="L2620" s="14" t="s">
        <v>6037</v>
      </c>
      <c r="M2620" s="14" t="s">
        <v>1324</v>
      </c>
      <c r="N2620" s="14" t="s">
        <v>1237</v>
      </c>
      <c r="O2620" s="14" t="s">
        <v>1220</v>
      </c>
    </row>
    <row r="2621" spans="1:15" x14ac:dyDescent="0.25">
      <c r="A2621" s="14">
        <v>472</v>
      </c>
      <c r="B2621" s="14" t="s">
        <v>333</v>
      </c>
      <c r="C2621" s="14" t="s">
        <v>6101</v>
      </c>
      <c r="D2621" s="14" t="s">
        <v>5826</v>
      </c>
      <c r="E2621" s="16">
        <v>50</v>
      </c>
      <c r="F2621" s="14" t="s">
        <v>1510</v>
      </c>
      <c r="G2621" s="16">
        <v>500</v>
      </c>
      <c r="H2621" s="14" t="s">
        <v>1510</v>
      </c>
      <c r="I2621" s="14" t="s">
        <v>1256</v>
      </c>
      <c r="J2621" s="14" t="s">
        <v>1296</v>
      </c>
      <c r="K2621" s="14" t="s">
        <v>1257</v>
      </c>
      <c r="L2621" s="14" t="s">
        <v>6043</v>
      </c>
      <c r="M2621" s="14" t="s">
        <v>1324</v>
      </c>
      <c r="N2621" s="14" t="s">
        <v>1237</v>
      </c>
      <c r="O2621" s="14" t="s">
        <v>1220</v>
      </c>
    </row>
    <row r="2622" spans="1:15" x14ac:dyDescent="0.25">
      <c r="A2622" s="14">
        <v>295</v>
      </c>
      <c r="B2622" s="14" t="s">
        <v>6102</v>
      </c>
      <c r="C2622" s="14" t="s">
        <v>6103</v>
      </c>
      <c r="D2622" s="14" t="s">
        <v>1349</v>
      </c>
      <c r="E2622" s="15"/>
      <c r="F2622" s="14"/>
      <c r="G2622" s="15"/>
      <c r="H2622" s="14" t="s">
        <v>1510</v>
      </c>
      <c r="I2622" s="14" t="s">
        <v>1360</v>
      </c>
      <c r="J2622" s="14" t="s">
        <v>1360</v>
      </c>
      <c r="K2622" s="14"/>
      <c r="L2622" s="14"/>
      <c r="M2622" s="14" t="s">
        <v>1324</v>
      </c>
      <c r="N2622" s="14" t="s">
        <v>1219</v>
      </c>
      <c r="O2622" s="14" t="s">
        <v>1220</v>
      </c>
    </row>
    <row r="2623" spans="1:15" x14ac:dyDescent="0.25">
      <c r="A2623" s="14">
        <v>474</v>
      </c>
      <c r="B2623" s="14" t="s">
        <v>6104</v>
      </c>
      <c r="C2623" s="14" t="s">
        <v>6105</v>
      </c>
      <c r="D2623" s="14" t="s">
        <v>5826</v>
      </c>
      <c r="E2623" s="15"/>
      <c r="F2623" s="14" t="s">
        <v>1350</v>
      </c>
      <c r="G2623" s="15"/>
      <c r="H2623" s="14" t="s">
        <v>1510</v>
      </c>
      <c r="I2623" s="14" t="s">
        <v>1360</v>
      </c>
      <c r="J2623" s="14" t="s">
        <v>1360</v>
      </c>
      <c r="K2623" s="14" t="s">
        <v>1257</v>
      </c>
      <c r="L2623" s="14" t="s">
        <v>6043</v>
      </c>
      <c r="M2623" s="14" t="s">
        <v>1324</v>
      </c>
      <c r="N2623" s="14" t="s">
        <v>1219</v>
      </c>
      <c r="O2623" s="14" t="s">
        <v>1220</v>
      </c>
    </row>
    <row r="2624" spans="1:15" x14ac:dyDescent="0.25">
      <c r="A2624" s="14">
        <v>186</v>
      </c>
      <c r="B2624" s="14" t="s">
        <v>6106</v>
      </c>
      <c r="C2624" s="14" t="s">
        <v>6107</v>
      </c>
      <c r="D2624" s="14" t="s">
        <v>1349</v>
      </c>
      <c r="E2624" s="15"/>
      <c r="F2624" s="14"/>
      <c r="G2624" s="15"/>
      <c r="H2624" s="14" t="s">
        <v>1510</v>
      </c>
      <c r="I2624" s="14" t="s">
        <v>1360</v>
      </c>
      <c r="J2624" s="14" t="s">
        <v>1360</v>
      </c>
      <c r="K2624" s="14"/>
      <c r="L2624" s="14"/>
      <c r="M2624" s="14" t="s">
        <v>1324</v>
      </c>
      <c r="N2624" s="14" t="s">
        <v>1219</v>
      </c>
      <c r="O2624" s="14" t="s">
        <v>1220</v>
      </c>
    </row>
    <row r="2625" spans="1:15" x14ac:dyDescent="0.25">
      <c r="A2625" s="14">
        <v>284</v>
      </c>
      <c r="B2625" s="14" t="s">
        <v>6108</v>
      </c>
      <c r="C2625" s="14" t="s">
        <v>6109</v>
      </c>
      <c r="D2625" s="14" t="s">
        <v>5826</v>
      </c>
      <c r="E2625" s="15"/>
      <c r="F2625" s="14" t="s">
        <v>1350</v>
      </c>
      <c r="G2625" s="15"/>
      <c r="H2625" s="14" t="s">
        <v>1510</v>
      </c>
      <c r="I2625" s="14" t="s">
        <v>1351</v>
      </c>
      <c r="J2625" s="14" t="s">
        <v>1385</v>
      </c>
      <c r="K2625" s="14" t="s">
        <v>1257</v>
      </c>
      <c r="L2625" s="14" t="s">
        <v>6043</v>
      </c>
      <c r="M2625" s="14" t="s">
        <v>1324</v>
      </c>
      <c r="N2625" s="14" t="s">
        <v>1219</v>
      </c>
      <c r="O2625" s="14" t="s">
        <v>1220</v>
      </c>
    </row>
    <row r="2626" spans="1:15" x14ac:dyDescent="0.25">
      <c r="A2626" s="14">
        <v>195</v>
      </c>
      <c r="B2626" s="14" t="s">
        <v>6110</v>
      </c>
      <c r="C2626" s="14" t="s">
        <v>6111</v>
      </c>
      <c r="D2626" s="14" t="s">
        <v>5826</v>
      </c>
      <c r="E2626" s="15"/>
      <c r="F2626" s="14" t="s">
        <v>1350</v>
      </c>
      <c r="G2626" s="15"/>
      <c r="H2626" s="14" t="s">
        <v>1510</v>
      </c>
      <c r="I2626" s="14" t="s">
        <v>1351</v>
      </c>
      <c r="J2626" s="14" t="s">
        <v>1360</v>
      </c>
      <c r="K2626" s="14" t="s">
        <v>1257</v>
      </c>
      <c r="L2626" s="14" t="s">
        <v>6043</v>
      </c>
      <c r="M2626" s="14" t="s">
        <v>1324</v>
      </c>
      <c r="N2626" s="14" t="s">
        <v>1219</v>
      </c>
      <c r="O2626" s="14" t="s">
        <v>1220</v>
      </c>
    </row>
    <row r="2627" spans="1:15" x14ac:dyDescent="0.25">
      <c r="A2627" s="14">
        <v>296</v>
      </c>
      <c r="B2627" s="14" t="s">
        <v>6112</v>
      </c>
      <c r="C2627" s="14" t="s">
        <v>6113</v>
      </c>
      <c r="D2627" s="14" t="s">
        <v>1349</v>
      </c>
      <c r="E2627" s="15"/>
      <c r="F2627" s="14"/>
      <c r="G2627" s="15"/>
      <c r="H2627" s="14" t="s">
        <v>1510</v>
      </c>
      <c r="I2627" s="14" t="s">
        <v>1360</v>
      </c>
      <c r="J2627" s="14" t="s">
        <v>1360</v>
      </c>
      <c r="K2627" s="14"/>
      <c r="L2627" s="14"/>
      <c r="M2627" s="14" t="s">
        <v>1324</v>
      </c>
      <c r="N2627" s="14" t="s">
        <v>1219</v>
      </c>
      <c r="O2627" s="14" t="s">
        <v>1220</v>
      </c>
    </row>
    <row r="2628" spans="1:15" x14ac:dyDescent="0.25">
      <c r="A2628" s="14">
        <v>4758</v>
      </c>
      <c r="B2628" s="14" t="s">
        <v>6114</v>
      </c>
      <c r="C2628" s="14" t="s">
        <v>6114</v>
      </c>
      <c r="D2628" s="14" t="s">
        <v>1349</v>
      </c>
      <c r="E2628" s="15"/>
      <c r="F2628" s="14"/>
      <c r="G2628" s="15"/>
      <c r="H2628" s="14" t="s">
        <v>1255</v>
      </c>
      <c r="I2628" s="14" t="s">
        <v>1360</v>
      </c>
      <c r="J2628" s="14" t="s">
        <v>1360</v>
      </c>
      <c r="K2628" s="14"/>
      <c r="L2628" s="14"/>
      <c r="M2628" s="14" t="s">
        <v>1259</v>
      </c>
      <c r="N2628" s="14" t="s">
        <v>1219</v>
      </c>
      <c r="O2628" s="14" t="s">
        <v>1220</v>
      </c>
    </row>
    <row r="2629" spans="1:15" x14ac:dyDescent="0.25">
      <c r="A2629" s="14">
        <v>160</v>
      </c>
      <c r="B2629" s="14" t="s">
        <v>324</v>
      </c>
      <c r="C2629" s="14" t="s">
        <v>6115</v>
      </c>
      <c r="D2629" s="14" t="s">
        <v>5826</v>
      </c>
      <c r="E2629" s="16">
        <v>80</v>
      </c>
      <c r="F2629" s="14" t="s">
        <v>1510</v>
      </c>
      <c r="G2629" s="16">
        <v>800</v>
      </c>
      <c r="H2629" s="14" t="s">
        <v>1510</v>
      </c>
      <c r="I2629" s="14" t="s">
        <v>1256</v>
      </c>
      <c r="J2629" s="14" t="s">
        <v>1233</v>
      </c>
      <c r="K2629" s="14" t="s">
        <v>1257</v>
      </c>
      <c r="L2629" s="14" t="s">
        <v>6116</v>
      </c>
      <c r="M2629" s="14" t="s">
        <v>1324</v>
      </c>
      <c r="N2629" s="14" t="s">
        <v>1237</v>
      </c>
      <c r="O2629" s="14" t="s">
        <v>1220</v>
      </c>
    </row>
    <row r="2630" spans="1:15" x14ac:dyDescent="0.25">
      <c r="A2630" s="14" t="s">
        <v>6117</v>
      </c>
      <c r="B2630" s="14" t="s">
        <v>6118</v>
      </c>
      <c r="C2630" s="14" t="s">
        <v>6119</v>
      </c>
      <c r="D2630" s="14" t="s">
        <v>1517</v>
      </c>
      <c r="E2630" s="15"/>
      <c r="F2630" s="14" t="s">
        <v>1510</v>
      </c>
      <c r="G2630" s="15"/>
      <c r="H2630" s="14" t="s">
        <v>1510</v>
      </c>
      <c r="I2630" s="14" t="s">
        <v>1262</v>
      </c>
      <c r="J2630" s="14" t="s">
        <v>1262</v>
      </c>
      <c r="K2630" s="14"/>
      <c r="L2630" s="14" t="s">
        <v>6116</v>
      </c>
      <c r="M2630" s="14" t="s">
        <v>1324</v>
      </c>
      <c r="N2630" s="14" t="s">
        <v>1219</v>
      </c>
      <c r="O2630" s="14" t="s">
        <v>1220</v>
      </c>
    </row>
    <row r="2631" spans="1:15" x14ac:dyDescent="0.25">
      <c r="A2631" s="14">
        <v>465</v>
      </c>
      <c r="B2631" s="14" t="s">
        <v>325</v>
      </c>
      <c r="C2631" s="14" t="s">
        <v>6120</v>
      </c>
      <c r="D2631" s="14" t="s">
        <v>5826</v>
      </c>
      <c r="E2631" s="16">
        <v>50</v>
      </c>
      <c r="F2631" s="14" t="s">
        <v>1510</v>
      </c>
      <c r="G2631" s="16">
        <v>200</v>
      </c>
      <c r="H2631" s="14" t="s">
        <v>1510</v>
      </c>
      <c r="I2631" s="14" t="s">
        <v>1256</v>
      </c>
      <c r="J2631" s="14" t="s">
        <v>1296</v>
      </c>
      <c r="K2631" s="14" t="s">
        <v>1257</v>
      </c>
      <c r="L2631" s="14" t="s">
        <v>6028</v>
      </c>
      <c r="M2631" s="14" t="s">
        <v>1324</v>
      </c>
      <c r="N2631" s="14" t="s">
        <v>1237</v>
      </c>
      <c r="O2631" s="14" t="s">
        <v>1220</v>
      </c>
    </row>
    <row r="2632" spans="1:15" x14ac:dyDescent="0.25">
      <c r="A2632" s="14">
        <v>307</v>
      </c>
      <c r="B2632" s="14" t="s">
        <v>330</v>
      </c>
      <c r="C2632" s="14" t="s">
        <v>6121</v>
      </c>
      <c r="D2632" s="14" t="s">
        <v>5826</v>
      </c>
      <c r="E2632" s="16">
        <v>50</v>
      </c>
      <c r="F2632" s="14" t="s">
        <v>1510</v>
      </c>
      <c r="G2632" s="16">
        <v>500</v>
      </c>
      <c r="H2632" s="14" t="s">
        <v>1510</v>
      </c>
      <c r="I2632" s="14" t="s">
        <v>1256</v>
      </c>
      <c r="J2632" s="14" t="s">
        <v>1242</v>
      </c>
      <c r="K2632" s="14" t="s">
        <v>1257</v>
      </c>
      <c r="L2632" s="14" t="s">
        <v>6122</v>
      </c>
      <c r="M2632" s="14" t="s">
        <v>1324</v>
      </c>
      <c r="N2632" s="14" t="s">
        <v>1237</v>
      </c>
      <c r="O2632" s="14" t="s">
        <v>1220</v>
      </c>
    </row>
    <row r="2633" spans="1:15" x14ac:dyDescent="0.25">
      <c r="A2633" s="14" t="s">
        <v>6123</v>
      </c>
      <c r="B2633" s="14" t="s">
        <v>6124</v>
      </c>
      <c r="C2633" s="14" t="s">
        <v>6125</v>
      </c>
      <c r="D2633" s="14" t="s">
        <v>5826</v>
      </c>
      <c r="E2633" s="15"/>
      <c r="F2633" s="14" t="s">
        <v>1350</v>
      </c>
      <c r="G2633" s="15"/>
      <c r="H2633" s="14" t="s">
        <v>1510</v>
      </c>
      <c r="I2633" s="14" t="s">
        <v>1262</v>
      </c>
      <c r="J2633" s="14" t="s">
        <v>1262</v>
      </c>
      <c r="K2633" s="14" t="s">
        <v>1257</v>
      </c>
      <c r="L2633" s="14" t="s">
        <v>6122</v>
      </c>
      <c r="M2633" s="14" t="s">
        <v>1324</v>
      </c>
      <c r="N2633" s="14" t="s">
        <v>1219</v>
      </c>
      <c r="O2633" s="14" t="s">
        <v>1220</v>
      </c>
    </row>
    <row r="2634" spans="1:15" x14ac:dyDescent="0.25">
      <c r="A2634" s="14">
        <v>171</v>
      </c>
      <c r="B2634" s="14" t="s">
        <v>331</v>
      </c>
      <c r="C2634" s="14" t="s">
        <v>6126</v>
      </c>
      <c r="D2634" s="14" t="s">
        <v>5826</v>
      </c>
      <c r="E2634" s="16">
        <v>50</v>
      </c>
      <c r="F2634" s="14" t="s">
        <v>1510</v>
      </c>
      <c r="G2634" s="16">
        <v>500</v>
      </c>
      <c r="H2634" s="14" t="s">
        <v>1510</v>
      </c>
      <c r="I2634" s="14" t="s">
        <v>1256</v>
      </c>
      <c r="J2634" s="14" t="s">
        <v>1233</v>
      </c>
      <c r="K2634" s="14" t="s">
        <v>1257</v>
      </c>
      <c r="L2634" s="14" t="s">
        <v>6127</v>
      </c>
      <c r="M2634" s="14" t="s">
        <v>1324</v>
      </c>
      <c r="N2634" s="14" t="s">
        <v>1237</v>
      </c>
      <c r="O2634" s="14" t="s">
        <v>1220</v>
      </c>
    </row>
    <row r="2635" spans="1:15" x14ac:dyDescent="0.25">
      <c r="A2635" s="14" t="s">
        <v>6128</v>
      </c>
      <c r="B2635" s="14" t="s">
        <v>6129</v>
      </c>
      <c r="C2635" s="14" t="s">
        <v>6130</v>
      </c>
      <c r="D2635" s="14" t="s">
        <v>4352</v>
      </c>
      <c r="E2635" s="15"/>
      <c r="F2635" s="14" t="s">
        <v>1510</v>
      </c>
      <c r="G2635" s="15"/>
      <c r="H2635" s="14" t="s">
        <v>1510</v>
      </c>
      <c r="I2635" s="14" t="s">
        <v>1262</v>
      </c>
      <c r="J2635" s="14" t="s">
        <v>1262</v>
      </c>
      <c r="K2635" s="14"/>
      <c r="L2635" s="14" t="s">
        <v>6127</v>
      </c>
      <c r="M2635" s="14" t="s">
        <v>1324</v>
      </c>
      <c r="N2635" s="14" t="s">
        <v>1219</v>
      </c>
      <c r="O2635" s="14" t="s">
        <v>1220</v>
      </c>
    </row>
    <row r="2636" spans="1:15" x14ac:dyDescent="0.25">
      <c r="A2636" s="14">
        <v>180</v>
      </c>
      <c r="B2636" s="14" t="s">
        <v>6131</v>
      </c>
      <c r="C2636" s="14" t="s">
        <v>6132</v>
      </c>
      <c r="D2636" s="14" t="s">
        <v>1349</v>
      </c>
      <c r="E2636" s="15"/>
      <c r="F2636" s="14"/>
      <c r="G2636" s="15"/>
      <c r="H2636" s="14" t="s">
        <v>1510</v>
      </c>
      <c r="I2636" s="14" t="s">
        <v>1360</v>
      </c>
      <c r="J2636" s="14" t="s">
        <v>1360</v>
      </c>
      <c r="K2636" s="14"/>
      <c r="L2636" s="14"/>
      <c r="M2636" s="14" t="s">
        <v>1324</v>
      </c>
      <c r="N2636" s="14" t="s">
        <v>1219</v>
      </c>
      <c r="O2636" s="14" t="s">
        <v>1220</v>
      </c>
    </row>
    <row r="2637" spans="1:15" x14ac:dyDescent="0.25">
      <c r="A2637" s="14">
        <v>279</v>
      </c>
      <c r="B2637" s="14" t="s">
        <v>6133</v>
      </c>
      <c r="C2637" s="14" t="s">
        <v>6134</v>
      </c>
      <c r="D2637" s="14" t="s">
        <v>1349</v>
      </c>
      <c r="E2637" s="15"/>
      <c r="F2637" s="14"/>
      <c r="G2637" s="15"/>
      <c r="H2637" s="14" t="s">
        <v>1510</v>
      </c>
      <c r="I2637" s="14" t="s">
        <v>1360</v>
      </c>
      <c r="J2637" s="14" t="s">
        <v>1360</v>
      </c>
      <c r="K2637" s="14"/>
      <c r="L2637" s="14"/>
      <c r="M2637" s="14" t="s">
        <v>1324</v>
      </c>
      <c r="N2637" s="14" t="s">
        <v>1219</v>
      </c>
      <c r="O2637" s="14" t="s">
        <v>1220</v>
      </c>
    </row>
    <row r="2638" spans="1:15" x14ac:dyDescent="0.25">
      <c r="A2638" s="14">
        <v>278</v>
      </c>
      <c r="B2638" s="14" t="s">
        <v>6135</v>
      </c>
      <c r="C2638" s="14" t="s">
        <v>6136</v>
      </c>
      <c r="D2638" s="14" t="s">
        <v>1349</v>
      </c>
      <c r="E2638" s="15"/>
      <c r="F2638" s="14"/>
      <c r="G2638" s="15"/>
      <c r="H2638" s="14" t="s">
        <v>1510</v>
      </c>
      <c r="I2638" s="14" t="s">
        <v>1360</v>
      </c>
      <c r="J2638" s="14" t="s">
        <v>1360</v>
      </c>
      <c r="K2638" s="14"/>
      <c r="L2638" s="14"/>
      <c r="M2638" s="14" t="s">
        <v>1324</v>
      </c>
      <c r="N2638" s="14" t="s">
        <v>1219</v>
      </c>
      <c r="O2638" s="14" t="s">
        <v>1220</v>
      </c>
    </row>
    <row r="2639" spans="1:15" x14ac:dyDescent="0.25">
      <c r="A2639" s="14">
        <v>192</v>
      </c>
      <c r="B2639" s="14" t="s">
        <v>6137</v>
      </c>
      <c r="C2639" s="14" t="s">
        <v>6138</v>
      </c>
      <c r="D2639" s="14" t="s">
        <v>5826</v>
      </c>
      <c r="E2639" s="15"/>
      <c r="F2639" s="14" t="s">
        <v>1350</v>
      </c>
      <c r="G2639" s="15"/>
      <c r="H2639" s="14" t="s">
        <v>1510</v>
      </c>
      <c r="I2639" s="14" t="s">
        <v>1351</v>
      </c>
      <c r="J2639" s="14" t="s">
        <v>1385</v>
      </c>
      <c r="K2639" s="14" t="s">
        <v>1257</v>
      </c>
      <c r="L2639" s="14" t="s">
        <v>6043</v>
      </c>
      <c r="M2639" s="14" t="s">
        <v>1324</v>
      </c>
      <c r="N2639" s="14" t="s">
        <v>1219</v>
      </c>
      <c r="O2639" s="14" t="s">
        <v>1220</v>
      </c>
    </row>
    <row r="2640" spans="1:15" x14ac:dyDescent="0.25">
      <c r="A2640" s="14">
        <v>193</v>
      </c>
      <c r="B2640" s="14" t="s">
        <v>6139</v>
      </c>
      <c r="C2640" s="14" t="s">
        <v>6140</v>
      </c>
      <c r="D2640" s="14" t="s">
        <v>5826</v>
      </c>
      <c r="E2640" s="15"/>
      <c r="F2640" s="14" t="s">
        <v>1350</v>
      </c>
      <c r="G2640" s="15"/>
      <c r="H2640" s="14" t="s">
        <v>1510</v>
      </c>
      <c r="I2640" s="14" t="s">
        <v>1360</v>
      </c>
      <c r="J2640" s="14" t="s">
        <v>1360</v>
      </c>
      <c r="K2640" s="14" t="s">
        <v>1257</v>
      </c>
      <c r="L2640" s="14" t="s">
        <v>6043</v>
      </c>
      <c r="M2640" s="14" t="s">
        <v>1324</v>
      </c>
      <c r="N2640" s="14" t="s">
        <v>1219</v>
      </c>
      <c r="O2640" s="14" t="s">
        <v>1220</v>
      </c>
    </row>
    <row r="2641" spans="1:15" x14ac:dyDescent="0.25">
      <c r="A2641" s="14">
        <v>590</v>
      </c>
      <c r="B2641" s="14" t="s">
        <v>6141</v>
      </c>
      <c r="C2641" s="14" t="s">
        <v>6142</v>
      </c>
      <c r="D2641" s="14" t="s">
        <v>5826</v>
      </c>
      <c r="E2641" s="15"/>
      <c r="F2641" s="14" t="s">
        <v>1350</v>
      </c>
      <c r="G2641" s="15"/>
      <c r="H2641" s="14" t="s">
        <v>1510</v>
      </c>
      <c r="I2641" s="14" t="s">
        <v>1351</v>
      </c>
      <c r="J2641" s="14" t="s">
        <v>1385</v>
      </c>
      <c r="K2641" s="14" t="s">
        <v>1257</v>
      </c>
      <c r="L2641" s="14" t="s">
        <v>6043</v>
      </c>
      <c r="M2641" s="14" t="s">
        <v>1324</v>
      </c>
      <c r="N2641" s="14" t="s">
        <v>1219</v>
      </c>
      <c r="O2641" s="14" t="s">
        <v>1220</v>
      </c>
    </row>
    <row r="2642" spans="1:15" x14ac:dyDescent="0.25">
      <c r="A2642" s="14">
        <v>591</v>
      </c>
      <c r="B2642" s="14" t="s">
        <v>6143</v>
      </c>
      <c r="C2642" s="14" t="s">
        <v>6144</v>
      </c>
      <c r="D2642" s="14" t="s">
        <v>5826</v>
      </c>
      <c r="E2642" s="15"/>
      <c r="F2642" s="14" t="s">
        <v>1350</v>
      </c>
      <c r="G2642" s="15"/>
      <c r="H2642" s="14" t="s">
        <v>1510</v>
      </c>
      <c r="I2642" s="14" t="s">
        <v>1360</v>
      </c>
      <c r="J2642" s="14" t="s">
        <v>1360</v>
      </c>
      <c r="K2642" s="14" t="s">
        <v>1257</v>
      </c>
      <c r="L2642" s="14" t="s">
        <v>6043</v>
      </c>
      <c r="M2642" s="14" t="s">
        <v>1324</v>
      </c>
      <c r="N2642" s="14" t="s">
        <v>1237</v>
      </c>
      <c r="O2642" s="14" t="s">
        <v>1220</v>
      </c>
    </row>
    <row r="2643" spans="1:15" x14ac:dyDescent="0.25">
      <c r="A2643" s="14" t="s">
        <v>6145</v>
      </c>
      <c r="B2643" s="14" t="s">
        <v>6146</v>
      </c>
      <c r="C2643" s="14" t="s">
        <v>6146</v>
      </c>
      <c r="D2643" s="14" t="s">
        <v>1349</v>
      </c>
      <c r="E2643" s="15"/>
      <c r="F2643" s="14"/>
      <c r="G2643" s="15"/>
      <c r="H2643" s="14" t="s">
        <v>1380</v>
      </c>
      <c r="I2643" s="14" t="s">
        <v>1360</v>
      </c>
      <c r="J2643" s="14" t="s">
        <v>1360</v>
      </c>
      <c r="K2643" s="14"/>
      <c r="L2643" s="14"/>
      <c r="M2643" s="14" t="s">
        <v>1324</v>
      </c>
      <c r="N2643" s="14" t="s">
        <v>1219</v>
      </c>
      <c r="O2643" s="14" t="s">
        <v>1220</v>
      </c>
    </row>
    <row r="2644" spans="1:15" x14ac:dyDescent="0.25">
      <c r="A2644" s="14" t="s">
        <v>6147</v>
      </c>
      <c r="B2644" s="14" t="s">
        <v>6148</v>
      </c>
      <c r="C2644" s="14" t="s">
        <v>6148</v>
      </c>
      <c r="D2644" s="14" t="s">
        <v>1349</v>
      </c>
      <c r="E2644" s="15"/>
      <c r="F2644" s="14" t="s">
        <v>1350</v>
      </c>
      <c r="G2644" s="15"/>
      <c r="H2644" s="14" t="s">
        <v>1380</v>
      </c>
      <c r="I2644" s="14" t="s">
        <v>1360</v>
      </c>
      <c r="J2644" s="14" t="s">
        <v>1360</v>
      </c>
      <c r="K2644" s="14" t="s">
        <v>1257</v>
      </c>
      <c r="L2644" s="14" t="s">
        <v>6043</v>
      </c>
      <c r="M2644" s="14" t="s">
        <v>1324</v>
      </c>
      <c r="N2644" s="14" t="s">
        <v>1219</v>
      </c>
      <c r="O2644" s="14" t="s">
        <v>1220</v>
      </c>
    </row>
    <row r="2645" spans="1:15" x14ac:dyDescent="0.25">
      <c r="A2645" s="14" t="s">
        <v>6149</v>
      </c>
      <c r="B2645" s="14" t="s">
        <v>6150</v>
      </c>
      <c r="C2645" s="14" t="s">
        <v>6150</v>
      </c>
      <c r="D2645" s="14" t="s">
        <v>1349</v>
      </c>
      <c r="E2645" s="15"/>
      <c r="F2645" s="14"/>
      <c r="G2645" s="15"/>
      <c r="H2645" s="14" t="s">
        <v>1380</v>
      </c>
      <c r="I2645" s="14" t="s">
        <v>1360</v>
      </c>
      <c r="J2645" s="14" t="s">
        <v>1360</v>
      </c>
      <c r="K2645" s="14"/>
      <c r="L2645" s="14"/>
      <c r="M2645" s="14" t="s">
        <v>1324</v>
      </c>
      <c r="N2645" s="14" t="s">
        <v>1219</v>
      </c>
      <c r="O2645" s="14" t="s">
        <v>1220</v>
      </c>
    </row>
    <row r="2646" spans="1:15" x14ac:dyDescent="0.25">
      <c r="A2646" s="14" t="s">
        <v>6151</v>
      </c>
      <c r="B2646" s="14" t="s">
        <v>6152</v>
      </c>
      <c r="C2646" s="14" t="s">
        <v>6152</v>
      </c>
      <c r="D2646" s="14" t="s">
        <v>1349</v>
      </c>
      <c r="E2646" s="15"/>
      <c r="F2646" s="14" t="s">
        <v>1350</v>
      </c>
      <c r="G2646" s="15"/>
      <c r="H2646" s="14" t="s">
        <v>1380</v>
      </c>
      <c r="I2646" s="14" t="s">
        <v>1360</v>
      </c>
      <c r="J2646" s="14" t="s">
        <v>1360</v>
      </c>
      <c r="K2646" s="14" t="s">
        <v>1257</v>
      </c>
      <c r="L2646" s="14" t="s">
        <v>6043</v>
      </c>
      <c r="M2646" s="14" t="s">
        <v>1324</v>
      </c>
      <c r="N2646" s="14" t="s">
        <v>1219</v>
      </c>
      <c r="O2646" s="14" t="s">
        <v>1220</v>
      </c>
    </row>
    <row r="2647" spans="1:15" x14ac:dyDescent="0.25">
      <c r="A2647" s="14" t="s">
        <v>6153</v>
      </c>
      <c r="B2647" s="14" t="s">
        <v>6154</v>
      </c>
      <c r="C2647" s="14" t="s">
        <v>6154</v>
      </c>
      <c r="D2647" s="14" t="s">
        <v>1349</v>
      </c>
      <c r="E2647" s="15"/>
      <c r="F2647" s="14"/>
      <c r="G2647" s="15"/>
      <c r="H2647" s="14" t="s">
        <v>1380</v>
      </c>
      <c r="I2647" s="14" t="s">
        <v>1360</v>
      </c>
      <c r="J2647" s="14" t="s">
        <v>1360</v>
      </c>
      <c r="K2647" s="14"/>
      <c r="L2647" s="14"/>
      <c r="M2647" s="14" t="s">
        <v>1324</v>
      </c>
      <c r="N2647" s="14" t="s">
        <v>1219</v>
      </c>
      <c r="O2647" s="14" t="s">
        <v>1220</v>
      </c>
    </row>
    <row r="2648" spans="1:15" x14ac:dyDescent="0.25">
      <c r="A2648" s="14" t="s">
        <v>6155</v>
      </c>
      <c r="B2648" s="14" t="s">
        <v>6156</v>
      </c>
      <c r="C2648" s="14" t="s">
        <v>6156</v>
      </c>
      <c r="D2648" s="14" t="s">
        <v>1349</v>
      </c>
      <c r="E2648" s="15"/>
      <c r="F2648" s="14"/>
      <c r="G2648" s="15"/>
      <c r="H2648" s="14" t="s">
        <v>1380</v>
      </c>
      <c r="I2648" s="14" t="s">
        <v>1360</v>
      </c>
      <c r="J2648" s="14" t="s">
        <v>1360</v>
      </c>
      <c r="K2648" s="14"/>
      <c r="L2648" s="14"/>
      <c r="M2648" s="14" t="s">
        <v>1324</v>
      </c>
      <c r="N2648" s="14" t="s">
        <v>1219</v>
      </c>
      <c r="O2648" s="14" t="s">
        <v>1220</v>
      </c>
    </row>
    <row r="2649" spans="1:15" x14ac:dyDescent="0.25">
      <c r="A2649" s="14">
        <v>1033</v>
      </c>
      <c r="B2649" s="14" t="s">
        <v>6157</v>
      </c>
      <c r="C2649" s="14" t="s">
        <v>6157</v>
      </c>
      <c r="D2649" s="14" t="s">
        <v>6158</v>
      </c>
      <c r="E2649" s="16">
        <v>140</v>
      </c>
      <c r="F2649" s="14" t="s">
        <v>1321</v>
      </c>
      <c r="G2649" s="16">
        <v>100</v>
      </c>
      <c r="H2649" s="14" t="s">
        <v>1578</v>
      </c>
      <c r="I2649" s="14"/>
      <c r="J2649" s="14" t="s">
        <v>1296</v>
      </c>
      <c r="K2649" s="14" t="s">
        <v>1579</v>
      </c>
      <c r="L2649" s="14" t="s">
        <v>6159</v>
      </c>
      <c r="M2649" s="14" t="s">
        <v>1324</v>
      </c>
      <c r="N2649" s="14" t="s">
        <v>1219</v>
      </c>
      <c r="O2649" s="14" t="s">
        <v>1220</v>
      </c>
    </row>
    <row r="2650" spans="1:15" x14ac:dyDescent="0.25">
      <c r="A2650" s="14">
        <v>1037</v>
      </c>
      <c r="B2650" s="14" t="s">
        <v>6160</v>
      </c>
      <c r="C2650" s="14" t="s">
        <v>6160</v>
      </c>
      <c r="D2650" s="14" t="s">
        <v>6158</v>
      </c>
      <c r="E2650" s="16">
        <v>140</v>
      </c>
      <c r="F2650" s="14" t="s">
        <v>1321</v>
      </c>
      <c r="G2650" s="16">
        <v>100</v>
      </c>
      <c r="H2650" s="14" t="s">
        <v>1578</v>
      </c>
      <c r="I2650" s="14"/>
      <c r="J2650" s="14" t="s">
        <v>1296</v>
      </c>
      <c r="K2650" s="14" t="s">
        <v>1579</v>
      </c>
      <c r="L2650" s="14" t="s">
        <v>6161</v>
      </c>
      <c r="M2650" s="14" t="s">
        <v>1324</v>
      </c>
      <c r="N2650" s="14" t="s">
        <v>1219</v>
      </c>
      <c r="O2650" s="14" t="s">
        <v>1220</v>
      </c>
    </row>
    <row r="2651" spans="1:15" x14ac:dyDescent="0.25">
      <c r="A2651" s="14">
        <v>1029</v>
      </c>
      <c r="B2651" s="14" t="s">
        <v>6162</v>
      </c>
      <c r="C2651" s="14" t="s">
        <v>6162</v>
      </c>
      <c r="D2651" s="14" t="s">
        <v>6158</v>
      </c>
      <c r="E2651" s="16">
        <v>140</v>
      </c>
      <c r="F2651" s="14" t="s">
        <v>1321</v>
      </c>
      <c r="G2651" s="16">
        <v>100</v>
      </c>
      <c r="H2651" s="14" t="s">
        <v>1578</v>
      </c>
      <c r="I2651" s="14"/>
      <c r="J2651" s="14" t="s">
        <v>1296</v>
      </c>
      <c r="K2651" s="14" t="s">
        <v>1579</v>
      </c>
      <c r="L2651" s="14" t="s">
        <v>6163</v>
      </c>
      <c r="M2651" s="14" t="s">
        <v>1324</v>
      </c>
      <c r="N2651" s="14" t="s">
        <v>1219</v>
      </c>
      <c r="O2651" s="14" t="s">
        <v>1220</v>
      </c>
    </row>
    <row r="2652" spans="1:15" x14ac:dyDescent="0.25">
      <c r="A2652" s="14">
        <v>1031</v>
      </c>
      <c r="B2652" s="14" t="s">
        <v>6164</v>
      </c>
      <c r="C2652" s="14" t="s">
        <v>6164</v>
      </c>
      <c r="D2652" s="14" t="s">
        <v>6158</v>
      </c>
      <c r="E2652" s="16">
        <v>140</v>
      </c>
      <c r="F2652" s="14" t="s">
        <v>1321</v>
      </c>
      <c r="G2652" s="16">
        <v>100</v>
      </c>
      <c r="H2652" s="14" t="s">
        <v>1578</v>
      </c>
      <c r="I2652" s="14"/>
      <c r="J2652" s="14" t="s">
        <v>1296</v>
      </c>
      <c r="K2652" s="14" t="s">
        <v>1579</v>
      </c>
      <c r="L2652" s="14" t="s">
        <v>6165</v>
      </c>
      <c r="M2652" s="14" t="s">
        <v>1324</v>
      </c>
      <c r="N2652" s="14" t="s">
        <v>1219</v>
      </c>
      <c r="O2652" s="14" t="s">
        <v>1220</v>
      </c>
    </row>
    <row r="2653" spans="1:15" x14ac:dyDescent="0.25">
      <c r="A2653" s="14">
        <v>1035</v>
      </c>
      <c r="B2653" s="14" t="s">
        <v>6166</v>
      </c>
      <c r="C2653" s="14" t="s">
        <v>6166</v>
      </c>
      <c r="D2653" s="14" t="s">
        <v>6158</v>
      </c>
      <c r="E2653" s="16">
        <v>140</v>
      </c>
      <c r="F2653" s="14" t="s">
        <v>1321</v>
      </c>
      <c r="G2653" s="16">
        <v>100</v>
      </c>
      <c r="H2653" s="14" t="s">
        <v>1578</v>
      </c>
      <c r="I2653" s="14"/>
      <c r="J2653" s="14" t="s">
        <v>1296</v>
      </c>
      <c r="K2653" s="14" t="s">
        <v>1579</v>
      </c>
      <c r="L2653" s="14" t="s">
        <v>6167</v>
      </c>
      <c r="M2653" s="14" t="s">
        <v>1324</v>
      </c>
      <c r="N2653" s="14" t="s">
        <v>1219</v>
      </c>
      <c r="O2653" s="14" t="s">
        <v>1220</v>
      </c>
    </row>
    <row r="2654" spans="1:15" x14ac:dyDescent="0.25">
      <c r="A2654" s="14">
        <v>1039</v>
      </c>
      <c r="B2654" s="14" t="s">
        <v>6168</v>
      </c>
      <c r="C2654" s="14" t="s">
        <v>6168</v>
      </c>
      <c r="D2654" s="14" t="s">
        <v>6158</v>
      </c>
      <c r="E2654" s="16">
        <v>140</v>
      </c>
      <c r="F2654" s="14" t="s">
        <v>1321</v>
      </c>
      <c r="G2654" s="16">
        <v>100</v>
      </c>
      <c r="H2654" s="14" t="s">
        <v>1578</v>
      </c>
      <c r="I2654" s="14"/>
      <c r="J2654" s="14" t="s">
        <v>1296</v>
      </c>
      <c r="K2654" s="14" t="s">
        <v>1579</v>
      </c>
      <c r="L2654" s="14" t="s">
        <v>6169</v>
      </c>
      <c r="M2654" s="14" t="s">
        <v>1324</v>
      </c>
      <c r="N2654" s="14" t="s">
        <v>1219</v>
      </c>
      <c r="O2654" s="14" t="s">
        <v>1220</v>
      </c>
    </row>
    <row r="2655" spans="1:15" x14ac:dyDescent="0.25">
      <c r="A2655" s="14">
        <v>1036</v>
      </c>
      <c r="B2655" s="14" t="s">
        <v>6170</v>
      </c>
      <c r="C2655" s="14" t="s">
        <v>6170</v>
      </c>
      <c r="D2655" s="14" t="s">
        <v>6158</v>
      </c>
      <c r="E2655" s="16">
        <v>140</v>
      </c>
      <c r="F2655" s="14" t="s">
        <v>1321</v>
      </c>
      <c r="G2655" s="16">
        <v>100</v>
      </c>
      <c r="H2655" s="14" t="s">
        <v>1578</v>
      </c>
      <c r="I2655" s="14"/>
      <c r="J2655" s="14" t="s">
        <v>1296</v>
      </c>
      <c r="K2655" s="14" t="s">
        <v>1579</v>
      </c>
      <c r="L2655" s="14" t="s">
        <v>6171</v>
      </c>
      <c r="M2655" s="14" t="s">
        <v>1324</v>
      </c>
      <c r="N2655" s="14" t="s">
        <v>1219</v>
      </c>
      <c r="O2655" s="14" t="s">
        <v>1220</v>
      </c>
    </row>
    <row r="2656" spans="1:15" x14ac:dyDescent="0.25">
      <c r="A2656" s="14">
        <v>1040</v>
      </c>
      <c r="B2656" s="14" t="s">
        <v>6172</v>
      </c>
      <c r="C2656" s="14" t="s">
        <v>6172</v>
      </c>
      <c r="D2656" s="14" t="s">
        <v>6158</v>
      </c>
      <c r="E2656" s="16">
        <v>140</v>
      </c>
      <c r="F2656" s="14" t="s">
        <v>1321</v>
      </c>
      <c r="G2656" s="16">
        <v>100</v>
      </c>
      <c r="H2656" s="14" t="s">
        <v>1578</v>
      </c>
      <c r="I2656" s="14"/>
      <c r="J2656" s="14" t="s">
        <v>1296</v>
      </c>
      <c r="K2656" s="14" t="s">
        <v>1579</v>
      </c>
      <c r="L2656" s="14" t="s">
        <v>6173</v>
      </c>
      <c r="M2656" s="14" t="s">
        <v>1324</v>
      </c>
      <c r="N2656" s="14" t="s">
        <v>1219</v>
      </c>
      <c r="O2656" s="14" t="s">
        <v>1220</v>
      </c>
    </row>
    <row r="2657" spans="1:15" x14ac:dyDescent="0.25">
      <c r="A2657" s="14">
        <v>1032</v>
      </c>
      <c r="B2657" s="14" t="s">
        <v>6174</v>
      </c>
      <c r="C2657" s="14" t="s">
        <v>6174</v>
      </c>
      <c r="D2657" s="14" t="s">
        <v>6158</v>
      </c>
      <c r="E2657" s="16">
        <v>140</v>
      </c>
      <c r="F2657" s="14" t="s">
        <v>1321</v>
      </c>
      <c r="G2657" s="16">
        <v>100</v>
      </c>
      <c r="H2657" s="14" t="s">
        <v>1578</v>
      </c>
      <c r="I2657" s="14"/>
      <c r="J2657" s="14" t="s">
        <v>1296</v>
      </c>
      <c r="K2657" s="14" t="s">
        <v>1579</v>
      </c>
      <c r="L2657" s="14" t="s">
        <v>6175</v>
      </c>
      <c r="M2657" s="14" t="s">
        <v>1324</v>
      </c>
      <c r="N2657" s="14" t="s">
        <v>1219</v>
      </c>
      <c r="O2657" s="14" t="s">
        <v>1220</v>
      </c>
    </row>
    <row r="2658" spans="1:15" x14ac:dyDescent="0.25">
      <c r="A2658" s="14">
        <v>1030</v>
      </c>
      <c r="B2658" s="14" t="s">
        <v>6176</v>
      </c>
      <c r="C2658" s="14" t="s">
        <v>6176</v>
      </c>
      <c r="D2658" s="14" t="s">
        <v>6158</v>
      </c>
      <c r="E2658" s="16">
        <v>140</v>
      </c>
      <c r="F2658" s="14" t="s">
        <v>1321</v>
      </c>
      <c r="G2658" s="16">
        <v>100</v>
      </c>
      <c r="H2658" s="14" t="s">
        <v>1578</v>
      </c>
      <c r="I2658" s="14"/>
      <c r="J2658" s="14" t="s">
        <v>1296</v>
      </c>
      <c r="K2658" s="14" t="s">
        <v>1579</v>
      </c>
      <c r="L2658" s="14" t="s">
        <v>6177</v>
      </c>
      <c r="M2658" s="14" t="s">
        <v>1324</v>
      </c>
      <c r="N2658" s="14" t="s">
        <v>1219</v>
      </c>
      <c r="O2658" s="14" t="s">
        <v>1220</v>
      </c>
    </row>
    <row r="2659" spans="1:15" x14ac:dyDescent="0.25">
      <c r="A2659" s="14">
        <v>6004</v>
      </c>
      <c r="B2659" s="14" t="s">
        <v>6178</v>
      </c>
      <c r="C2659" s="14" t="s">
        <v>6178</v>
      </c>
      <c r="D2659" s="14" t="s">
        <v>3278</v>
      </c>
      <c r="E2659" s="16">
        <v>700</v>
      </c>
      <c r="F2659" s="14" t="s">
        <v>3365</v>
      </c>
      <c r="G2659" s="16">
        <v>700</v>
      </c>
      <c r="H2659" s="14" t="s">
        <v>1255</v>
      </c>
      <c r="I2659" s="14" t="s">
        <v>1217</v>
      </c>
      <c r="J2659" s="14"/>
      <c r="K2659" s="14"/>
      <c r="L2659" s="14" t="s">
        <v>6179</v>
      </c>
      <c r="M2659" s="14"/>
      <c r="N2659" s="14" t="s">
        <v>1219</v>
      </c>
      <c r="O2659" s="14" t="s">
        <v>1220</v>
      </c>
    </row>
    <row r="2660" spans="1:15" x14ac:dyDescent="0.25">
      <c r="A2660" s="14">
        <v>6013</v>
      </c>
      <c r="B2660" s="14" t="s">
        <v>6180</v>
      </c>
      <c r="C2660" s="14" t="s">
        <v>6180</v>
      </c>
      <c r="D2660" s="14" t="s">
        <v>1807</v>
      </c>
      <c r="E2660" s="15"/>
      <c r="F2660" s="14"/>
      <c r="G2660" s="15"/>
      <c r="H2660" s="14" t="s">
        <v>1255</v>
      </c>
      <c r="I2660" s="14" t="s">
        <v>1217</v>
      </c>
      <c r="J2660" s="14"/>
      <c r="K2660" s="14"/>
      <c r="L2660" s="14"/>
      <c r="M2660" s="14"/>
      <c r="N2660" s="14" t="s">
        <v>1219</v>
      </c>
      <c r="O2660" s="14" t="s">
        <v>1220</v>
      </c>
    </row>
    <row r="2661" spans="1:15" x14ac:dyDescent="0.25">
      <c r="A2661" s="14">
        <v>6031</v>
      </c>
      <c r="B2661" s="14" t="s">
        <v>6181</v>
      </c>
      <c r="C2661" s="14" t="s">
        <v>6181</v>
      </c>
      <c r="D2661" s="14" t="s">
        <v>1807</v>
      </c>
      <c r="E2661" s="15"/>
      <c r="F2661" s="14"/>
      <c r="G2661" s="15"/>
      <c r="H2661" s="14" t="s">
        <v>1255</v>
      </c>
      <c r="I2661" s="14" t="s">
        <v>1217</v>
      </c>
      <c r="J2661" s="14"/>
      <c r="K2661" s="14"/>
      <c r="L2661" s="14"/>
      <c r="M2661" s="14"/>
      <c r="N2661" s="14" t="s">
        <v>1219</v>
      </c>
      <c r="O2661" s="14" t="s">
        <v>1220</v>
      </c>
    </row>
    <row r="2662" spans="1:15" x14ac:dyDescent="0.25">
      <c r="A2662" s="14">
        <v>6033</v>
      </c>
      <c r="B2662" s="14" t="s">
        <v>6182</v>
      </c>
      <c r="C2662" s="14" t="s">
        <v>6182</v>
      </c>
      <c r="D2662" s="14" t="s">
        <v>1807</v>
      </c>
      <c r="E2662" s="15"/>
      <c r="F2662" s="14"/>
      <c r="G2662" s="15"/>
      <c r="H2662" s="14" t="s">
        <v>1255</v>
      </c>
      <c r="I2662" s="14" t="s">
        <v>1217</v>
      </c>
      <c r="J2662" s="14"/>
      <c r="K2662" s="14"/>
      <c r="L2662" s="14"/>
      <c r="M2662" s="14"/>
      <c r="N2662" s="14" t="s">
        <v>1219</v>
      </c>
      <c r="O2662" s="14" t="s">
        <v>1220</v>
      </c>
    </row>
    <row r="2663" spans="1:15" x14ac:dyDescent="0.25">
      <c r="A2663" s="14">
        <v>6089</v>
      </c>
      <c r="B2663" s="14" t="s">
        <v>6183</v>
      </c>
      <c r="C2663" s="14" t="s">
        <v>6183</v>
      </c>
      <c r="D2663" s="14" t="s">
        <v>1807</v>
      </c>
      <c r="E2663" s="15"/>
      <c r="F2663" s="14"/>
      <c r="G2663" s="15"/>
      <c r="H2663" s="14" t="s">
        <v>1255</v>
      </c>
      <c r="I2663" s="14" t="s">
        <v>1217</v>
      </c>
      <c r="J2663" s="14"/>
      <c r="K2663" s="14"/>
      <c r="L2663" s="14"/>
      <c r="M2663" s="14"/>
      <c r="N2663" s="14" t="s">
        <v>1219</v>
      </c>
      <c r="O2663" s="14" t="s">
        <v>1220</v>
      </c>
    </row>
    <row r="2664" spans="1:15" x14ac:dyDescent="0.25">
      <c r="A2664" s="14">
        <v>6090</v>
      </c>
      <c r="B2664" s="14" t="s">
        <v>6184</v>
      </c>
      <c r="C2664" s="14" t="s">
        <v>6184</v>
      </c>
      <c r="D2664" s="14" t="s">
        <v>1807</v>
      </c>
      <c r="E2664" s="15"/>
      <c r="F2664" s="14"/>
      <c r="G2664" s="15"/>
      <c r="H2664" s="14" t="s">
        <v>1255</v>
      </c>
      <c r="I2664" s="14" t="s">
        <v>1217</v>
      </c>
      <c r="J2664" s="14"/>
      <c r="K2664" s="14"/>
      <c r="L2664" s="14"/>
      <c r="M2664" s="14"/>
      <c r="N2664" s="14" t="s">
        <v>1219</v>
      </c>
      <c r="O2664" s="14" t="s">
        <v>1220</v>
      </c>
    </row>
    <row r="2665" spans="1:15" x14ac:dyDescent="0.25">
      <c r="A2665" s="14" t="s">
        <v>6185</v>
      </c>
      <c r="B2665" s="14" t="s">
        <v>6186</v>
      </c>
      <c r="C2665" s="14" t="s">
        <v>6186</v>
      </c>
      <c r="D2665" s="14" t="s">
        <v>1283</v>
      </c>
      <c r="E2665" s="15"/>
      <c r="F2665" s="14" t="s">
        <v>1742</v>
      </c>
      <c r="G2665" s="15"/>
      <c r="H2665" s="14" t="s">
        <v>1255</v>
      </c>
      <c r="I2665" s="14" t="s">
        <v>1217</v>
      </c>
      <c r="J2665" s="14" t="s">
        <v>1296</v>
      </c>
      <c r="K2665" s="14"/>
      <c r="L2665" s="14"/>
      <c r="M2665" s="14" t="s">
        <v>1259</v>
      </c>
      <c r="N2665" s="14" t="s">
        <v>1219</v>
      </c>
      <c r="O2665" s="14" t="s">
        <v>1220</v>
      </c>
    </row>
    <row r="2666" spans="1:15" x14ac:dyDescent="0.25">
      <c r="A2666" s="14" t="s">
        <v>6187</v>
      </c>
      <c r="B2666" s="14" t="s">
        <v>6188</v>
      </c>
      <c r="C2666" s="14" t="s">
        <v>6188</v>
      </c>
      <c r="D2666" s="14" t="s">
        <v>1283</v>
      </c>
      <c r="E2666" s="15"/>
      <c r="F2666" s="14" t="s">
        <v>1742</v>
      </c>
      <c r="G2666" s="15"/>
      <c r="H2666" s="14" t="s">
        <v>1255</v>
      </c>
      <c r="I2666" s="14" t="s">
        <v>1217</v>
      </c>
      <c r="J2666" s="14" t="s">
        <v>1296</v>
      </c>
      <c r="K2666" s="14"/>
      <c r="L2666" s="14"/>
      <c r="M2666" s="14" t="s">
        <v>1259</v>
      </c>
      <c r="N2666" s="14" t="s">
        <v>1219</v>
      </c>
      <c r="O2666" s="14" t="s">
        <v>1220</v>
      </c>
    </row>
    <row r="2667" spans="1:15" x14ac:dyDescent="0.25">
      <c r="A2667" s="14" t="s">
        <v>6189</v>
      </c>
      <c r="B2667" s="14" t="s">
        <v>6190</v>
      </c>
      <c r="C2667" s="14" t="s">
        <v>6190</v>
      </c>
      <c r="D2667" s="14" t="s">
        <v>1283</v>
      </c>
      <c r="E2667" s="15"/>
      <c r="F2667" s="14" t="s">
        <v>1742</v>
      </c>
      <c r="G2667" s="15"/>
      <c r="H2667" s="14" t="s">
        <v>1255</v>
      </c>
      <c r="I2667" s="14" t="s">
        <v>1217</v>
      </c>
      <c r="J2667" s="14" t="s">
        <v>1296</v>
      </c>
      <c r="K2667" s="14"/>
      <c r="L2667" s="14"/>
      <c r="M2667" s="14" t="s">
        <v>1259</v>
      </c>
      <c r="N2667" s="14" t="s">
        <v>1219</v>
      </c>
      <c r="O2667" s="14" t="s">
        <v>1220</v>
      </c>
    </row>
    <row r="2668" spans="1:15" x14ac:dyDescent="0.25">
      <c r="A2668" s="14" t="s">
        <v>6191</v>
      </c>
      <c r="B2668" s="14" t="s">
        <v>6192</v>
      </c>
      <c r="C2668" s="14" t="s">
        <v>6192</v>
      </c>
      <c r="D2668" s="14" t="s">
        <v>1283</v>
      </c>
      <c r="E2668" s="15"/>
      <c r="F2668" s="14" t="s">
        <v>1742</v>
      </c>
      <c r="G2668" s="15"/>
      <c r="H2668" s="14" t="s">
        <v>1255</v>
      </c>
      <c r="I2668" s="14" t="s">
        <v>1217</v>
      </c>
      <c r="J2668" s="14" t="s">
        <v>1242</v>
      </c>
      <c r="K2668" s="14"/>
      <c r="L2668" s="14"/>
      <c r="M2668" s="14" t="s">
        <v>1259</v>
      </c>
      <c r="N2668" s="14" t="s">
        <v>1219</v>
      </c>
      <c r="O2668" s="14" t="s">
        <v>1220</v>
      </c>
    </row>
    <row r="2669" spans="1:15" x14ac:dyDescent="0.25">
      <c r="A2669" s="14" t="s">
        <v>6193</v>
      </c>
      <c r="B2669" s="14" t="s">
        <v>6194</v>
      </c>
      <c r="C2669" s="14" t="s">
        <v>6194</v>
      </c>
      <c r="D2669" s="14" t="s">
        <v>1283</v>
      </c>
      <c r="E2669" s="15"/>
      <c r="F2669" s="14" t="s">
        <v>1742</v>
      </c>
      <c r="G2669" s="15"/>
      <c r="H2669" s="14" t="s">
        <v>1255</v>
      </c>
      <c r="I2669" s="14" t="s">
        <v>1217</v>
      </c>
      <c r="J2669" s="14" t="s">
        <v>1296</v>
      </c>
      <c r="K2669" s="14"/>
      <c r="L2669" s="14"/>
      <c r="M2669" s="14" t="s">
        <v>1259</v>
      </c>
      <c r="N2669" s="14" t="s">
        <v>1219</v>
      </c>
      <c r="O2669" s="14" t="s">
        <v>1220</v>
      </c>
    </row>
    <row r="2670" spans="1:15" x14ac:dyDescent="0.25">
      <c r="A2670" s="14" t="s">
        <v>6195</v>
      </c>
      <c r="B2670" s="14" t="s">
        <v>6196</v>
      </c>
      <c r="C2670" s="14" t="s">
        <v>6196</v>
      </c>
      <c r="D2670" s="14" t="s">
        <v>1283</v>
      </c>
      <c r="E2670" s="15"/>
      <c r="F2670" s="14" t="s">
        <v>1742</v>
      </c>
      <c r="G2670" s="15"/>
      <c r="H2670" s="14" t="s">
        <v>1255</v>
      </c>
      <c r="I2670" s="14" t="s">
        <v>1217</v>
      </c>
      <c r="J2670" s="14" t="s">
        <v>1296</v>
      </c>
      <c r="K2670" s="14"/>
      <c r="L2670" s="14"/>
      <c r="M2670" s="14" t="s">
        <v>1259</v>
      </c>
      <c r="N2670" s="14" t="s">
        <v>1219</v>
      </c>
      <c r="O2670" s="14" t="s">
        <v>1220</v>
      </c>
    </row>
    <row r="2671" spans="1:15" x14ac:dyDescent="0.25">
      <c r="A2671" s="14" t="s">
        <v>6197</v>
      </c>
      <c r="B2671" s="14" t="s">
        <v>6198</v>
      </c>
      <c r="C2671" s="14" t="s">
        <v>6198</v>
      </c>
      <c r="D2671" s="14" t="s">
        <v>1283</v>
      </c>
      <c r="E2671" s="15"/>
      <c r="F2671" s="14" t="s">
        <v>1742</v>
      </c>
      <c r="G2671" s="15"/>
      <c r="H2671" s="14" t="s">
        <v>1255</v>
      </c>
      <c r="I2671" s="14" t="s">
        <v>1217</v>
      </c>
      <c r="J2671" s="14" t="s">
        <v>1296</v>
      </c>
      <c r="K2671" s="14"/>
      <c r="L2671" s="14"/>
      <c r="M2671" s="14" t="s">
        <v>1259</v>
      </c>
      <c r="N2671" s="14" t="s">
        <v>1219</v>
      </c>
      <c r="O2671" s="14" t="s">
        <v>1220</v>
      </c>
    </row>
    <row r="2672" spans="1:15" x14ac:dyDescent="0.25">
      <c r="A2672" s="14" t="s">
        <v>6199</v>
      </c>
      <c r="B2672" s="14" t="s">
        <v>6200</v>
      </c>
      <c r="C2672" s="14" t="s">
        <v>6200</v>
      </c>
      <c r="D2672" s="14" t="s">
        <v>1283</v>
      </c>
      <c r="E2672" s="15"/>
      <c r="F2672" s="14" t="s">
        <v>1742</v>
      </c>
      <c r="G2672" s="15"/>
      <c r="H2672" s="14" t="s">
        <v>1255</v>
      </c>
      <c r="I2672" s="14" t="s">
        <v>1217</v>
      </c>
      <c r="J2672" s="14" t="s">
        <v>1296</v>
      </c>
      <c r="K2672" s="14"/>
      <c r="L2672" s="14"/>
      <c r="M2672" s="14" t="s">
        <v>1259</v>
      </c>
      <c r="N2672" s="14" t="s">
        <v>1219</v>
      </c>
      <c r="O2672" s="14" t="s">
        <v>1220</v>
      </c>
    </row>
    <row r="2673" spans="1:15" x14ac:dyDescent="0.25">
      <c r="A2673" s="14" t="s">
        <v>6201</v>
      </c>
      <c r="B2673" s="14" t="s">
        <v>6202</v>
      </c>
      <c r="C2673" s="14" t="s">
        <v>6202</v>
      </c>
      <c r="D2673" s="14" t="s">
        <v>1283</v>
      </c>
      <c r="E2673" s="15"/>
      <c r="F2673" s="14" t="s">
        <v>1742</v>
      </c>
      <c r="G2673" s="15"/>
      <c r="H2673" s="14" t="s">
        <v>1255</v>
      </c>
      <c r="I2673" s="14" t="s">
        <v>1217</v>
      </c>
      <c r="J2673" s="14" t="s">
        <v>1296</v>
      </c>
      <c r="K2673" s="14"/>
      <c r="L2673" s="14"/>
      <c r="M2673" s="14" t="s">
        <v>1259</v>
      </c>
      <c r="N2673" s="14" t="s">
        <v>1219</v>
      </c>
      <c r="O2673" s="14" t="s">
        <v>1220</v>
      </c>
    </row>
    <row r="2674" spans="1:15" x14ac:dyDescent="0.25">
      <c r="A2674" s="14" t="s">
        <v>6203</v>
      </c>
      <c r="B2674" s="14" t="s">
        <v>6204</v>
      </c>
      <c r="C2674" s="14" t="s">
        <v>6204</v>
      </c>
      <c r="D2674" s="14" t="s">
        <v>1283</v>
      </c>
      <c r="E2674" s="15"/>
      <c r="F2674" s="14" t="s">
        <v>1742</v>
      </c>
      <c r="G2674" s="15"/>
      <c r="H2674" s="14" t="s">
        <v>1255</v>
      </c>
      <c r="I2674" s="14" t="s">
        <v>1217</v>
      </c>
      <c r="J2674" s="14" t="s">
        <v>1296</v>
      </c>
      <c r="K2674" s="14"/>
      <c r="L2674" s="14"/>
      <c r="M2674" s="14" t="s">
        <v>1259</v>
      </c>
      <c r="N2674" s="14" t="s">
        <v>1219</v>
      </c>
      <c r="O2674" s="14" t="s">
        <v>1220</v>
      </c>
    </row>
    <row r="2675" spans="1:15" x14ac:dyDescent="0.25">
      <c r="A2675" s="14" t="s">
        <v>6205</v>
      </c>
      <c r="B2675" s="14" t="s">
        <v>6206</v>
      </c>
      <c r="C2675" s="14" t="s">
        <v>6206</v>
      </c>
      <c r="D2675" s="14" t="s">
        <v>1283</v>
      </c>
      <c r="E2675" s="15"/>
      <c r="F2675" s="14" t="s">
        <v>1742</v>
      </c>
      <c r="G2675" s="15"/>
      <c r="H2675" s="14" t="s">
        <v>1255</v>
      </c>
      <c r="I2675" s="14" t="s">
        <v>1217</v>
      </c>
      <c r="J2675" s="14" t="s">
        <v>1296</v>
      </c>
      <c r="K2675" s="14"/>
      <c r="L2675" s="14"/>
      <c r="M2675" s="14" t="s">
        <v>1259</v>
      </c>
      <c r="N2675" s="14" t="s">
        <v>1219</v>
      </c>
      <c r="O2675" s="14" t="s">
        <v>1220</v>
      </c>
    </row>
    <row r="2676" spans="1:15" x14ac:dyDescent="0.25">
      <c r="A2676" s="14">
        <v>3560</v>
      </c>
      <c r="B2676" s="14" t="s">
        <v>493</v>
      </c>
      <c r="C2676" s="14" t="s">
        <v>493</v>
      </c>
      <c r="D2676" s="14" t="s">
        <v>5826</v>
      </c>
      <c r="E2676" s="16">
        <v>100</v>
      </c>
      <c r="F2676" s="14" t="s">
        <v>1255</v>
      </c>
      <c r="G2676" s="17">
        <v>1000</v>
      </c>
      <c r="H2676" s="14" t="s">
        <v>1255</v>
      </c>
      <c r="I2676" s="14" t="s">
        <v>1256</v>
      </c>
      <c r="J2676" s="14" t="s">
        <v>1296</v>
      </c>
      <c r="K2676" s="14" t="s">
        <v>1257</v>
      </c>
      <c r="L2676" s="14" t="s">
        <v>6207</v>
      </c>
      <c r="M2676" s="14" t="s">
        <v>1259</v>
      </c>
      <c r="N2676" s="14" t="s">
        <v>1237</v>
      </c>
      <c r="O2676" s="14" t="s">
        <v>1220</v>
      </c>
    </row>
    <row r="2677" spans="1:15" x14ac:dyDescent="0.25">
      <c r="A2677" s="14" t="s">
        <v>6208</v>
      </c>
      <c r="B2677" s="14" t="s">
        <v>6209</v>
      </c>
      <c r="C2677" s="14" t="s">
        <v>6209</v>
      </c>
      <c r="D2677" s="14" t="s">
        <v>6210</v>
      </c>
      <c r="E2677" s="15"/>
      <c r="F2677" s="14" t="s">
        <v>1255</v>
      </c>
      <c r="G2677" s="15"/>
      <c r="H2677" s="14" t="s">
        <v>1255</v>
      </c>
      <c r="I2677" s="14" t="s">
        <v>1262</v>
      </c>
      <c r="J2677" s="14" t="s">
        <v>1262</v>
      </c>
      <c r="K2677" s="14"/>
      <c r="L2677" s="14" t="s">
        <v>6207</v>
      </c>
      <c r="M2677" s="14" t="s">
        <v>1259</v>
      </c>
      <c r="N2677" s="14" t="s">
        <v>1219</v>
      </c>
      <c r="O2677" s="14" t="s">
        <v>1220</v>
      </c>
    </row>
    <row r="2678" spans="1:15" x14ac:dyDescent="0.25">
      <c r="A2678" s="14">
        <v>3566</v>
      </c>
      <c r="B2678" s="14" t="s">
        <v>494</v>
      </c>
      <c r="C2678" s="14" t="s">
        <v>494</v>
      </c>
      <c r="D2678" s="14" t="s">
        <v>5826</v>
      </c>
      <c r="E2678" s="16">
        <v>100</v>
      </c>
      <c r="F2678" s="14" t="s">
        <v>1255</v>
      </c>
      <c r="G2678" s="17">
        <v>1000</v>
      </c>
      <c r="H2678" s="14" t="s">
        <v>1255</v>
      </c>
      <c r="I2678" s="14" t="s">
        <v>1256</v>
      </c>
      <c r="J2678" s="14" t="s">
        <v>1242</v>
      </c>
      <c r="K2678" s="14" t="s">
        <v>1257</v>
      </c>
      <c r="L2678" s="14" t="s">
        <v>6211</v>
      </c>
      <c r="M2678" s="14" t="s">
        <v>1259</v>
      </c>
      <c r="N2678" s="14" t="s">
        <v>1237</v>
      </c>
      <c r="O2678" s="14" t="s">
        <v>1220</v>
      </c>
    </row>
    <row r="2679" spans="1:15" x14ac:dyDescent="0.25">
      <c r="A2679" s="14" t="s">
        <v>6212</v>
      </c>
      <c r="B2679" s="14" t="s">
        <v>6213</v>
      </c>
      <c r="C2679" s="14" t="s">
        <v>6213</v>
      </c>
      <c r="D2679" s="14" t="s">
        <v>6210</v>
      </c>
      <c r="E2679" s="15"/>
      <c r="F2679" s="14" t="s">
        <v>1255</v>
      </c>
      <c r="G2679" s="15"/>
      <c r="H2679" s="14" t="s">
        <v>1255</v>
      </c>
      <c r="I2679" s="14" t="s">
        <v>1262</v>
      </c>
      <c r="J2679" s="14" t="s">
        <v>1262</v>
      </c>
      <c r="K2679" s="14"/>
      <c r="L2679" s="14" t="s">
        <v>6211</v>
      </c>
      <c r="M2679" s="14" t="s">
        <v>1259</v>
      </c>
      <c r="N2679" s="14" t="s">
        <v>1219</v>
      </c>
      <c r="O2679" s="14" t="s">
        <v>1220</v>
      </c>
    </row>
    <row r="2680" spans="1:15" x14ac:dyDescent="0.25">
      <c r="A2680" s="14">
        <v>3561</v>
      </c>
      <c r="B2680" s="14" t="s">
        <v>495</v>
      </c>
      <c r="C2680" s="14" t="s">
        <v>495</v>
      </c>
      <c r="D2680" s="14" t="s">
        <v>5826</v>
      </c>
      <c r="E2680" s="16">
        <v>80</v>
      </c>
      <c r="F2680" s="14" t="s">
        <v>1255</v>
      </c>
      <c r="G2680" s="16">
        <v>500</v>
      </c>
      <c r="H2680" s="14" t="s">
        <v>1255</v>
      </c>
      <c r="I2680" s="14" t="s">
        <v>1256</v>
      </c>
      <c r="J2680" s="14" t="s">
        <v>1296</v>
      </c>
      <c r="K2680" s="14" t="s">
        <v>1257</v>
      </c>
      <c r="L2680" s="14" t="s">
        <v>6214</v>
      </c>
      <c r="M2680" s="14" t="s">
        <v>1259</v>
      </c>
      <c r="N2680" s="14" t="s">
        <v>1237</v>
      </c>
      <c r="O2680" s="14" t="s">
        <v>1220</v>
      </c>
    </row>
    <row r="2681" spans="1:15" x14ac:dyDescent="0.25">
      <c r="A2681" s="14" t="s">
        <v>6215</v>
      </c>
      <c r="B2681" s="14" t="s">
        <v>6216</v>
      </c>
      <c r="C2681" s="14" t="s">
        <v>6216</v>
      </c>
      <c r="D2681" s="14" t="s">
        <v>6210</v>
      </c>
      <c r="E2681" s="15"/>
      <c r="F2681" s="14" t="s">
        <v>1255</v>
      </c>
      <c r="G2681" s="15"/>
      <c r="H2681" s="14" t="s">
        <v>1255</v>
      </c>
      <c r="I2681" s="14" t="s">
        <v>1262</v>
      </c>
      <c r="J2681" s="14" t="s">
        <v>1262</v>
      </c>
      <c r="K2681" s="14"/>
      <c r="L2681" s="14" t="s">
        <v>6214</v>
      </c>
      <c r="M2681" s="14" t="s">
        <v>1259</v>
      </c>
      <c r="N2681" s="14" t="s">
        <v>1219</v>
      </c>
      <c r="O2681" s="14" t="s">
        <v>1220</v>
      </c>
    </row>
    <row r="2682" spans="1:15" x14ac:dyDescent="0.25">
      <c r="A2682" s="14">
        <v>3567</v>
      </c>
      <c r="B2682" s="14" t="s">
        <v>496</v>
      </c>
      <c r="C2682" s="14" t="s">
        <v>496</v>
      </c>
      <c r="D2682" s="14" t="s">
        <v>5826</v>
      </c>
      <c r="E2682" s="16">
        <v>70</v>
      </c>
      <c r="F2682" s="14" t="s">
        <v>1255</v>
      </c>
      <c r="G2682" s="16">
        <v>400</v>
      </c>
      <c r="H2682" s="14" t="s">
        <v>1255</v>
      </c>
      <c r="I2682" s="14" t="s">
        <v>1256</v>
      </c>
      <c r="J2682" s="14" t="s">
        <v>1296</v>
      </c>
      <c r="K2682" s="14" t="s">
        <v>1257</v>
      </c>
      <c r="L2682" s="14" t="s">
        <v>6217</v>
      </c>
      <c r="M2682" s="14" t="s">
        <v>1259</v>
      </c>
      <c r="N2682" s="14" t="s">
        <v>1237</v>
      </c>
      <c r="O2682" s="14" t="s">
        <v>1220</v>
      </c>
    </row>
    <row r="2683" spans="1:15" x14ac:dyDescent="0.25">
      <c r="A2683" s="14">
        <v>3562</v>
      </c>
      <c r="B2683" s="14" t="s">
        <v>497</v>
      </c>
      <c r="C2683" s="14" t="s">
        <v>497</v>
      </c>
      <c r="D2683" s="14" t="s">
        <v>5826</v>
      </c>
      <c r="E2683" s="16">
        <v>80</v>
      </c>
      <c r="F2683" s="14" t="s">
        <v>1255</v>
      </c>
      <c r="G2683" s="16">
        <v>400</v>
      </c>
      <c r="H2683" s="14" t="s">
        <v>1255</v>
      </c>
      <c r="I2683" s="14" t="s">
        <v>1256</v>
      </c>
      <c r="J2683" s="14" t="s">
        <v>1296</v>
      </c>
      <c r="K2683" s="14" t="s">
        <v>1257</v>
      </c>
      <c r="L2683" s="14" t="s">
        <v>6218</v>
      </c>
      <c r="M2683" s="14" t="s">
        <v>1259</v>
      </c>
      <c r="N2683" s="14" t="s">
        <v>1237</v>
      </c>
      <c r="O2683" s="14" t="s">
        <v>1220</v>
      </c>
    </row>
    <row r="2684" spans="1:15" x14ac:dyDescent="0.25">
      <c r="A2684" s="14">
        <v>3568</v>
      </c>
      <c r="B2684" s="14" t="s">
        <v>498</v>
      </c>
      <c r="C2684" s="14" t="s">
        <v>498</v>
      </c>
      <c r="D2684" s="14" t="s">
        <v>5826</v>
      </c>
      <c r="E2684" s="16">
        <v>70</v>
      </c>
      <c r="F2684" s="14" t="s">
        <v>1255</v>
      </c>
      <c r="G2684" s="16">
        <v>700</v>
      </c>
      <c r="H2684" s="14" t="s">
        <v>1255</v>
      </c>
      <c r="I2684" s="14" t="s">
        <v>1256</v>
      </c>
      <c r="J2684" s="14" t="s">
        <v>1296</v>
      </c>
      <c r="K2684" s="14" t="s">
        <v>1257</v>
      </c>
      <c r="L2684" s="14" t="s">
        <v>6219</v>
      </c>
      <c r="M2684" s="14" t="s">
        <v>1259</v>
      </c>
      <c r="N2684" s="14" t="s">
        <v>1237</v>
      </c>
      <c r="O2684" s="14" t="s">
        <v>1220</v>
      </c>
    </row>
    <row r="2685" spans="1:15" x14ac:dyDescent="0.25">
      <c r="A2685" s="14" t="s">
        <v>6220</v>
      </c>
      <c r="B2685" s="14" t="s">
        <v>6221</v>
      </c>
      <c r="C2685" s="14" t="s">
        <v>6221</v>
      </c>
      <c r="D2685" s="14" t="s">
        <v>6210</v>
      </c>
      <c r="E2685" s="15"/>
      <c r="F2685" s="14" t="s">
        <v>1255</v>
      </c>
      <c r="G2685" s="15"/>
      <c r="H2685" s="14" t="s">
        <v>1255</v>
      </c>
      <c r="I2685" s="14" t="s">
        <v>1262</v>
      </c>
      <c r="J2685" s="14" t="s">
        <v>1262</v>
      </c>
      <c r="K2685" s="14"/>
      <c r="L2685" s="14" t="s">
        <v>6219</v>
      </c>
      <c r="M2685" s="14" t="s">
        <v>1259</v>
      </c>
      <c r="N2685" s="14" t="s">
        <v>1219</v>
      </c>
      <c r="O2685" s="14" t="s">
        <v>1220</v>
      </c>
    </row>
    <row r="2686" spans="1:15" x14ac:dyDescent="0.25">
      <c r="A2686" s="14">
        <v>3563</v>
      </c>
      <c r="B2686" s="14" t="s">
        <v>499</v>
      </c>
      <c r="C2686" s="14" t="s">
        <v>499</v>
      </c>
      <c r="D2686" s="14" t="s">
        <v>5826</v>
      </c>
      <c r="E2686" s="16">
        <v>60</v>
      </c>
      <c r="F2686" s="14" t="s">
        <v>1255</v>
      </c>
      <c r="G2686" s="16">
        <v>350</v>
      </c>
      <c r="H2686" s="14" t="s">
        <v>1255</v>
      </c>
      <c r="I2686" s="14" t="s">
        <v>1256</v>
      </c>
      <c r="J2686" s="14" t="s">
        <v>1296</v>
      </c>
      <c r="K2686" s="14" t="s">
        <v>1257</v>
      </c>
      <c r="L2686" s="14" t="s">
        <v>6222</v>
      </c>
      <c r="M2686" s="14" t="s">
        <v>1259</v>
      </c>
      <c r="N2686" s="14" t="s">
        <v>1237</v>
      </c>
      <c r="O2686" s="14" t="s">
        <v>1220</v>
      </c>
    </row>
    <row r="2687" spans="1:15" x14ac:dyDescent="0.25">
      <c r="A2687" s="14">
        <v>3569</v>
      </c>
      <c r="B2687" s="14" t="s">
        <v>500</v>
      </c>
      <c r="C2687" s="14" t="s">
        <v>500</v>
      </c>
      <c r="D2687" s="14" t="s">
        <v>5826</v>
      </c>
      <c r="E2687" s="16">
        <v>60</v>
      </c>
      <c r="F2687" s="14" t="s">
        <v>1255</v>
      </c>
      <c r="G2687" s="16">
        <v>300</v>
      </c>
      <c r="H2687" s="14" t="s">
        <v>1255</v>
      </c>
      <c r="I2687" s="14" t="s">
        <v>1256</v>
      </c>
      <c r="J2687" s="14" t="s">
        <v>1296</v>
      </c>
      <c r="K2687" s="14" t="s">
        <v>1257</v>
      </c>
      <c r="L2687" s="14" t="s">
        <v>6223</v>
      </c>
      <c r="M2687" s="14" t="s">
        <v>1259</v>
      </c>
      <c r="N2687" s="14" t="s">
        <v>1237</v>
      </c>
      <c r="O2687" s="14" t="s">
        <v>1220</v>
      </c>
    </row>
    <row r="2688" spans="1:15" x14ac:dyDescent="0.25">
      <c r="A2688" s="14">
        <v>3565</v>
      </c>
      <c r="B2688" s="14" t="s">
        <v>501</v>
      </c>
      <c r="C2688" s="14" t="s">
        <v>501</v>
      </c>
      <c r="D2688" s="14" t="s">
        <v>5826</v>
      </c>
      <c r="E2688" s="16">
        <v>40</v>
      </c>
      <c r="F2688" s="14" t="s">
        <v>1255</v>
      </c>
      <c r="G2688" s="16">
        <v>200</v>
      </c>
      <c r="H2688" s="14" t="s">
        <v>1255</v>
      </c>
      <c r="I2688" s="14" t="s">
        <v>1256</v>
      </c>
      <c r="J2688" s="14" t="s">
        <v>1296</v>
      </c>
      <c r="K2688" s="14" t="s">
        <v>1257</v>
      </c>
      <c r="L2688" s="14" t="s">
        <v>6224</v>
      </c>
      <c r="M2688" s="14" t="s">
        <v>1259</v>
      </c>
      <c r="N2688" s="14" t="s">
        <v>1237</v>
      </c>
      <c r="O2688" s="14" t="s">
        <v>1220</v>
      </c>
    </row>
    <row r="2689" spans="1:15" x14ac:dyDescent="0.25">
      <c r="A2689" s="14" t="s">
        <v>6225</v>
      </c>
      <c r="B2689" s="14" t="s">
        <v>6226</v>
      </c>
      <c r="C2689" s="14" t="s">
        <v>6226</v>
      </c>
      <c r="D2689" s="14" t="s">
        <v>6210</v>
      </c>
      <c r="E2689" s="15"/>
      <c r="F2689" s="14" t="s">
        <v>1255</v>
      </c>
      <c r="G2689" s="15"/>
      <c r="H2689" s="14" t="s">
        <v>1255</v>
      </c>
      <c r="I2689" s="14" t="s">
        <v>1262</v>
      </c>
      <c r="J2689" s="14" t="s">
        <v>1262</v>
      </c>
      <c r="K2689" s="14"/>
      <c r="L2689" s="14" t="s">
        <v>6224</v>
      </c>
      <c r="M2689" s="14" t="s">
        <v>1259</v>
      </c>
      <c r="N2689" s="14" t="s">
        <v>1219</v>
      </c>
      <c r="O2689" s="14" t="s">
        <v>1220</v>
      </c>
    </row>
    <row r="2690" spans="1:15" x14ac:dyDescent="0.25">
      <c r="A2690" s="14">
        <v>3571</v>
      </c>
      <c r="B2690" s="14" t="s">
        <v>502</v>
      </c>
      <c r="C2690" s="14" t="s">
        <v>502</v>
      </c>
      <c r="D2690" s="14" t="s">
        <v>5826</v>
      </c>
      <c r="E2690" s="16">
        <v>30</v>
      </c>
      <c r="F2690" s="14" t="s">
        <v>1255</v>
      </c>
      <c r="G2690" s="16">
        <v>200</v>
      </c>
      <c r="H2690" s="14" t="s">
        <v>1255</v>
      </c>
      <c r="I2690" s="14" t="s">
        <v>1256</v>
      </c>
      <c r="J2690" s="14" t="s">
        <v>1296</v>
      </c>
      <c r="K2690" s="14" t="s">
        <v>1257</v>
      </c>
      <c r="L2690" s="14" t="s">
        <v>6227</v>
      </c>
      <c r="M2690" s="14" t="s">
        <v>1259</v>
      </c>
      <c r="N2690" s="14" t="s">
        <v>1237</v>
      </c>
      <c r="O2690" s="14" t="s">
        <v>1220</v>
      </c>
    </row>
    <row r="2691" spans="1:15" x14ac:dyDescent="0.25">
      <c r="A2691" s="14" t="s">
        <v>6228</v>
      </c>
      <c r="B2691" s="14" t="s">
        <v>6229</v>
      </c>
      <c r="C2691" s="14" t="s">
        <v>6229</v>
      </c>
      <c r="D2691" s="14" t="s">
        <v>6210</v>
      </c>
      <c r="E2691" s="15"/>
      <c r="F2691" s="14" t="s">
        <v>1255</v>
      </c>
      <c r="G2691" s="15"/>
      <c r="H2691" s="14" t="s">
        <v>1255</v>
      </c>
      <c r="I2691" s="14" t="s">
        <v>1262</v>
      </c>
      <c r="J2691" s="14" t="s">
        <v>1262</v>
      </c>
      <c r="K2691" s="14"/>
      <c r="L2691" s="14" t="s">
        <v>6227</v>
      </c>
      <c r="M2691" s="14" t="s">
        <v>1259</v>
      </c>
      <c r="N2691" s="14" t="s">
        <v>1219</v>
      </c>
      <c r="O2691" s="14" t="s">
        <v>1220</v>
      </c>
    </row>
    <row r="2692" spans="1:15" x14ac:dyDescent="0.25">
      <c r="A2692" s="14">
        <v>3922</v>
      </c>
      <c r="B2692" s="14" t="s">
        <v>503</v>
      </c>
      <c r="C2692" s="14" t="s">
        <v>503</v>
      </c>
      <c r="D2692" s="14" t="s">
        <v>5826</v>
      </c>
      <c r="E2692" s="16">
        <v>60</v>
      </c>
      <c r="F2692" s="14" t="s">
        <v>1255</v>
      </c>
      <c r="G2692" s="16">
        <v>300</v>
      </c>
      <c r="H2692" s="14" t="s">
        <v>1255</v>
      </c>
      <c r="I2692" s="14" t="s">
        <v>1256</v>
      </c>
      <c r="J2692" s="14" t="s">
        <v>1296</v>
      </c>
      <c r="K2692" s="14" t="s">
        <v>1257</v>
      </c>
      <c r="L2692" s="14" t="s">
        <v>6230</v>
      </c>
      <c r="M2692" s="14" t="s">
        <v>1259</v>
      </c>
      <c r="N2692" s="14" t="s">
        <v>1237</v>
      </c>
      <c r="O2692" s="14" t="s">
        <v>1220</v>
      </c>
    </row>
    <row r="2693" spans="1:15" x14ac:dyDescent="0.25">
      <c r="A2693" s="14" t="s">
        <v>6231</v>
      </c>
      <c r="B2693" s="14" t="s">
        <v>6232</v>
      </c>
      <c r="C2693" s="14" t="s">
        <v>6232</v>
      </c>
      <c r="D2693" s="14" t="s">
        <v>6210</v>
      </c>
      <c r="E2693" s="15"/>
      <c r="F2693" s="14" t="s">
        <v>1255</v>
      </c>
      <c r="G2693" s="15"/>
      <c r="H2693" s="14" t="s">
        <v>1255</v>
      </c>
      <c r="I2693" s="14" t="s">
        <v>1262</v>
      </c>
      <c r="J2693" s="14" t="s">
        <v>1262</v>
      </c>
      <c r="K2693" s="14"/>
      <c r="L2693" s="14" t="s">
        <v>6230</v>
      </c>
      <c r="M2693" s="14" t="s">
        <v>1259</v>
      </c>
      <c r="N2693" s="14" t="s">
        <v>1219</v>
      </c>
      <c r="O2693" s="14" t="s">
        <v>1220</v>
      </c>
    </row>
    <row r="2694" spans="1:15" x14ac:dyDescent="0.25">
      <c r="A2694" s="14">
        <v>3888</v>
      </c>
      <c r="B2694" s="14" t="s">
        <v>504</v>
      </c>
      <c r="C2694" s="14" t="s">
        <v>504</v>
      </c>
      <c r="D2694" s="14" t="s">
        <v>5826</v>
      </c>
      <c r="E2694" s="16">
        <v>50</v>
      </c>
      <c r="F2694" s="14" t="s">
        <v>1255</v>
      </c>
      <c r="G2694" s="16">
        <v>300</v>
      </c>
      <c r="H2694" s="14" t="s">
        <v>1255</v>
      </c>
      <c r="I2694" s="14" t="s">
        <v>1256</v>
      </c>
      <c r="J2694" s="14" t="s">
        <v>1296</v>
      </c>
      <c r="K2694" s="14" t="s">
        <v>1257</v>
      </c>
      <c r="L2694" s="14" t="s">
        <v>6233</v>
      </c>
      <c r="M2694" s="14" t="s">
        <v>1259</v>
      </c>
      <c r="N2694" s="14" t="s">
        <v>1237</v>
      </c>
      <c r="O2694" s="14" t="s">
        <v>1220</v>
      </c>
    </row>
    <row r="2695" spans="1:15" x14ac:dyDescent="0.25">
      <c r="A2695" s="14" t="s">
        <v>6234</v>
      </c>
      <c r="B2695" s="14" t="s">
        <v>6235</v>
      </c>
      <c r="C2695" s="14" t="s">
        <v>6235</v>
      </c>
      <c r="D2695" s="14" t="s">
        <v>6210</v>
      </c>
      <c r="E2695" s="15"/>
      <c r="F2695" s="14" t="s">
        <v>1255</v>
      </c>
      <c r="G2695" s="15"/>
      <c r="H2695" s="14" t="s">
        <v>1255</v>
      </c>
      <c r="I2695" s="14" t="s">
        <v>1262</v>
      </c>
      <c r="J2695" s="14" t="s">
        <v>1262</v>
      </c>
      <c r="K2695" s="14"/>
      <c r="L2695" s="14" t="s">
        <v>6233</v>
      </c>
      <c r="M2695" s="14" t="s">
        <v>1259</v>
      </c>
      <c r="N2695" s="14" t="s">
        <v>1219</v>
      </c>
      <c r="O2695" s="14" t="s">
        <v>1220</v>
      </c>
    </row>
    <row r="2696" spans="1:15" x14ac:dyDescent="0.25">
      <c r="A2696" s="14">
        <v>3564</v>
      </c>
      <c r="B2696" s="14" t="s">
        <v>505</v>
      </c>
      <c r="C2696" s="14" t="s">
        <v>505</v>
      </c>
      <c r="D2696" s="14" t="s">
        <v>5826</v>
      </c>
      <c r="E2696" s="16">
        <v>50</v>
      </c>
      <c r="F2696" s="14" t="s">
        <v>1255</v>
      </c>
      <c r="G2696" s="16">
        <v>250</v>
      </c>
      <c r="H2696" s="14" t="s">
        <v>1255</v>
      </c>
      <c r="I2696" s="14" t="s">
        <v>1256</v>
      </c>
      <c r="J2696" s="14" t="s">
        <v>1296</v>
      </c>
      <c r="K2696" s="14" t="s">
        <v>1257</v>
      </c>
      <c r="L2696" s="14" t="s">
        <v>6236</v>
      </c>
      <c r="M2696" s="14" t="s">
        <v>1259</v>
      </c>
      <c r="N2696" s="14" t="s">
        <v>1237</v>
      </c>
      <c r="O2696" s="14" t="s">
        <v>1220</v>
      </c>
    </row>
    <row r="2697" spans="1:15" x14ac:dyDescent="0.25">
      <c r="A2697" s="14" t="s">
        <v>6237</v>
      </c>
      <c r="B2697" s="14" t="s">
        <v>6238</v>
      </c>
      <c r="C2697" s="14" t="s">
        <v>6238</v>
      </c>
      <c r="D2697" s="14" t="s">
        <v>6210</v>
      </c>
      <c r="E2697" s="15"/>
      <c r="F2697" s="14" t="s">
        <v>1255</v>
      </c>
      <c r="G2697" s="15"/>
      <c r="H2697" s="14" t="s">
        <v>1255</v>
      </c>
      <c r="I2697" s="14" t="s">
        <v>1262</v>
      </c>
      <c r="J2697" s="14" t="s">
        <v>1262</v>
      </c>
      <c r="K2697" s="14"/>
      <c r="L2697" s="14" t="s">
        <v>6236</v>
      </c>
      <c r="M2697" s="14" t="s">
        <v>1259</v>
      </c>
      <c r="N2697" s="14" t="s">
        <v>1219</v>
      </c>
      <c r="O2697" s="14" t="s">
        <v>1220</v>
      </c>
    </row>
    <row r="2698" spans="1:15" x14ac:dyDescent="0.25">
      <c r="A2698" s="14">
        <v>3570</v>
      </c>
      <c r="B2698" s="14" t="s">
        <v>506</v>
      </c>
      <c r="C2698" s="14" t="s">
        <v>506</v>
      </c>
      <c r="D2698" s="14" t="s">
        <v>5826</v>
      </c>
      <c r="E2698" s="16">
        <v>50</v>
      </c>
      <c r="F2698" s="14" t="s">
        <v>1255</v>
      </c>
      <c r="G2698" s="16">
        <v>250</v>
      </c>
      <c r="H2698" s="14" t="s">
        <v>1255</v>
      </c>
      <c r="I2698" s="14" t="s">
        <v>1256</v>
      </c>
      <c r="J2698" s="14" t="s">
        <v>1296</v>
      </c>
      <c r="K2698" s="14" t="s">
        <v>1257</v>
      </c>
      <c r="L2698" s="14" t="s">
        <v>6239</v>
      </c>
      <c r="M2698" s="14" t="s">
        <v>1259</v>
      </c>
      <c r="N2698" s="14" t="s">
        <v>1237</v>
      </c>
      <c r="O2698" s="14" t="s">
        <v>1220</v>
      </c>
    </row>
    <row r="2699" spans="1:15" x14ac:dyDescent="0.25">
      <c r="A2699" s="14" t="s">
        <v>6240</v>
      </c>
      <c r="B2699" s="14" t="s">
        <v>6241</v>
      </c>
      <c r="C2699" s="14" t="s">
        <v>6241</v>
      </c>
      <c r="D2699" s="14" t="s">
        <v>6210</v>
      </c>
      <c r="E2699" s="15"/>
      <c r="F2699" s="14" t="s">
        <v>1255</v>
      </c>
      <c r="G2699" s="15"/>
      <c r="H2699" s="14" t="s">
        <v>1255</v>
      </c>
      <c r="I2699" s="14" t="s">
        <v>1262</v>
      </c>
      <c r="J2699" s="14" t="s">
        <v>1262</v>
      </c>
      <c r="K2699" s="14"/>
      <c r="L2699" s="14" t="s">
        <v>6239</v>
      </c>
      <c r="M2699" s="14" t="s">
        <v>1259</v>
      </c>
      <c r="N2699" s="14" t="s">
        <v>1219</v>
      </c>
      <c r="O2699" s="14" t="s">
        <v>1220</v>
      </c>
    </row>
    <row r="2700" spans="1:15" x14ac:dyDescent="0.25">
      <c r="A2700" s="14" t="s">
        <v>6242</v>
      </c>
      <c r="B2700" s="14" t="s">
        <v>6243</v>
      </c>
      <c r="C2700" s="14" t="s">
        <v>6243</v>
      </c>
      <c r="D2700" s="14" t="s">
        <v>1283</v>
      </c>
      <c r="E2700" s="15"/>
      <c r="F2700" s="14" t="s">
        <v>1742</v>
      </c>
      <c r="G2700" s="15"/>
      <c r="H2700" s="14" t="s">
        <v>1255</v>
      </c>
      <c r="I2700" s="14" t="s">
        <v>1217</v>
      </c>
      <c r="J2700" s="14" t="s">
        <v>1296</v>
      </c>
      <c r="K2700" s="14"/>
      <c r="L2700" s="14"/>
      <c r="M2700" s="14" t="s">
        <v>1259</v>
      </c>
      <c r="N2700" s="14" t="s">
        <v>1219</v>
      </c>
      <c r="O2700" s="14" t="s">
        <v>1220</v>
      </c>
    </row>
    <row r="2701" spans="1:15" x14ac:dyDescent="0.25">
      <c r="A2701" s="14" t="s">
        <v>6244</v>
      </c>
      <c r="B2701" s="14" t="s">
        <v>6245</v>
      </c>
      <c r="C2701" s="14" t="s">
        <v>6245</v>
      </c>
      <c r="D2701" s="14" t="s">
        <v>1283</v>
      </c>
      <c r="E2701" s="15"/>
      <c r="F2701" s="14" t="s">
        <v>1255</v>
      </c>
      <c r="G2701" s="15"/>
      <c r="H2701" s="14" t="s">
        <v>1255</v>
      </c>
      <c r="I2701" s="14" t="s">
        <v>1217</v>
      </c>
      <c r="J2701" s="14" t="s">
        <v>1296</v>
      </c>
      <c r="K2701" s="14"/>
      <c r="L2701" s="14"/>
      <c r="M2701" s="14" t="s">
        <v>1259</v>
      </c>
      <c r="N2701" s="14" t="s">
        <v>1219</v>
      </c>
      <c r="O2701" s="14" t="s">
        <v>1220</v>
      </c>
    </row>
    <row r="2702" spans="1:15" x14ac:dyDescent="0.25">
      <c r="A2702" s="14" t="s">
        <v>6246</v>
      </c>
      <c r="B2702" s="14" t="s">
        <v>6247</v>
      </c>
      <c r="C2702" s="14" t="s">
        <v>6247</v>
      </c>
      <c r="D2702" s="14" t="s">
        <v>1283</v>
      </c>
      <c r="E2702" s="15"/>
      <c r="F2702" s="14" t="s">
        <v>1255</v>
      </c>
      <c r="G2702" s="15"/>
      <c r="H2702" s="14" t="s">
        <v>1255</v>
      </c>
      <c r="I2702" s="14" t="s">
        <v>1217</v>
      </c>
      <c r="J2702" s="14" t="s">
        <v>1296</v>
      </c>
      <c r="K2702" s="14"/>
      <c r="L2702" s="14"/>
      <c r="M2702" s="14" t="s">
        <v>1259</v>
      </c>
      <c r="N2702" s="14" t="s">
        <v>1219</v>
      </c>
      <c r="O2702" s="14" t="s">
        <v>1220</v>
      </c>
    </row>
    <row r="2703" spans="1:15" x14ac:dyDescent="0.25">
      <c r="A2703" s="14">
        <v>6126</v>
      </c>
      <c r="B2703" s="14" t="s">
        <v>6248</v>
      </c>
      <c r="C2703" s="14" t="s">
        <v>6248</v>
      </c>
      <c r="D2703" s="14" t="s">
        <v>1807</v>
      </c>
      <c r="E2703" s="15"/>
      <c r="F2703" s="14"/>
      <c r="G2703" s="15"/>
      <c r="H2703" s="14" t="s">
        <v>1255</v>
      </c>
      <c r="I2703" s="14" t="s">
        <v>1217</v>
      </c>
      <c r="J2703" s="14"/>
      <c r="K2703" s="14"/>
      <c r="L2703" s="14"/>
      <c r="M2703" s="14"/>
      <c r="N2703" s="14" t="s">
        <v>1219</v>
      </c>
      <c r="O2703" s="14" t="s">
        <v>1220</v>
      </c>
    </row>
    <row r="2704" spans="1:15" x14ac:dyDescent="0.25">
      <c r="A2704" s="14">
        <v>6098</v>
      </c>
      <c r="B2704" s="14" t="s">
        <v>6249</v>
      </c>
      <c r="C2704" s="14" t="s">
        <v>6249</v>
      </c>
      <c r="D2704" s="14" t="s">
        <v>1807</v>
      </c>
      <c r="E2704" s="15"/>
      <c r="F2704" s="14"/>
      <c r="G2704" s="15"/>
      <c r="H2704" s="14" t="s">
        <v>1255</v>
      </c>
      <c r="I2704" s="14" t="s">
        <v>1217</v>
      </c>
      <c r="J2704" s="14"/>
      <c r="K2704" s="14"/>
      <c r="L2704" s="14"/>
      <c r="M2704" s="14"/>
      <c r="N2704" s="14" t="s">
        <v>1219</v>
      </c>
      <c r="O2704" s="14" t="s">
        <v>1220</v>
      </c>
    </row>
    <row r="2705" spans="1:15" x14ac:dyDescent="0.25">
      <c r="A2705" s="14">
        <v>6050</v>
      </c>
      <c r="B2705" s="14" t="s">
        <v>6250</v>
      </c>
      <c r="C2705" s="14" t="s">
        <v>6250</v>
      </c>
      <c r="D2705" s="14" t="s">
        <v>1807</v>
      </c>
      <c r="E2705" s="15"/>
      <c r="F2705" s="14"/>
      <c r="G2705" s="15"/>
      <c r="H2705" s="14" t="s">
        <v>1255</v>
      </c>
      <c r="I2705" s="14" t="s">
        <v>1217</v>
      </c>
      <c r="J2705" s="14"/>
      <c r="K2705" s="14"/>
      <c r="L2705" s="14"/>
      <c r="M2705" s="14"/>
      <c r="N2705" s="14" t="s">
        <v>1219</v>
      </c>
      <c r="O2705" s="14" t="s">
        <v>1220</v>
      </c>
    </row>
    <row r="2706" spans="1:15" x14ac:dyDescent="0.25">
      <c r="A2706" s="14">
        <v>6100</v>
      </c>
      <c r="B2706" s="14" t="s">
        <v>6251</v>
      </c>
      <c r="C2706" s="14" t="s">
        <v>6251</v>
      </c>
      <c r="D2706" s="14" t="s">
        <v>1807</v>
      </c>
      <c r="E2706" s="15"/>
      <c r="F2706" s="14"/>
      <c r="G2706" s="15"/>
      <c r="H2706" s="14" t="s">
        <v>1255</v>
      </c>
      <c r="I2706" s="14" t="s">
        <v>1217</v>
      </c>
      <c r="J2706" s="14"/>
      <c r="K2706" s="14"/>
      <c r="L2706" s="14"/>
      <c r="M2706" s="14"/>
      <c r="N2706" s="14" t="s">
        <v>1219</v>
      </c>
      <c r="O2706" s="14" t="s">
        <v>1220</v>
      </c>
    </row>
    <row r="2707" spans="1:15" x14ac:dyDescent="0.25">
      <c r="A2707" s="14">
        <v>6102</v>
      </c>
      <c r="B2707" s="14" t="s">
        <v>6252</v>
      </c>
      <c r="C2707" s="14" t="s">
        <v>6252</v>
      </c>
      <c r="D2707" s="14" t="s">
        <v>1807</v>
      </c>
      <c r="E2707" s="15"/>
      <c r="F2707" s="14"/>
      <c r="G2707" s="15"/>
      <c r="H2707" s="14" t="s">
        <v>1255</v>
      </c>
      <c r="I2707" s="14" t="s">
        <v>1217</v>
      </c>
      <c r="J2707" s="14"/>
      <c r="K2707" s="14"/>
      <c r="L2707" s="14"/>
      <c r="M2707" s="14"/>
      <c r="N2707" s="14" t="s">
        <v>1219</v>
      </c>
      <c r="O2707" s="14" t="s">
        <v>1220</v>
      </c>
    </row>
    <row r="2708" spans="1:15" x14ac:dyDescent="0.25">
      <c r="A2708" s="14">
        <v>6127</v>
      </c>
      <c r="B2708" s="14" t="s">
        <v>6253</v>
      </c>
      <c r="C2708" s="14" t="s">
        <v>6253</v>
      </c>
      <c r="D2708" s="14" t="s">
        <v>1807</v>
      </c>
      <c r="E2708" s="15"/>
      <c r="F2708" s="14"/>
      <c r="G2708" s="15"/>
      <c r="H2708" s="14" t="s">
        <v>1255</v>
      </c>
      <c r="I2708" s="14" t="s">
        <v>1217</v>
      </c>
      <c r="J2708" s="14"/>
      <c r="K2708" s="14"/>
      <c r="L2708" s="14"/>
      <c r="M2708" s="14"/>
      <c r="N2708" s="14" t="s">
        <v>1219</v>
      </c>
      <c r="O2708" s="14" t="s">
        <v>1220</v>
      </c>
    </row>
    <row r="2709" spans="1:15" x14ac:dyDescent="0.25">
      <c r="A2709" s="14">
        <v>6099</v>
      </c>
      <c r="B2709" s="14" t="s">
        <v>6254</v>
      </c>
      <c r="C2709" s="14" t="s">
        <v>6254</v>
      </c>
      <c r="D2709" s="14" t="s">
        <v>1807</v>
      </c>
      <c r="E2709" s="15"/>
      <c r="F2709" s="14"/>
      <c r="G2709" s="15"/>
      <c r="H2709" s="14" t="s">
        <v>1255</v>
      </c>
      <c r="I2709" s="14" t="s">
        <v>1217</v>
      </c>
      <c r="J2709" s="14"/>
      <c r="K2709" s="14"/>
      <c r="L2709" s="14"/>
      <c r="M2709" s="14"/>
      <c r="N2709" s="14" t="s">
        <v>1219</v>
      </c>
      <c r="O2709" s="14" t="s">
        <v>1220</v>
      </c>
    </row>
    <row r="2710" spans="1:15" x14ac:dyDescent="0.25">
      <c r="A2710" s="14">
        <v>6023</v>
      </c>
      <c r="B2710" s="14" t="s">
        <v>6255</v>
      </c>
      <c r="C2710" s="14" t="s">
        <v>6255</v>
      </c>
      <c r="D2710" s="14" t="s">
        <v>1807</v>
      </c>
      <c r="E2710" s="15"/>
      <c r="F2710" s="14"/>
      <c r="G2710" s="15"/>
      <c r="H2710" s="14" t="s">
        <v>1255</v>
      </c>
      <c r="I2710" s="14" t="s">
        <v>1217</v>
      </c>
      <c r="J2710" s="14"/>
      <c r="K2710" s="14"/>
      <c r="L2710" s="14"/>
      <c r="M2710" s="14"/>
      <c r="N2710" s="14" t="s">
        <v>1219</v>
      </c>
      <c r="O2710" s="14" t="s">
        <v>1220</v>
      </c>
    </row>
    <row r="2711" spans="1:15" x14ac:dyDescent="0.25">
      <c r="A2711" s="14">
        <v>6051</v>
      </c>
      <c r="B2711" s="14" t="s">
        <v>6256</v>
      </c>
      <c r="C2711" s="14" t="s">
        <v>6255</v>
      </c>
      <c r="D2711" s="14" t="s">
        <v>1807</v>
      </c>
      <c r="E2711" s="15"/>
      <c r="F2711" s="14"/>
      <c r="G2711" s="15"/>
      <c r="H2711" s="14" t="s">
        <v>1255</v>
      </c>
      <c r="I2711" s="14" t="s">
        <v>1217</v>
      </c>
      <c r="J2711" s="14"/>
      <c r="K2711" s="14"/>
      <c r="L2711" s="14"/>
      <c r="M2711" s="14"/>
      <c r="N2711" s="14" t="s">
        <v>1219</v>
      </c>
      <c r="O2711" s="14" t="s">
        <v>1220</v>
      </c>
    </row>
    <row r="2712" spans="1:15" x14ac:dyDescent="0.25">
      <c r="A2712" s="14">
        <v>6101</v>
      </c>
      <c r="B2712" s="14" t="s">
        <v>6257</v>
      </c>
      <c r="C2712" s="14" t="s">
        <v>6257</v>
      </c>
      <c r="D2712" s="14" t="s">
        <v>1807</v>
      </c>
      <c r="E2712" s="15"/>
      <c r="F2712" s="14"/>
      <c r="G2712" s="15"/>
      <c r="H2712" s="14" t="s">
        <v>1255</v>
      </c>
      <c r="I2712" s="14" t="s">
        <v>1217</v>
      </c>
      <c r="J2712" s="14"/>
      <c r="K2712" s="14"/>
      <c r="L2712" s="14"/>
      <c r="M2712" s="14"/>
      <c r="N2712" s="14" t="s">
        <v>1219</v>
      </c>
      <c r="O2712" s="14" t="s">
        <v>1220</v>
      </c>
    </row>
    <row r="2713" spans="1:15" x14ac:dyDescent="0.25">
      <c r="A2713" s="14">
        <v>6103</v>
      </c>
      <c r="B2713" s="14" t="s">
        <v>6258</v>
      </c>
      <c r="C2713" s="14" t="s">
        <v>6258</v>
      </c>
      <c r="D2713" s="14" t="s">
        <v>1807</v>
      </c>
      <c r="E2713" s="15"/>
      <c r="F2713" s="14"/>
      <c r="G2713" s="15"/>
      <c r="H2713" s="14" t="s">
        <v>1255</v>
      </c>
      <c r="I2713" s="14" t="s">
        <v>1217</v>
      </c>
      <c r="J2713" s="14"/>
      <c r="K2713" s="14"/>
      <c r="L2713" s="14"/>
      <c r="M2713" s="14"/>
      <c r="N2713" s="14" t="s">
        <v>1219</v>
      </c>
      <c r="O2713" s="14" t="s">
        <v>1220</v>
      </c>
    </row>
    <row r="2714" spans="1:15" x14ac:dyDescent="0.25">
      <c r="A2714" s="14">
        <v>6128</v>
      </c>
      <c r="B2714" s="14" t="s">
        <v>6259</v>
      </c>
      <c r="C2714" s="14" t="s">
        <v>6259</v>
      </c>
      <c r="D2714" s="14" t="s">
        <v>1807</v>
      </c>
      <c r="E2714" s="15"/>
      <c r="F2714" s="14"/>
      <c r="G2714" s="15"/>
      <c r="H2714" s="14" t="s">
        <v>1255</v>
      </c>
      <c r="I2714" s="14" t="s">
        <v>1217</v>
      </c>
      <c r="J2714" s="14"/>
      <c r="K2714" s="14"/>
      <c r="L2714" s="14"/>
      <c r="M2714" s="14"/>
      <c r="N2714" s="14" t="s">
        <v>1219</v>
      </c>
      <c r="O2714" s="14" t="s">
        <v>1220</v>
      </c>
    </row>
    <row r="2715" spans="1:15" x14ac:dyDescent="0.25">
      <c r="A2715" s="14">
        <v>6091</v>
      </c>
      <c r="B2715" s="14" t="s">
        <v>6260</v>
      </c>
      <c r="C2715" s="14" t="s">
        <v>6260</v>
      </c>
      <c r="D2715" s="14" t="s">
        <v>1807</v>
      </c>
      <c r="E2715" s="15"/>
      <c r="F2715" s="14"/>
      <c r="G2715" s="15"/>
      <c r="H2715" s="14" t="s">
        <v>1255</v>
      </c>
      <c r="I2715" s="14" t="s">
        <v>1217</v>
      </c>
      <c r="J2715" s="14"/>
      <c r="K2715" s="14"/>
      <c r="L2715" s="14"/>
      <c r="M2715" s="14"/>
      <c r="N2715" s="14" t="s">
        <v>1219</v>
      </c>
      <c r="O2715" s="14" t="s">
        <v>1220</v>
      </c>
    </row>
    <row r="2716" spans="1:15" x14ac:dyDescent="0.25">
      <c r="A2716" s="14">
        <v>6035</v>
      </c>
      <c r="B2716" s="14" t="s">
        <v>6261</v>
      </c>
      <c r="C2716" s="14" t="s">
        <v>6261</v>
      </c>
      <c r="D2716" s="14" t="s">
        <v>1807</v>
      </c>
      <c r="E2716" s="15"/>
      <c r="F2716" s="14"/>
      <c r="G2716" s="15"/>
      <c r="H2716" s="14" t="s">
        <v>1255</v>
      </c>
      <c r="I2716" s="14" t="s">
        <v>1217</v>
      </c>
      <c r="J2716" s="14"/>
      <c r="K2716" s="14"/>
      <c r="L2716" s="14"/>
      <c r="M2716" s="14"/>
      <c r="N2716" s="14" t="s">
        <v>1219</v>
      </c>
      <c r="O2716" s="14" t="s">
        <v>1220</v>
      </c>
    </row>
    <row r="2717" spans="1:15" x14ac:dyDescent="0.25">
      <c r="A2717" s="14">
        <v>6054</v>
      </c>
      <c r="B2717" s="14" t="s">
        <v>6262</v>
      </c>
      <c r="C2717" s="14" t="s">
        <v>6262</v>
      </c>
      <c r="D2717" s="14" t="s">
        <v>1807</v>
      </c>
      <c r="E2717" s="15"/>
      <c r="F2717" s="14"/>
      <c r="G2717" s="15"/>
      <c r="H2717" s="14" t="s">
        <v>1255</v>
      </c>
      <c r="I2717" s="14" t="s">
        <v>1217</v>
      </c>
      <c r="J2717" s="14"/>
      <c r="K2717" s="14"/>
      <c r="L2717" s="14"/>
      <c r="M2717" s="14"/>
      <c r="N2717" s="14" t="s">
        <v>1219</v>
      </c>
      <c r="O2717" s="14" t="s">
        <v>1220</v>
      </c>
    </row>
    <row r="2718" spans="1:15" x14ac:dyDescent="0.25">
      <c r="A2718" s="14">
        <v>6129</v>
      </c>
      <c r="B2718" s="14" t="s">
        <v>6263</v>
      </c>
      <c r="C2718" s="14" t="s">
        <v>6263</v>
      </c>
      <c r="D2718" s="14" t="s">
        <v>1807</v>
      </c>
      <c r="E2718" s="15"/>
      <c r="F2718" s="14"/>
      <c r="G2718" s="15"/>
      <c r="H2718" s="14" t="s">
        <v>1255</v>
      </c>
      <c r="I2718" s="14" t="s">
        <v>1217</v>
      </c>
      <c r="J2718" s="14"/>
      <c r="K2718" s="14"/>
      <c r="L2718" s="14"/>
      <c r="M2718" s="14"/>
      <c r="N2718" s="14" t="s">
        <v>1219</v>
      </c>
      <c r="O2718" s="14" t="s">
        <v>1220</v>
      </c>
    </row>
    <row r="2719" spans="1:15" x14ac:dyDescent="0.25">
      <c r="A2719" s="14">
        <v>6130</v>
      </c>
      <c r="B2719" s="14" t="s">
        <v>6264</v>
      </c>
      <c r="C2719" s="14" t="s">
        <v>6264</v>
      </c>
      <c r="D2719" s="14" t="s">
        <v>1807</v>
      </c>
      <c r="E2719" s="15"/>
      <c r="F2719" s="14"/>
      <c r="G2719" s="15"/>
      <c r="H2719" s="14" t="s">
        <v>1255</v>
      </c>
      <c r="I2719" s="14" t="s">
        <v>1217</v>
      </c>
      <c r="J2719" s="14"/>
      <c r="K2719" s="14"/>
      <c r="L2719" s="14"/>
      <c r="M2719" s="14"/>
      <c r="N2719" s="14" t="s">
        <v>1219</v>
      </c>
      <c r="O2719" s="14" t="s">
        <v>1220</v>
      </c>
    </row>
    <row r="2720" spans="1:15" x14ac:dyDescent="0.25">
      <c r="A2720" s="14">
        <v>6131</v>
      </c>
      <c r="B2720" s="14" t="s">
        <v>6265</v>
      </c>
      <c r="C2720" s="14" t="s">
        <v>6265</v>
      </c>
      <c r="D2720" s="14" t="s">
        <v>1807</v>
      </c>
      <c r="E2720" s="15"/>
      <c r="F2720" s="14"/>
      <c r="G2720" s="15"/>
      <c r="H2720" s="14" t="s">
        <v>1255</v>
      </c>
      <c r="I2720" s="14" t="s">
        <v>1217</v>
      </c>
      <c r="J2720" s="14"/>
      <c r="K2720" s="14"/>
      <c r="L2720" s="14"/>
      <c r="M2720" s="14"/>
      <c r="N2720" s="14" t="s">
        <v>1219</v>
      </c>
      <c r="O2720" s="14" t="s">
        <v>1220</v>
      </c>
    </row>
    <row r="2721" spans="1:15" x14ac:dyDescent="0.25">
      <c r="A2721" s="14">
        <v>6092</v>
      </c>
      <c r="B2721" s="14" t="s">
        <v>6266</v>
      </c>
      <c r="C2721" s="14" t="s">
        <v>6266</v>
      </c>
      <c r="D2721" s="14" t="s">
        <v>1807</v>
      </c>
      <c r="E2721" s="15"/>
      <c r="F2721" s="14"/>
      <c r="G2721" s="15"/>
      <c r="H2721" s="14" t="s">
        <v>1255</v>
      </c>
      <c r="I2721" s="14" t="s">
        <v>1217</v>
      </c>
      <c r="J2721" s="14"/>
      <c r="K2721" s="14"/>
      <c r="L2721" s="14"/>
      <c r="M2721" s="14"/>
      <c r="N2721" s="14" t="s">
        <v>1219</v>
      </c>
      <c r="O2721" s="14" t="s">
        <v>1220</v>
      </c>
    </row>
    <row r="2722" spans="1:15" x14ac:dyDescent="0.25">
      <c r="A2722" s="14">
        <v>6016</v>
      </c>
      <c r="B2722" s="14" t="s">
        <v>6267</v>
      </c>
      <c r="C2722" s="14" t="s">
        <v>6267</v>
      </c>
      <c r="D2722" s="14" t="s">
        <v>1807</v>
      </c>
      <c r="E2722" s="15"/>
      <c r="F2722" s="14"/>
      <c r="G2722" s="15"/>
      <c r="H2722" s="14" t="s">
        <v>1255</v>
      </c>
      <c r="I2722" s="14" t="s">
        <v>1217</v>
      </c>
      <c r="J2722" s="14"/>
      <c r="K2722" s="14"/>
      <c r="L2722" s="14"/>
      <c r="M2722" s="14"/>
      <c r="N2722" s="14" t="s">
        <v>1219</v>
      </c>
      <c r="O2722" s="14" t="s">
        <v>1220</v>
      </c>
    </row>
    <row r="2723" spans="1:15" x14ac:dyDescent="0.25">
      <c r="A2723" s="14">
        <v>6036</v>
      </c>
      <c r="B2723" s="14" t="s">
        <v>6268</v>
      </c>
      <c r="C2723" s="14" t="s">
        <v>6268</v>
      </c>
      <c r="D2723" s="14" t="s">
        <v>1807</v>
      </c>
      <c r="E2723" s="15"/>
      <c r="F2723" s="14"/>
      <c r="G2723" s="15"/>
      <c r="H2723" s="14" t="s">
        <v>1255</v>
      </c>
      <c r="I2723" s="14" t="s">
        <v>1217</v>
      </c>
      <c r="J2723" s="14"/>
      <c r="K2723" s="14"/>
      <c r="L2723" s="14"/>
      <c r="M2723" s="14"/>
      <c r="N2723" s="14" t="s">
        <v>1219</v>
      </c>
      <c r="O2723" s="14" t="s">
        <v>1220</v>
      </c>
    </row>
    <row r="2724" spans="1:15" x14ac:dyDescent="0.25">
      <c r="A2724" s="14">
        <v>6096</v>
      </c>
      <c r="B2724" s="14" t="s">
        <v>6269</v>
      </c>
      <c r="C2724" s="14" t="s">
        <v>6269</v>
      </c>
      <c r="D2724" s="14" t="s">
        <v>1807</v>
      </c>
      <c r="E2724" s="15"/>
      <c r="F2724" s="14"/>
      <c r="G2724" s="15"/>
      <c r="H2724" s="14" t="s">
        <v>1255</v>
      </c>
      <c r="I2724" s="14" t="s">
        <v>1217</v>
      </c>
      <c r="J2724" s="14"/>
      <c r="K2724" s="14"/>
      <c r="L2724" s="14"/>
      <c r="M2724" s="14"/>
      <c r="N2724" s="14" t="s">
        <v>1219</v>
      </c>
      <c r="O2724" s="14" t="s">
        <v>1220</v>
      </c>
    </row>
    <row r="2725" spans="1:15" x14ac:dyDescent="0.25">
      <c r="A2725" s="14">
        <v>6017</v>
      </c>
      <c r="B2725" s="14" t="s">
        <v>6270</v>
      </c>
      <c r="C2725" s="14" t="s">
        <v>6270</v>
      </c>
      <c r="D2725" s="14" t="s">
        <v>1807</v>
      </c>
      <c r="E2725" s="15"/>
      <c r="F2725" s="14"/>
      <c r="G2725" s="15"/>
      <c r="H2725" s="14" t="s">
        <v>1255</v>
      </c>
      <c r="I2725" s="14" t="s">
        <v>1217</v>
      </c>
      <c r="J2725" s="14"/>
      <c r="K2725" s="14"/>
      <c r="L2725" s="14"/>
      <c r="M2725" s="14"/>
      <c r="N2725" s="14" t="s">
        <v>1219</v>
      </c>
      <c r="O2725" s="14" t="s">
        <v>1220</v>
      </c>
    </row>
    <row r="2726" spans="1:15" x14ac:dyDescent="0.25">
      <c r="A2726" s="14">
        <v>6037</v>
      </c>
      <c r="B2726" s="14" t="s">
        <v>6271</v>
      </c>
      <c r="C2726" s="14" t="s">
        <v>6271</v>
      </c>
      <c r="D2726" s="14" t="s">
        <v>1807</v>
      </c>
      <c r="E2726" s="15"/>
      <c r="F2726" s="14"/>
      <c r="G2726" s="15"/>
      <c r="H2726" s="14" t="s">
        <v>1255</v>
      </c>
      <c r="I2726" s="14" t="s">
        <v>1217</v>
      </c>
      <c r="J2726" s="14"/>
      <c r="K2726" s="14"/>
      <c r="L2726" s="14"/>
      <c r="M2726" s="14"/>
      <c r="N2726" s="14" t="s">
        <v>1219</v>
      </c>
      <c r="O2726" s="14" t="s">
        <v>1220</v>
      </c>
    </row>
    <row r="2727" spans="1:15" x14ac:dyDescent="0.25">
      <c r="A2727" s="14">
        <v>6132</v>
      </c>
      <c r="B2727" s="14" t="s">
        <v>6272</v>
      </c>
      <c r="C2727" s="14" t="s">
        <v>6272</v>
      </c>
      <c r="D2727" s="14" t="s">
        <v>1807</v>
      </c>
      <c r="E2727" s="15"/>
      <c r="F2727" s="14"/>
      <c r="G2727" s="15"/>
      <c r="H2727" s="14" t="s">
        <v>1255</v>
      </c>
      <c r="I2727" s="14" t="s">
        <v>1217</v>
      </c>
      <c r="J2727" s="14"/>
      <c r="K2727" s="14"/>
      <c r="L2727" s="14"/>
      <c r="M2727" s="14"/>
      <c r="N2727" s="14" t="s">
        <v>1219</v>
      </c>
      <c r="O2727" s="14" t="s">
        <v>1220</v>
      </c>
    </row>
    <row r="2728" spans="1:15" x14ac:dyDescent="0.25">
      <c r="A2728" s="14">
        <v>6039</v>
      </c>
      <c r="B2728" s="14" t="s">
        <v>6273</v>
      </c>
      <c r="C2728" s="14" t="s">
        <v>6273</v>
      </c>
      <c r="D2728" s="14" t="s">
        <v>1807</v>
      </c>
      <c r="E2728" s="15"/>
      <c r="F2728" s="14"/>
      <c r="G2728" s="15"/>
      <c r="H2728" s="14" t="s">
        <v>1255</v>
      </c>
      <c r="I2728" s="14" t="s">
        <v>1217</v>
      </c>
      <c r="J2728" s="14"/>
      <c r="K2728" s="14"/>
      <c r="L2728" s="14"/>
      <c r="M2728" s="14"/>
      <c r="N2728" s="14" t="s">
        <v>1219</v>
      </c>
      <c r="O2728" s="14" t="s">
        <v>1220</v>
      </c>
    </row>
    <row r="2729" spans="1:15" x14ac:dyDescent="0.25">
      <c r="A2729" s="14">
        <v>6040</v>
      </c>
      <c r="B2729" s="14" t="s">
        <v>6274</v>
      </c>
      <c r="C2729" s="14" t="s">
        <v>6274</v>
      </c>
      <c r="D2729" s="14" t="s">
        <v>1807</v>
      </c>
      <c r="E2729" s="15"/>
      <c r="F2729" s="14"/>
      <c r="G2729" s="15"/>
      <c r="H2729" s="14" t="s">
        <v>1255</v>
      </c>
      <c r="I2729" s="14" t="s">
        <v>1217</v>
      </c>
      <c r="J2729" s="14"/>
      <c r="K2729" s="14"/>
      <c r="L2729" s="14"/>
      <c r="M2729" s="14"/>
      <c r="N2729" s="14" t="s">
        <v>1219</v>
      </c>
      <c r="O2729" s="14" t="s">
        <v>1220</v>
      </c>
    </row>
    <row r="2730" spans="1:15" x14ac:dyDescent="0.25">
      <c r="A2730" s="14">
        <v>6133</v>
      </c>
      <c r="B2730" s="14" t="s">
        <v>6275</v>
      </c>
      <c r="C2730" s="14" t="s">
        <v>6275</v>
      </c>
      <c r="D2730" s="14" t="s">
        <v>1807</v>
      </c>
      <c r="E2730" s="15"/>
      <c r="F2730" s="14"/>
      <c r="G2730" s="15"/>
      <c r="H2730" s="14" t="s">
        <v>1255</v>
      </c>
      <c r="I2730" s="14" t="s">
        <v>1217</v>
      </c>
      <c r="J2730" s="14"/>
      <c r="K2730" s="14"/>
      <c r="L2730" s="14"/>
      <c r="M2730" s="14"/>
      <c r="N2730" s="14" t="s">
        <v>1219</v>
      </c>
      <c r="O2730" s="14" t="s">
        <v>1220</v>
      </c>
    </row>
    <row r="2731" spans="1:15" x14ac:dyDescent="0.25">
      <c r="A2731" s="14">
        <v>6134</v>
      </c>
      <c r="B2731" s="14" t="s">
        <v>6276</v>
      </c>
      <c r="C2731" s="14" t="s">
        <v>6276</v>
      </c>
      <c r="D2731" s="14" t="s">
        <v>1807</v>
      </c>
      <c r="E2731" s="15"/>
      <c r="F2731" s="14"/>
      <c r="G2731" s="15"/>
      <c r="H2731" s="14" t="s">
        <v>1255</v>
      </c>
      <c r="I2731" s="14" t="s">
        <v>1217</v>
      </c>
      <c r="J2731" s="14"/>
      <c r="K2731" s="14"/>
      <c r="L2731" s="14"/>
      <c r="M2731" s="14"/>
      <c r="N2731" s="14" t="s">
        <v>1219</v>
      </c>
      <c r="O2731" s="14" t="s">
        <v>1220</v>
      </c>
    </row>
    <row r="2732" spans="1:15" x14ac:dyDescent="0.25">
      <c r="A2732" s="14">
        <v>6135</v>
      </c>
      <c r="B2732" s="14" t="s">
        <v>6277</v>
      </c>
      <c r="C2732" s="14" t="s">
        <v>6277</v>
      </c>
      <c r="D2732" s="14" t="s">
        <v>1807</v>
      </c>
      <c r="E2732" s="15"/>
      <c r="F2732" s="14"/>
      <c r="G2732" s="15"/>
      <c r="H2732" s="14" t="s">
        <v>1255</v>
      </c>
      <c r="I2732" s="14" t="s">
        <v>1217</v>
      </c>
      <c r="J2732" s="14"/>
      <c r="K2732" s="14"/>
      <c r="L2732" s="14"/>
      <c r="M2732" s="14"/>
      <c r="N2732" s="14" t="s">
        <v>1219</v>
      </c>
      <c r="O2732" s="14" t="s">
        <v>1220</v>
      </c>
    </row>
    <row r="2733" spans="1:15" x14ac:dyDescent="0.25">
      <c r="A2733" s="14">
        <v>6097</v>
      </c>
      <c r="B2733" s="14" t="s">
        <v>6278</v>
      </c>
      <c r="C2733" s="14" t="s">
        <v>6278</v>
      </c>
      <c r="D2733" s="14" t="s">
        <v>1807</v>
      </c>
      <c r="E2733" s="15"/>
      <c r="F2733" s="14"/>
      <c r="G2733" s="15"/>
      <c r="H2733" s="14" t="s">
        <v>1255</v>
      </c>
      <c r="I2733" s="14" t="s">
        <v>1217</v>
      </c>
      <c r="J2733" s="14"/>
      <c r="K2733" s="14"/>
      <c r="L2733" s="14"/>
      <c r="M2733" s="14"/>
      <c r="N2733" s="14" t="s">
        <v>1219</v>
      </c>
      <c r="O2733" s="14" t="s">
        <v>1220</v>
      </c>
    </row>
    <row r="2734" spans="1:15" x14ac:dyDescent="0.25">
      <c r="A2734" s="14">
        <v>6136</v>
      </c>
      <c r="B2734" s="14" t="s">
        <v>6279</v>
      </c>
      <c r="C2734" s="14" t="s">
        <v>6279</v>
      </c>
      <c r="D2734" s="14" t="s">
        <v>1807</v>
      </c>
      <c r="E2734" s="15"/>
      <c r="F2734" s="14"/>
      <c r="G2734" s="15"/>
      <c r="H2734" s="14" t="s">
        <v>1255</v>
      </c>
      <c r="I2734" s="14" t="s">
        <v>1217</v>
      </c>
      <c r="J2734" s="14"/>
      <c r="K2734" s="14"/>
      <c r="L2734" s="14"/>
      <c r="M2734" s="14"/>
      <c r="N2734" s="14" t="s">
        <v>1219</v>
      </c>
      <c r="O2734" s="14" t="s">
        <v>1220</v>
      </c>
    </row>
    <row r="2735" spans="1:15" x14ac:dyDescent="0.25">
      <c r="A2735" s="14">
        <v>6137</v>
      </c>
      <c r="B2735" s="14" t="s">
        <v>6280</v>
      </c>
      <c r="C2735" s="14" t="s">
        <v>6280</v>
      </c>
      <c r="D2735" s="14" t="s">
        <v>1807</v>
      </c>
      <c r="E2735" s="15"/>
      <c r="F2735" s="14"/>
      <c r="G2735" s="15"/>
      <c r="H2735" s="14" t="s">
        <v>1255</v>
      </c>
      <c r="I2735" s="14" t="s">
        <v>1217</v>
      </c>
      <c r="J2735" s="14"/>
      <c r="K2735" s="14"/>
      <c r="L2735" s="14"/>
      <c r="M2735" s="14"/>
      <c r="N2735" s="14" t="s">
        <v>1219</v>
      </c>
      <c r="O2735" s="14" t="s">
        <v>1220</v>
      </c>
    </row>
    <row r="2736" spans="1:15" x14ac:dyDescent="0.25">
      <c r="A2736" s="14">
        <v>3608</v>
      </c>
      <c r="B2736" s="14" t="s">
        <v>6281</v>
      </c>
      <c r="C2736" s="14" t="s">
        <v>6281</v>
      </c>
      <c r="D2736" s="14" t="s">
        <v>1349</v>
      </c>
      <c r="E2736" s="15"/>
      <c r="F2736" s="14"/>
      <c r="G2736" s="15"/>
      <c r="H2736" s="14" t="s">
        <v>1255</v>
      </c>
      <c r="I2736" s="14" t="s">
        <v>1360</v>
      </c>
      <c r="J2736" s="14" t="s">
        <v>1360</v>
      </c>
      <c r="K2736" s="14"/>
      <c r="L2736" s="14"/>
      <c r="M2736" s="14" t="s">
        <v>1259</v>
      </c>
      <c r="N2736" s="14" t="s">
        <v>1219</v>
      </c>
      <c r="O2736" s="14" t="s">
        <v>1220</v>
      </c>
    </row>
    <row r="2737" spans="1:15" x14ac:dyDescent="0.25">
      <c r="A2737" s="14">
        <v>3609</v>
      </c>
      <c r="B2737" s="14" t="s">
        <v>6282</v>
      </c>
      <c r="C2737" s="14" t="s">
        <v>6282</v>
      </c>
      <c r="D2737" s="14" t="s">
        <v>1349</v>
      </c>
      <c r="E2737" s="15"/>
      <c r="F2737" s="14"/>
      <c r="G2737" s="15"/>
      <c r="H2737" s="14" t="s">
        <v>1255</v>
      </c>
      <c r="I2737" s="14" t="s">
        <v>1360</v>
      </c>
      <c r="J2737" s="14" t="s">
        <v>1360</v>
      </c>
      <c r="K2737" s="14"/>
      <c r="L2737" s="14"/>
      <c r="M2737" s="14" t="s">
        <v>1259</v>
      </c>
      <c r="N2737" s="14" t="s">
        <v>1219</v>
      </c>
      <c r="O2737" s="14" t="s">
        <v>1220</v>
      </c>
    </row>
    <row r="2738" spans="1:15" x14ac:dyDescent="0.25">
      <c r="A2738" s="14">
        <v>3611</v>
      </c>
      <c r="B2738" s="14" t="s">
        <v>6283</v>
      </c>
      <c r="C2738" s="14" t="s">
        <v>6283</v>
      </c>
      <c r="D2738" s="14" t="s">
        <v>1349</v>
      </c>
      <c r="E2738" s="15"/>
      <c r="F2738" s="14"/>
      <c r="G2738" s="15"/>
      <c r="H2738" s="14" t="s">
        <v>1255</v>
      </c>
      <c r="I2738" s="14" t="s">
        <v>1360</v>
      </c>
      <c r="J2738" s="14" t="s">
        <v>1360</v>
      </c>
      <c r="K2738" s="14"/>
      <c r="L2738" s="14"/>
      <c r="M2738" s="14" t="s">
        <v>1259</v>
      </c>
      <c r="N2738" s="14" t="s">
        <v>1219</v>
      </c>
      <c r="O2738" s="14" t="s">
        <v>1220</v>
      </c>
    </row>
    <row r="2739" spans="1:15" x14ac:dyDescent="0.25">
      <c r="A2739" s="14">
        <v>3610</v>
      </c>
      <c r="B2739" s="14" t="s">
        <v>6284</v>
      </c>
      <c r="C2739" s="14" t="s">
        <v>6284</v>
      </c>
      <c r="D2739" s="14" t="s">
        <v>1349</v>
      </c>
      <c r="E2739" s="15"/>
      <c r="F2739" s="14"/>
      <c r="G2739" s="15"/>
      <c r="H2739" s="14" t="s">
        <v>1255</v>
      </c>
      <c r="I2739" s="14" t="s">
        <v>1360</v>
      </c>
      <c r="J2739" s="14" t="s">
        <v>1360</v>
      </c>
      <c r="K2739" s="14"/>
      <c r="L2739" s="14"/>
      <c r="M2739" s="14" t="s">
        <v>1259</v>
      </c>
      <c r="N2739" s="14" t="s">
        <v>1219</v>
      </c>
      <c r="O2739" s="14" t="s">
        <v>1220</v>
      </c>
    </row>
    <row r="2740" spans="1:15" x14ac:dyDescent="0.25">
      <c r="A2740" s="14">
        <v>1895</v>
      </c>
      <c r="B2740" s="14" t="s">
        <v>6285</v>
      </c>
      <c r="C2740" s="14" t="s">
        <v>6285</v>
      </c>
      <c r="D2740" s="14" t="s">
        <v>1349</v>
      </c>
      <c r="E2740" s="15"/>
      <c r="F2740" s="14"/>
      <c r="G2740" s="15"/>
      <c r="H2740" s="14" t="s">
        <v>1255</v>
      </c>
      <c r="I2740" s="14" t="s">
        <v>1360</v>
      </c>
      <c r="J2740" s="14" t="s">
        <v>1360</v>
      </c>
      <c r="K2740" s="14"/>
      <c r="L2740" s="14"/>
      <c r="M2740" s="14" t="s">
        <v>1259</v>
      </c>
      <c r="N2740" s="14" t="s">
        <v>1219</v>
      </c>
      <c r="O2740" s="14" t="s">
        <v>1220</v>
      </c>
    </row>
    <row r="2741" spans="1:15" x14ac:dyDescent="0.25">
      <c r="A2741" s="14">
        <v>3612</v>
      </c>
      <c r="B2741" s="14" t="s">
        <v>6286</v>
      </c>
      <c r="C2741" s="14" t="s">
        <v>6286</v>
      </c>
      <c r="D2741" s="14" t="s">
        <v>1349</v>
      </c>
      <c r="E2741" s="15"/>
      <c r="F2741" s="14"/>
      <c r="G2741" s="15"/>
      <c r="H2741" s="14" t="s">
        <v>1255</v>
      </c>
      <c r="I2741" s="14" t="s">
        <v>1360</v>
      </c>
      <c r="J2741" s="14" t="s">
        <v>1360</v>
      </c>
      <c r="K2741" s="14"/>
      <c r="L2741" s="14"/>
      <c r="M2741" s="14" t="s">
        <v>1259</v>
      </c>
      <c r="N2741" s="14" t="s">
        <v>1219</v>
      </c>
      <c r="O2741" s="14" t="s">
        <v>1220</v>
      </c>
    </row>
    <row r="2742" spans="1:15" x14ac:dyDescent="0.25">
      <c r="A2742" s="14">
        <v>1628</v>
      </c>
      <c r="B2742" s="14" t="s">
        <v>6287</v>
      </c>
      <c r="C2742" s="14" t="s">
        <v>6287</v>
      </c>
      <c r="D2742" s="14" t="s">
        <v>1349</v>
      </c>
      <c r="E2742" s="15"/>
      <c r="F2742" s="14"/>
      <c r="G2742" s="15"/>
      <c r="H2742" s="14" t="s">
        <v>1380</v>
      </c>
      <c r="I2742" s="14" t="s">
        <v>1360</v>
      </c>
      <c r="J2742" s="14" t="s">
        <v>1360</v>
      </c>
      <c r="K2742" s="14"/>
      <c r="L2742" s="14"/>
      <c r="M2742" s="14" t="s">
        <v>1324</v>
      </c>
      <c r="N2742" s="14" t="s">
        <v>1219</v>
      </c>
      <c r="O2742" s="14" t="s">
        <v>1220</v>
      </c>
    </row>
    <row r="2743" spans="1:15" x14ac:dyDescent="0.25">
      <c r="A2743" s="14">
        <v>1638</v>
      </c>
      <c r="B2743" s="14" t="s">
        <v>6288</v>
      </c>
      <c r="C2743" s="14" t="s">
        <v>6288</v>
      </c>
      <c r="D2743" s="14" t="s">
        <v>5826</v>
      </c>
      <c r="E2743" s="15"/>
      <c r="F2743" s="14" t="s">
        <v>1350</v>
      </c>
      <c r="G2743" s="15"/>
      <c r="H2743" s="14" t="s">
        <v>1380</v>
      </c>
      <c r="I2743" s="14" t="s">
        <v>1360</v>
      </c>
      <c r="J2743" s="14" t="s">
        <v>1385</v>
      </c>
      <c r="K2743" s="14" t="s">
        <v>1257</v>
      </c>
      <c r="L2743" s="14" t="s">
        <v>6239</v>
      </c>
      <c r="M2743" s="14" t="s">
        <v>1324</v>
      </c>
      <c r="N2743" s="14" t="s">
        <v>1219</v>
      </c>
      <c r="O2743" s="14" t="s">
        <v>1220</v>
      </c>
    </row>
    <row r="2744" spans="1:15" x14ac:dyDescent="0.25">
      <c r="A2744" s="14">
        <v>3938</v>
      </c>
      <c r="B2744" s="14" t="s">
        <v>9</v>
      </c>
      <c r="C2744" s="14" t="s">
        <v>9</v>
      </c>
      <c r="D2744" s="14" t="s">
        <v>6289</v>
      </c>
      <c r="E2744" s="16">
        <v>100</v>
      </c>
      <c r="F2744" s="14" t="s">
        <v>6290</v>
      </c>
      <c r="G2744" s="17">
        <v>1000</v>
      </c>
      <c r="H2744" s="14" t="s">
        <v>6290</v>
      </c>
      <c r="I2744" s="14" t="s">
        <v>1256</v>
      </c>
      <c r="J2744" s="14" t="s">
        <v>1233</v>
      </c>
      <c r="K2744" s="14" t="s">
        <v>1415</v>
      </c>
      <c r="L2744" s="14" t="s">
        <v>6291</v>
      </c>
      <c r="M2744" s="14" t="s">
        <v>3330</v>
      </c>
      <c r="N2744" s="14" t="s">
        <v>1237</v>
      </c>
      <c r="O2744" s="14" t="s">
        <v>1220</v>
      </c>
    </row>
    <row r="2745" spans="1:15" x14ac:dyDescent="0.25">
      <c r="A2745" s="14" t="s">
        <v>6292</v>
      </c>
      <c r="B2745" s="14" t="s">
        <v>6293</v>
      </c>
      <c r="C2745" s="14" t="s">
        <v>6293</v>
      </c>
      <c r="D2745" s="14" t="s">
        <v>6289</v>
      </c>
      <c r="E2745" s="16">
        <v>100</v>
      </c>
      <c r="F2745" s="14" t="s">
        <v>6290</v>
      </c>
      <c r="G2745" s="17">
        <v>1000</v>
      </c>
      <c r="H2745" s="14" t="s">
        <v>6290</v>
      </c>
      <c r="I2745" s="14" t="s">
        <v>1351</v>
      </c>
      <c r="J2745" s="14" t="s">
        <v>1351</v>
      </c>
      <c r="K2745" s="14" t="s">
        <v>1415</v>
      </c>
      <c r="L2745" s="14" t="s">
        <v>6291</v>
      </c>
      <c r="M2745" s="14" t="s">
        <v>3330</v>
      </c>
      <c r="N2745" s="14" t="s">
        <v>1237</v>
      </c>
      <c r="O2745" s="14" t="s">
        <v>1220</v>
      </c>
    </row>
    <row r="2746" spans="1:15" x14ac:dyDescent="0.25">
      <c r="A2746" s="14">
        <v>3937</v>
      </c>
      <c r="B2746" s="14" t="s">
        <v>10</v>
      </c>
      <c r="C2746" s="14" t="s">
        <v>10</v>
      </c>
      <c r="D2746" s="14" t="s">
        <v>6289</v>
      </c>
      <c r="E2746" s="16">
        <v>200</v>
      </c>
      <c r="F2746" s="14" t="s">
        <v>6290</v>
      </c>
      <c r="G2746" s="17">
        <v>30000</v>
      </c>
      <c r="H2746" s="14" t="s">
        <v>6290</v>
      </c>
      <c r="I2746" s="14" t="s">
        <v>1256</v>
      </c>
      <c r="J2746" s="14" t="s">
        <v>1233</v>
      </c>
      <c r="K2746" s="14" t="s">
        <v>1257</v>
      </c>
      <c r="L2746" s="14" t="s">
        <v>6294</v>
      </c>
      <c r="M2746" s="14" t="s">
        <v>3330</v>
      </c>
      <c r="N2746" s="14" t="s">
        <v>1237</v>
      </c>
      <c r="O2746" s="14" t="s">
        <v>1220</v>
      </c>
    </row>
    <row r="2747" spans="1:15" x14ac:dyDescent="0.25">
      <c r="A2747" s="14">
        <v>4859</v>
      </c>
      <c r="B2747" s="14" t="s">
        <v>11</v>
      </c>
      <c r="C2747" s="14" t="s">
        <v>11</v>
      </c>
      <c r="D2747" s="14" t="s">
        <v>6289</v>
      </c>
      <c r="E2747" s="16">
        <v>100</v>
      </c>
      <c r="F2747" s="14" t="s">
        <v>6290</v>
      </c>
      <c r="G2747" s="17">
        <v>1000</v>
      </c>
      <c r="H2747" s="14" t="s">
        <v>6290</v>
      </c>
      <c r="I2747" s="14" t="s">
        <v>1256</v>
      </c>
      <c r="J2747" s="14" t="s">
        <v>1242</v>
      </c>
      <c r="K2747" s="14" t="s">
        <v>1415</v>
      </c>
      <c r="L2747" s="14" t="s">
        <v>6295</v>
      </c>
      <c r="M2747" s="14" t="s">
        <v>3330</v>
      </c>
      <c r="N2747" s="14" t="s">
        <v>1237</v>
      </c>
      <c r="O2747" s="14" t="s">
        <v>1220</v>
      </c>
    </row>
    <row r="2748" spans="1:15" x14ac:dyDescent="0.25">
      <c r="A2748" s="14">
        <v>4858</v>
      </c>
      <c r="B2748" s="14" t="s">
        <v>12</v>
      </c>
      <c r="C2748" s="14" t="s">
        <v>12</v>
      </c>
      <c r="D2748" s="14" t="s">
        <v>6289</v>
      </c>
      <c r="E2748" s="16">
        <v>200</v>
      </c>
      <c r="F2748" s="14" t="s">
        <v>6290</v>
      </c>
      <c r="G2748" s="17">
        <v>5000</v>
      </c>
      <c r="H2748" s="14" t="s">
        <v>6290</v>
      </c>
      <c r="I2748" s="14" t="s">
        <v>1256</v>
      </c>
      <c r="J2748" s="14" t="s">
        <v>1233</v>
      </c>
      <c r="K2748" s="14" t="s">
        <v>1257</v>
      </c>
      <c r="L2748" s="14" t="s">
        <v>6296</v>
      </c>
      <c r="M2748" s="14" t="s">
        <v>3330</v>
      </c>
      <c r="N2748" s="14" t="s">
        <v>1237</v>
      </c>
      <c r="O2748" s="14" t="s">
        <v>1220</v>
      </c>
    </row>
    <row r="2749" spans="1:15" x14ac:dyDescent="0.25">
      <c r="A2749" s="14">
        <v>1230</v>
      </c>
      <c r="B2749" s="14" t="s">
        <v>1178</v>
      </c>
      <c r="C2749" s="14" t="s">
        <v>1178</v>
      </c>
      <c r="D2749" s="14" t="s">
        <v>6297</v>
      </c>
      <c r="E2749" s="16">
        <v>200</v>
      </c>
      <c r="F2749" s="14" t="s">
        <v>3337</v>
      </c>
      <c r="G2749" s="17">
        <v>5000</v>
      </c>
      <c r="H2749" s="14" t="s">
        <v>3329</v>
      </c>
      <c r="I2749" s="14" t="s">
        <v>1232</v>
      </c>
      <c r="J2749" s="14" t="s">
        <v>1233</v>
      </c>
      <c r="K2749" s="14" t="s">
        <v>6298</v>
      </c>
      <c r="L2749" s="14" t="s">
        <v>6299</v>
      </c>
      <c r="M2749" s="14" t="s">
        <v>3339</v>
      </c>
      <c r="N2749" s="14" t="s">
        <v>1237</v>
      </c>
      <c r="O2749" s="14" t="s">
        <v>1220</v>
      </c>
    </row>
    <row r="2750" spans="1:15" x14ac:dyDescent="0.25">
      <c r="A2750" s="14">
        <v>1233</v>
      </c>
      <c r="B2750" s="14" t="s">
        <v>1179</v>
      </c>
      <c r="C2750" s="14" t="s">
        <v>1179</v>
      </c>
      <c r="D2750" s="14" t="s">
        <v>6297</v>
      </c>
      <c r="E2750" s="16">
        <v>200</v>
      </c>
      <c r="F2750" s="14" t="s">
        <v>3337</v>
      </c>
      <c r="G2750" s="17">
        <v>5000</v>
      </c>
      <c r="H2750" s="14" t="s">
        <v>3329</v>
      </c>
      <c r="I2750" s="14" t="s">
        <v>1232</v>
      </c>
      <c r="J2750" s="14" t="s">
        <v>1233</v>
      </c>
      <c r="K2750" s="14" t="s">
        <v>6298</v>
      </c>
      <c r="L2750" s="14" t="s">
        <v>6300</v>
      </c>
      <c r="M2750" s="14" t="s">
        <v>3339</v>
      </c>
      <c r="N2750" s="14" t="s">
        <v>1237</v>
      </c>
      <c r="O2750" s="14" t="s">
        <v>1220</v>
      </c>
    </row>
    <row r="2751" spans="1:15" x14ac:dyDescent="0.25">
      <c r="A2751" s="14">
        <v>1236</v>
      </c>
      <c r="B2751" s="14" t="s">
        <v>1180</v>
      </c>
      <c r="C2751" s="14" t="s">
        <v>1180</v>
      </c>
      <c r="D2751" s="14" t="s">
        <v>6297</v>
      </c>
      <c r="E2751" s="16">
        <v>200</v>
      </c>
      <c r="F2751" s="14" t="s">
        <v>3337</v>
      </c>
      <c r="G2751" s="17">
        <v>5000</v>
      </c>
      <c r="H2751" s="14" t="s">
        <v>3329</v>
      </c>
      <c r="I2751" s="14" t="s">
        <v>1232</v>
      </c>
      <c r="J2751" s="14" t="s">
        <v>1233</v>
      </c>
      <c r="K2751" s="14" t="s">
        <v>6298</v>
      </c>
      <c r="L2751" s="14" t="s">
        <v>6301</v>
      </c>
      <c r="M2751" s="14" t="s">
        <v>3339</v>
      </c>
      <c r="N2751" s="14" t="s">
        <v>1237</v>
      </c>
      <c r="O2751" s="14" t="s">
        <v>1220</v>
      </c>
    </row>
    <row r="2752" spans="1:15" x14ac:dyDescent="0.25">
      <c r="A2752" s="14">
        <v>1238</v>
      </c>
      <c r="B2752" s="14" t="s">
        <v>1181</v>
      </c>
      <c r="C2752" s="14" t="s">
        <v>1181</v>
      </c>
      <c r="D2752" s="14" t="s">
        <v>6297</v>
      </c>
      <c r="E2752" s="16">
        <v>200</v>
      </c>
      <c r="F2752" s="14" t="s">
        <v>3337</v>
      </c>
      <c r="G2752" s="17">
        <v>5000</v>
      </c>
      <c r="H2752" s="14" t="s">
        <v>3329</v>
      </c>
      <c r="I2752" s="14" t="s">
        <v>1232</v>
      </c>
      <c r="J2752" s="14" t="s">
        <v>1233</v>
      </c>
      <c r="K2752" s="14" t="s">
        <v>6298</v>
      </c>
      <c r="L2752" s="14" t="s">
        <v>6302</v>
      </c>
      <c r="M2752" s="14" t="s">
        <v>3339</v>
      </c>
      <c r="N2752" s="14" t="s">
        <v>1237</v>
      </c>
      <c r="O2752" s="14" t="s">
        <v>1220</v>
      </c>
    </row>
    <row r="2753" spans="1:15" x14ac:dyDescent="0.25">
      <c r="A2753" s="14">
        <v>1212</v>
      </c>
      <c r="B2753" s="14" t="s">
        <v>6303</v>
      </c>
      <c r="C2753" s="14" t="s">
        <v>6303</v>
      </c>
      <c r="D2753" s="14" t="s">
        <v>6304</v>
      </c>
      <c r="E2753" s="16">
        <v>500</v>
      </c>
      <c r="F2753" s="14" t="s">
        <v>6290</v>
      </c>
      <c r="G2753" s="17">
        <v>10000</v>
      </c>
      <c r="H2753" s="14" t="s">
        <v>6290</v>
      </c>
      <c r="I2753" s="14" t="s">
        <v>1217</v>
      </c>
      <c r="J2753" s="14" t="s">
        <v>1242</v>
      </c>
      <c r="K2753" s="14"/>
      <c r="L2753" s="14" t="s">
        <v>6305</v>
      </c>
      <c r="M2753" s="14"/>
      <c r="N2753" s="14" t="s">
        <v>1219</v>
      </c>
      <c r="O2753" s="14" t="s">
        <v>1220</v>
      </c>
    </row>
    <row r="2754" spans="1:15" x14ac:dyDescent="0.25">
      <c r="A2754" s="14">
        <v>1215</v>
      </c>
      <c r="B2754" s="14" t="s">
        <v>6306</v>
      </c>
      <c r="C2754" s="14" t="s">
        <v>6306</v>
      </c>
      <c r="D2754" s="14" t="s">
        <v>6304</v>
      </c>
      <c r="E2754" s="16">
        <v>300</v>
      </c>
      <c r="F2754" s="14"/>
      <c r="G2754" s="17">
        <v>9900</v>
      </c>
      <c r="H2754" s="14" t="s">
        <v>6290</v>
      </c>
      <c r="I2754" s="14" t="s">
        <v>1217</v>
      </c>
      <c r="J2754" s="14" t="s">
        <v>1242</v>
      </c>
      <c r="K2754" s="14"/>
      <c r="L2754" s="14" t="s">
        <v>6307</v>
      </c>
      <c r="M2754" s="14"/>
      <c r="N2754" s="14" t="s">
        <v>1219</v>
      </c>
      <c r="O2754" s="14" t="s">
        <v>1220</v>
      </c>
    </row>
    <row r="2755" spans="1:15" x14ac:dyDescent="0.25">
      <c r="A2755" s="14">
        <v>1211</v>
      </c>
      <c r="B2755" s="14" t="s">
        <v>6308</v>
      </c>
      <c r="C2755" s="14" t="s">
        <v>6308</v>
      </c>
      <c r="D2755" s="14" t="s">
        <v>6304</v>
      </c>
      <c r="E2755" s="16">
        <v>200</v>
      </c>
      <c r="F2755" s="14" t="s">
        <v>6290</v>
      </c>
      <c r="G2755" s="17">
        <v>10000</v>
      </c>
      <c r="H2755" s="14" t="s">
        <v>6290</v>
      </c>
      <c r="I2755" s="14" t="s">
        <v>1232</v>
      </c>
      <c r="J2755" s="14" t="s">
        <v>1296</v>
      </c>
      <c r="K2755" s="14" t="s">
        <v>3871</v>
      </c>
      <c r="L2755" s="14" t="s">
        <v>6309</v>
      </c>
      <c r="M2755" s="14" t="s">
        <v>3339</v>
      </c>
      <c r="N2755" s="14" t="s">
        <v>1237</v>
      </c>
      <c r="O2755" s="14" t="s">
        <v>1220</v>
      </c>
    </row>
    <row r="2756" spans="1:15" x14ac:dyDescent="0.25">
      <c r="A2756" s="14" t="s">
        <v>6310</v>
      </c>
      <c r="B2756" s="14" t="s">
        <v>6311</v>
      </c>
      <c r="C2756" s="14" t="s">
        <v>6311</v>
      </c>
      <c r="D2756" s="14" t="s">
        <v>6304</v>
      </c>
      <c r="E2756" s="16">
        <v>200</v>
      </c>
      <c r="F2756" s="14" t="s">
        <v>6290</v>
      </c>
      <c r="G2756" s="17">
        <v>10000</v>
      </c>
      <c r="H2756" s="14" t="s">
        <v>6290</v>
      </c>
      <c r="I2756" s="14" t="s">
        <v>1351</v>
      </c>
      <c r="J2756" s="14" t="s">
        <v>1351</v>
      </c>
      <c r="K2756" s="14" t="s">
        <v>3871</v>
      </c>
      <c r="L2756" s="14" t="s">
        <v>6309</v>
      </c>
      <c r="M2756" s="14" t="s">
        <v>3339</v>
      </c>
      <c r="N2756" s="14" t="s">
        <v>1237</v>
      </c>
      <c r="O2756" s="14" t="s">
        <v>1220</v>
      </c>
    </row>
    <row r="2757" spans="1:15" x14ac:dyDescent="0.25">
      <c r="A2757" s="14">
        <v>1214</v>
      </c>
      <c r="B2757" s="14" t="s">
        <v>6312</v>
      </c>
      <c r="C2757" s="14" t="s">
        <v>6312</v>
      </c>
      <c r="D2757" s="14" t="s">
        <v>6304</v>
      </c>
      <c r="E2757" s="16">
        <v>200</v>
      </c>
      <c r="F2757" s="14" t="s">
        <v>6290</v>
      </c>
      <c r="G2757" s="17">
        <v>10000</v>
      </c>
      <c r="H2757" s="14" t="s">
        <v>6290</v>
      </c>
      <c r="I2757" s="14" t="s">
        <v>1232</v>
      </c>
      <c r="J2757" s="14" t="s">
        <v>1296</v>
      </c>
      <c r="K2757" s="14" t="s">
        <v>3871</v>
      </c>
      <c r="L2757" s="14" t="s">
        <v>6313</v>
      </c>
      <c r="M2757" s="14" t="s">
        <v>3339</v>
      </c>
      <c r="N2757" s="14" t="s">
        <v>1237</v>
      </c>
      <c r="O2757" s="14" t="s">
        <v>1220</v>
      </c>
    </row>
    <row r="2758" spans="1:15" x14ac:dyDescent="0.25">
      <c r="A2758" s="14">
        <v>3893</v>
      </c>
      <c r="B2758" s="14" t="s">
        <v>345</v>
      </c>
      <c r="C2758" s="14" t="s">
        <v>345</v>
      </c>
      <c r="D2758" s="14" t="s">
        <v>6314</v>
      </c>
      <c r="E2758" s="16">
        <v>100</v>
      </c>
      <c r="F2758" s="14" t="s">
        <v>2140</v>
      </c>
      <c r="G2758" s="17">
        <v>10000</v>
      </c>
      <c r="H2758" s="14" t="s">
        <v>2140</v>
      </c>
      <c r="I2758" s="14" t="s">
        <v>1256</v>
      </c>
      <c r="J2758" s="14" t="s">
        <v>1233</v>
      </c>
      <c r="K2758" s="14" t="s">
        <v>1257</v>
      </c>
      <c r="L2758" s="14" t="s">
        <v>6315</v>
      </c>
      <c r="M2758" s="14" t="s">
        <v>6316</v>
      </c>
      <c r="N2758" s="14" t="s">
        <v>1237</v>
      </c>
      <c r="O2758" s="14" t="s">
        <v>1220</v>
      </c>
    </row>
    <row r="2759" spans="1:15" x14ac:dyDescent="0.25">
      <c r="A2759" s="14">
        <v>3895</v>
      </c>
      <c r="B2759" s="14" t="s">
        <v>346</v>
      </c>
      <c r="C2759" s="14" t="s">
        <v>346</v>
      </c>
      <c r="D2759" s="14" t="s">
        <v>6314</v>
      </c>
      <c r="E2759" s="16">
        <v>100</v>
      </c>
      <c r="F2759" s="14" t="s">
        <v>2140</v>
      </c>
      <c r="G2759" s="17">
        <v>8000</v>
      </c>
      <c r="H2759" s="14" t="s">
        <v>2140</v>
      </c>
      <c r="I2759" s="14" t="s">
        <v>1256</v>
      </c>
      <c r="J2759" s="14" t="s">
        <v>1233</v>
      </c>
      <c r="K2759" s="14" t="s">
        <v>1257</v>
      </c>
      <c r="L2759" s="14" t="s">
        <v>6317</v>
      </c>
      <c r="M2759" s="14" t="s">
        <v>6316</v>
      </c>
      <c r="N2759" s="14" t="s">
        <v>1237</v>
      </c>
      <c r="O2759" s="14" t="s">
        <v>1220</v>
      </c>
    </row>
    <row r="2760" spans="1:15" x14ac:dyDescent="0.25">
      <c r="A2760" s="14">
        <v>3430</v>
      </c>
      <c r="B2760" s="14" t="s">
        <v>347</v>
      </c>
      <c r="C2760" s="14" t="s">
        <v>347</v>
      </c>
      <c r="D2760" s="14" t="s">
        <v>6314</v>
      </c>
      <c r="E2760" s="16">
        <v>60</v>
      </c>
      <c r="F2760" s="14" t="s">
        <v>2140</v>
      </c>
      <c r="G2760" s="17">
        <v>4500</v>
      </c>
      <c r="H2760" s="14" t="s">
        <v>2140</v>
      </c>
      <c r="I2760" s="14" t="s">
        <v>1256</v>
      </c>
      <c r="J2760" s="14" t="s">
        <v>1233</v>
      </c>
      <c r="K2760" s="14" t="s">
        <v>1257</v>
      </c>
      <c r="L2760" s="14" t="s">
        <v>6318</v>
      </c>
      <c r="M2760" s="14" t="s">
        <v>6316</v>
      </c>
      <c r="N2760" s="14" t="s">
        <v>1237</v>
      </c>
      <c r="O2760" s="14" t="s">
        <v>1220</v>
      </c>
    </row>
    <row r="2761" spans="1:15" x14ac:dyDescent="0.25">
      <c r="A2761" s="14">
        <v>3431</v>
      </c>
      <c r="B2761" s="14" t="s">
        <v>348</v>
      </c>
      <c r="C2761" s="14" t="s">
        <v>348</v>
      </c>
      <c r="D2761" s="14" t="s">
        <v>6314</v>
      </c>
      <c r="E2761" s="16">
        <v>40</v>
      </c>
      <c r="F2761" s="14" t="s">
        <v>2140</v>
      </c>
      <c r="G2761" s="17">
        <v>1000</v>
      </c>
      <c r="H2761" s="14" t="s">
        <v>2140</v>
      </c>
      <c r="I2761" s="14" t="s">
        <v>1256</v>
      </c>
      <c r="J2761" s="14" t="s">
        <v>1233</v>
      </c>
      <c r="K2761" s="14" t="s">
        <v>1257</v>
      </c>
      <c r="L2761" s="14" t="s">
        <v>6319</v>
      </c>
      <c r="M2761" s="14" t="s">
        <v>6316</v>
      </c>
      <c r="N2761" s="14" t="s">
        <v>1237</v>
      </c>
      <c r="O2761" s="14" t="s">
        <v>1220</v>
      </c>
    </row>
    <row r="2762" spans="1:15" x14ac:dyDescent="0.25">
      <c r="A2762" s="14">
        <v>3432</v>
      </c>
      <c r="B2762" s="14" t="s">
        <v>349</v>
      </c>
      <c r="C2762" s="14" t="s">
        <v>349</v>
      </c>
      <c r="D2762" s="14" t="s">
        <v>6314</v>
      </c>
      <c r="E2762" s="16">
        <v>24</v>
      </c>
      <c r="F2762" s="14" t="s">
        <v>2140</v>
      </c>
      <c r="G2762" s="16">
        <v>280</v>
      </c>
      <c r="H2762" s="14" t="s">
        <v>2140</v>
      </c>
      <c r="I2762" s="14" t="s">
        <v>1256</v>
      </c>
      <c r="J2762" s="14" t="s">
        <v>1233</v>
      </c>
      <c r="K2762" s="14" t="s">
        <v>1257</v>
      </c>
      <c r="L2762" s="14" t="s">
        <v>6320</v>
      </c>
      <c r="M2762" s="14" t="s">
        <v>6316</v>
      </c>
      <c r="N2762" s="14" t="s">
        <v>1237</v>
      </c>
      <c r="O2762" s="14" t="s">
        <v>1220</v>
      </c>
    </row>
    <row r="2763" spans="1:15" x14ac:dyDescent="0.25">
      <c r="A2763" s="14">
        <v>3433</v>
      </c>
      <c r="B2763" s="14" t="s">
        <v>350</v>
      </c>
      <c r="C2763" s="14" t="s">
        <v>350</v>
      </c>
      <c r="D2763" s="14" t="s">
        <v>6314</v>
      </c>
      <c r="E2763" s="16">
        <v>16</v>
      </c>
      <c r="F2763" s="14" t="s">
        <v>2140</v>
      </c>
      <c r="G2763" s="16">
        <v>160</v>
      </c>
      <c r="H2763" s="14" t="s">
        <v>2140</v>
      </c>
      <c r="I2763" s="14" t="s">
        <v>1256</v>
      </c>
      <c r="J2763" s="14" t="s">
        <v>1242</v>
      </c>
      <c r="K2763" s="14" t="s">
        <v>1257</v>
      </c>
      <c r="L2763" s="14" t="s">
        <v>6321</v>
      </c>
      <c r="M2763" s="14" t="s">
        <v>6316</v>
      </c>
      <c r="N2763" s="14" t="s">
        <v>1237</v>
      </c>
      <c r="O2763" s="14" t="s">
        <v>1220</v>
      </c>
    </row>
    <row r="2764" spans="1:15" x14ac:dyDescent="0.25">
      <c r="A2764" s="14">
        <v>3443</v>
      </c>
      <c r="B2764" s="14" t="s">
        <v>359</v>
      </c>
      <c r="C2764" s="14" t="s">
        <v>6322</v>
      </c>
      <c r="D2764" s="14" t="s">
        <v>6314</v>
      </c>
      <c r="E2764" s="16">
        <v>4</v>
      </c>
      <c r="F2764" s="14" t="s">
        <v>2140</v>
      </c>
      <c r="G2764" s="16">
        <v>40</v>
      </c>
      <c r="H2764" s="14" t="s">
        <v>2140</v>
      </c>
      <c r="I2764" s="14" t="s">
        <v>1256</v>
      </c>
      <c r="J2764" s="14" t="s">
        <v>1296</v>
      </c>
      <c r="K2764" s="14" t="s">
        <v>1257</v>
      </c>
      <c r="L2764" s="14" t="s">
        <v>6323</v>
      </c>
      <c r="M2764" s="14" t="s">
        <v>6324</v>
      </c>
      <c r="N2764" s="14" t="s">
        <v>1237</v>
      </c>
      <c r="O2764" s="14" t="s">
        <v>1220</v>
      </c>
    </row>
    <row r="2765" spans="1:15" x14ac:dyDescent="0.25">
      <c r="A2765" s="14">
        <v>3435</v>
      </c>
      <c r="B2765" s="14" t="s">
        <v>351</v>
      </c>
      <c r="C2765" s="14" t="s">
        <v>351</v>
      </c>
      <c r="D2765" s="14" t="s">
        <v>6314</v>
      </c>
      <c r="E2765" s="16">
        <v>100</v>
      </c>
      <c r="F2765" s="14" t="s">
        <v>2140</v>
      </c>
      <c r="G2765" s="17">
        <v>10000</v>
      </c>
      <c r="H2765" s="14" t="s">
        <v>2140</v>
      </c>
      <c r="I2765" s="14" t="s">
        <v>1256</v>
      </c>
      <c r="J2765" s="14" t="s">
        <v>1233</v>
      </c>
      <c r="K2765" s="14" t="s">
        <v>1257</v>
      </c>
      <c r="L2765" s="14" t="s">
        <v>6325</v>
      </c>
      <c r="M2765" s="14" t="s">
        <v>6324</v>
      </c>
      <c r="N2765" s="14" t="s">
        <v>1237</v>
      </c>
      <c r="O2765" s="14" t="s">
        <v>1220</v>
      </c>
    </row>
    <row r="2766" spans="1:15" x14ac:dyDescent="0.25">
      <c r="A2766" s="14">
        <v>3436</v>
      </c>
      <c r="B2766" s="14" t="s">
        <v>352</v>
      </c>
      <c r="C2766" s="14" t="s">
        <v>352</v>
      </c>
      <c r="D2766" s="14" t="s">
        <v>6314</v>
      </c>
      <c r="E2766" s="16">
        <v>100</v>
      </c>
      <c r="F2766" s="14" t="s">
        <v>2140</v>
      </c>
      <c r="G2766" s="17">
        <v>8000</v>
      </c>
      <c r="H2766" s="14" t="s">
        <v>2140</v>
      </c>
      <c r="I2766" s="14" t="s">
        <v>1256</v>
      </c>
      <c r="J2766" s="14" t="s">
        <v>1233</v>
      </c>
      <c r="K2766" s="14" t="s">
        <v>1257</v>
      </c>
      <c r="L2766" s="14" t="s">
        <v>6326</v>
      </c>
      <c r="M2766" s="14" t="s">
        <v>6324</v>
      </c>
      <c r="N2766" s="14" t="s">
        <v>1237</v>
      </c>
      <c r="O2766" s="14" t="s">
        <v>1220</v>
      </c>
    </row>
    <row r="2767" spans="1:15" x14ac:dyDescent="0.25">
      <c r="A2767" s="14">
        <v>3437</v>
      </c>
      <c r="B2767" s="14" t="s">
        <v>353</v>
      </c>
      <c r="C2767" s="14" t="s">
        <v>353</v>
      </c>
      <c r="D2767" s="14" t="s">
        <v>6314</v>
      </c>
      <c r="E2767" s="16">
        <v>60</v>
      </c>
      <c r="F2767" s="14" t="s">
        <v>2140</v>
      </c>
      <c r="G2767" s="17">
        <v>4500</v>
      </c>
      <c r="H2767" s="14" t="s">
        <v>2140</v>
      </c>
      <c r="I2767" s="14" t="s">
        <v>1256</v>
      </c>
      <c r="J2767" s="14" t="s">
        <v>1233</v>
      </c>
      <c r="K2767" s="14" t="s">
        <v>1257</v>
      </c>
      <c r="L2767" s="14" t="s">
        <v>6327</v>
      </c>
      <c r="M2767" s="14" t="s">
        <v>6324</v>
      </c>
      <c r="N2767" s="14" t="s">
        <v>1237</v>
      </c>
      <c r="O2767" s="14" t="s">
        <v>1220</v>
      </c>
    </row>
    <row r="2768" spans="1:15" x14ac:dyDescent="0.25">
      <c r="A2768" s="14">
        <v>3438</v>
      </c>
      <c r="B2768" s="14" t="s">
        <v>354</v>
      </c>
      <c r="C2768" s="14" t="s">
        <v>354</v>
      </c>
      <c r="D2768" s="14" t="s">
        <v>6314</v>
      </c>
      <c r="E2768" s="16">
        <v>40</v>
      </c>
      <c r="F2768" s="14" t="s">
        <v>2140</v>
      </c>
      <c r="G2768" s="17">
        <v>1000</v>
      </c>
      <c r="H2768" s="14" t="s">
        <v>2140</v>
      </c>
      <c r="I2768" s="14" t="s">
        <v>1256</v>
      </c>
      <c r="J2768" s="14" t="s">
        <v>1233</v>
      </c>
      <c r="K2768" s="14" t="s">
        <v>1257</v>
      </c>
      <c r="L2768" s="14" t="s">
        <v>6328</v>
      </c>
      <c r="M2768" s="14" t="s">
        <v>6324</v>
      </c>
      <c r="N2768" s="14" t="s">
        <v>1219</v>
      </c>
      <c r="O2768" s="14" t="s">
        <v>1220</v>
      </c>
    </row>
    <row r="2769" spans="1:15" x14ac:dyDescent="0.25">
      <c r="A2769" s="14">
        <v>3439</v>
      </c>
      <c r="B2769" s="14" t="s">
        <v>355</v>
      </c>
      <c r="C2769" s="14" t="s">
        <v>355</v>
      </c>
      <c r="D2769" s="14" t="s">
        <v>6314</v>
      </c>
      <c r="E2769" s="16">
        <v>24</v>
      </c>
      <c r="F2769" s="14" t="s">
        <v>2140</v>
      </c>
      <c r="G2769" s="16">
        <v>240</v>
      </c>
      <c r="H2769" s="14" t="s">
        <v>2140</v>
      </c>
      <c r="I2769" s="14" t="s">
        <v>1256</v>
      </c>
      <c r="J2769" s="14" t="s">
        <v>1242</v>
      </c>
      <c r="K2769" s="14" t="s">
        <v>1257</v>
      </c>
      <c r="L2769" s="14" t="s">
        <v>6329</v>
      </c>
      <c r="M2769" s="14" t="s">
        <v>6324</v>
      </c>
      <c r="N2769" s="14" t="s">
        <v>1237</v>
      </c>
      <c r="O2769" s="14" t="s">
        <v>1220</v>
      </c>
    </row>
    <row r="2770" spans="1:15" x14ac:dyDescent="0.25">
      <c r="A2770" s="14">
        <v>3440</v>
      </c>
      <c r="B2770" s="14" t="s">
        <v>356</v>
      </c>
      <c r="C2770" s="14" t="s">
        <v>356</v>
      </c>
      <c r="D2770" s="14" t="s">
        <v>6314</v>
      </c>
      <c r="E2770" s="16">
        <v>16</v>
      </c>
      <c r="F2770" s="14" t="s">
        <v>2140</v>
      </c>
      <c r="G2770" s="16">
        <v>160</v>
      </c>
      <c r="H2770" s="14" t="s">
        <v>2140</v>
      </c>
      <c r="I2770" s="14" t="s">
        <v>1256</v>
      </c>
      <c r="J2770" s="14" t="s">
        <v>1296</v>
      </c>
      <c r="K2770" s="14" t="s">
        <v>1257</v>
      </c>
      <c r="L2770" s="14" t="s">
        <v>6330</v>
      </c>
      <c r="M2770" s="14" t="s">
        <v>6324</v>
      </c>
      <c r="N2770" s="14" t="s">
        <v>1237</v>
      </c>
      <c r="O2770" s="14" t="s">
        <v>1220</v>
      </c>
    </row>
    <row r="2771" spans="1:15" x14ac:dyDescent="0.25">
      <c r="A2771" s="14">
        <v>3441</v>
      </c>
      <c r="B2771" s="14" t="s">
        <v>357</v>
      </c>
      <c r="C2771" s="14" t="s">
        <v>357</v>
      </c>
      <c r="D2771" s="14" t="s">
        <v>6314</v>
      </c>
      <c r="E2771" s="16">
        <v>12</v>
      </c>
      <c r="F2771" s="14" t="s">
        <v>2140</v>
      </c>
      <c r="G2771" s="16">
        <v>120</v>
      </c>
      <c r="H2771" s="14" t="s">
        <v>2140</v>
      </c>
      <c r="I2771" s="14" t="s">
        <v>1256</v>
      </c>
      <c r="J2771" s="14" t="s">
        <v>1296</v>
      </c>
      <c r="K2771" s="14" t="s">
        <v>1257</v>
      </c>
      <c r="L2771" s="14" t="s">
        <v>6331</v>
      </c>
      <c r="M2771" s="14" t="s">
        <v>6324</v>
      </c>
      <c r="N2771" s="14" t="s">
        <v>1237</v>
      </c>
      <c r="O2771" s="14" t="s">
        <v>1220</v>
      </c>
    </row>
    <row r="2772" spans="1:15" x14ac:dyDescent="0.25">
      <c r="A2772" s="14">
        <v>3442</v>
      </c>
      <c r="B2772" s="14" t="s">
        <v>358</v>
      </c>
      <c r="C2772" s="14" t="s">
        <v>358</v>
      </c>
      <c r="D2772" s="14" t="s">
        <v>6314</v>
      </c>
      <c r="E2772" s="16">
        <v>8</v>
      </c>
      <c r="F2772" s="14" t="s">
        <v>2140</v>
      </c>
      <c r="G2772" s="16">
        <v>80</v>
      </c>
      <c r="H2772" s="14" t="s">
        <v>2140</v>
      </c>
      <c r="I2772" s="14" t="s">
        <v>1256</v>
      </c>
      <c r="J2772" s="14" t="s">
        <v>1296</v>
      </c>
      <c r="K2772" s="14" t="s">
        <v>1257</v>
      </c>
      <c r="L2772" s="14" t="s">
        <v>6332</v>
      </c>
      <c r="M2772" s="14" t="s">
        <v>6324</v>
      </c>
      <c r="N2772" s="14" t="s">
        <v>1237</v>
      </c>
      <c r="O2772" s="14" t="s">
        <v>1220</v>
      </c>
    </row>
    <row r="2773" spans="1:15" x14ac:dyDescent="0.25">
      <c r="A2773" s="14">
        <v>3458</v>
      </c>
      <c r="B2773" s="14" t="s">
        <v>368</v>
      </c>
      <c r="C2773" s="14" t="s">
        <v>6333</v>
      </c>
      <c r="D2773" s="14" t="s">
        <v>6314</v>
      </c>
      <c r="E2773" s="16">
        <v>4</v>
      </c>
      <c r="F2773" s="14" t="s">
        <v>2140</v>
      </c>
      <c r="G2773" s="16">
        <v>40</v>
      </c>
      <c r="H2773" s="14" t="s">
        <v>2140</v>
      </c>
      <c r="I2773" s="14" t="s">
        <v>1256</v>
      </c>
      <c r="J2773" s="14" t="s">
        <v>1296</v>
      </c>
      <c r="K2773" s="14" t="s">
        <v>1257</v>
      </c>
      <c r="L2773" s="14" t="s">
        <v>6334</v>
      </c>
      <c r="M2773" s="14" t="s">
        <v>6316</v>
      </c>
      <c r="N2773" s="14" t="s">
        <v>1237</v>
      </c>
      <c r="O2773" s="14" t="s">
        <v>1220</v>
      </c>
    </row>
    <row r="2774" spans="1:15" x14ac:dyDescent="0.25">
      <c r="A2774" s="14">
        <v>3450</v>
      </c>
      <c r="B2774" s="14" t="s">
        <v>360</v>
      </c>
      <c r="C2774" s="14" t="s">
        <v>360</v>
      </c>
      <c r="D2774" s="14" t="s">
        <v>6314</v>
      </c>
      <c r="E2774" s="16">
        <v>100</v>
      </c>
      <c r="F2774" s="14" t="s">
        <v>2140</v>
      </c>
      <c r="G2774" s="17">
        <v>10000</v>
      </c>
      <c r="H2774" s="14" t="s">
        <v>2140</v>
      </c>
      <c r="I2774" s="14" t="s">
        <v>1256</v>
      </c>
      <c r="J2774" s="14" t="s">
        <v>1233</v>
      </c>
      <c r="K2774" s="14" t="s">
        <v>1257</v>
      </c>
      <c r="L2774" s="14" t="s">
        <v>6335</v>
      </c>
      <c r="M2774" s="14" t="s">
        <v>6316</v>
      </c>
      <c r="N2774" s="14" t="s">
        <v>1237</v>
      </c>
      <c r="O2774" s="14" t="s">
        <v>1220</v>
      </c>
    </row>
    <row r="2775" spans="1:15" x14ac:dyDescent="0.25">
      <c r="A2775" s="14">
        <v>3451</v>
      </c>
      <c r="B2775" s="14" t="s">
        <v>361</v>
      </c>
      <c r="C2775" s="14" t="s">
        <v>361</v>
      </c>
      <c r="D2775" s="14" t="s">
        <v>6314</v>
      </c>
      <c r="E2775" s="16">
        <v>100</v>
      </c>
      <c r="F2775" s="14" t="s">
        <v>2140</v>
      </c>
      <c r="G2775" s="17">
        <v>8000</v>
      </c>
      <c r="H2775" s="14" t="s">
        <v>2140</v>
      </c>
      <c r="I2775" s="14" t="s">
        <v>1256</v>
      </c>
      <c r="J2775" s="14" t="s">
        <v>1233</v>
      </c>
      <c r="K2775" s="14" t="s">
        <v>1257</v>
      </c>
      <c r="L2775" s="14" t="s">
        <v>6336</v>
      </c>
      <c r="M2775" s="14" t="s">
        <v>6316</v>
      </c>
      <c r="N2775" s="14" t="s">
        <v>1237</v>
      </c>
      <c r="O2775" s="14" t="s">
        <v>1220</v>
      </c>
    </row>
    <row r="2776" spans="1:15" x14ac:dyDescent="0.25">
      <c r="A2776" s="14">
        <v>3452</v>
      </c>
      <c r="B2776" s="14" t="s">
        <v>362</v>
      </c>
      <c r="C2776" s="14" t="s">
        <v>362</v>
      </c>
      <c r="D2776" s="14" t="s">
        <v>6314</v>
      </c>
      <c r="E2776" s="16">
        <v>60</v>
      </c>
      <c r="F2776" s="14" t="s">
        <v>2140</v>
      </c>
      <c r="G2776" s="17">
        <v>4500</v>
      </c>
      <c r="H2776" s="14" t="s">
        <v>2140</v>
      </c>
      <c r="I2776" s="14" t="s">
        <v>1256</v>
      </c>
      <c r="J2776" s="14" t="s">
        <v>1233</v>
      </c>
      <c r="K2776" s="14" t="s">
        <v>1257</v>
      </c>
      <c r="L2776" s="14" t="s">
        <v>6337</v>
      </c>
      <c r="M2776" s="14" t="s">
        <v>6316</v>
      </c>
      <c r="N2776" s="14" t="s">
        <v>1237</v>
      </c>
      <c r="O2776" s="14" t="s">
        <v>1220</v>
      </c>
    </row>
    <row r="2777" spans="1:15" x14ac:dyDescent="0.25">
      <c r="A2777" s="14">
        <v>3453</v>
      </c>
      <c r="B2777" s="14" t="s">
        <v>363</v>
      </c>
      <c r="C2777" s="14" t="s">
        <v>363</v>
      </c>
      <c r="D2777" s="14" t="s">
        <v>6314</v>
      </c>
      <c r="E2777" s="16">
        <v>40</v>
      </c>
      <c r="F2777" s="14" t="s">
        <v>2140</v>
      </c>
      <c r="G2777" s="17">
        <v>1000</v>
      </c>
      <c r="H2777" s="14" t="s">
        <v>2140</v>
      </c>
      <c r="I2777" s="14" t="s">
        <v>1256</v>
      </c>
      <c r="J2777" s="14" t="s">
        <v>1233</v>
      </c>
      <c r="K2777" s="14" t="s">
        <v>1257</v>
      </c>
      <c r="L2777" s="14" t="s">
        <v>6338</v>
      </c>
      <c r="M2777" s="14" t="s">
        <v>6316</v>
      </c>
      <c r="N2777" s="14" t="s">
        <v>1237</v>
      </c>
      <c r="O2777" s="14" t="s">
        <v>1220</v>
      </c>
    </row>
    <row r="2778" spans="1:15" x14ac:dyDescent="0.25">
      <c r="A2778" s="14">
        <v>3454</v>
      </c>
      <c r="B2778" s="14" t="s">
        <v>364</v>
      </c>
      <c r="C2778" s="14" t="s">
        <v>364</v>
      </c>
      <c r="D2778" s="14" t="s">
        <v>6314</v>
      </c>
      <c r="E2778" s="16">
        <v>24</v>
      </c>
      <c r="F2778" s="14" t="s">
        <v>2140</v>
      </c>
      <c r="G2778" s="16">
        <v>240</v>
      </c>
      <c r="H2778" s="14" t="s">
        <v>2140</v>
      </c>
      <c r="I2778" s="14" t="s">
        <v>1256</v>
      </c>
      <c r="J2778" s="14" t="s">
        <v>1233</v>
      </c>
      <c r="K2778" s="14" t="s">
        <v>1257</v>
      </c>
      <c r="L2778" s="14" t="s">
        <v>6339</v>
      </c>
      <c r="M2778" s="14" t="s">
        <v>6316</v>
      </c>
      <c r="N2778" s="14" t="s">
        <v>1237</v>
      </c>
      <c r="O2778" s="14" t="s">
        <v>1220</v>
      </c>
    </row>
    <row r="2779" spans="1:15" x14ac:dyDescent="0.25">
      <c r="A2779" s="14">
        <v>3455</v>
      </c>
      <c r="B2779" s="14" t="s">
        <v>365</v>
      </c>
      <c r="C2779" s="14" t="s">
        <v>365</v>
      </c>
      <c r="D2779" s="14" t="s">
        <v>6314</v>
      </c>
      <c r="E2779" s="16">
        <v>16</v>
      </c>
      <c r="F2779" s="14" t="s">
        <v>2140</v>
      </c>
      <c r="G2779" s="16">
        <v>160</v>
      </c>
      <c r="H2779" s="14" t="s">
        <v>2140</v>
      </c>
      <c r="I2779" s="14" t="s">
        <v>1256</v>
      </c>
      <c r="J2779" s="14" t="s">
        <v>1242</v>
      </c>
      <c r="K2779" s="14" t="s">
        <v>1257</v>
      </c>
      <c r="L2779" s="14" t="s">
        <v>6340</v>
      </c>
      <c r="M2779" s="14" t="s">
        <v>6316</v>
      </c>
      <c r="N2779" s="14" t="s">
        <v>1237</v>
      </c>
      <c r="O2779" s="14" t="s">
        <v>1220</v>
      </c>
    </row>
    <row r="2780" spans="1:15" x14ac:dyDescent="0.25">
      <c r="A2780" s="14">
        <v>3456</v>
      </c>
      <c r="B2780" s="14" t="s">
        <v>366</v>
      </c>
      <c r="C2780" s="14" t="s">
        <v>366</v>
      </c>
      <c r="D2780" s="14" t="s">
        <v>6314</v>
      </c>
      <c r="E2780" s="16">
        <v>12</v>
      </c>
      <c r="F2780" s="14" t="s">
        <v>2140</v>
      </c>
      <c r="G2780" s="16">
        <v>120</v>
      </c>
      <c r="H2780" s="14" t="s">
        <v>2140</v>
      </c>
      <c r="I2780" s="14" t="s">
        <v>1256</v>
      </c>
      <c r="J2780" s="14" t="s">
        <v>1296</v>
      </c>
      <c r="K2780" s="14" t="s">
        <v>1257</v>
      </c>
      <c r="L2780" s="14" t="s">
        <v>6341</v>
      </c>
      <c r="M2780" s="14" t="s">
        <v>6316</v>
      </c>
      <c r="N2780" s="14" t="s">
        <v>1237</v>
      </c>
      <c r="O2780" s="14" t="s">
        <v>1220</v>
      </c>
    </row>
    <row r="2781" spans="1:15" x14ac:dyDescent="0.25">
      <c r="A2781" s="14">
        <v>3457</v>
      </c>
      <c r="B2781" s="14" t="s">
        <v>367</v>
      </c>
      <c r="C2781" s="14" t="s">
        <v>367</v>
      </c>
      <c r="D2781" s="14" t="s">
        <v>6314</v>
      </c>
      <c r="E2781" s="16">
        <v>8</v>
      </c>
      <c r="F2781" s="14" t="s">
        <v>2140</v>
      </c>
      <c r="G2781" s="16">
        <v>80</v>
      </c>
      <c r="H2781" s="14" t="s">
        <v>2140</v>
      </c>
      <c r="I2781" s="14" t="s">
        <v>1256</v>
      </c>
      <c r="J2781" s="14" t="s">
        <v>1296</v>
      </c>
      <c r="K2781" s="14" t="s">
        <v>1257</v>
      </c>
      <c r="L2781" s="14" t="s">
        <v>6342</v>
      </c>
      <c r="M2781" s="14" t="s">
        <v>6316</v>
      </c>
      <c r="N2781" s="14" t="s">
        <v>1237</v>
      </c>
      <c r="O2781" s="14" t="s">
        <v>1220</v>
      </c>
    </row>
    <row r="2782" spans="1:15" x14ac:dyDescent="0.25">
      <c r="A2782" s="14">
        <v>57020</v>
      </c>
      <c r="B2782" s="14" t="s">
        <v>6343</v>
      </c>
      <c r="C2782" s="14" t="s">
        <v>6343</v>
      </c>
      <c r="D2782" s="14" t="s">
        <v>1222</v>
      </c>
      <c r="E2782" s="15"/>
      <c r="F2782" s="14"/>
      <c r="G2782" s="15"/>
      <c r="H2782" s="14" t="s">
        <v>1223</v>
      </c>
      <c r="I2782" s="14"/>
      <c r="J2782" s="14"/>
      <c r="K2782" s="14"/>
      <c r="L2782" s="14"/>
      <c r="M2782" s="14"/>
      <c r="N2782" s="14" t="s">
        <v>1219</v>
      </c>
      <c r="O2782" s="14" t="s">
        <v>1220</v>
      </c>
    </row>
    <row r="2783" spans="1:15" x14ac:dyDescent="0.25">
      <c r="A2783" s="14">
        <v>57035</v>
      </c>
      <c r="B2783" s="14" t="s">
        <v>6344</v>
      </c>
      <c r="C2783" s="14" t="s">
        <v>6344</v>
      </c>
      <c r="D2783" s="14" t="s">
        <v>1222</v>
      </c>
      <c r="E2783" s="15"/>
      <c r="F2783" s="14"/>
      <c r="G2783" s="15"/>
      <c r="H2783" s="14" t="s">
        <v>1223</v>
      </c>
      <c r="I2783" s="14"/>
      <c r="J2783" s="14"/>
      <c r="K2783" s="14"/>
      <c r="L2783" s="14"/>
      <c r="M2783" s="14"/>
      <c r="N2783" s="14" t="s">
        <v>1219</v>
      </c>
      <c r="O2783" s="14" t="s">
        <v>1220</v>
      </c>
    </row>
    <row r="2784" spans="1:15" x14ac:dyDescent="0.25">
      <c r="A2784" s="14">
        <v>57040</v>
      </c>
      <c r="B2784" s="14" t="s">
        <v>6345</v>
      </c>
      <c r="C2784" s="14" t="s">
        <v>6345</v>
      </c>
      <c r="D2784" s="14" t="s">
        <v>1222</v>
      </c>
      <c r="E2784" s="15"/>
      <c r="F2784" s="14"/>
      <c r="G2784" s="15"/>
      <c r="H2784" s="14" t="s">
        <v>1223</v>
      </c>
      <c r="I2784" s="14"/>
      <c r="J2784" s="14"/>
      <c r="K2784" s="14"/>
      <c r="L2784" s="14"/>
      <c r="M2784" s="14"/>
      <c r="N2784" s="14" t="s">
        <v>1219</v>
      </c>
      <c r="O2784" s="14" t="s">
        <v>1220</v>
      </c>
    </row>
    <row r="2785" spans="1:15" x14ac:dyDescent="0.25">
      <c r="A2785" s="14">
        <v>3444</v>
      </c>
      <c r="B2785" s="14" t="s">
        <v>6346</v>
      </c>
      <c r="C2785" s="14" t="s">
        <v>6346</v>
      </c>
      <c r="D2785" s="14" t="s">
        <v>1349</v>
      </c>
      <c r="E2785" s="16">
        <v>100</v>
      </c>
      <c r="F2785" s="14" t="s">
        <v>1350</v>
      </c>
      <c r="G2785" s="17">
        <v>10000</v>
      </c>
      <c r="H2785" s="14" t="s">
        <v>2140</v>
      </c>
      <c r="I2785" s="14" t="s">
        <v>1351</v>
      </c>
      <c r="J2785" s="14" t="s">
        <v>1351</v>
      </c>
      <c r="K2785" s="14" t="s">
        <v>1257</v>
      </c>
      <c r="L2785" s="14" t="s">
        <v>6347</v>
      </c>
      <c r="M2785" s="14" t="s">
        <v>6316</v>
      </c>
      <c r="N2785" s="14" t="s">
        <v>1219</v>
      </c>
      <c r="O2785" s="14" t="s">
        <v>1220</v>
      </c>
    </row>
    <row r="2786" spans="1:15" x14ac:dyDescent="0.25">
      <c r="A2786" s="14">
        <v>3445</v>
      </c>
      <c r="B2786" s="14" t="s">
        <v>6348</v>
      </c>
      <c r="C2786" s="14" t="s">
        <v>6348</v>
      </c>
      <c r="D2786" s="14" t="s">
        <v>1349</v>
      </c>
      <c r="E2786" s="15"/>
      <c r="F2786" s="14" t="s">
        <v>1350</v>
      </c>
      <c r="G2786" s="15"/>
      <c r="H2786" s="14" t="s">
        <v>2140</v>
      </c>
      <c r="I2786" s="14" t="s">
        <v>1360</v>
      </c>
      <c r="J2786" s="14" t="s">
        <v>1360</v>
      </c>
      <c r="K2786" s="14" t="s">
        <v>1257</v>
      </c>
      <c r="L2786" s="14" t="s">
        <v>6349</v>
      </c>
      <c r="M2786" s="14" t="s">
        <v>6316</v>
      </c>
      <c r="N2786" s="14" t="s">
        <v>1219</v>
      </c>
      <c r="O2786" s="14" t="s">
        <v>1220</v>
      </c>
    </row>
    <row r="2787" spans="1:15" x14ac:dyDescent="0.25">
      <c r="A2787" s="14">
        <v>3446</v>
      </c>
      <c r="B2787" s="14" t="s">
        <v>6350</v>
      </c>
      <c r="C2787" s="14" t="s">
        <v>6350</v>
      </c>
      <c r="D2787" s="14" t="s">
        <v>1349</v>
      </c>
      <c r="E2787" s="15"/>
      <c r="F2787" s="14" t="s">
        <v>1350</v>
      </c>
      <c r="G2787" s="15"/>
      <c r="H2787" s="14" t="s">
        <v>2140</v>
      </c>
      <c r="I2787" s="14" t="s">
        <v>1360</v>
      </c>
      <c r="J2787" s="14" t="s">
        <v>1360</v>
      </c>
      <c r="K2787" s="14" t="s">
        <v>1257</v>
      </c>
      <c r="L2787" s="14" t="s">
        <v>6334</v>
      </c>
      <c r="M2787" s="14" t="s">
        <v>6316</v>
      </c>
      <c r="N2787" s="14" t="s">
        <v>1219</v>
      </c>
      <c r="O2787" s="14" t="s">
        <v>1220</v>
      </c>
    </row>
    <row r="2788" spans="1:15" x14ac:dyDescent="0.25">
      <c r="A2788" s="14">
        <v>3447</v>
      </c>
      <c r="B2788" s="14" t="s">
        <v>6351</v>
      </c>
      <c r="C2788" s="14" t="s">
        <v>6351</v>
      </c>
      <c r="D2788" s="14" t="s">
        <v>1349</v>
      </c>
      <c r="E2788" s="15"/>
      <c r="F2788" s="14" t="s">
        <v>1350</v>
      </c>
      <c r="G2788" s="15"/>
      <c r="H2788" s="14" t="s">
        <v>2140</v>
      </c>
      <c r="I2788" s="14" t="s">
        <v>1360</v>
      </c>
      <c r="J2788" s="14" t="s">
        <v>1360</v>
      </c>
      <c r="K2788" s="14" t="s">
        <v>1257</v>
      </c>
      <c r="L2788" s="14" t="s">
        <v>6352</v>
      </c>
      <c r="M2788" s="14" t="s">
        <v>6316</v>
      </c>
      <c r="N2788" s="14" t="s">
        <v>1219</v>
      </c>
      <c r="O2788" s="14" t="s">
        <v>1220</v>
      </c>
    </row>
    <row r="2789" spans="1:15" x14ac:dyDescent="0.25">
      <c r="A2789" s="14">
        <v>3448</v>
      </c>
      <c r="B2789" s="14" t="s">
        <v>6353</v>
      </c>
      <c r="C2789" s="14" t="s">
        <v>6353</v>
      </c>
      <c r="D2789" s="14" t="s">
        <v>1349</v>
      </c>
      <c r="E2789" s="15"/>
      <c r="F2789" s="14"/>
      <c r="G2789" s="15"/>
      <c r="H2789" s="14" t="s">
        <v>2140</v>
      </c>
      <c r="I2789" s="14" t="s">
        <v>1360</v>
      </c>
      <c r="J2789" s="14" t="s">
        <v>1360</v>
      </c>
      <c r="K2789" s="14"/>
      <c r="L2789" s="14"/>
      <c r="M2789" s="14" t="s">
        <v>6316</v>
      </c>
      <c r="N2789" s="14" t="s">
        <v>1219</v>
      </c>
      <c r="O2789" s="14" t="s">
        <v>1220</v>
      </c>
    </row>
    <row r="2790" spans="1:15" x14ac:dyDescent="0.25">
      <c r="A2790" s="14">
        <v>3449</v>
      </c>
      <c r="B2790" s="14" t="s">
        <v>6354</v>
      </c>
      <c r="C2790" s="14" t="s">
        <v>6354</v>
      </c>
      <c r="D2790" s="14" t="s">
        <v>6314</v>
      </c>
      <c r="E2790" s="15"/>
      <c r="F2790" s="14" t="s">
        <v>1350</v>
      </c>
      <c r="G2790" s="15"/>
      <c r="H2790" s="14" t="s">
        <v>2140</v>
      </c>
      <c r="I2790" s="14" t="s">
        <v>1360</v>
      </c>
      <c r="J2790" s="14" t="s">
        <v>1385</v>
      </c>
      <c r="K2790" s="14" t="s">
        <v>1257</v>
      </c>
      <c r="L2790" s="14" t="s">
        <v>6355</v>
      </c>
      <c r="M2790" s="14" t="s">
        <v>6316</v>
      </c>
      <c r="N2790" s="14" t="s">
        <v>1219</v>
      </c>
      <c r="O2790" s="14" t="s">
        <v>1220</v>
      </c>
    </row>
    <row r="2791" spans="1:15" x14ac:dyDescent="0.25">
      <c r="A2791" s="14">
        <v>36842</v>
      </c>
      <c r="B2791" s="14" t="s">
        <v>6356</v>
      </c>
      <c r="C2791" s="14" t="s">
        <v>6356</v>
      </c>
      <c r="D2791" s="14" t="s">
        <v>1222</v>
      </c>
      <c r="E2791" s="15"/>
      <c r="F2791" s="14"/>
      <c r="G2791" s="15"/>
      <c r="H2791" s="14" t="s">
        <v>1223</v>
      </c>
      <c r="I2791" s="14"/>
      <c r="J2791" s="14"/>
      <c r="K2791" s="14"/>
      <c r="L2791" s="14"/>
      <c r="M2791" s="14"/>
      <c r="N2791" s="14" t="s">
        <v>1219</v>
      </c>
      <c r="O2791" s="14" t="s">
        <v>1220</v>
      </c>
    </row>
    <row r="2792" spans="1:15" x14ac:dyDescent="0.25">
      <c r="A2792" s="14">
        <v>36782</v>
      </c>
      <c r="B2792" s="14" t="s">
        <v>6357</v>
      </c>
      <c r="C2792" s="14" t="s">
        <v>6357</v>
      </c>
      <c r="D2792" s="14" t="s">
        <v>1222</v>
      </c>
      <c r="E2792" s="15"/>
      <c r="F2792" s="14"/>
      <c r="G2792" s="15"/>
      <c r="H2792" s="14" t="s">
        <v>1223</v>
      </c>
      <c r="I2792" s="14"/>
      <c r="J2792" s="14"/>
      <c r="K2792" s="14"/>
      <c r="L2792" s="14"/>
      <c r="M2792" s="14"/>
      <c r="N2792" s="14" t="s">
        <v>1219</v>
      </c>
      <c r="O2792" s="14" t="s">
        <v>1220</v>
      </c>
    </row>
    <row r="2793" spans="1:15" x14ac:dyDescent="0.25">
      <c r="A2793" s="14">
        <v>36805</v>
      </c>
      <c r="B2793" s="14" t="s">
        <v>6358</v>
      </c>
      <c r="C2793" s="14" t="s">
        <v>6358</v>
      </c>
      <c r="D2793" s="14" t="s">
        <v>1222</v>
      </c>
      <c r="E2793" s="15"/>
      <c r="F2793" s="14"/>
      <c r="G2793" s="15"/>
      <c r="H2793" s="14" t="s">
        <v>1223</v>
      </c>
      <c r="I2793" s="14"/>
      <c r="J2793" s="14"/>
      <c r="K2793" s="14"/>
      <c r="L2793" s="14"/>
      <c r="M2793" s="14"/>
      <c r="N2793" s="14" t="s">
        <v>1219</v>
      </c>
      <c r="O2793" s="14" t="s">
        <v>1220</v>
      </c>
    </row>
    <row r="2794" spans="1:15" x14ac:dyDescent="0.25">
      <c r="A2794" s="14">
        <v>37572</v>
      </c>
      <c r="B2794" s="14" t="s">
        <v>6359</v>
      </c>
      <c r="C2794" s="14" t="s">
        <v>6359</v>
      </c>
      <c r="D2794" s="14" t="s">
        <v>1222</v>
      </c>
      <c r="E2794" s="15"/>
      <c r="F2794" s="14"/>
      <c r="G2794" s="15"/>
      <c r="H2794" s="14" t="s">
        <v>1223</v>
      </c>
      <c r="I2794" s="14"/>
      <c r="J2794" s="14"/>
      <c r="K2794" s="14"/>
      <c r="L2794" s="14"/>
      <c r="M2794" s="14"/>
      <c r="N2794" s="14" t="s">
        <v>1219</v>
      </c>
      <c r="O2794" s="14" t="s">
        <v>1220</v>
      </c>
    </row>
    <row r="2795" spans="1:15" x14ac:dyDescent="0.25">
      <c r="A2795" s="14">
        <v>36062</v>
      </c>
      <c r="B2795" s="14" t="s">
        <v>6360</v>
      </c>
      <c r="C2795" s="14" t="s">
        <v>6360</v>
      </c>
      <c r="D2795" s="14" t="s">
        <v>1222</v>
      </c>
      <c r="E2795" s="15"/>
      <c r="F2795" s="14"/>
      <c r="G2795" s="15"/>
      <c r="H2795" s="14" t="s">
        <v>1223</v>
      </c>
      <c r="I2795" s="14"/>
      <c r="J2795" s="14"/>
      <c r="K2795" s="14"/>
      <c r="L2795" s="14"/>
      <c r="M2795" s="14"/>
      <c r="N2795" s="14" t="s">
        <v>1219</v>
      </c>
      <c r="O2795" s="14" t="s">
        <v>1220</v>
      </c>
    </row>
    <row r="2796" spans="1:15" x14ac:dyDescent="0.25">
      <c r="A2796" s="14">
        <v>36063</v>
      </c>
      <c r="B2796" s="14" t="s">
        <v>6361</v>
      </c>
      <c r="C2796" s="14" t="s">
        <v>6362</v>
      </c>
      <c r="D2796" s="14" t="s">
        <v>1222</v>
      </c>
      <c r="E2796" s="15"/>
      <c r="F2796" s="14"/>
      <c r="G2796" s="15"/>
      <c r="H2796" s="14" t="s">
        <v>1223</v>
      </c>
      <c r="I2796" s="14"/>
      <c r="J2796" s="14"/>
      <c r="K2796" s="14"/>
      <c r="L2796" s="14"/>
      <c r="M2796" s="14"/>
      <c r="N2796" s="14" t="s">
        <v>1219</v>
      </c>
      <c r="O2796" s="14" t="s">
        <v>1220</v>
      </c>
    </row>
    <row r="2797" spans="1:15" x14ac:dyDescent="0.25">
      <c r="A2797" s="14">
        <v>36060</v>
      </c>
      <c r="B2797" s="14" t="s">
        <v>6363</v>
      </c>
      <c r="C2797" s="14" t="s">
        <v>6363</v>
      </c>
      <c r="D2797" s="14" t="s">
        <v>1222</v>
      </c>
      <c r="E2797" s="15"/>
      <c r="F2797" s="14"/>
      <c r="G2797" s="15"/>
      <c r="H2797" s="14" t="s">
        <v>1223</v>
      </c>
      <c r="I2797" s="14"/>
      <c r="J2797" s="14"/>
      <c r="K2797" s="14"/>
      <c r="L2797" s="14"/>
      <c r="M2797" s="14"/>
      <c r="N2797" s="14" t="s">
        <v>1219</v>
      </c>
      <c r="O2797" s="14" t="s">
        <v>1220</v>
      </c>
    </row>
    <row r="2798" spans="1:15" x14ac:dyDescent="0.25">
      <c r="A2798" s="14">
        <v>36002</v>
      </c>
      <c r="B2798" s="14" t="s">
        <v>6364</v>
      </c>
      <c r="C2798" s="14" t="s">
        <v>6364</v>
      </c>
      <c r="D2798" s="14" t="s">
        <v>1222</v>
      </c>
      <c r="E2798" s="15"/>
      <c r="F2798" s="14"/>
      <c r="G2798" s="15"/>
      <c r="H2798" s="14" t="s">
        <v>1223</v>
      </c>
      <c r="I2798" s="14"/>
      <c r="J2798" s="14"/>
      <c r="K2798" s="14"/>
      <c r="L2798" s="14"/>
      <c r="M2798" s="14"/>
      <c r="N2798" s="14" t="s">
        <v>1219</v>
      </c>
      <c r="O2798" s="14" t="s">
        <v>1220</v>
      </c>
    </row>
    <row r="2799" spans="1:15" x14ac:dyDescent="0.25">
      <c r="A2799" s="14">
        <v>36000</v>
      </c>
      <c r="B2799" s="14" t="s">
        <v>6365</v>
      </c>
      <c r="C2799" s="14" t="s">
        <v>6365</v>
      </c>
      <c r="D2799" s="14" t="s">
        <v>1222</v>
      </c>
      <c r="E2799" s="15"/>
      <c r="F2799" s="14"/>
      <c r="G2799" s="15"/>
      <c r="H2799" s="14" t="s">
        <v>1223</v>
      </c>
      <c r="I2799" s="14"/>
      <c r="J2799" s="14"/>
      <c r="K2799" s="14"/>
      <c r="L2799" s="14"/>
      <c r="M2799" s="14"/>
      <c r="N2799" s="14" t="s">
        <v>1219</v>
      </c>
      <c r="O2799" s="14" t="s">
        <v>1220</v>
      </c>
    </row>
    <row r="2800" spans="1:15" x14ac:dyDescent="0.25">
      <c r="A2800" s="14">
        <v>36722</v>
      </c>
      <c r="B2800" s="14" t="s">
        <v>6366</v>
      </c>
      <c r="C2800" s="14" t="s">
        <v>6366</v>
      </c>
      <c r="D2800" s="14" t="s">
        <v>1222</v>
      </c>
      <c r="E2800" s="15"/>
      <c r="F2800" s="14"/>
      <c r="G2800" s="15"/>
      <c r="H2800" s="14" t="s">
        <v>1223</v>
      </c>
      <c r="I2800" s="14"/>
      <c r="J2800" s="14"/>
      <c r="K2800" s="14"/>
      <c r="L2800" s="14"/>
      <c r="M2800" s="14"/>
      <c r="N2800" s="14" t="s">
        <v>1219</v>
      </c>
      <c r="O2800" s="14" t="s">
        <v>1220</v>
      </c>
    </row>
    <row r="2801" spans="1:15" x14ac:dyDescent="0.25">
      <c r="A2801" s="14">
        <v>36662</v>
      </c>
      <c r="B2801" s="14" t="s">
        <v>6367</v>
      </c>
      <c r="C2801" s="14" t="s">
        <v>6367</v>
      </c>
      <c r="D2801" s="14" t="s">
        <v>1222</v>
      </c>
      <c r="E2801" s="15"/>
      <c r="F2801" s="14"/>
      <c r="G2801" s="15"/>
      <c r="H2801" s="14" t="s">
        <v>1223</v>
      </c>
      <c r="I2801" s="14"/>
      <c r="J2801" s="14"/>
      <c r="K2801" s="14"/>
      <c r="L2801" s="14"/>
      <c r="M2801" s="14"/>
      <c r="N2801" s="14" t="s">
        <v>1219</v>
      </c>
      <c r="O2801" s="14" t="s">
        <v>1220</v>
      </c>
    </row>
    <row r="2802" spans="1:15" x14ac:dyDescent="0.25">
      <c r="A2802" s="14">
        <v>36575</v>
      </c>
      <c r="B2802" s="14" t="s">
        <v>6368</v>
      </c>
      <c r="C2802" s="14" t="s">
        <v>6368</v>
      </c>
      <c r="D2802" s="14" t="s">
        <v>1222</v>
      </c>
      <c r="E2802" s="15"/>
      <c r="F2802" s="14"/>
      <c r="G2802" s="15"/>
      <c r="H2802" s="14" t="s">
        <v>1223</v>
      </c>
      <c r="I2802" s="14"/>
      <c r="J2802" s="14"/>
      <c r="K2802" s="14"/>
      <c r="L2802" s="14"/>
      <c r="M2802" s="14"/>
      <c r="N2802" s="14" t="s">
        <v>1219</v>
      </c>
      <c r="O2802" s="14" t="s">
        <v>1220</v>
      </c>
    </row>
    <row r="2803" spans="1:15" x14ac:dyDescent="0.25">
      <c r="A2803" s="14">
        <v>36008</v>
      </c>
      <c r="B2803" s="14" t="s">
        <v>6369</v>
      </c>
      <c r="C2803" s="14" t="s">
        <v>6369</v>
      </c>
      <c r="D2803" s="14" t="s">
        <v>1222</v>
      </c>
      <c r="E2803" s="15"/>
      <c r="F2803" s="14"/>
      <c r="G2803" s="15"/>
      <c r="H2803" s="14" t="s">
        <v>1223</v>
      </c>
      <c r="I2803" s="14"/>
      <c r="J2803" s="14"/>
      <c r="K2803" s="14"/>
      <c r="L2803" s="14"/>
      <c r="M2803" s="14"/>
      <c r="N2803" s="14" t="s">
        <v>1219</v>
      </c>
      <c r="O2803" s="14" t="s">
        <v>1220</v>
      </c>
    </row>
    <row r="2804" spans="1:15" x14ac:dyDescent="0.25">
      <c r="A2804" s="14">
        <v>50620</v>
      </c>
      <c r="B2804" s="14" t="s">
        <v>6370</v>
      </c>
      <c r="C2804" s="14" t="s">
        <v>6370</v>
      </c>
      <c r="D2804" s="14" t="s">
        <v>1222</v>
      </c>
      <c r="E2804" s="15"/>
      <c r="F2804" s="14"/>
      <c r="G2804" s="15"/>
      <c r="H2804" s="14" t="s">
        <v>1223</v>
      </c>
      <c r="I2804" s="14"/>
      <c r="J2804" s="14"/>
      <c r="K2804" s="14"/>
      <c r="L2804" s="14"/>
      <c r="M2804" s="14"/>
      <c r="N2804" s="14" t="s">
        <v>1219</v>
      </c>
      <c r="O2804" s="14" t="s">
        <v>1220</v>
      </c>
    </row>
    <row r="2805" spans="1:15" x14ac:dyDescent="0.25">
      <c r="A2805" s="14">
        <v>50420</v>
      </c>
      <c r="B2805" s="14" t="s">
        <v>6371</v>
      </c>
      <c r="C2805" s="14" t="s">
        <v>6371</v>
      </c>
      <c r="D2805" s="14" t="s">
        <v>1222</v>
      </c>
      <c r="E2805" s="15"/>
      <c r="F2805" s="14"/>
      <c r="G2805" s="15"/>
      <c r="H2805" s="14" t="s">
        <v>1223</v>
      </c>
      <c r="I2805" s="14"/>
      <c r="J2805" s="14"/>
      <c r="K2805" s="14"/>
      <c r="L2805" s="14"/>
      <c r="M2805" s="14"/>
      <c r="N2805" s="14" t="s">
        <v>1219</v>
      </c>
      <c r="O2805" s="14" t="s">
        <v>1220</v>
      </c>
    </row>
    <row r="2806" spans="1:15" x14ac:dyDescent="0.25">
      <c r="A2806" s="14">
        <v>50425</v>
      </c>
      <c r="B2806" s="14" t="s">
        <v>6372</v>
      </c>
      <c r="C2806" s="14" t="s">
        <v>6372</v>
      </c>
      <c r="D2806" s="14" t="s">
        <v>1222</v>
      </c>
      <c r="E2806" s="15"/>
      <c r="F2806" s="14"/>
      <c r="G2806" s="15"/>
      <c r="H2806" s="14" t="s">
        <v>1223</v>
      </c>
      <c r="I2806" s="14"/>
      <c r="J2806" s="14"/>
      <c r="K2806" s="14"/>
      <c r="L2806" s="14"/>
      <c r="M2806" s="14"/>
      <c r="N2806" s="14" t="s">
        <v>1219</v>
      </c>
      <c r="O2806" s="14" t="s">
        <v>1220</v>
      </c>
    </row>
    <row r="2807" spans="1:15" x14ac:dyDescent="0.25">
      <c r="A2807" s="14">
        <v>50440</v>
      </c>
      <c r="B2807" s="14" t="s">
        <v>6373</v>
      </c>
      <c r="C2807" s="14" t="s">
        <v>6373</v>
      </c>
      <c r="D2807" s="14" t="s">
        <v>1222</v>
      </c>
      <c r="E2807" s="15"/>
      <c r="F2807" s="14"/>
      <c r="G2807" s="15"/>
      <c r="H2807" s="14" t="s">
        <v>1223</v>
      </c>
      <c r="I2807" s="14"/>
      <c r="J2807" s="14"/>
      <c r="K2807" s="14"/>
      <c r="L2807" s="14"/>
      <c r="M2807" s="14"/>
      <c r="N2807" s="14" t="s">
        <v>1219</v>
      </c>
      <c r="O2807" s="14" t="s">
        <v>1220</v>
      </c>
    </row>
    <row r="2808" spans="1:15" x14ac:dyDescent="0.25">
      <c r="A2808" s="14" t="s">
        <v>6374</v>
      </c>
      <c r="B2808" s="14" t="s">
        <v>6375</v>
      </c>
      <c r="C2808" s="14" t="s">
        <v>6375</v>
      </c>
      <c r="D2808" s="14" t="s">
        <v>1283</v>
      </c>
      <c r="E2808" s="15"/>
      <c r="F2808" s="14" t="s">
        <v>1742</v>
      </c>
      <c r="G2808" s="15"/>
      <c r="H2808" s="14" t="s">
        <v>1255</v>
      </c>
      <c r="I2808" s="14" t="s">
        <v>1217</v>
      </c>
      <c r="J2808" s="14" t="s">
        <v>1296</v>
      </c>
      <c r="K2808" s="14"/>
      <c r="L2808" s="14"/>
      <c r="M2808" s="14" t="s">
        <v>1259</v>
      </c>
      <c r="N2808" s="14" t="s">
        <v>1219</v>
      </c>
      <c r="O2808" s="14" t="s">
        <v>1220</v>
      </c>
    </row>
    <row r="2809" spans="1:15" x14ac:dyDescent="0.25">
      <c r="A2809" s="14" t="s">
        <v>6376</v>
      </c>
      <c r="B2809" s="14" t="s">
        <v>6377</v>
      </c>
      <c r="C2809" s="14" t="s">
        <v>6377</v>
      </c>
      <c r="D2809" s="14" t="s">
        <v>1283</v>
      </c>
      <c r="E2809" s="15"/>
      <c r="F2809" s="14" t="s">
        <v>1742</v>
      </c>
      <c r="G2809" s="15"/>
      <c r="H2809" s="14" t="s">
        <v>1255</v>
      </c>
      <c r="I2809" s="14" t="s">
        <v>1217</v>
      </c>
      <c r="J2809" s="14" t="s">
        <v>1242</v>
      </c>
      <c r="K2809" s="14"/>
      <c r="L2809" s="14"/>
      <c r="M2809" s="14" t="s">
        <v>1259</v>
      </c>
      <c r="N2809" s="14" t="s">
        <v>1219</v>
      </c>
      <c r="O2809" s="14" t="s">
        <v>1220</v>
      </c>
    </row>
    <row r="2810" spans="1:15" x14ac:dyDescent="0.25">
      <c r="A2810" s="14" t="s">
        <v>6378</v>
      </c>
      <c r="B2810" s="14" t="s">
        <v>6379</v>
      </c>
      <c r="C2810" s="14" t="s">
        <v>6379</v>
      </c>
      <c r="D2810" s="14" t="s">
        <v>1283</v>
      </c>
      <c r="E2810" s="15"/>
      <c r="F2810" s="14" t="s">
        <v>1742</v>
      </c>
      <c r="G2810" s="15"/>
      <c r="H2810" s="14" t="s">
        <v>1255</v>
      </c>
      <c r="I2810" s="14" t="s">
        <v>1217</v>
      </c>
      <c r="J2810" s="14" t="s">
        <v>1296</v>
      </c>
      <c r="K2810" s="14"/>
      <c r="L2810" s="14"/>
      <c r="M2810" s="14" t="s">
        <v>1259</v>
      </c>
      <c r="N2810" s="14" t="s">
        <v>1219</v>
      </c>
      <c r="O2810" s="14" t="s">
        <v>1220</v>
      </c>
    </row>
    <row r="2811" spans="1:15" x14ac:dyDescent="0.25">
      <c r="A2811" s="14" t="s">
        <v>6380</v>
      </c>
      <c r="B2811" s="14" t="s">
        <v>6381</v>
      </c>
      <c r="C2811" s="14" t="s">
        <v>6381</v>
      </c>
      <c r="D2811" s="14" t="s">
        <v>1283</v>
      </c>
      <c r="E2811" s="15"/>
      <c r="F2811" s="14" t="s">
        <v>1742</v>
      </c>
      <c r="G2811" s="15"/>
      <c r="H2811" s="14" t="s">
        <v>1255</v>
      </c>
      <c r="I2811" s="14" t="s">
        <v>1217</v>
      </c>
      <c r="J2811" s="14" t="s">
        <v>1296</v>
      </c>
      <c r="K2811" s="14"/>
      <c r="L2811" s="14"/>
      <c r="M2811" s="14" t="s">
        <v>1259</v>
      </c>
      <c r="N2811" s="14" t="s">
        <v>1219</v>
      </c>
      <c r="O2811" s="14" t="s">
        <v>1220</v>
      </c>
    </row>
    <row r="2812" spans="1:15" x14ac:dyDescent="0.25">
      <c r="A2812" s="14" t="s">
        <v>6382</v>
      </c>
      <c r="B2812" s="14" t="s">
        <v>6383</v>
      </c>
      <c r="C2812" s="14" t="s">
        <v>6383</v>
      </c>
      <c r="D2812" s="14" t="s">
        <v>1283</v>
      </c>
      <c r="E2812" s="15"/>
      <c r="F2812" s="14" t="s">
        <v>1742</v>
      </c>
      <c r="G2812" s="15"/>
      <c r="H2812" s="14" t="s">
        <v>1255</v>
      </c>
      <c r="I2812" s="14" t="s">
        <v>1217</v>
      </c>
      <c r="J2812" s="14" t="s">
        <v>1296</v>
      </c>
      <c r="K2812" s="14"/>
      <c r="L2812" s="14"/>
      <c r="M2812" s="14" t="s">
        <v>1259</v>
      </c>
      <c r="N2812" s="14" t="s">
        <v>1219</v>
      </c>
      <c r="O2812" s="14" t="s">
        <v>1220</v>
      </c>
    </row>
    <row r="2813" spans="1:15" x14ac:dyDescent="0.25">
      <c r="A2813" s="14" t="s">
        <v>6384</v>
      </c>
      <c r="B2813" s="14" t="s">
        <v>6385</v>
      </c>
      <c r="C2813" s="14" t="s">
        <v>6385</v>
      </c>
      <c r="D2813" s="14" t="s">
        <v>1283</v>
      </c>
      <c r="E2813" s="15"/>
      <c r="F2813" s="14" t="s">
        <v>1742</v>
      </c>
      <c r="G2813" s="15"/>
      <c r="H2813" s="14" t="s">
        <v>1255</v>
      </c>
      <c r="I2813" s="14" t="s">
        <v>1217</v>
      </c>
      <c r="J2813" s="14" t="s">
        <v>1296</v>
      </c>
      <c r="K2813" s="14"/>
      <c r="L2813" s="14"/>
      <c r="M2813" s="14" t="s">
        <v>1259</v>
      </c>
      <c r="N2813" s="14" t="s">
        <v>1219</v>
      </c>
      <c r="O2813" s="14" t="s">
        <v>1220</v>
      </c>
    </row>
    <row r="2814" spans="1:15" x14ac:dyDescent="0.25">
      <c r="A2814" s="14" t="s">
        <v>6386</v>
      </c>
      <c r="B2814" s="14" t="s">
        <v>6387</v>
      </c>
      <c r="C2814" s="14" t="s">
        <v>6387</v>
      </c>
      <c r="D2814" s="14" t="s">
        <v>1283</v>
      </c>
      <c r="E2814" s="15"/>
      <c r="F2814" s="14" t="s">
        <v>3365</v>
      </c>
      <c r="G2814" s="15"/>
      <c r="H2814" s="14" t="s">
        <v>1255</v>
      </c>
      <c r="I2814" s="14" t="s">
        <v>1217</v>
      </c>
      <c r="J2814" s="14" t="s">
        <v>1233</v>
      </c>
      <c r="K2814" s="14"/>
      <c r="L2814" s="14"/>
      <c r="M2814" s="14" t="s">
        <v>1259</v>
      </c>
      <c r="N2814" s="14" t="s">
        <v>1219</v>
      </c>
      <c r="O2814" s="14" t="s">
        <v>1220</v>
      </c>
    </row>
    <row r="2815" spans="1:15" x14ac:dyDescent="0.25">
      <c r="A2815" s="14" t="s">
        <v>6388</v>
      </c>
      <c r="B2815" s="14" t="s">
        <v>6389</v>
      </c>
      <c r="C2815" s="14" t="s">
        <v>6389</v>
      </c>
      <c r="D2815" s="14" t="s">
        <v>1283</v>
      </c>
      <c r="E2815" s="15"/>
      <c r="F2815" s="14" t="s">
        <v>3365</v>
      </c>
      <c r="G2815" s="15"/>
      <c r="H2815" s="14" t="s">
        <v>1255</v>
      </c>
      <c r="I2815" s="14" t="s">
        <v>1217</v>
      </c>
      <c r="J2815" s="14" t="s">
        <v>1233</v>
      </c>
      <c r="K2815" s="14"/>
      <c r="L2815" s="14"/>
      <c r="M2815" s="14" t="s">
        <v>1259</v>
      </c>
      <c r="N2815" s="14" t="s">
        <v>1219</v>
      </c>
      <c r="O2815" s="14" t="s">
        <v>1220</v>
      </c>
    </row>
    <row r="2816" spans="1:15" x14ac:dyDescent="0.25">
      <c r="A2816" s="14" t="s">
        <v>6390</v>
      </c>
      <c r="B2816" s="14" t="s">
        <v>6391</v>
      </c>
      <c r="C2816" s="14" t="s">
        <v>6391</v>
      </c>
      <c r="D2816" s="14" t="s">
        <v>1283</v>
      </c>
      <c r="E2816" s="15"/>
      <c r="F2816" s="14" t="s">
        <v>3365</v>
      </c>
      <c r="G2816" s="15"/>
      <c r="H2816" s="14" t="s">
        <v>1255</v>
      </c>
      <c r="I2816" s="14" t="s">
        <v>1217</v>
      </c>
      <c r="J2816" s="14" t="s">
        <v>1233</v>
      </c>
      <c r="K2816" s="14"/>
      <c r="L2816" s="14"/>
      <c r="M2816" s="14" t="s">
        <v>1259</v>
      </c>
      <c r="N2816" s="14" t="s">
        <v>1219</v>
      </c>
      <c r="O2816" s="14" t="s">
        <v>1220</v>
      </c>
    </row>
    <row r="2817" spans="1:15" x14ac:dyDescent="0.25">
      <c r="A2817" s="14" t="s">
        <v>6392</v>
      </c>
      <c r="B2817" s="14" t="s">
        <v>6393</v>
      </c>
      <c r="C2817" s="14" t="s">
        <v>6393</v>
      </c>
      <c r="D2817" s="14" t="s">
        <v>1283</v>
      </c>
      <c r="E2817" s="15"/>
      <c r="F2817" s="14" t="s">
        <v>1742</v>
      </c>
      <c r="G2817" s="15"/>
      <c r="H2817" s="14" t="s">
        <v>1255</v>
      </c>
      <c r="I2817" s="14" t="s">
        <v>1217</v>
      </c>
      <c r="J2817" s="14" t="s">
        <v>1242</v>
      </c>
      <c r="K2817" s="14"/>
      <c r="L2817" s="14"/>
      <c r="M2817" s="14" t="s">
        <v>1259</v>
      </c>
      <c r="N2817" s="14" t="s">
        <v>1219</v>
      </c>
      <c r="O2817" s="14" t="s">
        <v>1220</v>
      </c>
    </row>
    <row r="2818" spans="1:15" x14ac:dyDescent="0.25">
      <c r="A2818" s="14" t="s">
        <v>6394</v>
      </c>
      <c r="B2818" s="14" t="s">
        <v>6395</v>
      </c>
      <c r="C2818" s="14" t="s">
        <v>6395</v>
      </c>
      <c r="D2818" s="14" t="s">
        <v>1283</v>
      </c>
      <c r="E2818" s="15"/>
      <c r="F2818" s="14" t="s">
        <v>1742</v>
      </c>
      <c r="G2818" s="15"/>
      <c r="H2818" s="14" t="s">
        <v>1255</v>
      </c>
      <c r="I2818" s="14" t="s">
        <v>1217</v>
      </c>
      <c r="J2818" s="14" t="s">
        <v>1242</v>
      </c>
      <c r="K2818" s="14"/>
      <c r="L2818" s="14"/>
      <c r="M2818" s="14" t="s">
        <v>1259</v>
      </c>
      <c r="N2818" s="14" t="s">
        <v>1219</v>
      </c>
      <c r="O2818" s="14" t="s">
        <v>1220</v>
      </c>
    </row>
    <row r="2819" spans="1:15" x14ac:dyDescent="0.25">
      <c r="A2819" s="14" t="s">
        <v>6396</v>
      </c>
      <c r="B2819" s="14" t="s">
        <v>6397</v>
      </c>
      <c r="C2819" s="14" t="s">
        <v>6397</v>
      </c>
      <c r="D2819" s="14" t="s">
        <v>1283</v>
      </c>
      <c r="E2819" s="15"/>
      <c r="F2819" s="14" t="s">
        <v>1742</v>
      </c>
      <c r="G2819" s="15"/>
      <c r="H2819" s="14" t="s">
        <v>1255</v>
      </c>
      <c r="I2819" s="14" t="s">
        <v>1217</v>
      </c>
      <c r="J2819" s="14" t="s">
        <v>1296</v>
      </c>
      <c r="K2819" s="14"/>
      <c r="L2819" s="14"/>
      <c r="M2819" s="14" t="s">
        <v>1259</v>
      </c>
      <c r="N2819" s="14" t="s">
        <v>1219</v>
      </c>
      <c r="O2819" s="14" t="s">
        <v>1220</v>
      </c>
    </row>
    <row r="2820" spans="1:15" x14ac:dyDescent="0.25">
      <c r="A2820" s="14" t="s">
        <v>6398</v>
      </c>
      <c r="B2820" s="14" t="s">
        <v>6399</v>
      </c>
      <c r="C2820" s="14" t="s">
        <v>6399</v>
      </c>
      <c r="D2820" s="14" t="s">
        <v>1512</v>
      </c>
      <c r="E2820" s="15"/>
      <c r="F2820" s="14" t="s">
        <v>1350</v>
      </c>
      <c r="G2820" s="15"/>
      <c r="H2820" s="14" t="s">
        <v>1380</v>
      </c>
      <c r="I2820" s="14" t="s">
        <v>1360</v>
      </c>
      <c r="J2820" s="14" t="s">
        <v>1360</v>
      </c>
      <c r="K2820" s="14" t="s">
        <v>1257</v>
      </c>
      <c r="L2820" s="14" t="s">
        <v>6334</v>
      </c>
      <c r="M2820" s="14" t="s">
        <v>1324</v>
      </c>
      <c r="N2820" s="14" t="s">
        <v>1219</v>
      </c>
      <c r="O2820" s="14" t="s">
        <v>1220</v>
      </c>
    </row>
    <row r="2821" spans="1:15" x14ac:dyDescent="0.25">
      <c r="A2821" s="14" t="s">
        <v>6400</v>
      </c>
      <c r="B2821" s="14" t="s">
        <v>6401</v>
      </c>
      <c r="C2821" s="14" t="s">
        <v>6401</v>
      </c>
      <c r="D2821" s="14" t="s">
        <v>1349</v>
      </c>
      <c r="E2821" s="15"/>
      <c r="F2821" s="14"/>
      <c r="G2821" s="15"/>
      <c r="H2821" s="14" t="s">
        <v>1380</v>
      </c>
      <c r="I2821" s="14" t="s">
        <v>1360</v>
      </c>
      <c r="J2821" s="14" t="s">
        <v>1360</v>
      </c>
      <c r="K2821" s="14"/>
      <c r="L2821" s="14"/>
      <c r="M2821" s="14" t="s">
        <v>1324</v>
      </c>
      <c r="N2821" s="14" t="s">
        <v>1219</v>
      </c>
      <c r="O2821" s="14" t="s">
        <v>1220</v>
      </c>
    </row>
    <row r="2822" spans="1:15" x14ac:dyDescent="0.25">
      <c r="A2822" s="14" t="s">
        <v>6402</v>
      </c>
      <c r="B2822" s="14" t="s">
        <v>6403</v>
      </c>
      <c r="C2822" s="14" t="s">
        <v>6403</v>
      </c>
      <c r="D2822" s="14" t="s">
        <v>1349</v>
      </c>
      <c r="E2822" s="15"/>
      <c r="F2822" s="14"/>
      <c r="G2822" s="15"/>
      <c r="H2822" s="14" t="s">
        <v>1380</v>
      </c>
      <c r="I2822" s="14" t="s">
        <v>1360</v>
      </c>
      <c r="J2822" s="14" t="s">
        <v>1360</v>
      </c>
      <c r="K2822" s="14"/>
      <c r="L2822" s="14"/>
      <c r="M2822" s="14" t="s">
        <v>1324</v>
      </c>
      <c r="N2822" s="14" t="s">
        <v>1219</v>
      </c>
      <c r="O2822" s="14" t="s">
        <v>1220</v>
      </c>
    </row>
    <row r="2823" spans="1:15" x14ac:dyDescent="0.25">
      <c r="A2823" s="14">
        <v>4505</v>
      </c>
      <c r="B2823" s="14" t="s">
        <v>699</v>
      </c>
      <c r="C2823" s="14" t="s">
        <v>6404</v>
      </c>
      <c r="D2823" s="14" t="s">
        <v>1512</v>
      </c>
      <c r="E2823" s="16">
        <v>20</v>
      </c>
      <c r="F2823" s="14" t="s">
        <v>1321</v>
      </c>
      <c r="G2823" s="16">
        <v>260</v>
      </c>
      <c r="H2823" s="14" t="s">
        <v>1322</v>
      </c>
      <c r="I2823" s="14" t="s">
        <v>1256</v>
      </c>
      <c r="J2823" s="14" t="s">
        <v>1242</v>
      </c>
      <c r="K2823" s="14" t="s">
        <v>1387</v>
      </c>
      <c r="L2823" s="14" t="s">
        <v>6405</v>
      </c>
      <c r="M2823" s="14" t="s">
        <v>1324</v>
      </c>
      <c r="N2823" s="14" t="s">
        <v>1237</v>
      </c>
      <c r="O2823" s="14" t="s">
        <v>1220</v>
      </c>
    </row>
    <row r="2824" spans="1:15" x14ac:dyDescent="0.25">
      <c r="A2824" s="14">
        <v>4508</v>
      </c>
      <c r="B2824" s="14" t="s">
        <v>705</v>
      </c>
      <c r="C2824" s="14" t="s">
        <v>6406</v>
      </c>
      <c r="D2824" s="14" t="s">
        <v>1512</v>
      </c>
      <c r="E2824" s="16">
        <v>15</v>
      </c>
      <c r="F2824" s="14" t="s">
        <v>1321</v>
      </c>
      <c r="G2824" s="16">
        <v>150</v>
      </c>
      <c r="H2824" s="14" t="s">
        <v>1322</v>
      </c>
      <c r="I2824" s="14" t="s">
        <v>1256</v>
      </c>
      <c r="J2824" s="14" t="s">
        <v>1296</v>
      </c>
      <c r="K2824" s="14" t="s">
        <v>1387</v>
      </c>
      <c r="L2824" s="14" t="s">
        <v>6407</v>
      </c>
      <c r="M2824" s="14" t="s">
        <v>1324</v>
      </c>
      <c r="N2824" s="14" t="s">
        <v>1237</v>
      </c>
      <c r="O2824" s="14" t="s">
        <v>1220</v>
      </c>
    </row>
    <row r="2825" spans="1:15" x14ac:dyDescent="0.25">
      <c r="A2825" s="14">
        <v>4504</v>
      </c>
      <c r="B2825" s="14" t="s">
        <v>700</v>
      </c>
      <c r="C2825" s="14" t="s">
        <v>6408</v>
      </c>
      <c r="D2825" s="14" t="s">
        <v>1512</v>
      </c>
      <c r="E2825" s="16">
        <v>30</v>
      </c>
      <c r="F2825" s="14" t="s">
        <v>1321</v>
      </c>
      <c r="G2825" s="16">
        <v>570</v>
      </c>
      <c r="H2825" s="14" t="s">
        <v>1322</v>
      </c>
      <c r="I2825" s="14" t="s">
        <v>1256</v>
      </c>
      <c r="J2825" s="14" t="s">
        <v>1242</v>
      </c>
      <c r="K2825" s="14" t="s">
        <v>1387</v>
      </c>
      <c r="L2825" s="14" t="s">
        <v>6409</v>
      </c>
      <c r="M2825" s="14" t="s">
        <v>1324</v>
      </c>
      <c r="N2825" s="14" t="s">
        <v>1237</v>
      </c>
      <c r="O2825" s="14" t="s">
        <v>1220</v>
      </c>
    </row>
    <row r="2826" spans="1:15" x14ac:dyDescent="0.25">
      <c r="A2826" s="14" t="s">
        <v>6410</v>
      </c>
      <c r="B2826" s="14" t="s">
        <v>6411</v>
      </c>
      <c r="C2826" s="14" t="s">
        <v>6412</v>
      </c>
      <c r="D2826" s="14" t="s">
        <v>1512</v>
      </c>
      <c r="E2826" s="15"/>
      <c r="F2826" s="14" t="s">
        <v>1321</v>
      </c>
      <c r="G2826" s="15"/>
      <c r="H2826" s="14" t="s">
        <v>1322</v>
      </c>
      <c r="I2826" s="14" t="s">
        <v>1262</v>
      </c>
      <c r="J2826" s="14" t="s">
        <v>1262</v>
      </c>
      <c r="K2826" s="14"/>
      <c r="L2826" s="14" t="s">
        <v>6409</v>
      </c>
      <c r="M2826" s="14" t="s">
        <v>1324</v>
      </c>
      <c r="N2826" s="14" t="s">
        <v>1219</v>
      </c>
      <c r="O2826" s="14" t="s">
        <v>1220</v>
      </c>
    </row>
    <row r="2827" spans="1:15" x14ac:dyDescent="0.25">
      <c r="A2827" s="14">
        <v>4507</v>
      </c>
      <c r="B2827" s="14" t="s">
        <v>706</v>
      </c>
      <c r="C2827" s="14" t="s">
        <v>6413</v>
      </c>
      <c r="D2827" s="14" t="s">
        <v>1512</v>
      </c>
      <c r="E2827" s="16">
        <v>35</v>
      </c>
      <c r="F2827" s="14" t="s">
        <v>1321</v>
      </c>
      <c r="G2827" s="16">
        <v>280</v>
      </c>
      <c r="H2827" s="14" t="s">
        <v>1322</v>
      </c>
      <c r="I2827" s="14" t="s">
        <v>1256</v>
      </c>
      <c r="J2827" s="14" t="s">
        <v>1296</v>
      </c>
      <c r="K2827" s="14" t="s">
        <v>1387</v>
      </c>
      <c r="L2827" s="14" t="s">
        <v>6414</v>
      </c>
      <c r="M2827" s="14" t="s">
        <v>1324</v>
      </c>
      <c r="N2827" s="14" t="s">
        <v>1237</v>
      </c>
      <c r="O2827" s="14" t="s">
        <v>1220</v>
      </c>
    </row>
    <row r="2828" spans="1:15" x14ac:dyDescent="0.25">
      <c r="A2828" s="14" t="s">
        <v>6415</v>
      </c>
      <c r="B2828" s="14" t="s">
        <v>6416</v>
      </c>
      <c r="C2828" s="14" t="s">
        <v>6417</v>
      </c>
      <c r="D2828" s="14" t="s">
        <v>1512</v>
      </c>
      <c r="E2828" s="15"/>
      <c r="F2828" s="14" t="s">
        <v>1321</v>
      </c>
      <c r="G2828" s="15"/>
      <c r="H2828" s="14" t="s">
        <v>1322</v>
      </c>
      <c r="I2828" s="14" t="s">
        <v>1262</v>
      </c>
      <c r="J2828" s="14" t="s">
        <v>1262</v>
      </c>
      <c r="K2828" s="14"/>
      <c r="L2828" s="14" t="s">
        <v>6414</v>
      </c>
      <c r="M2828" s="14" t="s">
        <v>1324</v>
      </c>
      <c r="N2828" s="14" t="s">
        <v>1219</v>
      </c>
      <c r="O2828" s="14" t="s">
        <v>1220</v>
      </c>
    </row>
    <row r="2829" spans="1:15" x14ac:dyDescent="0.25">
      <c r="A2829" s="14">
        <v>2567</v>
      </c>
      <c r="B2829" s="14" t="s">
        <v>712</v>
      </c>
      <c r="C2829" s="14" t="s">
        <v>6418</v>
      </c>
      <c r="D2829" s="14" t="s">
        <v>1512</v>
      </c>
      <c r="E2829" s="16">
        <v>60</v>
      </c>
      <c r="F2829" s="14" t="s">
        <v>1321</v>
      </c>
      <c r="G2829" s="16">
        <v>720</v>
      </c>
      <c r="H2829" s="14" t="s">
        <v>1322</v>
      </c>
      <c r="I2829" s="14" t="s">
        <v>1256</v>
      </c>
      <c r="J2829" s="14" t="s">
        <v>1242</v>
      </c>
      <c r="K2829" s="14" t="s">
        <v>1257</v>
      </c>
      <c r="L2829" s="14" t="s">
        <v>6419</v>
      </c>
      <c r="M2829" s="14" t="s">
        <v>1324</v>
      </c>
      <c r="N2829" s="14" t="s">
        <v>1237</v>
      </c>
      <c r="O2829" s="14" t="s">
        <v>1220</v>
      </c>
    </row>
    <row r="2830" spans="1:15" x14ac:dyDescent="0.25">
      <c r="A2830" s="14" t="s">
        <v>6420</v>
      </c>
      <c r="B2830" s="14" t="s">
        <v>6421</v>
      </c>
      <c r="C2830" s="14" t="s">
        <v>6421</v>
      </c>
      <c r="D2830" s="14" t="s">
        <v>1349</v>
      </c>
      <c r="E2830" s="15"/>
      <c r="F2830" s="14"/>
      <c r="G2830" s="15"/>
      <c r="H2830" s="14" t="s">
        <v>1380</v>
      </c>
      <c r="I2830" s="14" t="s">
        <v>1360</v>
      </c>
      <c r="J2830" s="14" t="s">
        <v>1360</v>
      </c>
      <c r="K2830" s="14"/>
      <c r="L2830" s="14"/>
      <c r="M2830" s="14" t="s">
        <v>1324</v>
      </c>
      <c r="N2830" s="14" t="s">
        <v>1219</v>
      </c>
      <c r="O2830" s="14" t="s">
        <v>1220</v>
      </c>
    </row>
    <row r="2831" spans="1:15" x14ac:dyDescent="0.25">
      <c r="A2831" s="14" t="s">
        <v>6422</v>
      </c>
      <c r="B2831" s="14" t="s">
        <v>6423</v>
      </c>
      <c r="C2831" s="14" t="s">
        <v>6423</v>
      </c>
      <c r="D2831" s="14" t="s">
        <v>1512</v>
      </c>
      <c r="E2831" s="15"/>
      <c r="F2831" s="14" t="s">
        <v>1350</v>
      </c>
      <c r="G2831" s="15"/>
      <c r="H2831" s="14" t="s">
        <v>1380</v>
      </c>
      <c r="I2831" s="14" t="s">
        <v>1360</v>
      </c>
      <c r="J2831" s="14" t="s">
        <v>1360</v>
      </c>
      <c r="K2831" s="14" t="s">
        <v>1257</v>
      </c>
      <c r="L2831" s="14" t="s">
        <v>6334</v>
      </c>
      <c r="M2831" s="14" t="s">
        <v>1324</v>
      </c>
      <c r="N2831" s="14" t="s">
        <v>1219</v>
      </c>
      <c r="O2831" s="14" t="s">
        <v>1220</v>
      </c>
    </row>
    <row r="2832" spans="1:15" x14ac:dyDescent="0.25">
      <c r="A2832" s="14" t="s">
        <v>6424</v>
      </c>
      <c r="B2832" s="14" t="s">
        <v>6425</v>
      </c>
      <c r="C2832" s="14" t="s">
        <v>6425</v>
      </c>
      <c r="D2832" s="14" t="s">
        <v>1349</v>
      </c>
      <c r="E2832" s="15"/>
      <c r="F2832" s="14"/>
      <c r="G2832" s="15"/>
      <c r="H2832" s="14" t="s">
        <v>1380</v>
      </c>
      <c r="I2832" s="14" t="s">
        <v>1360</v>
      </c>
      <c r="J2832" s="14" t="s">
        <v>1360</v>
      </c>
      <c r="K2832" s="14"/>
      <c r="L2832" s="14"/>
      <c r="M2832" s="14" t="s">
        <v>1324</v>
      </c>
      <c r="N2832" s="14" t="s">
        <v>1219</v>
      </c>
      <c r="O2832" s="14" t="s">
        <v>1220</v>
      </c>
    </row>
    <row r="2833" spans="1:15" x14ac:dyDescent="0.25">
      <c r="A2833" s="14" t="s">
        <v>6426</v>
      </c>
      <c r="B2833" s="14" t="s">
        <v>6427</v>
      </c>
      <c r="C2833" s="14" t="s">
        <v>6427</v>
      </c>
      <c r="D2833" s="14" t="s">
        <v>1349</v>
      </c>
      <c r="E2833" s="15"/>
      <c r="F2833" s="14"/>
      <c r="G2833" s="15"/>
      <c r="H2833" s="14" t="s">
        <v>1380</v>
      </c>
      <c r="I2833" s="14" t="s">
        <v>1360</v>
      </c>
      <c r="J2833" s="14" t="s">
        <v>1360</v>
      </c>
      <c r="K2833" s="14"/>
      <c r="L2833" s="14"/>
      <c r="M2833" s="14" t="s">
        <v>1324</v>
      </c>
      <c r="N2833" s="14" t="s">
        <v>1219</v>
      </c>
      <c r="O2833" s="14" t="s">
        <v>1220</v>
      </c>
    </row>
    <row r="2834" spans="1:15" x14ac:dyDescent="0.25">
      <c r="A2834" s="14">
        <v>2564</v>
      </c>
      <c r="B2834" s="14" t="s">
        <v>710</v>
      </c>
      <c r="C2834" s="14" t="s">
        <v>6428</v>
      </c>
      <c r="D2834" s="14" t="s">
        <v>1512</v>
      </c>
      <c r="E2834" s="16">
        <v>200</v>
      </c>
      <c r="F2834" s="14" t="s">
        <v>1321</v>
      </c>
      <c r="G2834" s="17">
        <v>7400</v>
      </c>
      <c r="H2834" s="14" t="s">
        <v>1322</v>
      </c>
      <c r="I2834" s="14" t="s">
        <v>1256</v>
      </c>
      <c r="J2834" s="14" t="s">
        <v>1233</v>
      </c>
      <c r="K2834" s="14" t="s">
        <v>1257</v>
      </c>
      <c r="L2834" s="14" t="s">
        <v>6429</v>
      </c>
      <c r="M2834" s="14" t="s">
        <v>1324</v>
      </c>
      <c r="N2834" s="14" t="s">
        <v>1237</v>
      </c>
      <c r="O2834" s="14" t="s">
        <v>1220</v>
      </c>
    </row>
    <row r="2835" spans="1:15" x14ac:dyDescent="0.25">
      <c r="A2835" s="14" t="s">
        <v>6430</v>
      </c>
      <c r="B2835" s="14" t="s">
        <v>6431</v>
      </c>
      <c r="C2835" s="14" t="s">
        <v>6432</v>
      </c>
      <c r="D2835" s="14" t="s">
        <v>1512</v>
      </c>
      <c r="E2835" s="15"/>
      <c r="F2835" s="14" t="s">
        <v>1321</v>
      </c>
      <c r="G2835" s="15"/>
      <c r="H2835" s="14" t="s">
        <v>1322</v>
      </c>
      <c r="I2835" s="14" t="s">
        <v>1262</v>
      </c>
      <c r="J2835" s="14" t="s">
        <v>1262</v>
      </c>
      <c r="K2835" s="14"/>
      <c r="L2835" s="14" t="s">
        <v>6429</v>
      </c>
      <c r="M2835" s="14" t="s">
        <v>1324</v>
      </c>
      <c r="N2835" s="14" t="s">
        <v>1219</v>
      </c>
      <c r="O2835" s="14" t="s">
        <v>1220</v>
      </c>
    </row>
    <row r="2836" spans="1:15" x14ac:dyDescent="0.25">
      <c r="A2836" s="14">
        <v>2383</v>
      </c>
      <c r="B2836" s="14" t="s">
        <v>708</v>
      </c>
      <c r="C2836" s="14" t="s">
        <v>6433</v>
      </c>
      <c r="D2836" s="14" t="s">
        <v>1512</v>
      </c>
      <c r="E2836" s="16">
        <v>120</v>
      </c>
      <c r="F2836" s="14" t="s">
        <v>1321</v>
      </c>
      <c r="G2836" s="17">
        <v>2160</v>
      </c>
      <c r="H2836" s="14" t="s">
        <v>1322</v>
      </c>
      <c r="I2836" s="14" t="s">
        <v>1256</v>
      </c>
      <c r="J2836" s="14" t="s">
        <v>1242</v>
      </c>
      <c r="K2836" s="14" t="s">
        <v>1257</v>
      </c>
      <c r="L2836" s="14" t="s">
        <v>6434</v>
      </c>
      <c r="M2836" s="14" t="s">
        <v>1324</v>
      </c>
      <c r="N2836" s="14" t="s">
        <v>1237</v>
      </c>
      <c r="O2836" s="14" t="s">
        <v>1220</v>
      </c>
    </row>
    <row r="2837" spans="1:15" x14ac:dyDescent="0.25">
      <c r="A2837" s="14" t="s">
        <v>6435</v>
      </c>
      <c r="B2837" s="14" t="s">
        <v>6436</v>
      </c>
      <c r="C2837" s="14" t="s">
        <v>6437</v>
      </c>
      <c r="D2837" s="14" t="s">
        <v>1512</v>
      </c>
      <c r="E2837" s="15"/>
      <c r="F2837" s="14" t="s">
        <v>1321</v>
      </c>
      <c r="G2837" s="15"/>
      <c r="H2837" s="14" t="s">
        <v>1322</v>
      </c>
      <c r="I2837" s="14" t="s">
        <v>1262</v>
      </c>
      <c r="J2837" s="14" t="s">
        <v>1262</v>
      </c>
      <c r="K2837" s="14"/>
      <c r="L2837" s="14" t="s">
        <v>6434</v>
      </c>
      <c r="M2837" s="14" t="s">
        <v>1324</v>
      </c>
      <c r="N2837" s="14" t="s">
        <v>1219</v>
      </c>
      <c r="O2837" s="14" t="s">
        <v>1220</v>
      </c>
    </row>
    <row r="2838" spans="1:15" x14ac:dyDescent="0.25">
      <c r="A2838" s="14">
        <v>2385</v>
      </c>
      <c r="B2838" s="14" t="s">
        <v>694</v>
      </c>
      <c r="C2838" s="14" t="s">
        <v>6438</v>
      </c>
      <c r="D2838" s="14" t="s">
        <v>1512</v>
      </c>
      <c r="E2838" s="16">
        <v>100</v>
      </c>
      <c r="F2838" s="14" t="s">
        <v>1321</v>
      </c>
      <c r="G2838" s="16">
        <v>400</v>
      </c>
      <c r="H2838" s="14" t="s">
        <v>1322</v>
      </c>
      <c r="I2838" s="14" t="s">
        <v>1256</v>
      </c>
      <c r="J2838" s="14" t="s">
        <v>1296</v>
      </c>
      <c r="K2838" s="14" t="s">
        <v>1257</v>
      </c>
      <c r="L2838" s="14" t="s">
        <v>6439</v>
      </c>
      <c r="M2838" s="14" t="s">
        <v>1324</v>
      </c>
      <c r="N2838" s="14" t="s">
        <v>1237</v>
      </c>
      <c r="O2838" s="14" t="s">
        <v>1220</v>
      </c>
    </row>
    <row r="2839" spans="1:15" x14ac:dyDescent="0.25">
      <c r="A2839" s="14">
        <v>2557</v>
      </c>
      <c r="B2839" s="14" t="s">
        <v>693</v>
      </c>
      <c r="C2839" s="14" t="s">
        <v>6440</v>
      </c>
      <c r="D2839" s="14" t="s">
        <v>1512</v>
      </c>
      <c r="E2839" s="16">
        <v>180</v>
      </c>
      <c r="F2839" s="14" t="s">
        <v>1321</v>
      </c>
      <c r="G2839" s="17">
        <v>4500</v>
      </c>
      <c r="H2839" s="14" t="s">
        <v>1322</v>
      </c>
      <c r="I2839" s="14" t="s">
        <v>1256</v>
      </c>
      <c r="J2839" s="14" t="s">
        <v>1233</v>
      </c>
      <c r="K2839" s="14" t="s">
        <v>1257</v>
      </c>
      <c r="L2839" s="14" t="s">
        <v>6441</v>
      </c>
      <c r="M2839" s="14" t="s">
        <v>1324</v>
      </c>
      <c r="N2839" s="14" t="s">
        <v>1237</v>
      </c>
      <c r="O2839" s="14" t="s">
        <v>1220</v>
      </c>
    </row>
    <row r="2840" spans="1:15" x14ac:dyDescent="0.25">
      <c r="A2840" s="14" t="s">
        <v>6442</v>
      </c>
      <c r="B2840" s="14" t="s">
        <v>6443</v>
      </c>
      <c r="C2840" s="14" t="s">
        <v>6444</v>
      </c>
      <c r="D2840" s="14" t="s">
        <v>1512</v>
      </c>
      <c r="E2840" s="15"/>
      <c r="F2840" s="14" t="s">
        <v>1321</v>
      </c>
      <c r="G2840" s="15"/>
      <c r="H2840" s="14" t="s">
        <v>1322</v>
      </c>
      <c r="I2840" s="14" t="s">
        <v>1262</v>
      </c>
      <c r="J2840" s="14" t="s">
        <v>1262</v>
      </c>
      <c r="K2840" s="14"/>
      <c r="L2840" s="14" t="s">
        <v>6441</v>
      </c>
      <c r="M2840" s="14" t="s">
        <v>1324</v>
      </c>
      <c r="N2840" s="14" t="s">
        <v>1219</v>
      </c>
      <c r="O2840" s="14" t="s">
        <v>1220</v>
      </c>
    </row>
    <row r="2841" spans="1:15" x14ac:dyDescent="0.25">
      <c r="A2841" s="14">
        <v>2561</v>
      </c>
      <c r="B2841" s="14" t="s">
        <v>702</v>
      </c>
      <c r="C2841" s="14" t="s">
        <v>6445</v>
      </c>
      <c r="D2841" s="14" t="s">
        <v>1512</v>
      </c>
      <c r="E2841" s="16">
        <v>180</v>
      </c>
      <c r="F2841" s="14" t="s">
        <v>1321</v>
      </c>
      <c r="G2841" s="17">
        <v>9720</v>
      </c>
      <c r="H2841" s="14" t="s">
        <v>1322</v>
      </c>
      <c r="I2841" s="14" t="s">
        <v>1256</v>
      </c>
      <c r="J2841" s="14" t="s">
        <v>1233</v>
      </c>
      <c r="K2841" s="14" t="s">
        <v>1257</v>
      </c>
      <c r="L2841" s="14" t="s">
        <v>6446</v>
      </c>
      <c r="M2841" s="14" t="s">
        <v>1324</v>
      </c>
      <c r="N2841" s="14" t="s">
        <v>1237</v>
      </c>
      <c r="O2841" s="14" t="s">
        <v>1220</v>
      </c>
    </row>
    <row r="2842" spans="1:15" x14ac:dyDescent="0.25">
      <c r="A2842" s="14" t="s">
        <v>6447</v>
      </c>
      <c r="B2842" s="14" t="s">
        <v>6448</v>
      </c>
      <c r="C2842" s="14" t="s">
        <v>6449</v>
      </c>
      <c r="D2842" s="14" t="s">
        <v>1512</v>
      </c>
      <c r="E2842" s="15"/>
      <c r="F2842" s="14" t="s">
        <v>1321</v>
      </c>
      <c r="G2842" s="15"/>
      <c r="H2842" s="14" t="s">
        <v>1322</v>
      </c>
      <c r="I2842" s="14" t="s">
        <v>1262</v>
      </c>
      <c r="J2842" s="14" t="s">
        <v>1262</v>
      </c>
      <c r="K2842" s="14"/>
      <c r="L2842" s="14" t="s">
        <v>6446</v>
      </c>
      <c r="M2842" s="14" t="s">
        <v>1324</v>
      </c>
      <c r="N2842" s="14" t="s">
        <v>1219</v>
      </c>
      <c r="O2842" s="14" t="s">
        <v>1220</v>
      </c>
    </row>
    <row r="2843" spans="1:15" x14ac:dyDescent="0.25">
      <c r="A2843" s="14">
        <v>2560</v>
      </c>
      <c r="B2843" s="14" t="s">
        <v>695</v>
      </c>
      <c r="C2843" s="14" t="s">
        <v>6450</v>
      </c>
      <c r="D2843" s="14" t="s">
        <v>1512</v>
      </c>
      <c r="E2843" s="16">
        <v>150</v>
      </c>
      <c r="F2843" s="14" t="s">
        <v>1321</v>
      </c>
      <c r="G2843" s="17">
        <v>1200</v>
      </c>
      <c r="H2843" s="14" t="s">
        <v>1322</v>
      </c>
      <c r="I2843" s="14" t="s">
        <v>1256</v>
      </c>
      <c r="J2843" s="14" t="s">
        <v>1296</v>
      </c>
      <c r="K2843" s="14" t="s">
        <v>1257</v>
      </c>
      <c r="L2843" s="14" t="s">
        <v>6451</v>
      </c>
      <c r="M2843" s="14" t="s">
        <v>1324</v>
      </c>
      <c r="N2843" s="14" t="s">
        <v>1237</v>
      </c>
      <c r="O2843" s="14" t="s">
        <v>1220</v>
      </c>
    </row>
    <row r="2844" spans="1:15" x14ac:dyDescent="0.25">
      <c r="A2844" s="14" t="s">
        <v>6452</v>
      </c>
      <c r="B2844" s="14" t="s">
        <v>6453</v>
      </c>
      <c r="C2844" s="14" t="s">
        <v>6454</v>
      </c>
      <c r="D2844" s="14" t="s">
        <v>1512</v>
      </c>
      <c r="E2844" s="15"/>
      <c r="F2844" s="14" t="s">
        <v>1321</v>
      </c>
      <c r="G2844" s="15"/>
      <c r="H2844" s="14" t="s">
        <v>1322</v>
      </c>
      <c r="I2844" s="14" t="s">
        <v>1262</v>
      </c>
      <c r="J2844" s="14" t="s">
        <v>1262</v>
      </c>
      <c r="K2844" s="14"/>
      <c r="L2844" s="14" t="s">
        <v>6451</v>
      </c>
      <c r="M2844" s="14" t="s">
        <v>1324</v>
      </c>
      <c r="N2844" s="14" t="s">
        <v>1219</v>
      </c>
      <c r="O2844" s="14" t="s">
        <v>1220</v>
      </c>
    </row>
    <row r="2845" spans="1:15" x14ac:dyDescent="0.25">
      <c r="A2845" s="14">
        <v>2559</v>
      </c>
      <c r="B2845" s="14" t="s">
        <v>698</v>
      </c>
      <c r="C2845" s="14" t="s">
        <v>6455</v>
      </c>
      <c r="D2845" s="14" t="s">
        <v>1512</v>
      </c>
      <c r="E2845" s="16">
        <v>60</v>
      </c>
      <c r="F2845" s="14" t="s">
        <v>1321</v>
      </c>
      <c r="G2845" s="17">
        <v>1680</v>
      </c>
      <c r="H2845" s="14" t="s">
        <v>1322</v>
      </c>
      <c r="I2845" s="14" t="s">
        <v>1256</v>
      </c>
      <c r="J2845" s="14" t="s">
        <v>1242</v>
      </c>
      <c r="K2845" s="14" t="s">
        <v>1257</v>
      </c>
      <c r="L2845" s="14" t="s">
        <v>6456</v>
      </c>
      <c r="M2845" s="14" t="s">
        <v>1324</v>
      </c>
      <c r="N2845" s="14" t="s">
        <v>1237</v>
      </c>
      <c r="O2845" s="14" t="s">
        <v>1220</v>
      </c>
    </row>
    <row r="2846" spans="1:15" x14ac:dyDescent="0.25">
      <c r="A2846" s="14" t="s">
        <v>6457</v>
      </c>
      <c r="B2846" s="14" t="s">
        <v>6458</v>
      </c>
      <c r="C2846" s="14" t="s">
        <v>6459</v>
      </c>
      <c r="D2846" s="14" t="s">
        <v>1512</v>
      </c>
      <c r="E2846" s="15"/>
      <c r="F2846" s="14" t="s">
        <v>1321</v>
      </c>
      <c r="G2846" s="15"/>
      <c r="H2846" s="14" t="s">
        <v>1322</v>
      </c>
      <c r="I2846" s="14" t="s">
        <v>1262</v>
      </c>
      <c r="J2846" s="14" t="s">
        <v>1262</v>
      </c>
      <c r="K2846" s="14"/>
      <c r="L2846" s="14" t="s">
        <v>6456</v>
      </c>
      <c r="M2846" s="14" t="s">
        <v>1324</v>
      </c>
      <c r="N2846" s="14" t="s">
        <v>1219</v>
      </c>
      <c r="O2846" s="14" t="s">
        <v>1220</v>
      </c>
    </row>
    <row r="2847" spans="1:15" x14ac:dyDescent="0.25">
      <c r="A2847" s="14">
        <v>2563</v>
      </c>
      <c r="B2847" s="14" t="s">
        <v>704</v>
      </c>
      <c r="C2847" s="14" t="s">
        <v>6460</v>
      </c>
      <c r="D2847" s="14" t="s">
        <v>1512</v>
      </c>
      <c r="E2847" s="16">
        <v>60</v>
      </c>
      <c r="F2847" s="14" t="s">
        <v>1321</v>
      </c>
      <c r="G2847" s="17">
        <v>1260</v>
      </c>
      <c r="H2847" s="14" t="s">
        <v>1322</v>
      </c>
      <c r="I2847" s="14" t="s">
        <v>1256</v>
      </c>
      <c r="J2847" s="14" t="s">
        <v>1233</v>
      </c>
      <c r="K2847" s="14" t="s">
        <v>1257</v>
      </c>
      <c r="L2847" s="14" t="s">
        <v>6461</v>
      </c>
      <c r="M2847" s="14" t="s">
        <v>1324</v>
      </c>
      <c r="N2847" s="14" t="s">
        <v>1237</v>
      </c>
      <c r="O2847" s="14" t="s">
        <v>1220</v>
      </c>
    </row>
    <row r="2848" spans="1:15" x14ac:dyDescent="0.25">
      <c r="A2848" s="14" t="s">
        <v>6462</v>
      </c>
      <c r="B2848" s="14" t="s">
        <v>6463</v>
      </c>
      <c r="C2848" s="14" t="s">
        <v>6464</v>
      </c>
      <c r="D2848" s="14" t="s">
        <v>1512</v>
      </c>
      <c r="E2848" s="15"/>
      <c r="F2848" s="14" t="s">
        <v>1321</v>
      </c>
      <c r="G2848" s="15"/>
      <c r="H2848" s="14" t="s">
        <v>1322</v>
      </c>
      <c r="I2848" s="14" t="s">
        <v>1262</v>
      </c>
      <c r="J2848" s="14" t="s">
        <v>1262</v>
      </c>
      <c r="K2848" s="14"/>
      <c r="L2848" s="14" t="s">
        <v>6461</v>
      </c>
      <c r="M2848" s="14" t="s">
        <v>1324</v>
      </c>
      <c r="N2848" s="14" t="s">
        <v>1219</v>
      </c>
      <c r="O2848" s="14" t="s">
        <v>1220</v>
      </c>
    </row>
    <row r="2849" spans="1:15" x14ac:dyDescent="0.25">
      <c r="A2849" s="14">
        <v>4506</v>
      </c>
      <c r="B2849" s="14" t="s">
        <v>701</v>
      </c>
      <c r="C2849" s="14" t="s">
        <v>6465</v>
      </c>
      <c r="D2849" s="14" t="s">
        <v>1512</v>
      </c>
      <c r="E2849" s="16">
        <v>12</v>
      </c>
      <c r="F2849" s="14" t="s">
        <v>1321</v>
      </c>
      <c r="G2849" s="16">
        <v>408</v>
      </c>
      <c r="H2849" s="14" t="s">
        <v>1322</v>
      </c>
      <c r="I2849" s="14" t="s">
        <v>1256</v>
      </c>
      <c r="J2849" s="14" t="s">
        <v>1296</v>
      </c>
      <c r="K2849" s="14" t="s">
        <v>1387</v>
      </c>
      <c r="L2849" s="14" t="s">
        <v>6466</v>
      </c>
      <c r="M2849" s="14" t="s">
        <v>1324</v>
      </c>
      <c r="N2849" s="14" t="s">
        <v>1237</v>
      </c>
      <c r="O2849" s="14" t="s">
        <v>1220</v>
      </c>
    </row>
    <row r="2850" spans="1:15" x14ac:dyDescent="0.25">
      <c r="A2850" s="14">
        <v>4509</v>
      </c>
      <c r="B2850" s="14" t="s">
        <v>707</v>
      </c>
      <c r="C2850" s="14" t="s">
        <v>6467</v>
      </c>
      <c r="D2850" s="14" t="s">
        <v>1512</v>
      </c>
      <c r="E2850" s="16">
        <v>10</v>
      </c>
      <c r="F2850" s="14" t="s">
        <v>1321</v>
      </c>
      <c r="G2850" s="16">
        <v>190</v>
      </c>
      <c r="H2850" s="14" t="s">
        <v>1322</v>
      </c>
      <c r="I2850" s="14" t="s">
        <v>1256</v>
      </c>
      <c r="J2850" s="14" t="s">
        <v>1296</v>
      </c>
      <c r="K2850" s="14" t="s">
        <v>1387</v>
      </c>
      <c r="L2850" s="14" t="s">
        <v>6468</v>
      </c>
      <c r="M2850" s="14" t="s">
        <v>1324</v>
      </c>
      <c r="N2850" s="14" t="s">
        <v>1237</v>
      </c>
      <c r="O2850" s="14" t="s">
        <v>1220</v>
      </c>
    </row>
    <row r="2851" spans="1:15" x14ac:dyDescent="0.25">
      <c r="A2851" s="14" t="s">
        <v>6469</v>
      </c>
      <c r="B2851" s="14" t="s">
        <v>6470</v>
      </c>
      <c r="C2851" s="14" t="s">
        <v>6471</v>
      </c>
      <c r="D2851" s="14" t="s">
        <v>1512</v>
      </c>
      <c r="E2851" s="15"/>
      <c r="F2851" s="14" t="s">
        <v>1321</v>
      </c>
      <c r="G2851" s="15"/>
      <c r="H2851" s="14" t="s">
        <v>1322</v>
      </c>
      <c r="I2851" s="14" t="s">
        <v>1262</v>
      </c>
      <c r="J2851" s="14" t="s">
        <v>1262</v>
      </c>
      <c r="K2851" s="14"/>
      <c r="L2851" s="14" t="s">
        <v>6468</v>
      </c>
      <c r="M2851" s="14" t="s">
        <v>1324</v>
      </c>
      <c r="N2851" s="14" t="s">
        <v>1219</v>
      </c>
      <c r="O2851" s="14" t="s">
        <v>1220</v>
      </c>
    </row>
    <row r="2852" spans="1:15" x14ac:dyDescent="0.25">
      <c r="A2852" s="14" t="s">
        <v>6472</v>
      </c>
      <c r="B2852" s="14" t="s">
        <v>6473</v>
      </c>
      <c r="C2852" s="14" t="s">
        <v>6473</v>
      </c>
      <c r="D2852" s="14" t="s">
        <v>1349</v>
      </c>
      <c r="E2852" s="15"/>
      <c r="F2852" s="14"/>
      <c r="G2852" s="15"/>
      <c r="H2852" s="14" t="s">
        <v>1380</v>
      </c>
      <c r="I2852" s="14" t="s">
        <v>1360</v>
      </c>
      <c r="J2852" s="14" t="s">
        <v>1360</v>
      </c>
      <c r="K2852" s="14"/>
      <c r="L2852" s="14"/>
      <c r="M2852" s="14" t="s">
        <v>1324</v>
      </c>
      <c r="N2852" s="14" t="s">
        <v>1219</v>
      </c>
      <c r="O2852" s="14" t="s">
        <v>1220</v>
      </c>
    </row>
    <row r="2853" spans="1:15" x14ac:dyDescent="0.25">
      <c r="A2853" s="14" t="s">
        <v>6474</v>
      </c>
      <c r="B2853" s="14" t="s">
        <v>6475</v>
      </c>
      <c r="C2853" s="14" t="s">
        <v>6475</v>
      </c>
      <c r="D2853" s="14" t="s">
        <v>1349</v>
      </c>
      <c r="E2853" s="15"/>
      <c r="F2853" s="14"/>
      <c r="G2853" s="15"/>
      <c r="H2853" s="14" t="s">
        <v>1380</v>
      </c>
      <c r="I2853" s="14" t="s">
        <v>1360</v>
      </c>
      <c r="J2853" s="14" t="s">
        <v>1360</v>
      </c>
      <c r="K2853" s="14"/>
      <c r="L2853" s="14"/>
      <c r="M2853" s="14" t="s">
        <v>1324</v>
      </c>
      <c r="N2853" s="14" t="s">
        <v>1219</v>
      </c>
      <c r="O2853" s="14" t="s">
        <v>1220</v>
      </c>
    </row>
    <row r="2854" spans="1:15" x14ac:dyDescent="0.25">
      <c r="A2854" s="14" t="s">
        <v>6476</v>
      </c>
      <c r="B2854" s="14" t="s">
        <v>6477</v>
      </c>
      <c r="C2854" s="14" t="s">
        <v>6477</v>
      </c>
      <c r="D2854" s="14" t="s">
        <v>1349</v>
      </c>
      <c r="E2854" s="15"/>
      <c r="F2854" s="14"/>
      <c r="G2854" s="15"/>
      <c r="H2854" s="14" t="s">
        <v>1380</v>
      </c>
      <c r="I2854" s="14" t="s">
        <v>1360</v>
      </c>
      <c r="J2854" s="14" t="s">
        <v>1360</v>
      </c>
      <c r="K2854" s="14"/>
      <c r="L2854" s="14"/>
      <c r="M2854" s="14" t="s">
        <v>1324</v>
      </c>
      <c r="N2854" s="14" t="s">
        <v>1219</v>
      </c>
      <c r="O2854" s="14" t="s">
        <v>1220</v>
      </c>
    </row>
    <row r="2855" spans="1:15" x14ac:dyDescent="0.25">
      <c r="A2855" s="14">
        <v>2392</v>
      </c>
      <c r="B2855" s="14" t="s">
        <v>709</v>
      </c>
      <c r="C2855" s="14" t="s">
        <v>6478</v>
      </c>
      <c r="D2855" s="14" t="s">
        <v>1512</v>
      </c>
      <c r="E2855" s="16">
        <v>60</v>
      </c>
      <c r="F2855" s="14" t="s">
        <v>1321</v>
      </c>
      <c r="G2855" s="16">
        <v>180</v>
      </c>
      <c r="H2855" s="14" t="s">
        <v>1322</v>
      </c>
      <c r="I2855" s="14" t="s">
        <v>1256</v>
      </c>
      <c r="J2855" s="14" t="s">
        <v>1296</v>
      </c>
      <c r="K2855" s="14" t="s">
        <v>1387</v>
      </c>
      <c r="L2855" s="14" t="s">
        <v>6479</v>
      </c>
      <c r="M2855" s="14" t="s">
        <v>1324</v>
      </c>
      <c r="N2855" s="14" t="s">
        <v>1237</v>
      </c>
      <c r="O2855" s="14" t="s">
        <v>1220</v>
      </c>
    </row>
    <row r="2856" spans="1:15" x14ac:dyDescent="0.25">
      <c r="A2856" s="14">
        <v>2565</v>
      </c>
      <c r="B2856" s="14" t="s">
        <v>711</v>
      </c>
      <c r="C2856" s="14" t="s">
        <v>6480</v>
      </c>
      <c r="D2856" s="14" t="s">
        <v>1512</v>
      </c>
      <c r="E2856" s="16">
        <v>120</v>
      </c>
      <c r="F2856" s="14" t="s">
        <v>1321</v>
      </c>
      <c r="G2856" s="17">
        <v>2400</v>
      </c>
      <c r="H2856" s="14" t="s">
        <v>1322</v>
      </c>
      <c r="I2856" s="14" t="s">
        <v>1256</v>
      </c>
      <c r="J2856" s="14" t="s">
        <v>1242</v>
      </c>
      <c r="K2856" s="14" t="s">
        <v>1257</v>
      </c>
      <c r="L2856" s="14" t="s">
        <v>6481</v>
      </c>
      <c r="M2856" s="14" t="s">
        <v>1324</v>
      </c>
      <c r="N2856" s="14" t="s">
        <v>1237</v>
      </c>
      <c r="O2856" s="14" t="s">
        <v>1220</v>
      </c>
    </row>
    <row r="2857" spans="1:15" x14ac:dyDescent="0.25">
      <c r="A2857" s="14" t="s">
        <v>6482</v>
      </c>
      <c r="B2857" s="14" t="s">
        <v>6483</v>
      </c>
      <c r="C2857" s="14" t="s">
        <v>6484</v>
      </c>
      <c r="D2857" s="14" t="s">
        <v>1512</v>
      </c>
      <c r="E2857" s="15"/>
      <c r="F2857" s="14" t="s">
        <v>1321</v>
      </c>
      <c r="G2857" s="15"/>
      <c r="H2857" s="14" t="s">
        <v>1322</v>
      </c>
      <c r="I2857" s="14" t="s">
        <v>1262</v>
      </c>
      <c r="J2857" s="14" t="s">
        <v>1262</v>
      </c>
      <c r="K2857" s="14"/>
      <c r="L2857" s="14" t="s">
        <v>6481</v>
      </c>
      <c r="M2857" s="14" t="s">
        <v>1324</v>
      </c>
      <c r="N2857" s="14" t="s">
        <v>1219</v>
      </c>
      <c r="O2857" s="14" t="s">
        <v>1220</v>
      </c>
    </row>
    <row r="2858" spans="1:15" x14ac:dyDescent="0.25">
      <c r="A2858" s="14">
        <v>2384</v>
      </c>
      <c r="B2858" s="14" t="s">
        <v>697</v>
      </c>
      <c r="C2858" s="14" t="s">
        <v>6485</v>
      </c>
      <c r="D2858" s="14" t="s">
        <v>1512</v>
      </c>
      <c r="E2858" s="16">
        <v>80</v>
      </c>
      <c r="F2858" s="14" t="s">
        <v>1321</v>
      </c>
      <c r="G2858" s="16">
        <v>400</v>
      </c>
      <c r="H2858" s="14" t="s">
        <v>1322</v>
      </c>
      <c r="I2858" s="14" t="s">
        <v>1256</v>
      </c>
      <c r="J2858" s="14" t="s">
        <v>1296</v>
      </c>
      <c r="K2858" s="14" t="s">
        <v>1257</v>
      </c>
      <c r="L2858" s="14" t="s">
        <v>6486</v>
      </c>
      <c r="M2858" s="14" t="s">
        <v>1324</v>
      </c>
      <c r="N2858" s="14" t="s">
        <v>1237</v>
      </c>
      <c r="O2858" s="14" t="s">
        <v>1220</v>
      </c>
    </row>
    <row r="2859" spans="1:15" x14ac:dyDescent="0.25">
      <c r="A2859" s="14">
        <v>2558</v>
      </c>
      <c r="B2859" s="14" t="s">
        <v>696</v>
      </c>
      <c r="C2859" s="14" t="s">
        <v>6487</v>
      </c>
      <c r="D2859" s="14" t="s">
        <v>1512</v>
      </c>
      <c r="E2859" s="16">
        <v>100</v>
      </c>
      <c r="F2859" s="14" t="s">
        <v>1321</v>
      </c>
      <c r="G2859" s="17">
        <v>3500</v>
      </c>
      <c r="H2859" s="14" t="s">
        <v>1322</v>
      </c>
      <c r="I2859" s="14" t="s">
        <v>1256</v>
      </c>
      <c r="J2859" s="14" t="s">
        <v>1242</v>
      </c>
      <c r="K2859" s="14" t="s">
        <v>1257</v>
      </c>
      <c r="L2859" s="14" t="s">
        <v>6488</v>
      </c>
      <c r="M2859" s="14" t="s">
        <v>1324</v>
      </c>
      <c r="N2859" s="14" t="s">
        <v>1237</v>
      </c>
      <c r="O2859" s="14" t="s">
        <v>1220</v>
      </c>
    </row>
    <row r="2860" spans="1:15" x14ac:dyDescent="0.25">
      <c r="A2860" s="14" t="s">
        <v>6489</v>
      </c>
      <c r="B2860" s="14" t="s">
        <v>6490</v>
      </c>
      <c r="C2860" s="14" t="s">
        <v>6491</v>
      </c>
      <c r="D2860" s="14" t="s">
        <v>1512</v>
      </c>
      <c r="E2860" s="15"/>
      <c r="F2860" s="14" t="s">
        <v>1321</v>
      </c>
      <c r="G2860" s="15"/>
      <c r="H2860" s="14" t="s">
        <v>1322</v>
      </c>
      <c r="I2860" s="14" t="s">
        <v>1262</v>
      </c>
      <c r="J2860" s="14" t="s">
        <v>1262</v>
      </c>
      <c r="K2860" s="14"/>
      <c r="L2860" s="14" t="s">
        <v>6488</v>
      </c>
      <c r="M2860" s="14" t="s">
        <v>1324</v>
      </c>
      <c r="N2860" s="14" t="s">
        <v>1219</v>
      </c>
      <c r="O2860" s="14" t="s">
        <v>1220</v>
      </c>
    </row>
    <row r="2861" spans="1:15" x14ac:dyDescent="0.25">
      <c r="A2861" s="14">
        <v>2562</v>
      </c>
      <c r="B2861" s="14" t="s">
        <v>703</v>
      </c>
      <c r="C2861" s="14" t="s">
        <v>6492</v>
      </c>
      <c r="D2861" s="14" t="s">
        <v>1512</v>
      </c>
      <c r="E2861" s="16">
        <v>80</v>
      </c>
      <c r="F2861" s="14" t="s">
        <v>1321</v>
      </c>
      <c r="G2861" s="17">
        <v>2080</v>
      </c>
      <c r="H2861" s="14" t="s">
        <v>1322</v>
      </c>
      <c r="I2861" s="14" t="s">
        <v>1256</v>
      </c>
      <c r="J2861" s="14" t="s">
        <v>1233</v>
      </c>
      <c r="K2861" s="14" t="s">
        <v>1257</v>
      </c>
      <c r="L2861" s="14" t="s">
        <v>6493</v>
      </c>
      <c r="M2861" s="14" t="s">
        <v>1324</v>
      </c>
      <c r="N2861" s="14" t="s">
        <v>1237</v>
      </c>
      <c r="O2861" s="14" t="s">
        <v>1220</v>
      </c>
    </row>
    <row r="2862" spans="1:15" x14ac:dyDescent="0.25">
      <c r="A2862" s="14" t="s">
        <v>6494</v>
      </c>
      <c r="B2862" s="14" t="s">
        <v>6495</v>
      </c>
      <c r="C2862" s="14" t="s">
        <v>6496</v>
      </c>
      <c r="D2862" s="14" t="s">
        <v>1512</v>
      </c>
      <c r="E2862" s="15"/>
      <c r="F2862" s="14" t="s">
        <v>1321</v>
      </c>
      <c r="G2862" s="15"/>
      <c r="H2862" s="14" t="s">
        <v>1322</v>
      </c>
      <c r="I2862" s="14" t="s">
        <v>1262</v>
      </c>
      <c r="J2862" s="14" t="s">
        <v>1262</v>
      </c>
      <c r="K2862" s="14"/>
      <c r="L2862" s="14" t="s">
        <v>6493</v>
      </c>
      <c r="M2862" s="14" t="s">
        <v>1324</v>
      </c>
      <c r="N2862" s="14" t="s">
        <v>1219</v>
      </c>
      <c r="O2862" s="14" t="s">
        <v>1220</v>
      </c>
    </row>
    <row r="2863" spans="1:15" x14ac:dyDescent="0.25">
      <c r="A2863" s="14">
        <v>3467</v>
      </c>
      <c r="B2863" s="14" t="s">
        <v>6497</v>
      </c>
      <c r="C2863" s="14" t="s">
        <v>6497</v>
      </c>
      <c r="D2863" s="14" t="s">
        <v>1349</v>
      </c>
      <c r="E2863" s="16">
        <v>1</v>
      </c>
      <c r="F2863" s="14" t="s">
        <v>1350</v>
      </c>
      <c r="G2863" s="16">
        <v>12</v>
      </c>
      <c r="H2863" s="14" t="s">
        <v>1255</v>
      </c>
      <c r="I2863" s="14" t="s">
        <v>1351</v>
      </c>
      <c r="J2863" s="14" t="s">
        <v>1351</v>
      </c>
      <c r="K2863" s="14" t="s">
        <v>1257</v>
      </c>
      <c r="L2863" s="14" t="s">
        <v>6498</v>
      </c>
      <c r="M2863" s="14" t="s">
        <v>1259</v>
      </c>
      <c r="N2863" s="14" t="s">
        <v>1219</v>
      </c>
      <c r="O2863" s="14" t="s">
        <v>1220</v>
      </c>
    </row>
    <row r="2864" spans="1:15" x14ac:dyDescent="0.25">
      <c r="A2864" s="14">
        <v>3459</v>
      </c>
      <c r="B2864" s="14" t="s">
        <v>507</v>
      </c>
      <c r="C2864" s="14" t="s">
        <v>507</v>
      </c>
      <c r="D2864" s="14" t="s">
        <v>1512</v>
      </c>
      <c r="E2864" s="16">
        <v>500</v>
      </c>
      <c r="F2864" s="14" t="s">
        <v>1255</v>
      </c>
      <c r="G2864" s="17">
        <v>5000</v>
      </c>
      <c r="H2864" s="14" t="s">
        <v>1255</v>
      </c>
      <c r="I2864" s="14" t="s">
        <v>1256</v>
      </c>
      <c r="J2864" s="14" t="s">
        <v>1242</v>
      </c>
      <c r="K2864" s="14" t="s">
        <v>1257</v>
      </c>
      <c r="L2864" s="14" t="s">
        <v>6499</v>
      </c>
      <c r="M2864" s="14" t="s">
        <v>1259</v>
      </c>
      <c r="N2864" s="14" t="s">
        <v>1237</v>
      </c>
      <c r="O2864" s="14" t="s">
        <v>1220</v>
      </c>
    </row>
    <row r="2865" spans="1:15" x14ac:dyDescent="0.25">
      <c r="A2865" s="14" t="s">
        <v>6500</v>
      </c>
      <c r="B2865" s="14" t="s">
        <v>6501</v>
      </c>
      <c r="C2865" s="14" t="s">
        <v>6501</v>
      </c>
      <c r="D2865" s="14" t="s">
        <v>1512</v>
      </c>
      <c r="E2865" s="15"/>
      <c r="F2865" s="14" t="s">
        <v>1255</v>
      </c>
      <c r="G2865" s="15"/>
      <c r="H2865" s="14" t="s">
        <v>1255</v>
      </c>
      <c r="I2865" s="14" t="s">
        <v>1262</v>
      </c>
      <c r="J2865" s="14" t="s">
        <v>1262</v>
      </c>
      <c r="K2865" s="14"/>
      <c r="L2865" s="14" t="s">
        <v>6499</v>
      </c>
      <c r="M2865" s="14" t="s">
        <v>1259</v>
      </c>
      <c r="N2865" s="14" t="s">
        <v>1219</v>
      </c>
      <c r="O2865" s="14" t="s">
        <v>1220</v>
      </c>
    </row>
    <row r="2866" spans="1:15" x14ac:dyDescent="0.25">
      <c r="A2866" s="14">
        <v>3460</v>
      </c>
      <c r="B2866" s="14" t="s">
        <v>508</v>
      </c>
      <c r="C2866" s="14" t="s">
        <v>508</v>
      </c>
      <c r="D2866" s="14" t="s">
        <v>1512</v>
      </c>
      <c r="E2866" s="16">
        <v>300</v>
      </c>
      <c r="F2866" s="14" t="s">
        <v>1255</v>
      </c>
      <c r="G2866" s="17">
        <v>3000</v>
      </c>
      <c r="H2866" s="14" t="s">
        <v>1255</v>
      </c>
      <c r="I2866" s="14" t="s">
        <v>1256</v>
      </c>
      <c r="J2866" s="14" t="s">
        <v>1296</v>
      </c>
      <c r="K2866" s="14" t="s">
        <v>1257</v>
      </c>
      <c r="L2866" s="14" t="s">
        <v>6502</v>
      </c>
      <c r="M2866" s="14" t="s">
        <v>1259</v>
      </c>
      <c r="N2866" s="14" t="s">
        <v>1237</v>
      </c>
      <c r="O2866" s="14" t="s">
        <v>1220</v>
      </c>
    </row>
    <row r="2867" spans="1:15" x14ac:dyDescent="0.25">
      <c r="A2867" s="14" t="s">
        <v>6503</v>
      </c>
      <c r="B2867" s="14" t="s">
        <v>6504</v>
      </c>
      <c r="C2867" s="14" t="s">
        <v>6504</v>
      </c>
      <c r="D2867" s="14" t="s">
        <v>1512</v>
      </c>
      <c r="E2867" s="15"/>
      <c r="F2867" s="14" t="s">
        <v>1255</v>
      </c>
      <c r="G2867" s="15"/>
      <c r="H2867" s="14" t="s">
        <v>1255</v>
      </c>
      <c r="I2867" s="14" t="s">
        <v>1262</v>
      </c>
      <c r="J2867" s="14" t="s">
        <v>1262</v>
      </c>
      <c r="K2867" s="14"/>
      <c r="L2867" s="14" t="s">
        <v>6502</v>
      </c>
      <c r="M2867" s="14" t="s">
        <v>1259</v>
      </c>
      <c r="N2867" s="14" t="s">
        <v>1219</v>
      </c>
      <c r="O2867" s="14" t="s">
        <v>1220</v>
      </c>
    </row>
    <row r="2868" spans="1:15" x14ac:dyDescent="0.25">
      <c r="A2868" s="14">
        <v>3461</v>
      </c>
      <c r="B2868" s="14" t="s">
        <v>509</v>
      </c>
      <c r="C2868" s="14" t="s">
        <v>509</v>
      </c>
      <c r="D2868" s="14" t="s">
        <v>1512</v>
      </c>
      <c r="E2868" s="16">
        <v>150</v>
      </c>
      <c r="F2868" s="14" t="s">
        <v>1255</v>
      </c>
      <c r="G2868" s="16">
        <v>750</v>
      </c>
      <c r="H2868" s="14" t="s">
        <v>1255</v>
      </c>
      <c r="I2868" s="14" t="s">
        <v>1256</v>
      </c>
      <c r="J2868" s="14" t="s">
        <v>1296</v>
      </c>
      <c r="K2868" s="14" t="s">
        <v>1257</v>
      </c>
      <c r="L2868" s="14" t="s">
        <v>6505</v>
      </c>
      <c r="M2868" s="14" t="s">
        <v>1259</v>
      </c>
      <c r="N2868" s="14" t="s">
        <v>1237</v>
      </c>
      <c r="O2868" s="14" t="s">
        <v>1220</v>
      </c>
    </row>
    <row r="2869" spans="1:15" x14ac:dyDescent="0.25">
      <c r="A2869" s="14" t="s">
        <v>6506</v>
      </c>
      <c r="B2869" s="14" t="s">
        <v>6507</v>
      </c>
      <c r="C2869" s="14" t="s">
        <v>6507</v>
      </c>
      <c r="D2869" s="14" t="s">
        <v>1512</v>
      </c>
      <c r="E2869" s="15"/>
      <c r="F2869" s="14" t="s">
        <v>1255</v>
      </c>
      <c r="G2869" s="15"/>
      <c r="H2869" s="14" t="s">
        <v>1255</v>
      </c>
      <c r="I2869" s="14" t="s">
        <v>1262</v>
      </c>
      <c r="J2869" s="14" t="s">
        <v>1262</v>
      </c>
      <c r="K2869" s="14"/>
      <c r="L2869" s="14" t="s">
        <v>6505</v>
      </c>
      <c r="M2869" s="14" t="s">
        <v>1259</v>
      </c>
      <c r="N2869" s="14" t="s">
        <v>1219</v>
      </c>
      <c r="O2869" s="14" t="s">
        <v>1220</v>
      </c>
    </row>
    <row r="2870" spans="1:15" x14ac:dyDescent="0.25">
      <c r="A2870" s="14">
        <v>3462</v>
      </c>
      <c r="B2870" s="14" t="s">
        <v>510</v>
      </c>
      <c r="C2870" s="14" t="s">
        <v>510</v>
      </c>
      <c r="D2870" s="14" t="s">
        <v>1512</v>
      </c>
      <c r="E2870" s="16">
        <v>80</v>
      </c>
      <c r="F2870" s="14" t="s">
        <v>1255</v>
      </c>
      <c r="G2870" s="16">
        <v>400</v>
      </c>
      <c r="H2870" s="14" t="s">
        <v>1255</v>
      </c>
      <c r="I2870" s="14" t="s">
        <v>1256</v>
      </c>
      <c r="J2870" s="14" t="s">
        <v>1296</v>
      </c>
      <c r="K2870" s="14" t="s">
        <v>1257</v>
      </c>
      <c r="L2870" s="14" t="s">
        <v>6508</v>
      </c>
      <c r="M2870" s="14" t="s">
        <v>1259</v>
      </c>
      <c r="N2870" s="14" t="s">
        <v>1237</v>
      </c>
      <c r="O2870" s="14" t="s">
        <v>1220</v>
      </c>
    </row>
    <row r="2871" spans="1:15" x14ac:dyDescent="0.25">
      <c r="A2871" s="14">
        <v>3463</v>
      </c>
      <c r="B2871" s="14" t="s">
        <v>511</v>
      </c>
      <c r="C2871" s="14" t="s">
        <v>511</v>
      </c>
      <c r="D2871" s="14" t="s">
        <v>1512</v>
      </c>
      <c r="E2871" s="16">
        <v>50</v>
      </c>
      <c r="F2871" s="14" t="s">
        <v>1255</v>
      </c>
      <c r="G2871" s="16">
        <v>250</v>
      </c>
      <c r="H2871" s="14" t="s">
        <v>1255</v>
      </c>
      <c r="I2871" s="14" t="s">
        <v>1256</v>
      </c>
      <c r="J2871" s="14" t="s">
        <v>1296</v>
      </c>
      <c r="K2871" s="14" t="s">
        <v>1257</v>
      </c>
      <c r="L2871" s="14" t="s">
        <v>6509</v>
      </c>
      <c r="M2871" s="14" t="s">
        <v>1259</v>
      </c>
      <c r="N2871" s="14" t="s">
        <v>1237</v>
      </c>
      <c r="O2871" s="14" t="s">
        <v>1220</v>
      </c>
    </row>
    <row r="2872" spans="1:15" x14ac:dyDescent="0.25">
      <c r="A2872" s="14">
        <v>3464</v>
      </c>
      <c r="B2872" s="14" t="s">
        <v>512</v>
      </c>
      <c r="C2872" s="14" t="s">
        <v>512</v>
      </c>
      <c r="D2872" s="14" t="s">
        <v>1512</v>
      </c>
      <c r="E2872" s="16">
        <v>25</v>
      </c>
      <c r="F2872" s="14" t="s">
        <v>1255</v>
      </c>
      <c r="G2872" s="16">
        <v>120</v>
      </c>
      <c r="H2872" s="14" t="s">
        <v>1255</v>
      </c>
      <c r="I2872" s="14" t="s">
        <v>1256</v>
      </c>
      <c r="J2872" s="14" t="s">
        <v>1296</v>
      </c>
      <c r="K2872" s="14" t="s">
        <v>1257</v>
      </c>
      <c r="L2872" s="14" t="s">
        <v>6510</v>
      </c>
      <c r="M2872" s="14" t="s">
        <v>1259</v>
      </c>
      <c r="N2872" s="14" t="s">
        <v>1237</v>
      </c>
      <c r="O2872" s="14" t="s">
        <v>1220</v>
      </c>
    </row>
    <row r="2873" spans="1:15" x14ac:dyDescent="0.25">
      <c r="A2873" s="14">
        <v>3465</v>
      </c>
      <c r="B2873" s="14" t="s">
        <v>6511</v>
      </c>
      <c r="C2873" s="14" t="s">
        <v>6511</v>
      </c>
      <c r="D2873" s="14" t="s">
        <v>1349</v>
      </c>
      <c r="E2873" s="16">
        <v>16</v>
      </c>
      <c r="F2873" s="14" t="s">
        <v>1350</v>
      </c>
      <c r="G2873" s="16">
        <v>80</v>
      </c>
      <c r="H2873" s="14" t="s">
        <v>1255</v>
      </c>
      <c r="I2873" s="14" t="s">
        <v>1360</v>
      </c>
      <c r="J2873" s="14" t="s">
        <v>1360</v>
      </c>
      <c r="K2873" s="14" t="s">
        <v>1257</v>
      </c>
      <c r="L2873" s="14" t="s">
        <v>6510</v>
      </c>
      <c r="M2873" s="14" t="s">
        <v>1259</v>
      </c>
      <c r="N2873" s="14" t="s">
        <v>1219</v>
      </c>
      <c r="O2873" s="14" t="s">
        <v>1220</v>
      </c>
    </row>
    <row r="2874" spans="1:15" x14ac:dyDescent="0.25">
      <c r="A2874" s="14">
        <v>3466</v>
      </c>
      <c r="B2874" s="14" t="s">
        <v>6512</v>
      </c>
      <c r="C2874" s="14" t="s">
        <v>6512</v>
      </c>
      <c r="D2874" s="14" t="s">
        <v>1349</v>
      </c>
      <c r="E2874" s="15"/>
      <c r="F2874" s="14"/>
      <c r="G2874" s="15"/>
      <c r="H2874" s="14" t="s">
        <v>1255</v>
      </c>
      <c r="I2874" s="14" t="s">
        <v>1360</v>
      </c>
      <c r="J2874" s="14" t="s">
        <v>1360</v>
      </c>
      <c r="K2874" s="14"/>
      <c r="L2874" s="14"/>
      <c r="M2874" s="14" t="s">
        <v>1259</v>
      </c>
      <c r="N2874" s="14" t="s">
        <v>1219</v>
      </c>
      <c r="O2874" s="14" t="s">
        <v>1220</v>
      </c>
    </row>
    <row r="2875" spans="1:15" x14ac:dyDescent="0.25">
      <c r="A2875" s="14">
        <v>4750</v>
      </c>
      <c r="B2875" s="14" t="s">
        <v>6513</v>
      </c>
      <c r="C2875" s="14" t="s">
        <v>6513</v>
      </c>
      <c r="D2875" s="14" t="s">
        <v>1349</v>
      </c>
      <c r="E2875" s="15"/>
      <c r="F2875" s="14"/>
      <c r="G2875" s="15"/>
      <c r="H2875" s="14" t="s">
        <v>1255</v>
      </c>
      <c r="I2875" s="14" t="s">
        <v>1360</v>
      </c>
      <c r="J2875" s="14" t="s">
        <v>1360</v>
      </c>
      <c r="K2875" s="14"/>
      <c r="L2875" s="14"/>
      <c r="M2875" s="14" t="s">
        <v>1259</v>
      </c>
      <c r="N2875" s="14" t="s">
        <v>1219</v>
      </c>
      <c r="O2875" s="14" t="s">
        <v>1220</v>
      </c>
    </row>
    <row r="2876" spans="1:15" x14ac:dyDescent="0.25">
      <c r="A2876" s="14">
        <v>4751</v>
      </c>
      <c r="B2876" s="14" t="s">
        <v>6514</v>
      </c>
      <c r="C2876" s="14" t="s">
        <v>6514</v>
      </c>
      <c r="D2876" s="14" t="s">
        <v>1349</v>
      </c>
      <c r="E2876" s="15"/>
      <c r="F2876" s="14"/>
      <c r="G2876" s="15"/>
      <c r="H2876" s="14" t="s">
        <v>1255</v>
      </c>
      <c r="I2876" s="14" t="s">
        <v>1360</v>
      </c>
      <c r="J2876" s="14" t="s">
        <v>1360</v>
      </c>
      <c r="K2876" s="14"/>
      <c r="L2876" s="14"/>
      <c r="M2876" s="14" t="s">
        <v>1259</v>
      </c>
      <c r="N2876" s="14" t="s">
        <v>1219</v>
      </c>
      <c r="O2876" s="14" t="s">
        <v>1220</v>
      </c>
    </row>
    <row r="2877" spans="1:15" x14ac:dyDescent="0.25">
      <c r="A2877" s="14">
        <v>3476</v>
      </c>
      <c r="B2877" s="14" t="s">
        <v>513</v>
      </c>
      <c r="C2877" s="14" t="s">
        <v>513</v>
      </c>
      <c r="D2877" s="14" t="s">
        <v>1512</v>
      </c>
      <c r="E2877" s="16">
        <v>4</v>
      </c>
      <c r="F2877" s="14" t="s">
        <v>1255</v>
      </c>
      <c r="G2877" s="16">
        <v>20</v>
      </c>
      <c r="H2877" s="14" t="s">
        <v>1255</v>
      </c>
      <c r="I2877" s="14" t="s">
        <v>1256</v>
      </c>
      <c r="J2877" s="14" t="s">
        <v>1296</v>
      </c>
      <c r="K2877" s="14" t="s">
        <v>1257</v>
      </c>
      <c r="L2877" s="14" t="s">
        <v>6515</v>
      </c>
      <c r="M2877" s="14" t="s">
        <v>1259</v>
      </c>
      <c r="N2877" s="14" t="s">
        <v>1237</v>
      </c>
      <c r="O2877" s="14" t="s">
        <v>1220</v>
      </c>
    </row>
    <row r="2878" spans="1:15" x14ac:dyDescent="0.25">
      <c r="A2878" s="14">
        <v>3468</v>
      </c>
      <c r="B2878" s="14" t="s">
        <v>514</v>
      </c>
      <c r="C2878" s="14" t="s">
        <v>514</v>
      </c>
      <c r="D2878" s="14" t="s">
        <v>1512</v>
      </c>
      <c r="E2878" s="16">
        <v>400</v>
      </c>
      <c r="F2878" s="14" t="s">
        <v>3365</v>
      </c>
      <c r="G2878" s="17">
        <v>4000</v>
      </c>
      <c r="H2878" s="14" t="s">
        <v>1255</v>
      </c>
      <c r="I2878" s="14" t="s">
        <v>1256</v>
      </c>
      <c r="J2878" s="14" t="s">
        <v>1233</v>
      </c>
      <c r="K2878" s="14" t="s">
        <v>1257</v>
      </c>
      <c r="L2878" s="14" t="s">
        <v>6516</v>
      </c>
      <c r="M2878" s="14" t="s">
        <v>1259</v>
      </c>
      <c r="N2878" s="14" t="s">
        <v>1237</v>
      </c>
      <c r="O2878" s="14" t="s">
        <v>1220</v>
      </c>
    </row>
    <row r="2879" spans="1:15" x14ac:dyDescent="0.25">
      <c r="A2879" s="14" t="s">
        <v>6517</v>
      </c>
      <c r="B2879" s="14" t="s">
        <v>6518</v>
      </c>
      <c r="C2879" s="14" t="s">
        <v>6518</v>
      </c>
      <c r="D2879" s="14" t="s">
        <v>1512</v>
      </c>
      <c r="E2879" s="15"/>
      <c r="F2879" s="14" t="s">
        <v>3365</v>
      </c>
      <c r="G2879" s="15"/>
      <c r="H2879" s="14" t="s">
        <v>1255</v>
      </c>
      <c r="I2879" s="14" t="s">
        <v>1262</v>
      </c>
      <c r="J2879" s="14" t="s">
        <v>1262</v>
      </c>
      <c r="K2879" s="14"/>
      <c r="L2879" s="14" t="s">
        <v>6516</v>
      </c>
      <c r="M2879" s="14" t="s">
        <v>1259</v>
      </c>
      <c r="N2879" s="14" t="s">
        <v>1219</v>
      </c>
      <c r="O2879" s="14" t="s">
        <v>1220</v>
      </c>
    </row>
    <row r="2880" spans="1:15" x14ac:dyDescent="0.25">
      <c r="A2880" s="14">
        <v>3469</v>
      </c>
      <c r="B2880" s="14" t="s">
        <v>515</v>
      </c>
      <c r="C2880" s="14" t="s">
        <v>515</v>
      </c>
      <c r="D2880" s="14" t="s">
        <v>1512</v>
      </c>
      <c r="E2880" s="16">
        <v>240</v>
      </c>
      <c r="F2880" s="14" t="s">
        <v>3365</v>
      </c>
      <c r="G2880" s="17">
        <v>2400</v>
      </c>
      <c r="H2880" s="14" t="s">
        <v>1255</v>
      </c>
      <c r="I2880" s="14" t="s">
        <v>1256</v>
      </c>
      <c r="J2880" s="14" t="s">
        <v>1233</v>
      </c>
      <c r="K2880" s="14" t="s">
        <v>1257</v>
      </c>
      <c r="L2880" s="14" t="s">
        <v>6519</v>
      </c>
      <c r="M2880" s="14" t="s">
        <v>1259</v>
      </c>
      <c r="N2880" s="14" t="s">
        <v>1237</v>
      </c>
      <c r="O2880" s="14" t="s">
        <v>1220</v>
      </c>
    </row>
    <row r="2881" spans="1:15" x14ac:dyDescent="0.25">
      <c r="A2881" s="14" t="s">
        <v>6520</v>
      </c>
      <c r="B2881" s="14" t="s">
        <v>6521</v>
      </c>
      <c r="C2881" s="14" t="s">
        <v>6521</v>
      </c>
      <c r="D2881" s="14" t="s">
        <v>1512</v>
      </c>
      <c r="E2881" s="15"/>
      <c r="F2881" s="14" t="s">
        <v>3365</v>
      </c>
      <c r="G2881" s="15"/>
      <c r="H2881" s="14" t="s">
        <v>1255</v>
      </c>
      <c r="I2881" s="14" t="s">
        <v>1262</v>
      </c>
      <c r="J2881" s="14" t="s">
        <v>1262</v>
      </c>
      <c r="K2881" s="14"/>
      <c r="L2881" s="14" t="s">
        <v>6519</v>
      </c>
      <c r="M2881" s="14" t="s">
        <v>1259</v>
      </c>
      <c r="N2881" s="14" t="s">
        <v>1219</v>
      </c>
      <c r="O2881" s="14" t="s">
        <v>1220</v>
      </c>
    </row>
    <row r="2882" spans="1:15" x14ac:dyDescent="0.25">
      <c r="A2882" s="14">
        <v>3470</v>
      </c>
      <c r="B2882" s="14" t="s">
        <v>516</v>
      </c>
      <c r="C2882" s="14" t="s">
        <v>516</v>
      </c>
      <c r="D2882" s="14" t="s">
        <v>1512</v>
      </c>
      <c r="E2882" s="16">
        <v>120</v>
      </c>
      <c r="F2882" s="14" t="s">
        <v>3365</v>
      </c>
      <c r="G2882" s="17">
        <v>1400</v>
      </c>
      <c r="H2882" s="14" t="s">
        <v>1255</v>
      </c>
      <c r="I2882" s="14" t="s">
        <v>1256</v>
      </c>
      <c r="J2882" s="14" t="s">
        <v>1233</v>
      </c>
      <c r="K2882" s="14" t="s">
        <v>1257</v>
      </c>
      <c r="L2882" s="14" t="s">
        <v>6522</v>
      </c>
      <c r="M2882" s="14" t="s">
        <v>1259</v>
      </c>
      <c r="N2882" s="14" t="s">
        <v>1237</v>
      </c>
      <c r="O2882" s="14" t="s">
        <v>1220</v>
      </c>
    </row>
    <row r="2883" spans="1:15" x14ac:dyDescent="0.25">
      <c r="A2883" s="14" t="s">
        <v>6523</v>
      </c>
      <c r="B2883" s="14" t="s">
        <v>6524</v>
      </c>
      <c r="C2883" s="14" t="s">
        <v>6524</v>
      </c>
      <c r="D2883" s="14" t="s">
        <v>1512</v>
      </c>
      <c r="E2883" s="15"/>
      <c r="F2883" s="14" t="s">
        <v>3365</v>
      </c>
      <c r="G2883" s="15"/>
      <c r="H2883" s="14" t="s">
        <v>1255</v>
      </c>
      <c r="I2883" s="14" t="s">
        <v>1262</v>
      </c>
      <c r="J2883" s="14" t="s">
        <v>1262</v>
      </c>
      <c r="K2883" s="14"/>
      <c r="L2883" s="14" t="s">
        <v>6522</v>
      </c>
      <c r="M2883" s="14" t="s">
        <v>1259</v>
      </c>
      <c r="N2883" s="14" t="s">
        <v>1219</v>
      </c>
      <c r="O2883" s="14" t="s">
        <v>1220</v>
      </c>
    </row>
    <row r="2884" spans="1:15" x14ac:dyDescent="0.25">
      <c r="A2884" s="14">
        <v>3471</v>
      </c>
      <c r="B2884" s="14" t="s">
        <v>517</v>
      </c>
      <c r="C2884" s="14" t="s">
        <v>517</v>
      </c>
      <c r="D2884" s="14" t="s">
        <v>1512</v>
      </c>
      <c r="E2884" s="16">
        <v>70</v>
      </c>
      <c r="F2884" s="14" t="s">
        <v>1255</v>
      </c>
      <c r="G2884" s="16">
        <v>700</v>
      </c>
      <c r="H2884" s="14" t="s">
        <v>1255</v>
      </c>
      <c r="I2884" s="14" t="s">
        <v>1256</v>
      </c>
      <c r="J2884" s="14" t="s">
        <v>1242</v>
      </c>
      <c r="K2884" s="14" t="s">
        <v>1257</v>
      </c>
      <c r="L2884" s="14" t="s">
        <v>6525</v>
      </c>
      <c r="M2884" s="14" t="s">
        <v>1259</v>
      </c>
      <c r="N2884" s="14" t="s">
        <v>1237</v>
      </c>
      <c r="O2884" s="14" t="s">
        <v>1220</v>
      </c>
    </row>
    <row r="2885" spans="1:15" x14ac:dyDescent="0.25">
      <c r="A2885" s="14">
        <v>3472</v>
      </c>
      <c r="B2885" s="14" t="s">
        <v>518</v>
      </c>
      <c r="C2885" s="14" t="s">
        <v>518</v>
      </c>
      <c r="D2885" s="14" t="s">
        <v>1512</v>
      </c>
      <c r="E2885" s="16">
        <v>40</v>
      </c>
      <c r="F2885" s="14" t="s">
        <v>1255</v>
      </c>
      <c r="G2885" s="16">
        <v>400</v>
      </c>
      <c r="H2885" s="14" t="s">
        <v>1255</v>
      </c>
      <c r="I2885" s="14" t="s">
        <v>1256</v>
      </c>
      <c r="J2885" s="14" t="s">
        <v>1242</v>
      </c>
      <c r="K2885" s="14" t="s">
        <v>1257</v>
      </c>
      <c r="L2885" s="14" t="s">
        <v>6526</v>
      </c>
      <c r="M2885" s="14" t="s">
        <v>1259</v>
      </c>
      <c r="N2885" s="14" t="s">
        <v>1237</v>
      </c>
      <c r="O2885" s="14" t="s">
        <v>1220</v>
      </c>
    </row>
    <row r="2886" spans="1:15" x14ac:dyDescent="0.25">
      <c r="A2886" s="14">
        <v>3473</v>
      </c>
      <c r="B2886" s="14" t="s">
        <v>519</v>
      </c>
      <c r="C2886" s="14" t="s">
        <v>519</v>
      </c>
      <c r="D2886" s="14" t="s">
        <v>1512</v>
      </c>
      <c r="E2886" s="16">
        <v>24</v>
      </c>
      <c r="F2886" s="14" t="s">
        <v>1255</v>
      </c>
      <c r="G2886" s="16">
        <v>240</v>
      </c>
      <c r="H2886" s="14" t="s">
        <v>1255</v>
      </c>
      <c r="I2886" s="14" t="s">
        <v>1256</v>
      </c>
      <c r="J2886" s="14" t="s">
        <v>1296</v>
      </c>
      <c r="K2886" s="14" t="s">
        <v>1257</v>
      </c>
      <c r="L2886" s="14" t="s">
        <v>6527</v>
      </c>
      <c r="M2886" s="14" t="s">
        <v>1259</v>
      </c>
      <c r="N2886" s="14" t="s">
        <v>1237</v>
      </c>
      <c r="O2886" s="14" t="s">
        <v>1220</v>
      </c>
    </row>
    <row r="2887" spans="1:15" x14ac:dyDescent="0.25">
      <c r="A2887" s="14">
        <v>3474</v>
      </c>
      <c r="B2887" s="14" t="s">
        <v>520</v>
      </c>
      <c r="C2887" s="14" t="s">
        <v>520</v>
      </c>
      <c r="D2887" s="14" t="s">
        <v>1512</v>
      </c>
      <c r="E2887" s="16">
        <v>16</v>
      </c>
      <c r="F2887" s="14" t="s">
        <v>1255</v>
      </c>
      <c r="G2887" s="16">
        <v>80</v>
      </c>
      <c r="H2887" s="14" t="s">
        <v>1255</v>
      </c>
      <c r="I2887" s="14" t="s">
        <v>1256</v>
      </c>
      <c r="J2887" s="14" t="s">
        <v>1296</v>
      </c>
      <c r="K2887" s="14" t="s">
        <v>1257</v>
      </c>
      <c r="L2887" s="14" t="s">
        <v>6528</v>
      </c>
      <c r="M2887" s="14" t="s">
        <v>1259</v>
      </c>
      <c r="N2887" s="14" t="s">
        <v>1237</v>
      </c>
      <c r="O2887" s="14" t="s">
        <v>1220</v>
      </c>
    </row>
    <row r="2888" spans="1:15" x14ac:dyDescent="0.25">
      <c r="A2888" s="14">
        <v>3475</v>
      </c>
      <c r="B2888" s="14" t="s">
        <v>521</v>
      </c>
      <c r="C2888" s="14" t="s">
        <v>521</v>
      </c>
      <c r="D2888" s="14" t="s">
        <v>1512</v>
      </c>
      <c r="E2888" s="16">
        <v>10</v>
      </c>
      <c r="F2888" s="14" t="s">
        <v>1255</v>
      </c>
      <c r="G2888" s="16">
        <v>30</v>
      </c>
      <c r="H2888" s="14" t="s">
        <v>1255</v>
      </c>
      <c r="I2888" s="14" t="s">
        <v>1256</v>
      </c>
      <c r="J2888" s="14" t="s">
        <v>1296</v>
      </c>
      <c r="K2888" s="14" t="s">
        <v>1257</v>
      </c>
      <c r="L2888" s="14" t="s">
        <v>6529</v>
      </c>
      <c r="M2888" s="14" t="s">
        <v>1259</v>
      </c>
      <c r="N2888" s="14" t="s">
        <v>1237</v>
      </c>
      <c r="O2888" s="14" t="s">
        <v>1220</v>
      </c>
    </row>
    <row r="2889" spans="1:15" x14ac:dyDescent="0.25">
      <c r="A2889" s="14">
        <v>4752</v>
      </c>
      <c r="B2889" s="14" t="s">
        <v>6530</v>
      </c>
      <c r="C2889" s="14" t="s">
        <v>6530</v>
      </c>
      <c r="D2889" s="14" t="s">
        <v>1349</v>
      </c>
      <c r="E2889" s="15"/>
      <c r="F2889" s="14"/>
      <c r="G2889" s="15"/>
      <c r="H2889" s="14" t="s">
        <v>1255</v>
      </c>
      <c r="I2889" s="14" t="s">
        <v>1360</v>
      </c>
      <c r="J2889" s="14" t="s">
        <v>1360</v>
      </c>
      <c r="K2889" s="14"/>
      <c r="L2889" s="14"/>
      <c r="M2889" s="14" t="s">
        <v>1259</v>
      </c>
      <c r="N2889" s="14" t="s">
        <v>1219</v>
      </c>
      <c r="O2889" s="14" t="s">
        <v>1220</v>
      </c>
    </row>
    <row r="2890" spans="1:15" x14ac:dyDescent="0.25">
      <c r="A2890" s="14">
        <v>4753</v>
      </c>
      <c r="B2890" s="14" t="s">
        <v>6531</v>
      </c>
      <c r="C2890" s="14" t="s">
        <v>6531</v>
      </c>
      <c r="D2890" s="14" t="s">
        <v>1349</v>
      </c>
      <c r="E2890" s="15"/>
      <c r="F2890" s="14"/>
      <c r="G2890" s="15"/>
      <c r="H2890" s="14" t="s">
        <v>1255</v>
      </c>
      <c r="I2890" s="14" t="s">
        <v>1360</v>
      </c>
      <c r="J2890" s="14" t="s">
        <v>1360</v>
      </c>
      <c r="K2890" s="14"/>
      <c r="L2890" s="14"/>
      <c r="M2890" s="14" t="s">
        <v>1259</v>
      </c>
      <c r="N2890" s="14" t="s">
        <v>1219</v>
      </c>
      <c r="O2890" s="14" t="s">
        <v>1220</v>
      </c>
    </row>
    <row r="2891" spans="1:15" x14ac:dyDescent="0.25">
      <c r="A2891" s="14">
        <v>3698</v>
      </c>
      <c r="B2891" s="14" t="s">
        <v>522</v>
      </c>
      <c r="C2891" s="14" t="s">
        <v>522</v>
      </c>
      <c r="D2891" s="14" t="s">
        <v>1512</v>
      </c>
      <c r="E2891" s="16">
        <v>450</v>
      </c>
      <c r="F2891" s="14" t="s">
        <v>1255</v>
      </c>
      <c r="G2891" s="17">
        <v>3000</v>
      </c>
      <c r="H2891" s="14" t="s">
        <v>1255</v>
      </c>
      <c r="I2891" s="14" t="s">
        <v>1256</v>
      </c>
      <c r="J2891" s="14" t="s">
        <v>1296</v>
      </c>
      <c r="K2891" s="14" t="s">
        <v>1257</v>
      </c>
      <c r="L2891" s="14" t="s">
        <v>6532</v>
      </c>
      <c r="M2891" s="14" t="s">
        <v>1259</v>
      </c>
      <c r="N2891" s="14" t="s">
        <v>1237</v>
      </c>
      <c r="O2891" s="14" t="s">
        <v>1220</v>
      </c>
    </row>
    <row r="2892" spans="1:15" x14ac:dyDescent="0.25">
      <c r="A2892" s="14">
        <v>3699</v>
      </c>
      <c r="B2892" s="14" t="s">
        <v>523</v>
      </c>
      <c r="C2892" s="14" t="s">
        <v>523</v>
      </c>
      <c r="D2892" s="14" t="s">
        <v>1512</v>
      </c>
      <c r="E2892" s="16">
        <v>300</v>
      </c>
      <c r="F2892" s="14" t="s">
        <v>1255</v>
      </c>
      <c r="G2892" s="17">
        <v>1750</v>
      </c>
      <c r="H2892" s="14" t="s">
        <v>1255</v>
      </c>
      <c r="I2892" s="14" t="s">
        <v>1256</v>
      </c>
      <c r="J2892" s="14" t="s">
        <v>1296</v>
      </c>
      <c r="K2892" s="14" t="s">
        <v>1257</v>
      </c>
      <c r="L2892" s="14" t="s">
        <v>6533</v>
      </c>
      <c r="M2892" s="14" t="s">
        <v>1259</v>
      </c>
      <c r="N2892" s="14" t="s">
        <v>1237</v>
      </c>
      <c r="O2892" s="14" t="s">
        <v>1220</v>
      </c>
    </row>
    <row r="2893" spans="1:15" x14ac:dyDescent="0.25">
      <c r="A2893" s="14">
        <v>3697</v>
      </c>
      <c r="B2893" s="14" t="s">
        <v>524</v>
      </c>
      <c r="C2893" s="14" t="s">
        <v>524</v>
      </c>
      <c r="D2893" s="14" t="s">
        <v>1512</v>
      </c>
      <c r="E2893" s="16">
        <v>400</v>
      </c>
      <c r="F2893" s="14" t="s">
        <v>1255</v>
      </c>
      <c r="G2893" s="17">
        <v>2000</v>
      </c>
      <c r="H2893" s="14" t="s">
        <v>1255</v>
      </c>
      <c r="I2893" s="14" t="s">
        <v>1256</v>
      </c>
      <c r="J2893" s="14" t="s">
        <v>1296</v>
      </c>
      <c r="K2893" s="14" t="s">
        <v>1257</v>
      </c>
      <c r="L2893" s="14" t="s">
        <v>6534</v>
      </c>
      <c r="M2893" s="14" t="s">
        <v>1259</v>
      </c>
      <c r="N2893" s="14" t="s">
        <v>1237</v>
      </c>
      <c r="O2893" s="14" t="s">
        <v>1220</v>
      </c>
    </row>
    <row r="2894" spans="1:15" x14ac:dyDescent="0.25">
      <c r="A2894" s="14">
        <v>3434</v>
      </c>
      <c r="B2894" s="14" t="s">
        <v>525</v>
      </c>
      <c r="C2894" s="14" t="s">
        <v>525</v>
      </c>
      <c r="D2894" s="14" t="s">
        <v>1512</v>
      </c>
      <c r="E2894" s="16">
        <v>250</v>
      </c>
      <c r="F2894" s="14" t="s">
        <v>1255</v>
      </c>
      <c r="G2894" s="17">
        <v>1250</v>
      </c>
      <c r="H2894" s="14" t="s">
        <v>1255</v>
      </c>
      <c r="I2894" s="14" t="s">
        <v>1256</v>
      </c>
      <c r="J2894" s="14" t="s">
        <v>1296</v>
      </c>
      <c r="K2894" s="14" t="s">
        <v>1257</v>
      </c>
      <c r="L2894" s="14" t="s">
        <v>6535</v>
      </c>
      <c r="M2894" s="14" t="s">
        <v>1259</v>
      </c>
      <c r="N2894" s="14" t="s">
        <v>1237</v>
      </c>
      <c r="O2894" s="14" t="s">
        <v>1220</v>
      </c>
    </row>
    <row r="2895" spans="1:15" x14ac:dyDescent="0.25">
      <c r="A2895" s="14" t="s">
        <v>6536</v>
      </c>
      <c r="B2895" s="14" t="s">
        <v>6537</v>
      </c>
      <c r="C2895" s="14" t="s">
        <v>6537</v>
      </c>
      <c r="D2895" s="14" t="s">
        <v>1512</v>
      </c>
      <c r="E2895" s="15"/>
      <c r="F2895" s="14" t="s">
        <v>1510</v>
      </c>
      <c r="G2895" s="15"/>
      <c r="H2895" s="14" t="s">
        <v>1510</v>
      </c>
      <c r="I2895" s="14" t="s">
        <v>1262</v>
      </c>
      <c r="J2895" s="14" t="s">
        <v>1262</v>
      </c>
      <c r="K2895" s="14" t="s">
        <v>1257</v>
      </c>
      <c r="L2895" s="14" t="s">
        <v>6538</v>
      </c>
      <c r="M2895" s="14" t="s">
        <v>1324</v>
      </c>
      <c r="N2895" s="14" t="s">
        <v>1219</v>
      </c>
      <c r="O2895" s="14" t="s">
        <v>1220</v>
      </c>
    </row>
    <row r="2896" spans="1:15" x14ac:dyDescent="0.25">
      <c r="A2896" s="14" t="s">
        <v>6539</v>
      </c>
      <c r="B2896" s="14" t="s">
        <v>6540</v>
      </c>
      <c r="C2896" s="14" t="s">
        <v>6540</v>
      </c>
      <c r="D2896" s="14" t="s">
        <v>1349</v>
      </c>
      <c r="E2896" s="15"/>
      <c r="F2896" s="14"/>
      <c r="G2896" s="15"/>
      <c r="H2896" s="14" t="s">
        <v>1380</v>
      </c>
      <c r="I2896" s="14" t="s">
        <v>1360</v>
      </c>
      <c r="J2896" s="14" t="s">
        <v>1360</v>
      </c>
      <c r="K2896" s="14"/>
      <c r="L2896" s="14"/>
      <c r="M2896" s="14" t="s">
        <v>1324</v>
      </c>
      <c r="N2896" s="14" t="s">
        <v>1219</v>
      </c>
      <c r="O2896" s="14" t="s">
        <v>1220</v>
      </c>
    </row>
    <row r="2897" spans="1:15" x14ac:dyDescent="0.25">
      <c r="A2897" s="14">
        <v>3429</v>
      </c>
      <c r="B2897" s="14" t="s">
        <v>526</v>
      </c>
      <c r="C2897" s="14" t="s">
        <v>526</v>
      </c>
      <c r="D2897" s="14" t="s">
        <v>1512</v>
      </c>
      <c r="E2897" s="16">
        <v>300</v>
      </c>
      <c r="F2897" s="14" t="s">
        <v>1255</v>
      </c>
      <c r="G2897" s="17">
        <v>1500</v>
      </c>
      <c r="H2897" s="14" t="s">
        <v>1255</v>
      </c>
      <c r="I2897" s="14" t="s">
        <v>1256</v>
      </c>
      <c r="J2897" s="14" t="s">
        <v>1296</v>
      </c>
      <c r="K2897" s="14" t="s">
        <v>1257</v>
      </c>
      <c r="L2897" s="14" t="s">
        <v>6541</v>
      </c>
      <c r="M2897" s="14" t="s">
        <v>1259</v>
      </c>
      <c r="N2897" s="14" t="s">
        <v>1237</v>
      </c>
      <c r="O2897" s="14" t="s">
        <v>1220</v>
      </c>
    </row>
    <row r="2898" spans="1:15" x14ac:dyDescent="0.25">
      <c r="A2898" s="14">
        <v>159</v>
      </c>
      <c r="B2898" s="14" t="s">
        <v>336</v>
      </c>
      <c r="C2898" s="14" t="s">
        <v>6542</v>
      </c>
      <c r="D2898" s="14" t="s">
        <v>1512</v>
      </c>
      <c r="E2898" s="16">
        <v>120</v>
      </c>
      <c r="F2898" s="14" t="s">
        <v>1510</v>
      </c>
      <c r="G2898" s="17">
        <v>1200</v>
      </c>
      <c r="H2898" s="14" t="s">
        <v>1510</v>
      </c>
      <c r="I2898" s="14" t="s">
        <v>1256</v>
      </c>
      <c r="J2898" s="14" t="s">
        <v>1233</v>
      </c>
      <c r="K2898" s="14" t="s">
        <v>1257</v>
      </c>
      <c r="L2898" s="14" t="s">
        <v>6543</v>
      </c>
      <c r="M2898" s="14" t="s">
        <v>1324</v>
      </c>
      <c r="N2898" s="14" t="s">
        <v>1237</v>
      </c>
      <c r="O2898" s="14" t="s">
        <v>1220</v>
      </c>
    </row>
    <row r="2899" spans="1:15" x14ac:dyDescent="0.25">
      <c r="A2899" s="14" t="s">
        <v>6544</v>
      </c>
      <c r="B2899" s="14" t="s">
        <v>6545</v>
      </c>
      <c r="C2899" s="14" t="s">
        <v>6546</v>
      </c>
      <c r="D2899" s="14" t="s">
        <v>1517</v>
      </c>
      <c r="E2899" s="15"/>
      <c r="F2899" s="14" t="s">
        <v>1510</v>
      </c>
      <c r="G2899" s="15"/>
      <c r="H2899" s="14" t="s">
        <v>1510</v>
      </c>
      <c r="I2899" s="14" t="s">
        <v>1262</v>
      </c>
      <c r="J2899" s="14" t="s">
        <v>1262</v>
      </c>
      <c r="K2899" s="14"/>
      <c r="L2899" s="14" t="s">
        <v>6543</v>
      </c>
      <c r="M2899" s="14" t="s">
        <v>1324</v>
      </c>
      <c r="N2899" s="14" t="s">
        <v>1219</v>
      </c>
      <c r="O2899" s="14" t="s">
        <v>1220</v>
      </c>
    </row>
    <row r="2900" spans="1:15" x14ac:dyDescent="0.25">
      <c r="A2900" s="14">
        <v>543</v>
      </c>
      <c r="B2900" s="14" t="s">
        <v>337</v>
      </c>
      <c r="C2900" s="14" t="s">
        <v>6547</v>
      </c>
      <c r="D2900" s="14" t="s">
        <v>1512</v>
      </c>
      <c r="E2900" s="16">
        <v>100</v>
      </c>
      <c r="F2900" s="14" t="s">
        <v>1510</v>
      </c>
      <c r="G2900" s="17">
        <v>1000</v>
      </c>
      <c r="H2900" s="14" t="s">
        <v>1510</v>
      </c>
      <c r="I2900" s="14" t="s">
        <v>1256</v>
      </c>
      <c r="J2900" s="14" t="s">
        <v>1296</v>
      </c>
      <c r="K2900" s="14" t="s">
        <v>1257</v>
      </c>
      <c r="L2900" s="14" t="s">
        <v>6538</v>
      </c>
      <c r="M2900" s="14" t="s">
        <v>1324</v>
      </c>
      <c r="N2900" s="14" t="s">
        <v>1237</v>
      </c>
      <c r="O2900" s="14" t="s">
        <v>1220</v>
      </c>
    </row>
    <row r="2901" spans="1:15" x14ac:dyDescent="0.25">
      <c r="A2901" s="14">
        <v>169</v>
      </c>
      <c r="B2901" s="14" t="s">
        <v>342</v>
      </c>
      <c r="C2901" s="14" t="s">
        <v>6548</v>
      </c>
      <c r="D2901" s="14" t="s">
        <v>1512</v>
      </c>
      <c r="E2901" s="16">
        <v>80</v>
      </c>
      <c r="F2901" s="14" t="s">
        <v>1510</v>
      </c>
      <c r="G2901" s="16">
        <v>800</v>
      </c>
      <c r="H2901" s="14" t="s">
        <v>1510</v>
      </c>
      <c r="I2901" s="14" t="s">
        <v>1256</v>
      </c>
      <c r="J2901" s="14" t="s">
        <v>1233</v>
      </c>
      <c r="K2901" s="14" t="s">
        <v>1257</v>
      </c>
      <c r="L2901" s="14" t="s">
        <v>6549</v>
      </c>
      <c r="M2901" s="14" t="s">
        <v>1324</v>
      </c>
      <c r="N2901" s="14" t="s">
        <v>1237</v>
      </c>
      <c r="O2901" s="14" t="s">
        <v>1220</v>
      </c>
    </row>
    <row r="2902" spans="1:15" x14ac:dyDescent="0.25">
      <c r="A2902" s="14" t="s">
        <v>6550</v>
      </c>
      <c r="B2902" s="14" t="s">
        <v>6551</v>
      </c>
      <c r="C2902" s="14" t="s">
        <v>6552</v>
      </c>
      <c r="D2902" s="14" t="s">
        <v>4352</v>
      </c>
      <c r="E2902" s="15"/>
      <c r="F2902" s="14" t="s">
        <v>1510</v>
      </c>
      <c r="G2902" s="15"/>
      <c r="H2902" s="14" t="s">
        <v>1510</v>
      </c>
      <c r="I2902" s="14" t="s">
        <v>1262</v>
      </c>
      <c r="J2902" s="14" t="s">
        <v>1262</v>
      </c>
      <c r="K2902" s="14"/>
      <c r="L2902" s="14" t="s">
        <v>6549</v>
      </c>
      <c r="M2902" s="14" t="s">
        <v>1324</v>
      </c>
      <c r="N2902" s="14" t="s">
        <v>1219</v>
      </c>
      <c r="O2902" s="14" t="s">
        <v>1220</v>
      </c>
    </row>
    <row r="2903" spans="1:15" x14ac:dyDescent="0.25">
      <c r="A2903" s="14">
        <v>508</v>
      </c>
      <c r="B2903" s="14" t="s">
        <v>6553</v>
      </c>
      <c r="C2903" s="14" t="s">
        <v>6554</v>
      </c>
      <c r="D2903" s="14" t="s">
        <v>1349</v>
      </c>
      <c r="E2903" s="15"/>
      <c r="F2903" s="14"/>
      <c r="G2903" s="15"/>
      <c r="H2903" s="14" t="s">
        <v>1510</v>
      </c>
      <c r="I2903" s="14" t="s">
        <v>1360</v>
      </c>
      <c r="J2903" s="14" t="s">
        <v>1360</v>
      </c>
      <c r="K2903" s="14"/>
      <c r="L2903" s="14"/>
      <c r="M2903" s="14" t="s">
        <v>1324</v>
      </c>
      <c r="N2903" s="14" t="s">
        <v>1219</v>
      </c>
      <c r="O2903" s="14" t="s">
        <v>1220</v>
      </c>
    </row>
    <row r="2904" spans="1:15" x14ac:dyDescent="0.25">
      <c r="A2904" s="14">
        <v>181</v>
      </c>
      <c r="B2904" s="14" t="s">
        <v>6555</v>
      </c>
      <c r="C2904" s="14" t="s">
        <v>6556</v>
      </c>
      <c r="D2904" s="14" t="s">
        <v>1349</v>
      </c>
      <c r="E2904" s="15"/>
      <c r="F2904" s="14"/>
      <c r="G2904" s="15"/>
      <c r="H2904" s="14" t="s">
        <v>1510</v>
      </c>
      <c r="I2904" s="14" t="s">
        <v>1360</v>
      </c>
      <c r="J2904" s="14" t="s">
        <v>1360</v>
      </c>
      <c r="K2904" s="14"/>
      <c r="L2904" s="14"/>
      <c r="M2904" s="14" t="s">
        <v>1324</v>
      </c>
      <c r="N2904" s="14" t="s">
        <v>1219</v>
      </c>
      <c r="O2904" s="14" t="s">
        <v>1220</v>
      </c>
    </row>
    <row r="2905" spans="1:15" x14ac:dyDescent="0.25">
      <c r="A2905" s="14">
        <v>197</v>
      </c>
      <c r="B2905" s="14" t="s">
        <v>6557</v>
      </c>
      <c r="C2905" s="14" t="s">
        <v>6558</v>
      </c>
      <c r="D2905" s="14" t="s">
        <v>1349</v>
      </c>
      <c r="E2905" s="15"/>
      <c r="F2905" s="14"/>
      <c r="G2905" s="15"/>
      <c r="H2905" s="14" t="s">
        <v>1510</v>
      </c>
      <c r="I2905" s="14" t="s">
        <v>1360</v>
      </c>
      <c r="J2905" s="14" t="s">
        <v>1360</v>
      </c>
      <c r="K2905" s="14"/>
      <c r="L2905" s="14"/>
      <c r="M2905" s="14" t="s">
        <v>1324</v>
      </c>
      <c r="N2905" s="14" t="s">
        <v>1219</v>
      </c>
      <c r="O2905" s="14" t="s">
        <v>1220</v>
      </c>
    </row>
    <row r="2906" spans="1:15" x14ac:dyDescent="0.25">
      <c r="A2906" s="14">
        <v>6041</v>
      </c>
      <c r="B2906" s="14" t="s">
        <v>6559</v>
      </c>
      <c r="C2906" s="14" t="s">
        <v>6559</v>
      </c>
      <c r="D2906" s="14" t="s">
        <v>1807</v>
      </c>
      <c r="E2906" s="15"/>
      <c r="F2906" s="14"/>
      <c r="G2906" s="15"/>
      <c r="H2906" s="14" t="s">
        <v>1255</v>
      </c>
      <c r="I2906" s="14" t="s">
        <v>1217</v>
      </c>
      <c r="J2906" s="14"/>
      <c r="K2906" s="14"/>
      <c r="L2906" s="14"/>
      <c r="M2906" s="14"/>
      <c r="N2906" s="14" t="s">
        <v>1219</v>
      </c>
      <c r="O2906" s="14" t="s">
        <v>1220</v>
      </c>
    </row>
    <row r="2907" spans="1:15" x14ac:dyDescent="0.25">
      <c r="A2907" s="14">
        <v>6138</v>
      </c>
      <c r="B2907" s="14" t="s">
        <v>6560</v>
      </c>
      <c r="C2907" s="14" t="s">
        <v>6560</v>
      </c>
      <c r="D2907" s="14" t="s">
        <v>1807</v>
      </c>
      <c r="E2907" s="15"/>
      <c r="F2907" s="14"/>
      <c r="G2907" s="15"/>
      <c r="H2907" s="14" t="s">
        <v>1255</v>
      </c>
      <c r="I2907" s="14" t="s">
        <v>1217</v>
      </c>
      <c r="J2907" s="14"/>
      <c r="K2907" s="14"/>
      <c r="L2907" s="14"/>
      <c r="M2907" s="14"/>
      <c r="N2907" s="14" t="s">
        <v>1219</v>
      </c>
      <c r="O2907" s="14" t="s">
        <v>1220</v>
      </c>
    </row>
    <row r="2908" spans="1:15" x14ac:dyDescent="0.25">
      <c r="A2908" s="14">
        <v>6042</v>
      </c>
      <c r="B2908" s="14" t="s">
        <v>6561</v>
      </c>
      <c r="C2908" s="14" t="s">
        <v>6561</v>
      </c>
      <c r="D2908" s="14" t="s">
        <v>1807</v>
      </c>
      <c r="E2908" s="15"/>
      <c r="F2908" s="14"/>
      <c r="G2908" s="15"/>
      <c r="H2908" s="14" t="s">
        <v>1255</v>
      </c>
      <c r="I2908" s="14" t="s">
        <v>1217</v>
      </c>
      <c r="J2908" s="14"/>
      <c r="K2908" s="14"/>
      <c r="L2908" s="14"/>
      <c r="M2908" s="14"/>
      <c r="N2908" s="14" t="s">
        <v>1219</v>
      </c>
      <c r="O2908" s="14" t="s">
        <v>1220</v>
      </c>
    </row>
    <row r="2909" spans="1:15" x14ac:dyDescent="0.25">
      <c r="A2909" s="14">
        <v>6038</v>
      </c>
      <c r="B2909" s="14" t="s">
        <v>6562</v>
      </c>
      <c r="C2909" s="14" t="s">
        <v>6562</v>
      </c>
      <c r="D2909" s="14" t="s">
        <v>1807</v>
      </c>
      <c r="E2909" s="15"/>
      <c r="F2909" s="14"/>
      <c r="G2909" s="15"/>
      <c r="H2909" s="14" t="s">
        <v>1255</v>
      </c>
      <c r="I2909" s="14" t="s">
        <v>1217</v>
      </c>
      <c r="J2909" s="14"/>
      <c r="K2909" s="14"/>
      <c r="L2909" s="14"/>
      <c r="M2909" s="14"/>
      <c r="N2909" s="14" t="s">
        <v>1219</v>
      </c>
      <c r="O2909" s="14" t="s">
        <v>1220</v>
      </c>
    </row>
    <row r="2910" spans="1:15" x14ac:dyDescent="0.25">
      <c r="A2910" s="14">
        <v>6043</v>
      </c>
      <c r="B2910" s="14" t="s">
        <v>6563</v>
      </c>
      <c r="C2910" s="14" t="s">
        <v>6563</v>
      </c>
      <c r="D2910" s="14" t="s">
        <v>1807</v>
      </c>
      <c r="E2910" s="15"/>
      <c r="F2910" s="14"/>
      <c r="G2910" s="15"/>
      <c r="H2910" s="14" t="s">
        <v>1255</v>
      </c>
      <c r="I2910" s="14" t="s">
        <v>1217</v>
      </c>
      <c r="J2910" s="14"/>
      <c r="K2910" s="14"/>
      <c r="L2910" s="14"/>
      <c r="M2910" s="14"/>
      <c r="N2910" s="14" t="s">
        <v>1219</v>
      </c>
      <c r="O2910" s="14" t="s">
        <v>1220</v>
      </c>
    </row>
    <row r="2911" spans="1:15" x14ac:dyDescent="0.25">
      <c r="A2911" s="14">
        <v>6104</v>
      </c>
      <c r="B2911" s="14" t="s">
        <v>6564</v>
      </c>
      <c r="C2911" s="14" t="s">
        <v>6564</v>
      </c>
      <c r="D2911" s="14" t="s">
        <v>1807</v>
      </c>
      <c r="E2911" s="15"/>
      <c r="F2911" s="14"/>
      <c r="G2911" s="15"/>
      <c r="H2911" s="14" t="s">
        <v>1255</v>
      </c>
      <c r="I2911" s="14" t="s">
        <v>1217</v>
      </c>
      <c r="J2911" s="14"/>
      <c r="K2911" s="14"/>
      <c r="L2911" s="14"/>
      <c r="M2911" s="14"/>
      <c r="N2911" s="14" t="s">
        <v>1219</v>
      </c>
      <c r="O2911" s="14" t="s">
        <v>1220</v>
      </c>
    </row>
    <row r="2912" spans="1:15" x14ac:dyDescent="0.25">
      <c r="A2912" s="14">
        <v>6001</v>
      </c>
      <c r="B2912" s="14" t="s">
        <v>6565</v>
      </c>
      <c r="C2912" s="14" t="s">
        <v>6565</v>
      </c>
      <c r="D2912" s="14" t="s">
        <v>3278</v>
      </c>
      <c r="E2912" s="17">
        <v>1100</v>
      </c>
      <c r="F2912" s="14" t="s">
        <v>1255</v>
      </c>
      <c r="G2912" s="17">
        <v>1100</v>
      </c>
      <c r="H2912" s="14" t="s">
        <v>1255</v>
      </c>
      <c r="I2912" s="14" t="s">
        <v>1217</v>
      </c>
      <c r="J2912" s="14"/>
      <c r="K2912" s="14"/>
      <c r="L2912" s="14" t="s">
        <v>6566</v>
      </c>
      <c r="M2912" s="14"/>
      <c r="N2912" s="14" t="s">
        <v>1219</v>
      </c>
      <c r="O2912" s="14" t="s">
        <v>1220</v>
      </c>
    </row>
    <row r="2913" spans="1:15" x14ac:dyDescent="0.25">
      <c r="A2913" s="14">
        <v>6002</v>
      </c>
      <c r="B2913" s="14" t="s">
        <v>6567</v>
      </c>
      <c r="C2913" s="14" t="s">
        <v>6567</v>
      </c>
      <c r="D2913" s="14" t="s">
        <v>3278</v>
      </c>
      <c r="E2913" s="16">
        <v>600</v>
      </c>
      <c r="F2913" s="14" t="s">
        <v>3365</v>
      </c>
      <c r="G2913" s="16">
        <v>600</v>
      </c>
      <c r="H2913" s="14" t="s">
        <v>1255</v>
      </c>
      <c r="I2913" s="14" t="s">
        <v>1217</v>
      </c>
      <c r="J2913" s="14"/>
      <c r="K2913" s="14"/>
      <c r="L2913" s="14" t="s">
        <v>6568</v>
      </c>
      <c r="M2913" s="14"/>
      <c r="N2913" s="14" t="s">
        <v>1219</v>
      </c>
      <c r="O2913" s="14" t="s">
        <v>1220</v>
      </c>
    </row>
    <row r="2914" spans="1:15" x14ac:dyDescent="0.25">
      <c r="A2914" s="14">
        <v>6003</v>
      </c>
      <c r="B2914" s="14" t="s">
        <v>6569</v>
      </c>
      <c r="C2914" s="14" t="s">
        <v>6569</v>
      </c>
      <c r="D2914" s="14" t="s">
        <v>3278</v>
      </c>
      <c r="E2914" s="16">
        <v>300</v>
      </c>
      <c r="F2914" s="14" t="s">
        <v>3365</v>
      </c>
      <c r="G2914" s="16">
        <v>300</v>
      </c>
      <c r="H2914" s="14" t="s">
        <v>1255</v>
      </c>
      <c r="I2914" s="14" t="s">
        <v>1217</v>
      </c>
      <c r="J2914" s="14"/>
      <c r="K2914" s="14"/>
      <c r="L2914" s="14" t="s">
        <v>6570</v>
      </c>
      <c r="M2914" s="14"/>
      <c r="N2914" s="14" t="s">
        <v>1219</v>
      </c>
      <c r="O2914" s="14" t="s">
        <v>1220</v>
      </c>
    </row>
    <row r="2915" spans="1:15" x14ac:dyDescent="0.25">
      <c r="A2915" s="14">
        <v>6014</v>
      </c>
      <c r="B2915" s="14" t="s">
        <v>6571</v>
      </c>
      <c r="C2915" s="14" t="s">
        <v>6571</v>
      </c>
      <c r="D2915" s="14" t="s">
        <v>1807</v>
      </c>
      <c r="E2915" s="15"/>
      <c r="F2915" s="14"/>
      <c r="G2915" s="15"/>
      <c r="H2915" s="14" t="s">
        <v>1255</v>
      </c>
      <c r="I2915" s="14" t="s">
        <v>1217</v>
      </c>
      <c r="J2915" s="14"/>
      <c r="K2915" s="14"/>
      <c r="L2915" s="14"/>
      <c r="M2915" s="14"/>
      <c r="N2915" s="14" t="s">
        <v>1219</v>
      </c>
      <c r="O2915" s="14" t="s">
        <v>1220</v>
      </c>
    </row>
    <row r="2916" spans="1:15" x14ac:dyDescent="0.25">
      <c r="A2916" s="14">
        <v>6015</v>
      </c>
      <c r="B2916" s="14" t="s">
        <v>6572</v>
      </c>
      <c r="C2916" s="14" t="s">
        <v>6572</v>
      </c>
      <c r="D2916" s="14" t="s">
        <v>1807</v>
      </c>
      <c r="E2916" s="15"/>
      <c r="F2916" s="14"/>
      <c r="G2916" s="15"/>
      <c r="H2916" s="14" t="s">
        <v>1255</v>
      </c>
      <c r="I2916" s="14" t="s">
        <v>1217</v>
      </c>
      <c r="J2916" s="14"/>
      <c r="K2916" s="14"/>
      <c r="L2916" s="14"/>
      <c r="M2916" s="14"/>
      <c r="N2916" s="14" t="s">
        <v>1219</v>
      </c>
      <c r="O2916" s="14" t="s">
        <v>1220</v>
      </c>
    </row>
    <row r="2917" spans="1:15" x14ac:dyDescent="0.25">
      <c r="A2917" s="14">
        <v>6105</v>
      </c>
      <c r="B2917" s="14" t="s">
        <v>6573</v>
      </c>
      <c r="C2917" s="14" t="s">
        <v>6573</v>
      </c>
      <c r="D2917" s="14" t="s">
        <v>1807</v>
      </c>
      <c r="E2917" s="15"/>
      <c r="F2917" s="14"/>
      <c r="G2917" s="15"/>
      <c r="H2917" s="14" t="s">
        <v>1255</v>
      </c>
      <c r="I2917" s="14" t="s">
        <v>1217</v>
      </c>
      <c r="J2917" s="14"/>
      <c r="K2917" s="14"/>
      <c r="L2917" s="14"/>
      <c r="M2917" s="14"/>
      <c r="N2917" s="14" t="s">
        <v>1219</v>
      </c>
      <c r="O2917" s="14" t="s">
        <v>1220</v>
      </c>
    </row>
    <row r="2918" spans="1:15" x14ac:dyDescent="0.25">
      <c r="A2918" s="14" t="s">
        <v>6574</v>
      </c>
      <c r="B2918" s="14" t="s">
        <v>6575</v>
      </c>
      <c r="C2918" s="14" t="s">
        <v>6575</v>
      </c>
      <c r="D2918" s="14" t="s">
        <v>1283</v>
      </c>
      <c r="E2918" s="15"/>
      <c r="F2918" s="14" t="s">
        <v>1255</v>
      </c>
      <c r="G2918" s="15"/>
      <c r="H2918" s="14" t="s">
        <v>1255</v>
      </c>
      <c r="I2918" s="14" t="s">
        <v>1217</v>
      </c>
      <c r="J2918" s="14" t="s">
        <v>1296</v>
      </c>
      <c r="K2918" s="14"/>
      <c r="L2918" s="14"/>
      <c r="M2918" s="14" t="s">
        <v>1259</v>
      </c>
      <c r="N2918" s="14" t="s">
        <v>1219</v>
      </c>
      <c r="O2918" s="14" t="s">
        <v>1220</v>
      </c>
    </row>
    <row r="2919" spans="1:15" x14ac:dyDescent="0.25">
      <c r="A2919" s="14" t="s">
        <v>6576</v>
      </c>
      <c r="B2919" s="14" t="s">
        <v>6577</v>
      </c>
      <c r="C2919" s="14" t="s">
        <v>6577</v>
      </c>
      <c r="D2919" s="14" t="s">
        <v>1283</v>
      </c>
      <c r="E2919" s="15"/>
      <c r="F2919" s="14" t="s">
        <v>1255</v>
      </c>
      <c r="G2919" s="15"/>
      <c r="H2919" s="14" t="s">
        <v>1255</v>
      </c>
      <c r="I2919" s="14" t="s">
        <v>1217</v>
      </c>
      <c r="J2919" s="14" t="s">
        <v>1296</v>
      </c>
      <c r="K2919" s="14"/>
      <c r="L2919" s="14"/>
      <c r="M2919" s="14" t="s">
        <v>1259</v>
      </c>
      <c r="N2919" s="14" t="s">
        <v>1219</v>
      </c>
      <c r="O2919" s="14" t="s">
        <v>1220</v>
      </c>
    </row>
    <row r="2920" spans="1:15" x14ac:dyDescent="0.25">
      <c r="A2920" s="14">
        <v>1019</v>
      </c>
      <c r="B2920" s="14" t="s">
        <v>6578</v>
      </c>
      <c r="C2920" s="14" t="s">
        <v>6578</v>
      </c>
      <c r="D2920" s="14" t="s">
        <v>6579</v>
      </c>
      <c r="E2920" s="16">
        <v>140</v>
      </c>
      <c r="F2920" s="14" t="s">
        <v>1321</v>
      </c>
      <c r="G2920" s="16">
        <v>100</v>
      </c>
      <c r="H2920" s="14" t="s">
        <v>1578</v>
      </c>
      <c r="I2920" s="14"/>
      <c r="J2920" s="14" t="s">
        <v>1296</v>
      </c>
      <c r="K2920" s="14" t="s">
        <v>1579</v>
      </c>
      <c r="L2920" s="14" t="s">
        <v>6580</v>
      </c>
      <c r="M2920" s="14" t="s">
        <v>1324</v>
      </c>
      <c r="N2920" s="14" t="s">
        <v>1219</v>
      </c>
      <c r="O2920" s="14" t="s">
        <v>1220</v>
      </c>
    </row>
    <row r="2921" spans="1:15" x14ac:dyDescent="0.25">
      <c r="A2921" s="14">
        <v>1023</v>
      </c>
      <c r="B2921" s="14" t="s">
        <v>6581</v>
      </c>
      <c r="C2921" s="14" t="s">
        <v>6581</v>
      </c>
      <c r="D2921" s="14" t="s">
        <v>6579</v>
      </c>
      <c r="E2921" s="16">
        <v>140</v>
      </c>
      <c r="F2921" s="14" t="s">
        <v>1321</v>
      </c>
      <c r="G2921" s="16">
        <v>100</v>
      </c>
      <c r="H2921" s="14" t="s">
        <v>1578</v>
      </c>
      <c r="I2921" s="14"/>
      <c r="J2921" s="14" t="s">
        <v>1296</v>
      </c>
      <c r="K2921" s="14" t="s">
        <v>1579</v>
      </c>
      <c r="L2921" s="14" t="s">
        <v>6582</v>
      </c>
      <c r="M2921" s="14" t="s">
        <v>1324</v>
      </c>
      <c r="N2921" s="14" t="s">
        <v>1219</v>
      </c>
      <c r="O2921" s="14" t="s">
        <v>1220</v>
      </c>
    </row>
    <row r="2922" spans="1:15" x14ac:dyDescent="0.25">
      <c r="A2922" s="14">
        <v>1020</v>
      </c>
      <c r="B2922" s="14" t="s">
        <v>6583</v>
      </c>
      <c r="C2922" s="14" t="s">
        <v>6583</v>
      </c>
      <c r="D2922" s="14" t="s">
        <v>6579</v>
      </c>
      <c r="E2922" s="16">
        <v>140</v>
      </c>
      <c r="F2922" s="14" t="s">
        <v>1321</v>
      </c>
      <c r="G2922" s="16">
        <v>100</v>
      </c>
      <c r="H2922" s="14" t="s">
        <v>1578</v>
      </c>
      <c r="I2922" s="14"/>
      <c r="J2922" s="14" t="s">
        <v>1296</v>
      </c>
      <c r="K2922" s="14" t="s">
        <v>1579</v>
      </c>
      <c r="L2922" s="14" t="s">
        <v>6584</v>
      </c>
      <c r="M2922" s="14" t="s">
        <v>1324</v>
      </c>
      <c r="N2922" s="14" t="s">
        <v>1219</v>
      </c>
      <c r="O2922" s="14" t="s">
        <v>1220</v>
      </c>
    </row>
    <row r="2923" spans="1:15" x14ac:dyDescent="0.25">
      <c r="A2923" s="14">
        <v>1024</v>
      </c>
      <c r="B2923" s="14" t="s">
        <v>6585</v>
      </c>
      <c r="C2923" s="14" t="s">
        <v>6585</v>
      </c>
      <c r="D2923" s="14" t="s">
        <v>6579</v>
      </c>
      <c r="E2923" s="16">
        <v>140</v>
      </c>
      <c r="F2923" s="14" t="s">
        <v>1321</v>
      </c>
      <c r="G2923" s="16">
        <v>100</v>
      </c>
      <c r="H2923" s="14" t="s">
        <v>1578</v>
      </c>
      <c r="I2923" s="14"/>
      <c r="J2923" s="14" t="s">
        <v>1296</v>
      </c>
      <c r="K2923" s="14" t="s">
        <v>1579</v>
      </c>
      <c r="L2923" s="14" t="s">
        <v>6586</v>
      </c>
      <c r="M2923" s="14" t="s">
        <v>1324</v>
      </c>
      <c r="N2923" s="14" t="s">
        <v>1219</v>
      </c>
      <c r="O2923" s="14" t="s">
        <v>1220</v>
      </c>
    </row>
    <row r="2924" spans="1:15" x14ac:dyDescent="0.25">
      <c r="A2924" s="14">
        <v>1017</v>
      </c>
      <c r="B2924" s="14" t="s">
        <v>6587</v>
      </c>
      <c r="C2924" s="14" t="s">
        <v>6587</v>
      </c>
      <c r="D2924" s="14" t="s">
        <v>6579</v>
      </c>
      <c r="E2924" s="16">
        <v>140</v>
      </c>
      <c r="F2924" s="14" t="s">
        <v>1321</v>
      </c>
      <c r="G2924" s="16">
        <v>100</v>
      </c>
      <c r="H2924" s="14" t="s">
        <v>1578</v>
      </c>
      <c r="I2924" s="14"/>
      <c r="J2924" s="14" t="s">
        <v>1296</v>
      </c>
      <c r="K2924" s="14" t="s">
        <v>1579</v>
      </c>
      <c r="L2924" s="14" t="s">
        <v>6588</v>
      </c>
      <c r="M2924" s="14" t="s">
        <v>1324</v>
      </c>
      <c r="N2924" s="14" t="s">
        <v>1219</v>
      </c>
      <c r="O2924" s="14" t="s">
        <v>1220</v>
      </c>
    </row>
    <row r="2925" spans="1:15" x14ac:dyDescent="0.25">
      <c r="A2925" s="14">
        <v>1021</v>
      </c>
      <c r="B2925" s="14" t="s">
        <v>6589</v>
      </c>
      <c r="C2925" s="14" t="s">
        <v>6589</v>
      </c>
      <c r="D2925" s="14" t="s">
        <v>6579</v>
      </c>
      <c r="E2925" s="16">
        <v>140</v>
      </c>
      <c r="F2925" s="14" t="s">
        <v>1321</v>
      </c>
      <c r="G2925" s="16">
        <v>100</v>
      </c>
      <c r="H2925" s="14" t="s">
        <v>1578</v>
      </c>
      <c r="I2925" s="14"/>
      <c r="J2925" s="14" t="s">
        <v>1296</v>
      </c>
      <c r="K2925" s="14" t="s">
        <v>1579</v>
      </c>
      <c r="L2925" s="14" t="s">
        <v>6590</v>
      </c>
      <c r="M2925" s="14" t="s">
        <v>1324</v>
      </c>
      <c r="N2925" s="14" t="s">
        <v>1219</v>
      </c>
      <c r="O2925" s="14" t="s">
        <v>1220</v>
      </c>
    </row>
    <row r="2926" spans="1:15" x14ac:dyDescent="0.25">
      <c r="A2926" s="14">
        <v>1025</v>
      </c>
      <c r="B2926" s="14" t="s">
        <v>6591</v>
      </c>
      <c r="C2926" s="14" t="s">
        <v>6591</v>
      </c>
      <c r="D2926" s="14" t="s">
        <v>6579</v>
      </c>
      <c r="E2926" s="16">
        <v>140</v>
      </c>
      <c r="F2926" s="14" t="s">
        <v>1321</v>
      </c>
      <c r="G2926" s="16">
        <v>100</v>
      </c>
      <c r="H2926" s="14" t="s">
        <v>1578</v>
      </c>
      <c r="I2926" s="14"/>
      <c r="J2926" s="14" t="s">
        <v>1296</v>
      </c>
      <c r="K2926" s="14" t="s">
        <v>1579</v>
      </c>
      <c r="L2926" s="14" t="s">
        <v>6592</v>
      </c>
      <c r="M2926" s="14" t="s">
        <v>1324</v>
      </c>
      <c r="N2926" s="14" t="s">
        <v>1219</v>
      </c>
      <c r="O2926" s="14" t="s">
        <v>1220</v>
      </c>
    </row>
    <row r="2927" spans="1:15" x14ac:dyDescent="0.25">
      <c r="A2927" s="14">
        <v>1022</v>
      </c>
      <c r="B2927" s="14" t="s">
        <v>6593</v>
      </c>
      <c r="C2927" s="14" t="s">
        <v>6593</v>
      </c>
      <c r="D2927" s="14" t="s">
        <v>6579</v>
      </c>
      <c r="E2927" s="16">
        <v>140</v>
      </c>
      <c r="F2927" s="14" t="s">
        <v>1321</v>
      </c>
      <c r="G2927" s="16">
        <v>100</v>
      </c>
      <c r="H2927" s="14" t="s">
        <v>1578</v>
      </c>
      <c r="I2927" s="14"/>
      <c r="J2927" s="14" t="s">
        <v>1296</v>
      </c>
      <c r="K2927" s="14" t="s">
        <v>1579</v>
      </c>
      <c r="L2927" s="14" t="s">
        <v>6594</v>
      </c>
      <c r="M2927" s="14" t="s">
        <v>1324</v>
      </c>
      <c r="N2927" s="14" t="s">
        <v>1219</v>
      </c>
      <c r="O2927" s="14" t="s">
        <v>1220</v>
      </c>
    </row>
    <row r="2928" spans="1:15" x14ac:dyDescent="0.25">
      <c r="A2928" s="14">
        <v>1026</v>
      </c>
      <c r="B2928" s="14" t="s">
        <v>6595</v>
      </c>
      <c r="C2928" s="14" t="s">
        <v>6595</v>
      </c>
      <c r="D2928" s="14" t="s">
        <v>6579</v>
      </c>
      <c r="E2928" s="16">
        <v>140</v>
      </c>
      <c r="F2928" s="14" t="s">
        <v>1321</v>
      </c>
      <c r="G2928" s="16">
        <v>100</v>
      </c>
      <c r="H2928" s="14" t="s">
        <v>1578</v>
      </c>
      <c r="I2928" s="14"/>
      <c r="J2928" s="14" t="s">
        <v>1296</v>
      </c>
      <c r="K2928" s="14" t="s">
        <v>1579</v>
      </c>
      <c r="L2928" s="14" t="s">
        <v>6596</v>
      </c>
      <c r="M2928" s="14" t="s">
        <v>1324</v>
      </c>
      <c r="N2928" s="14" t="s">
        <v>1219</v>
      </c>
      <c r="O2928" s="14" t="s">
        <v>1220</v>
      </c>
    </row>
    <row r="2929" spans="1:15" x14ac:dyDescent="0.25">
      <c r="A2929" s="14">
        <v>1018</v>
      </c>
      <c r="B2929" s="14" t="s">
        <v>6597</v>
      </c>
      <c r="C2929" s="14" t="s">
        <v>6597</v>
      </c>
      <c r="D2929" s="14" t="s">
        <v>6579</v>
      </c>
      <c r="E2929" s="16">
        <v>140</v>
      </c>
      <c r="F2929" s="14" t="s">
        <v>1321</v>
      </c>
      <c r="G2929" s="16">
        <v>100</v>
      </c>
      <c r="H2929" s="14" t="s">
        <v>1578</v>
      </c>
      <c r="I2929" s="14"/>
      <c r="J2929" s="14" t="s">
        <v>1296</v>
      </c>
      <c r="K2929" s="14" t="s">
        <v>1579</v>
      </c>
      <c r="L2929" s="14" t="s">
        <v>6598</v>
      </c>
      <c r="M2929" s="14" t="s">
        <v>1324</v>
      </c>
      <c r="N2929" s="14" t="s">
        <v>1219</v>
      </c>
      <c r="O2929" s="14" t="s">
        <v>1220</v>
      </c>
    </row>
    <row r="2930" spans="1:15" x14ac:dyDescent="0.25">
      <c r="A2930" s="14">
        <v>1027</v>
      </c>
      <c r="B2930" s="14" t="s">
        <v>6599</v>
      </c>
      <c r="C2930" s="14" t="s">
        <v>6599</v>
      </c>
      <c r="D2930" s="14" t="s">
        <v>6579</v>
      </c>
      <c r="E2930" s="16">
        <v>140</v>
      </c>
      <c r="F2930" s="14" t="s">
        <v>1321</v>
      </c>
      <c r="G2930" s="16">
        <v>100</v>
      </c>
      <c r="H2930" s="14" t="s">
        <v>1578</v>
      </c>
      <c r="I2930" s="14"/>
      <c r="J2930" s="14" t="s">
        <v>1296</v>
      </c>
      <c r="K2930" s="14" t="s">
        <v>1579</v>
      </c>
      <c r="L2930" s="14" t="s">
        <v>6600</v>
      </c>
      <c r="M2930" s="14" t="s">
        <v>1324</v>
      </c>
      <c r="N2930" s="14" t="s">
        <v>1219</v>
      </c>
      <c r="O2930" s="14" t="s">
        <v>1220</v>
      </c>
    </row>
    <row r="2931" spans="1:15" x14ac:dyDescent="0.25">
      <c r="A2931" s="14">
        <v>1028</v>
      </c>
      <c r="B2931" s="14" t="s">
        <v>6601</v>
      </c>
      <c r="C2931" s="14" t="s">
        <v>6601</v>
      </c>
      <c r="D2931" s="14" t="s">
        <v>6579</v>
      </c>
      <c r="E2931" s="16">
        <v>140</v>
      </c>
      <c r="F2931" s="14" t="s">
        <v>1321</v>
      </c>
      <c r="G2931" s="16">
        <v>100</v>
      </c>
      <c r="H2931" s="14" t="s">
        <v>1578</v>
      </c>
      <c r="I2931" s="14"/>
      <c r="J2931" s="14" t="s">
        <v>1296</v>
      </c>
      <c r="K2931" s="14" t="s">
        <v>1579</v>
      </c>
      <c r="L2931" s="14" t="s">
        <v>6602</v>
      </c>
      <c r="M2931" s="14" t="s">
        <v>1324</v>
      </c>
      <c r="N2931" s="14" t="s">
        <v>1219</v>
      </c>
      <c r="O2931" s="14" t="s">
        <v>1220</v>
      </c>
    </row>
    <row r="2932" spans="1:15" x14ac:dyDescent="0.25">
      <c r="A2932" s="14" t="s">
        <v>6603</v>
      </c>
      <c r="B2932" s="14" t="s">
        <v>6604</v>
      </c>
      <c r="C2932" s="14" t="s">
        <v>6604</v>
      </c>
      <c r="D2932" s="14" t="s">
        <v>1283</v>
      </c>
      <c r="E2932" s="15"/>
      <c r="F2932" s="14" t="s">
        <v>1742</v>
      </c>
      <c r="G2932" s="15"/>
      <c r="H2932" s="14" t="s">
        <v>1255</v>
      </c>
      <c r="I2932" s="14" t="s">
        <v>1217</v>
      </c>
      <c r="J2932" s="14" t="s">
        <v>1296</v>
      </c>
      <c r="K2932" s="14"/>
      <c r="L2932" s="14"/>
      <c r="M2932" s="14" t="s">
        <v>1259</v>
      </c>
      <c r="N2932" s="14" t="s">
        <v>1219</v>
      </c>
      <c r="O2932" s="14" t="s">
        <v>1220</v>
      </c>
    </row>
    <row r="2933" spans="1:15" x14ac:dyDescent="0.25">
      <c r="A2933" s="14" t="s">
        <v>6605</v>
      </c>
      <c r="B2933" s="14" t="s">
        <v>6606</v>
      </c>
      <c r="C2933" s="14" t="s">
        <v>6606</v>
      </c>
      <c r="D2933" s="14" t="s">
        <v>1283</v>
      </c>
      <c r="E2933" s="15"/>
      <c r="F2933" s="14" t="s">
        <v>1742</v>
      </c>
      <c r="G2933" s="15"/>
      <c r="H2933" s="14" t="s">
        <v>1255</v>
      </c>
      <c r="I2933" s="14" t="s">
        <v>1217</v>
      </c>
      <c r="J2933" s="14" t="s">
        <v>1242</v>
      </c>
      <c r="K2933" s="14"/>
      <c r="L2933" s="14"/>
      <c r="M2933" s="14" t="s">
        <v>1259</v>
      </c>
      <c r="N2933" s="14" t="s">
        <v>1219</v>
      </c>
      <c r="O2933" s="14" t="s">
        <v>1220</v>
      </c>
    </row>
    <row r="2934" spans="1:15" x14ac:dyDescent="0.25">
      <c r="A2934" s="14" t="s">
        <v>6607</v>
      </c>
      <c r="B2934" s="14" t="s">
        <v>6608</v>
      </c>
      <c r="C2934" s="14" t="s">
        <v>6608</v>
      </c>
      <c r="D2934" s="14" t="s">
        <v>1283</v>
      </c>
      <c r="E2934" s="15"/>
      <c r="F2934" s="14" t="s">
        <v>1742</v>
      </c>
      <c r="G2934" s="15"/>
      <c r="H2934" s="14" t="s">
        <v>1255</v>
      </c>
      <c r="I2934" s="14" t="s">
        <v>1217</v>
      </c>
      <c r="J2934" s="14" t="s">
        <v>1296</v>
      </c>
      <c r="K2934" s="14"/>
      <c r="L2934" s="14"/>
      <c r="M2934" s="14" t="s">
        <v>1259</v>
      </c>
      <c r="N2934" s="14" t="s">
        <v>1219</v>
      </c>
      <c r="O2934" s="14" t="s">
        <v>1220</v>
      </c>
    </row>
    <row r="2935" spans="1:15" x14ac:dyDescent="0.25">
      <c r="A2935" s="14" t="s">
        <v>6609</v>
      </c>
      <c r="B2935" s="14" t="s">
        <v>6610</v>
      </c>
      <c r="C2935" s="14" t="s">
        <v>6610</v>
      </c>
      <c r="D2935" s="14" t="s">
        <v>1283</v>
      </c>
      <c r="E2935" s="15"/>
      <c r="F2935" s="14" t="s">
        <v>1742</v>
      </c>
      <c r="G2935" s="15"/>
      <c r="H2935" s="14" t="s">
        <v>1255</v>
      </c>
      <c r="I2935" s="14" t="s">
        <v>1217</v>
      </c>
      <c r="J2935" s="14" t="s">
        <v>1296</v>
      </c>
      <c r="K2935" s="14"/>
      <c r="L2935" s="14"/>
      <c r="M2935" s="14" t="s">
        <v>1259</v>
      </c>
      <c r="N2935" s="14" t="s">
        <v>1219</v>
      </c>
      <c r="O2935" s="14" t="s">
        <v>1220</v>
      </c>
    </row>
    <row r="2936" spans="1:15" x14ac:dyDescent="0.25">
      <c r="A2936" s="14" t="s">
        <v>6611</v>
      </c>
      <c r="B2936" s="14" t="s">
        <v>6612</v>
      </c>
      <c r="C2936" s="14" t="s">
        <v>6612</v>
      </c>
      <c r="D2936" s="14" t="s">
        <v>1283</v>
      </c>
      <c r="E2936" s="15"/>
      <c r="F2936" s="14" t="s">
        <v>1742</v>
      </c>
      <c r="G2936" s="15"/>
      <c r="H2936" s="14" t="s">
        <v>1255</v>
      </c>
      <c r="I2936" s="14" t="s">
        <v>1217</v>
      </c>
      <c r="J2936" s="14" t="s">
        <v>1296</v>
      </c>
      <c r="K2936" s="14"/>
      <c r="L2936" s="14"/>
      <c r="M2936" s="14" t="s">
        <v>1259</v>
      </c>
      <c r="N2936" s="14" t="s">
        <v>1219</v>
      </c>
      <c r="O2936" s="14" t="s">
        <v>1220</v>
      </c>
    </row>
    <row r="2937" spans="1:15" x14ac:dyDescent="0.25">
      <c r="A2937" s="14" t="s">
        <v>6613</v>
      </c>
      <c r="B2937" s="14" t="s">
        <v>6614</v>
      </c>
      <c r="C2937" s="14" t="s">
        <v>6614</v>
      </c>
      <c r="D2937" s="14" t="s">
        <v>1283</v>
      </c>
      <c r="E2937" s="15"/>
      <c r="F2937" s="14" t="s">
        <v>1742</v>
      </c>
      <c r="G2937" s="15"/>
      <c r="H2937" s="14" t="s">
        <v>1255</v>
      </c>
      <c r="I2937" s="14" t="s">
        <v>1217</v>
      </c>
      <c r="J2937" s="14" t="s">
        <v>1296</v>
      </c>
      <c r="K2937" s="14"/>
      <c r="L2937" s="14"/>
      <c r="M2937" s="14" t="s">
        <v>1259</v>
      </c>
      <c r="N2937" s="14" t="s">
        <v>1219</v>
      </c>
      <c r="O2937" s="14" t="s">
        <v>1220</v>
      </c>
    </row>
    <row r="2938" spans="1:15" x14ac:dyDescent="0.25">
      <c r="A2938" s="14" t="s">
        <v>6615</v>
      </c>
      <c r="B2938" s="14" t="s">
        <v>6616</v>
      </c>
      <c r="C2938" s="14" t="s">
        <v>6616</v>
      </c>
      <c r="D2938" s="14" t="s">
        <v>1283</v>
      </c>
      <c r="E2938" s="15"/>
      <c r="F2938" s="14" t="s">
        <v>1742</v>
      </c>
      <c r="G2938" s="15"/>
      <c r="H2938" s="14" t="s">
        <v>1255</v>
      </c>
      <c r="I2938" s="14" t="s">
        <v>1217</v>
      </c>
      <c r="J2938" s="14" t="s">
        <v>1296</v>
      </c>
      <c r="K2938" s="14"/>
      <c r="L2938" s="14"/>
      <c r="M2938" s="14" t="s">
        <v>1259</v>
      </c>
      <c r="N2938" s="14" t="s">
        <v>1219</v>
      </c>
      <c r="O2938" s="14" t="s">
        <v>1220</v>
      </c>
    </row>
    <row r="2939" spans="1:15" x14ac:dyDescent="0.25">
      <c r="A2939" s="14" t="s">
        <v>6617</v>
      </c>
      <c r="B2939" s="14" t="s">
        <v>6618</v>
      </c>
      <c r="C2939" s="14" t="s">
        <v>6618</v>
      </c>
      <c r="D2939" s="14" t="s">
        <v>1283</v>
      </c>
      <c r="E2939" s="15"/>
      <c r="F2939" s="14" t="s">
        <v>1742</v>
      </c>
      <c r="G2939" s="15"/>
      <c r="H2939" s="14" t="s">
        <v>1255</v>
      </c>
      <c r="I2939" s="14" t="s">
        <v>1217</v>
      </c>
      <c r="J2939" s="14" t="s">
        <v>1296</v>
      </c>
      <c r="K2939" s="14"/>
      <c r="L2939" s="14"/>
      <c r="M2939" s="14" t="s">
        <v>1259</v>
      </c>
      <c r="N2939" s="14" t="s">
        <v>1219</v>
      </c>
      <c r="O2939" s="14" t="s">
        <v>1220</v>
      </c>
    </row>
    <row r="2940" spans="1:15" x14ac:dyDescent="0.25">
      <c r="A2940" s="14" t="s">
        <v>6619</v>
      </c>
      <c r="B2940" s="14" t="s">
        <v>6620</v>
      </c>
      <c r="C2940" s="14" t="s">
        <v>6620</v>
      </c>
      <c r="D2940" s="14" t="s">
        <v>1283</v>
      </c>
      <c r="E2940" s="15"/>
      <c r="F2940" s="14" t="s">
        <v>1742</v>
      </c>
      <c r="G2940" s="15"/>
      <c r="H2940" s="14" t="s">
        <v>1255</v>
      </c>
      <c r="I2940" s="14" t="s">
        <v>1217</v>
      </c>
      <c r="J2940" s="14" t="s">
        <v>1296</v>
      </c>
      <c r="K2940" s="14"/>
      <c r="L2940" s="14"/>
      <c r="M2940" s="14" t="s">
        <v>1259</v>
      </c>
      <c r="N2940" s="14" t="s">
        <v>1219</v>
      </c>
      <c r="O2940" s="14" t="s">
        <v>1220</v>
      </c>
    </row>
    <row r="2941" spans="1:15" x14ac:dyDescent="0.25">
      <c r="A2941" s="14" t="s">
        <v>6621</v>
      </c>
      <c r="B2941" s="14" t="s">
        <v>6622</v>
      </c>
      <c r="C2941" s="14" t="s">
        <v>6622</v>
      </c>
      <c r="D2941" s="14" t="s">
        <v>1283</v>
      </c>
      <c r="E2941" s="15"/>
      <c r="F2941" s="14" t="s">
        <v>1742</v>
      </c>
      <c r="G2941" s="15"/>
      <c r="H2941" s="14" t="s">
        <v>1255</v>
      </c>
      <c r="I2941" s="14" t="s">
        <v>1217</v>
      </c>
      <c r="J2941" s="14" t="s">
        <v>1296</v>
      </c>
      <c r="K2941" s="14"/>
      <c r="L2941" s="14"/>
      <c r="M2941" s="14" t="s">
        <v>1259</v>
      </c>
      <c r="N2941" s="14" t="s">
        <v>1219</v>
      </c>
      <c r="O2941" s="14" t="s">
        <v>1220</v>
      </c>
    </row>
    <row r="2942" spans="1:15" x14ac:dyDescent="0.25">
      <c r="A2942" s="14" t="s">
        <v>6623</v>
      </c>
      <c r="B2942" s="14" t="s">
        <v>6624</v>
      </c>
      <c r="C2942" s="14" t="s">
        <v>6624</v>
      </c>
      <c r="D2942" s="14" t="s">
        <v>1283</v>
      </c>
      <c r="E2942" s="15"/>
      <c r="F2942" s="14" t="s">
        <v>1742</v>
      </c>
      <c r="G2942" s="15"/>
      <c r="H2942" s="14" t="s">
        <v>1255</v>
      </c>
      <c r="I2942" s="14" t="s">
        <v>1217</v>
      </c>
      <c r="J2942" s="14" t="s">
        <v>1296</v>
      </c>
      <c r="K2942" s="14"/>
      <c r="L2942" s="14"/>
      <c r="M2942" s="14" t="s">
        <v>1259</v>
      </c>
      <c r="N2942" s="14" t="s">
        <v>1219</v>
      </c>
      <c r="O2942" s="14" t="s">
        <v>1220</v>
      </c>
    </row>
    <row r="2943" spans="1:15" x14ac:dyDescent="0.25">
      <c r="A2943" s="14" t="s">
        <v>6625</v>
      </c>
      <c r="B2943" s="14" t="s">
        <v>6626</v>
      </c>
      <c r="C2943" s="14" t="s">
        <v>6626</v>
      </c>
      <c r="D2943" s="14" t="s">
        <v>1283</v>
      </c>
      <c r="E2943" s="15"/>
      <c r="F2943" s="14" t="s">
        <v>1742</v>
      </c>
      <c r="G2943" s="15"/>
      <c r="H2943" s="14" t="s">
        <v>1255</v>
      </c>
      <c r="I2943" s="14" t="s">
        <v>1217</v>
      </c>
      <c r="J2943" s="14" t="s">
        <v>1296</v>
      </c>
      <c r="K2943" s="14"/>
      <c r="L2943" s="14"/>
      <c r="M2943" s="14" t="s">
        <v>1259</v>
      </c>
      <c r="N2943" s="14" t="s">
        <v>1219</v>
      </c>
      <c r="O2943" s="14" t="s">
        <v>1220</v>
      </c>
    </row>
    <row r="2944" spans="1:15" x14ac:dyDescent="0.25">
      <c r="A2944" s="14">
        <v>3548</v>
      </c>
      <c r="B2944" s="14" t="s">
        <v>527</v>
      </c>
      <c r="C2944" s="14" t="s">
        <v>527</v>
      </c>
      <c r="D2944" s="14" t="s">
        <v>1512</v>
      </c>
      <c r="E2944" s="16">
        <v>140</v>
      </c>
      <c r="F2944" s="14" t="s">
        <v>1255</v>
      </c>
      <c r="G2944" s="16">
        <v>800</v>
      </c>
      <c r="H2944" s="14" t="s">
        <v>1255</v>
      </c>
      <c r="I2944" s="14" t="s">
        <v>1256</v>
      </c>
      <c r="J2944" s="14" t="s">
        <v>1296</v>
      </c>
      <c r="K2944" s="14" t="s">
        <v>1257</v>
      </c>
      <c r="L2944" s="14" t="s">
        <v>6627</v>
      </c>
      <c r="M2944" s="14" t="s">
        <v>1259</v>
      </c>
      <c r="N2944" s="14" t="s">
        <v>1237</v>
      </c>
      <c r="O2944" s="14" t="s">
        <v>1220</v>
      </c>
    </row>
    <row r="2945" spans="1:15" x14ac:dyDescent="0.25">
      <c r="A2945" s="14" t="s">
        <v>6628</v>
      </c>
      <c r="B2945" s="14" t="s">
        <v>6629</v>
      </c>
      <c r="C2945" s="14" t="s">
        <v>6629</v>
      </c>
      <c r="D2945" s="14" t="s">
        <v>6630</v>
      </c>
      <c r="E2945" s="15"/>
      <c r="F2945" s="14" t="s">
        <v>1255</v>
      </c>
      <c r="G2945" s="15"/>
      <c r="H2945" s="14" t="s">
        <v>1255</v>
      </c>
      <c r="I2945" s="14" t="s">
        <v>1262</v>
      </c>
      <c r="J2945" s="14" t="s">
        <v>1262</v>
      </c>
      <c r="K2945" s="14"/>
      <c r="L2945" s="14" t="s">
        <v>6627</v>
      </c>
      <c r="M2945" s="14" t="s">
        <v>1259</v>
      </c>
      <c r="N2945" s="14" t="s">
        <v>1219</v>
      </c>
      <c r="O2945" s="14" t="s">
        <v>1220</v>
      </c>
    </row>
    <row r="2946" spans="1:15" x14ac:dyDescent="0.25">
      <c r="A2946" s="14">
        <v>3554</v>
      </c>
      <c r="B2946" s="14" t="s">
        <v>528</v>
      </c>
      <c r="C2946" s="14" t="s">
        <v>528</v>
      </c>
      <c r="D2946" s="14" t="s">
        <v>1512</v>
      </c>
      <c r="E2946" s="16">
        <v>120</v>
      </c>
      <c r="F2946" s="14" t="s">
        <v>1255</v>
      </c>
      <c r="G2946" s="17">
        <v>1200</v>
      </c>
      <c r="H2946" s="14" t="s">
        <v>1255</v>
      </c>
      <c r="I2946" s="14" t="s">
        <v>1256</v>
      </c>
      <c r="J2946" s="14" t="s">
        <v>1242</v>
      </c>
      <c r="K2946" s="14" t="s">
        <v>1257</v>
      </c>
      <c r="L2946" s="14" t="s">
        <v>6631</v>
      </c>
      <c r="M2946" s="14" t="s">
        <v>1259</v>
      </c>
      <c r="N2946" s="14" t="s">
        <v>1237</v>
      </c>
      <c r="O2946" s="14" t="s">
        <v>1220</v>
      </c>
    </row>
    <row r="2947" spans="1:15" x14ac:dyDescent="0.25">
      <c r="A2947" s="14" t="s">
        <v>6632</v>
      </c>
      <c r="B2947" s="14" t="s">
        <v>6633</v>
      </c>
      <c r="C2947" s="14" t="s">
        <v>6633</v>
      </c>
      <c r="D2947" s="14" t="s">
        <v>6630</v>
      </c>
      <c r="E2947" s="15"/>
      <c r="F2947" s="14" t="s">
        <v>1255</v>
      </c>
      <c r="G2947" s="15"/>
      <c r="H2947" s="14" t="s">
        <v>1255</v>
      </c>
      <c r="I2947" s="14" t="s">
        <v>1262</v>
      </c>
      <c r="J2947" s="14" t="s">
        <v>1262</v>
      </c>
      <c r="K2947" s="14"/>
      <c r="L2947" s="14" t="s">
        <v>6631</v>
      </c>
      <c r="M2947" s="14" t="s">
        <v>1259</v>
      </c>
      <c r="N2947" s="14" t="s">
        <v>1219</v>
      </c>
      <c r="O2947" s="14" t="s">
        <v>1220</v>
      </c>
    </row>
    <row r="2948" spans="1:15" x14ac:dyDescent="0.25">
      <c r="A2948" s="14">
        <v>3549</v>
      </c>
      <c r="B2948" s="14" t="s">
        <v>529</v>
      </c>
      <c r="C2948" s="14" t="s">
        <v>529</v>
      </c>
      <c r="D2948" s="14" t="s">
        <v>1512</v>
      </c>
      <c r="E2948" s="16">
        <v>100</v>
      </c>
      <c r="F2948" s="14" t="s">
        <v>1255</v>
      </c>
      <c r="G2948" s="16">
        <v>600</v>
      </c>
      <c r="H2948" s="14" t="s">
        <v>1255</v>
      </c>
      <c r="I2948" s="14" t="s">
        <v>1256</v>
      </c>
      <c r="J2948" s="14" t="s">
        <v>1296</v>
      </c>
      <c r="K2948" s="14" t="s">
        <v>1257</v>
      </c>
      <c r="L2948" s="14" t="s">
        <v>6634</v>
      </c>
      <c r="M2948" s="14" t="s">
        <v>1259</v>
      </c>
      <c r="N2948" s="14" t="s">
        <v>1237</v>
      </c>
      <c r="O2948" s="14" t="s">
        <v>1220</v>
      </c>
    </row>
    <row r="2949" spans="1:15" x14ac:dyDescent="0.25">
      <c r="A2949" s="14">
        <v>3555</v>
      </c>
      <c r="B2949" s="14" t="s">
        <v>530</v>
      </c>
      <c r="C2949" s="14" t="s">
        <v>530</v>
      </c>
      <c r="D2949" s="14" t="s">
        <v>1512</v>
      </c>
      <c r="E2949" s="16">
        <v>100</v>
      </c>
      <c r="F2949" s="14" t="s">
        <v>1255</v>
      </c>
      <c r="G2949" s="16">
        <v>500</v>
      </c>
      <c r="H2949" s="14" t="s">
        <v>1255</v>
      </c>
      <c r="I2949" s="14" t="s">
        <v>1256</v>
      </c>
      <c r="J2949" s="14" t="s">
        <v>1296</v>
      </c>
      <c r="K2949" s="14" t="s">
        <v>1257</v>
      </c>
      <c r="L2949" s="14" t="s">
        <v>6635</v>
      </c>
      <c r="M2949" s="14" t="s">
        <v>1259</v>
      </c>
      <c r="N2949" s="14" t="s">
        <v>1237</v>
      </c>
      <c r="O2949" s="14" t="s">
        <v>1220</v>
      </c>
    </row>
    <row r="2950" spans="1:15" x14ac:dyDescent="0.25">
      <c r="A2950" s="14" t="s">
        <v>6636</v>
      </c>
      <c r="B2950" s="14" t="s">
        <v>6637</v>
      </c>
      <c r="C2950" s="14" t="s">
        <v>6637</v>
      </c>
      <c r="D2950" s="14" t="s">
        <v>6630</v>
      </c>
      <c r="E2950" s="15"/>
      <c r="F2950" s="14" t="s">
        <v>1255</v>
      </c>
      <c r="G2950" s="15"/>
      <c r="H2950" s="14" t="s">
        <v>1255</v>
      </c>
      <c r="I2950" s="14" t="s">
        <v>1262</v>
      </c>
      <c r="J2950" s="14" t="s">
        <v>1262</v>
      </c>
      <c r="K2950" s="14"/>
      <c r="L2950" s="14" t="s">
        <v>6635</v>
      </c>
      <c r="M2950" s="14" t="s">
        <v>1259</v>
      </c>
      <c r="N2950" s="14" t="s">
        <v>1219</v>
      </c>
      <c r="O2950" s="14" t="s">
        <v>1220</v>
      </c>
    </row>
    <row r="2951" spans="1:15" x14ac:dyDescent="0.25">
      <c r="A2951" s="14">
        <v>3550</v>
      </c>
      <c r="B2951" s="14" t="s">
        <v>531</v>
      </c>
      <c r="C2951" s="14" t="s">
        <v>531</v>
      </c>
      <c r="D2951" s="14" t="s">
        <v>1512</v>
      </c>
      <c r="E2951" s="16">
        <v>90</v>
      </c>
      <c r="F2951" s="14" t="s">
        <v>1255</v>
      </c>
      <c r="G2951" s="16">
        <v>900</v>
      </c>
      <c r="H2951" s="14" t="s">
        <v>1255</v>
      </c>
      <c r="I2951" s="14" t="s">
        <v>1256</v>
      </c>
      <c r="J2951" s="14" t="s">
        <v>1296</v>
      </c>
      <c r="K2951" s="14" t="s">
        <v>1257</v>
      </c>
      <c r="L2951" s="14" t="s">
        <v>6638</v>
      </c>
      <c r="M2951" s="14" t="s">
        <v>1259</v>
      </c>
      <c r="N2951" s="14" t="s">
        <v>1237</v>
      </c>
      <c r="O2951" s="14" t="s">
        <v>1220</v>
      </c>
    </row>
    <row r="2952" spans="1:15" x14ac:dyDescent="0.25">
      <c r="A2952" s="14">
        <v>3556</v>
      </c>
      <c r="B2952" s="14" t="s">
        <v>532</v>
      </c>
      <c r="C2952" s="14" t="s">
        <v>532</v>
      </c>
      <c r="D2952" s="14" t="s">
        <v>1512</v>
      </c>
      <c r="E2952" s="16">
        <v>80</v>
      </c>
      <c r="F2952" s="14" t="s">
        <v>1255</v>
      </c>
      <c r="G2952" s="16">
        <v>350</v>
      </c>
      <c r="H2952" s="14" t="s">
        <v>1255</v>
      </c>
      <c r="I2952" s="14" t="s">
        <v>1256</v>
      </c>
      <c r="J2952" s="14" t="s">
        <v>1296</v>
      </c>
      <c r="K2952" s="14" t="s">
        <v>1257</v>
      </c>
      <c r="L2952" s="14" t="s">
        <v>6639</v>
      </c>
      <c r="M2952" s="14" t="s">
        <v>1259</v>
      </c>
      <c r="N2952" s="14" t="s">
        <v>1237</v>
      </c>
      <c r="O2952" s="14" t="s">
        <v>1220</v>
      </c>
    </row>
    <row r="2953" spans="1:15" x14ac:dyDescent="0.25">
      <c r="A2953" s="14" t="s">
        <v>6640</v>
      </c>
      <c r="B2953" s="14" t="s">
        <v>6641</v>
      </c>
      <c r="C2953" s="14" t="s">
        <v>6641</v>
      </c>
      <c r="D2953" s="14" t="s">
        <v>6630</v>
      </c>
      <c r="E2953" s="15"/>
      <c r="F2953" s="14" t="s">
        <v>1255</v>
      </c>
      <c r="G2953" s="15"/>
      <c r="H2953" s="14" t="s">
        <v>1255</v>
      </c>
      <c r="I2953" s="14" t="s">
        <v>1262</v>
      </c>
      <c r="J2953" s="14" t="s">
        <v>1262</v>
      </c>
      <c r="K2953" s="14"/>
      <c r="L2953" s="14" t="s">
        <v>6639</v>
      </c>
      <c r="M2953" s="14" t="s">
        <v>1259</v>
      </c>
      <c r="N2953" s="14" t="s">
        <v>1219</v>
      </c>
      <c r="O2953" s="14" t="s">
        <v>1220</v>
      </c>
    </row>
    <row r="2954" spans="1:15" x14ac:dyDescent="0.25">
      <c r="A2954" s="14">
        <v>3551</v>
      </c>
      <c r="B2954" s="14" t="s">
        <v>533</v>
      </c>
      <c r="C2954" s="14" t="s">
        <v>533</v>
      </c>
      <c r="D2954" s="14" t="s">
        <v>1512</v>
      </c>
      <c r="E2954" s="16">
        <v>90</v>
      </c>
      <c r="F2954" s="14" t="s">
        <v>1255</v>
      </c>
      <c r="G2954" s="16">
        <v>450</v>
      </c>
      <c r="H2954" s="14" t="s">
        <v>1255</v>
      </c>
      <c r="I2954" s="14" t="s">
        <v>1256</v>
      </c>
      <c r="J2954" s="14" t="s">
        <v>1296</v>
      </c>
      <c r="K2954" s="14" t="s">
        <v>1257</v>
      </c>
      <c r="L2954" s="14" t="s">
        <v>6642</v>
      </c>
      <c r="M2954" s="14" t="s">
        <v>1259</v>
      </c>
      <c r="N2954" s="14" t="s">
        <v>1237</v>
      </c>
      <c r="O2954" s="14" t="s">
        <v>1220</v>
      </c>
    </row>
    <row r="2955" spans="1:15" x14ac:dyDescent="0.25">
      <c r="A2955" s="14">
        <v>3557</v>
      </c>
      <c r="B2955" s="14" t="s">
        <v>534</v>
      </c>
      <c r="C2955" s="14" t="s">
        <v>534</v>
      </c>
      <c r="D2955" s="14" t="s">
        <v>1512</v>
      </c>
      <c r="E2955" s="16">
        <v>70</v>
      </c>
      <c r="F2955" s="14" t="s">
        <v>1255</v>
      </c>
      <c r="G2955" s="16">
        <v>350</v>
      </c>
      <c r="H2955" s="14" t="s">
        <v>1255</v>
      </c>
      <c r="I2955" s="14" t="s">
        <v>1256</v>
      </c>
      <c r="J2955" s="14" t="s">
        <v>1296</v>
      </c>
      <c r="K2955" s="14" t="s">
        <v>1257</v>
      </c>
      <c r="L2955" s="14" t="s">
        <v>6643</v>
      </c>
      <c r="M2955" s="14" t="s">
        <v>1259</v>
      </c>
      <c r="N2955" s="14" t="s">
        <v>1237</v>
      </c>
      <c r="O2955" s="14" t="s">
        <v>1220</v>
      </c>
    </row>
    <row r="2956" spans="1:15" x14ac:dyDescent="0.25">
      <c r="A2956" s="14" t="s">
        <v>6644</v>
      </c>
      <c r="B2956" s="14" t="s">
        <v>6645</v>
      </c>
      <c r="C2956" s="14" t="s">
        <v>6645</v>
      </c>
      <c r="D2956" s="14" t="s">
        <v>6630</v>
      </c>
      <c r="E2956" s="15"/>
      <c r="F2956" s="14" t="s">
        <v>1255</v>
      </c>
      <c r="G2956" s="15"/>
      <c r="H2956" s="14" t="s">
        <v>1255</v>
      </c>
      <c r="I2956" s="14" t="s">
        <v>1262</v>
      </c>
      <c r="J2956" s="14" t="s">
        <v>1262</v>
      </c>
      <c r="K2956" s="14"/>
      <c r="L2956" s="14" t="s">
        <v>6643</v>
      </c>
      <c r="M2956" s="14" t="s">
        <v>1259</v>
      </c>
      <c r="N2956" s="14" t="s">
        <v>1219</v>
      </c>
      <c r="O2956" s="14" t="s">
        <v>1220</v>
      </c>
    </row>
    <row r="2957" spans="1:15" x14ac:dyDescent="0.25">
      <c r="A2957" s="14">
        <v>3553</v>
      </c>
      <c r="B2957" s="14" t="s">
        <v>535</v>
      </c>
      <c r="C2957" s="14" t="s">
        <v>535</v>
      </c>
      <c r="D2957" s="14" t="s">
        <v>1512</v>
      </c>
      <c r="E2957" s="16">
        <v>45</v>
      </c>
      <c r="F2957" s="14" t="s">
        <v>1255</v>
      </c>
      <c r="G2957" s="16">
        <v>250</v>
      </c>
      <c r="H2957" s="14" t="s">
        <v>1255</v>
      </c>
      <c r="I2957" s="14" t="s">
        <v>1256</v>
      </c>
      <c r="J2957" s="14" t="s">
        <v>1296</v>
      </c>
      <c r="K2957" s="14" t="s">
        <v>1257</v>
      </c>
      <c r="L2957" s="14" t="s">
        <v>6646</v>
      </c>
      <c r="M2957" s="14" t="s">
        <v>1259</v>
      </c>
      <c r="N2957" s="14" t="s">
        <v>1237</v>
      </c>
      <c r="O2957" s="14" t="s">
        <v>1220</v>
      </c>
    </row>
    <row r="2958" spans="1:15" x14ac:dyDescent="0.25">
      <c r="A2958" s="14" t="s">
        <v>6647</v>
      </c>
      <c r="B2958" s="14" t="s">
        <v>6648</v>
      </c>
      <c r="C2958" s="14" t="s">
        <v>6648</v>
      </c>
      <c r="D2958" s="14" t="s">
        <v>6630</v>
      </c>
      <c r="E2958" s="15"/>
      <c r="F2958" s="14" t="s">
        <v>1255</v>
      </c>
      <c r="G2958" s="15"/>
      <c r="H2958" s="14" t="s">
        <v>1255</v>
      </c>
      <c r="I2958" s="14" t="s">
        <v>1262</v>
      </c>
      <c r="J2958" s="14" t="s">
        <v>1262</v>
      </c>
      <c r="K2958" s="14"/>
      <c r="L2958" s="14" t="s">
        <v>6646</v>
      </c>
      <c r="M2958" s="14" t="s">
        <v>1259</v>
      </c>
      <c r="N2958" s="14" t="s">
        <v>1219</v>
      </c>
      <c r="O2958" s="14" t="s">
        <v>1220</v>
      </c>
    </row>
    <row r="2959" spans="1:15" x14ac:dyDescent="0.25">
      <c r="A2959" s="14">
        <v>3559</v>
      </c>
      <c r="B2959" s="14" t="s">
        <v>536</v>
      </c>
      <c r="C2959" s="14" t="s">
        <v>536</v>
      </c>
      <c r="D2959" s="14" t="s">
        <v>1512</v>
      </c>
      <c r="E2959" s="16">
        <v>45</v>
      </c>
      <c r="F2959" s="14" t="s">
        <v>1255</v>
      </c>
      <c r="G2959" s="16">
        <v>225</v>
      </c>
      <c r="H2959" s="14" t="s">
        <v>1255</v>
      </c>
      <c r="I2959" s="14" t="s">
        <v>1256</v>
      </c>
      <c r="J2959" s="14" t="s">
        <v>1296</v>
      </c>
      <c r="K2959" s="14" t="s">
        <v>1257</v>
      </c>
      <c r="L2959" s="14" t="s">
        <v>6649</v>
      </c>
      <c r="M2959" s="14" t="s">
        <v>1259</v>
      </c>
      <c r="N2959" s="14" t="s">
        <v>1237</v>
      </c>
      <c r="O2959" s="14" t="s">
        <v>1220</v>
      </c>
    </row>
    <row r="2960" spans="1:15" x14ac:dyDescent="0.25">
      <c r="A2960" s="14">
        <v>3886</v>
      </c>
      <c r="B2960" s="14" t="s">
        <v>537</v>
      </c>
      <c r="C2960" s="14" t="s">
        <v>537</v>
      </c>
      <c r="D2960" s="14" t="s">
        <v>1512</v>
      </c>
      <c r="E2960" s="16">
        <v>75</v>
      </c>
      <c r="F2960" s="14" t="s">
        <v>1255</v>
      </c>
      <c r="G2960" s="16">
        <v>300</v>
      </c>
      <c r="H2960" s="14" t="s">
        <v>1255</v>
      </c>
      <c r="I2960" s="14" t="s">
        <v>1256</v>
      </c>
      <c r="J2960" s="14" t="s">
        <v>1296</v>
      </c>
      <c r="K2960" s="14" t="s">
        <v>1257</v>
      </c>
      <c r="L2960" s="14" t="s">
        <v>6650</v>
      </c>
      <c r="M2960" s="14" t="s">
        <v>1259</v>
      </c>
      <c r="N2960" s="14" t="s">
        <v>1237</v>
      </c>
      <c r="O2960" s="14" t="s">
        <v>1220</v>
      </c>
    </row>
    <row r="2961" spans="1:15" x14ac:dyDescent="0.25">
      <c r="A2961" s="14" t="s">
        <v>6651</v>
      </c>
      <c r="B2961" s="14" t="s">
        <v>6652</v>
      </c>
      <c r="C2961" s="14" t="s">
        <v>6652</v>
      </c>
      <c r="D2961" s="14" t="s">
        <v>6630</v>
      </c>
      <c r="E2961" s="15"/>
      <c r="F2961" s="14" t="s">
        <v>1255</v>
      </c>
      <c r="G2961" s="15"/>
      <c r="H2961" s="14" t="s">
        <v>1255</v>
      </c>
      <c r="I2961" s="14" t="s">
        <v>1262</v>
      </c>
      <c r="J2961" s="14" t="s">
        <v>1262</v>
      </c>
      <c r="K2961" s="14"/>
      <c r="L2961" s="14" t="s">
        <v>6650</v>
      </c>
      <c r="M2961" s="14" t="s">
        <v>1259</v>
      </c>
      <c r="N2961" s="14" t="s">
        <v>1219</v>
      </c>
      <c r="O2961" s="14" t="s">
        <v>1220</v>
      </c>
    </row>
    <row r="2962" spans="1:15" x14ac:dyDescent="0.25">
      <c r="A2962" s="14">
        <v>3887</v>
      </c>
      <c r="B2962" s="14" t="s">
        <v>538</v>
      </c>
      <c r="C2962" s="14" t="s">
        <v>538</v>
      </c>
      <c r="D2962" s="14" t="s">
        <v>1512</v>
      </c>
      <c r="E2962" s="16">
        <v>70</v>
      </c>
      <c r="F2962" s="14" t="s">
        <v>1255</v>
      </c>
      <c r="G2962" s="16">
        <v>300</v>
      </c>
      <c r="H2962" s="14" t="s">
        <v>1255</v>
      </c>
      <c r="I2962" s="14" t="s">
        <v>1256</v>
      </c>
      <c r="J2962" s="14" t="s">
        <v>1296</v>
      </c>
      <c r="K2962" s="14" t="s">
        <v>1257</v>
      </c>
      <c r="L2962" s="14" t="s">
        <v>6653</v>
      </c>
      <c r="M2962" s="14" t="s">
        <v>1259</v>
      </c>
      <c r="N2962" s="14" t="s">
        <v>1237</v>
      </c>
      <c r="O2962" s="14" t="s">
        <v>1220</v>
      </c>
    </row>
    <row r="2963" spans="1:15" x14ac:dyDescent="0.25">
      <c r="A2963" s="14" t="s">
        <v>6654</v>
      </c>
      <c r="B2963" s="14" t="s">
        <v>6655</v>
      </c>
      <c r="C2963" s="14" t="s">
        <v>6655</v>
      </c>
      <c r="D2963" s="14" t="s">
        <v>6630</v>
      </c>
      <c r="E2963" s="15"/>
      <c r="F2963" s="14" t="s">
        <v>1255</v>
      </c>
      <c r="G2963" s="15"/>
      <c r="H2963" s="14" t="s">
        <v>1255</v>
      </c>
      <c r="I2963" s="14" t="s">
        <v>1262</v>
      </c>
      <c r="J2963" s="14" t="s">
        <v>1262</v>
      </c>
      <c r="K2963" s="14"/>
      <c r="L2963" s="14" t="s">
        <v>6653</v>
      </c>
      <c r="M2963" s="14" t="s">
        <v>1259</v>
      </c>
      <c r="N2963" s="14" t="s">
        <v>1219</v>
      </c>
      <c r="O2963" s="14" t="s">
        <v>1220</v>
      </c>
    </row>
    <row r="2964" spans="1:15" x14ac:dyDescent="0.25">
      <c r="A2964" s="14">
        <v>3552</v>
      </c>
      <c r="B2964" s="14" t="s">
        <v>539</v>
      </c>
      <c r="C2964" s="14" t="s">
        <v>539</v>
      </c>
      <c r="D2964" s="14" t="s">
        <v>1512</v>
      </c>
      <c r="E2964" s="16">
        <v>60</v>
      </c>
      <c r="F2964" s="14" t="s">
        <v>1255</v>
      </c>
      <c r="G2964" s="16">
        <v>300</v>
      </c>
      <c r="H2964" s="14" t="s">
        <v>1255</v>
      </c>
      <c r="I2964" s="14" t="s">
        <v>1256</v>
      </c>
      <c r="J2964" s="14" t="s">
        <v>1296</v>
      </c>
      <c r="K2964" s="14" t="s">
        <v>1257</v>
      </c>
      <c r="L2964" s="14" t="s">
        <v>6656</v>
      </c>
      <c r="M2964" s="14" t="s">
        <v>1259</v>
      </c>
      <c r="N2964" s="14" t="s">
        <v>1237</v>
      </c>
      <c r="O2964" s="14" t="s">
        <v>1220</v>
      </c>
    </row>
    <row r="2965" spans="1:15" x14ac:dyDescent="0.25">
      <c r="A2965" s="14" t="s">
        <v>6657</v>
      </c>
      <c r="B2965" s="14" t="s">
        <v>6658</v>
      </c>
      <c r="C2965" s="14" t="s">
        <v>6658</v>
      </c>
      <c r="D2965" s="14" t="s">
        <v>6630</v>
      </c>
      <c r="E2965" s="15"/>
      <c r="F2965" s="14" t="s">
        <v>1255</v>
      </c>
      <c r="G2965" s="15"/>
      <c r="H2965" s="14" t="s">
        <v>1255</v>
      </c>
      <c r="I2965" s="14" t="s">
        <v>1262</v>
      </c>
      <c r="J2965" s="14" t="s">
        <v>1262</v>
      </c>
      <c r="K2965" s="14"/>
      <c r="L2965" s="14" t="s">
        <v>6656</v>
      </c>
      <c r="M2965" s="14" t="s">
        <v>1259</v>
      </c>
      <c r="N2965" s="14" t="s">
        <v>1219</v>
      </c>
      <c r="O2965" s="14" t="s">
        <v>1220</v>
      </c>
    </row>
    <row r="2966" spans="1:15" x14ac:dyDescent="0.25">
      <c r="A2966" s="14">
        <v>3558</v>
      </c>
      <c r="B2966" s="14" t="s">
        <v>540</v>
      </c>
      <c r="C2966" s="14" t="s">
        <v>540</v>
      </c>
      <c r="D2966" s="14" t="s">
        <v>1512</v>
      </c>
      <c r="E2966" s="16">
        <v>60</v>
      </c>
      <c r="F2966" s="14" t="s">
        <v>1255</v>
      </c>
      <c r="G2966" s="16">
        <v>300</v>
      </c>
      <c r="H2966" s="14" t="s">
        <v>1255</v>
      </c>
      <c r="I2966" s="14" t="s">
        <v>1256</v>
      </c>
      <c r="J2966" s="14" t="s">
        <v>1296</v>
      </c>
      <c r="K2966" s="14" t="s">
        <v>1257</v>
      </c>
      <c r="L2966" s="14" t="s">
        <v>6659</v>
      </c>
      <c r="M2966" s="14" t="s">
        <v>1259</v>
      </c>
      <c r="N2966" s="14" t="s">
        <v>1237</v>
      </c>
      <c r="O2966" s="14" t="s">
        <v>1220</v>
      </c>
    </row>
    <row r="2967" spans="1:15" x14ac:dyDescent="0.25">
      <c r="A2967" s="14" t="s">
        <v>6660</v>
      </c>
      <c r="B2967" s="14" t="s">
        <v>6661</v>
      </c>
      <c r="C2967" s="14" t="s">
        <v>6661</v>
      </c>
      <c r="D2967" s="14" t="s">
        <v>6630</v>
      </c>
      <c r="E2967" s="15"/>
      <c r="F2967" s="14" t="s">
        <v>1255</v>
      </c>
      <c r="G2967" s="15"/>
      <c r="H2967" s="14" t="s">
        <v>1255</v>
      </c>
      <c r="I2967" s="14" t="s">
        <v>1262</v>
      </c>
      <c r="J2967" s="14" t="s">
        <v>1262</v>
      </c>
      <c r="K2967" s="14"/>
      <c r="L2967" s="14" t="s">
        <v>6659</v>
      </c>
      <c r="M2967" s="14" t="s">
        <v>1259</v>
      </c>
      <c r="N2967" s="14" t="s">
        <v>1219</v>
      </c>
      <c r="O2967" s="14" t="s">
        <v>1220</v>
      </c>
    </row>
    <row r="2968" spans="1:15" x14ac:dyDescent="0.25">
      <c r="A2968" s="14">
        <v>2457</v>
      </c>
      <c r="B2968" s="14" t="s">
        <v>6662</v>
      </c>
      <c r="C2968" s="14" t="s">
        <v>6662</v>
      </c>
      <c r="D2968" s="14" t="s">
        <v>1349</v>
      </c>
      <c r="E2968" s="15"/>
      <c r="F2968" s="14"/>
      <c r="G2968" s="15"/>
      <c r="H2968" s="14" t="s">
        <v>1255</v>
      </c>
      <c r="I2968" s="14" t="s">
        <v>1360</v>
      </c>
      <c r="J2968" s="14" t="s">
        <v>1360</v>
      </c>
      <c r="K2968" s="14"/>
      <c r="L2968" s="14"/>
      <c r="M2968" s="14" t="s">
        <v>1259</v>
      </c>
      <c r="N2968" s="14" t="s">
        <v>1219</v>
      </c>
      <c r="O2968" s="14" t="s">
        <v>1220</v>
      </c>
    </row>
    <row r="2969" spans="1:15" x14ac:dyDescent="0.25">
      <c r="A2969" s="14">
        <v>2456</v>
      </c>
      <c r="B2969" s="14" t="s">
        <v>6663</v>
      </c>
      <c r="C2969" s="14" t="s">
        <v>6663</v>
      </c>
      <c r="D2969" s="14" t="s">
        <v>1512</v>
      </c>
      <c r="E2969" s="15"/>
      <c r="F2969" s="14" t="s">
        <v>1350</v>
      </c>
      <c r="G2969" s="15"/>
      <c r="H2969" s="14" t="s">
        <v>1255</v>
      </c>
      <c r="I2969" s="14" t="s">
        <v>1360</v>
      </c>
      <c r="J2969" s="14" t="s">
        <v>1385</v>
      </c>
      <c r="K2969" s="14" t="s">
        <v>1257</v>
      </c>
      <c r="L2969" s="14" t="s">
        <v>6659</v>
      </c>
      <c r="M2969" s="14" t="s">
        <v>1259</v>
      </c>
      <c r="N2969" s="14" t="s">
        <v>1219</v>
      </c>
      <c r="O2969" s="14" t="s">
        <v>1220</v>
      </c>
    </row>
    <row r="2970" spans="1:15" x14ac:dyDescent="0.25">
      <c r="A2970" s="14">
        <v>2458</v>
      </c>
      <c r="B2970" s="14" t="s">
        <v>6664</v>
      </c>
      <c r="C2970" s="14" t="s">
        <v>6664</v>
      </c>
      <c r="D2970" s="14" t="s">
        <v>1512</v>
      </c>
      <c r="E2970" s="15"/>
      <c r="F2970" s="14" t="s">
        <v>1350</v>
      </c>
      <c r="G2970" s="15"/>
      <c r="H2970" s="14" t="s">
        <v>1255</v>
      </c>
      <c r="I2970" s="14" t="s">
        <v>1360</v>
      </c>
      <c r="J2970" s="14" t="s">
        <v>1385</v>
      </c>
      <c r="K2970" s="14" t="s">
        <v>1257</v>
      </c>
      <c r="L2970" s="14" t="s">
        <v>6659</v>
      </c>
      <c r="M2970" s="14" t="s">
        <v>1259</v>
      </c>
      <c r="N2970" s="14" t="s">
        <v>1219</v>
      </c>
      <c r="O2970" s="14" t="s">
        <v>1220</v>
      </c>
    </row>
    <row r="2971" spans="1:15" x14ac:dyDescent="0.25">
      <c r="A2971" s="14" t="s">
        <v>6665</v>
      </c>
      <c r="B2971" s="14" t="s">
        <v>6666</v>
      </c>
      <c r="C2971" s="14" t="s">
        <v>6666</v>
      </c>
      <c r="D2971" s="14" t="s">
        <v>1283</v>
      </c>
      <c r="E2971" s="15"/>
      <c r="F2971" s="14" t="s">
        <v>1255</v>
      </c>
      <c r="G2971" s="15"/>
      <c r="H2971" s="14" t="s">
        <v>1255</v>
      </c>
      <c r="I2971" s="14" t="s">
        <v>1217</v>
      </c>
      <c r="J2971" s="14" t="s">
        <v>1296</v>
      </c>
      <c r="K2971" s="14"/>
      <c r="L2971" s="14"/>
      <c r="M2971" s="14" t="s">
        <v>1259</v>
      </c>
      <c r="N2971" s="14" t="s">
        <v>1219</v>
      </c>
      <c r="O2971" s="14" t="s">
        <v>1220</v>
      </c>
    </row>
    <row r="2972" spans="1:15" x14ac:dyDescent="0.25">
      <c r="A2972" s="14" t="s">
        <v>6667</v>
      </c>
      <c r="B2972" s="14" t="s">
        <v>6668</v>
      </c>
      <c r="C2972" s="14" t="s">
        <v>6668</v>
      </c>
      <c r="D2972" s="14" t="s">
        <v>1283</v>
      </c>
      <c r="E2972" s="15"/>
      <c r="F2972" s="14" t="s">
        <v>1255</v>
      </c>
      <c r="G2972" s="15"/>
      <c r="H2972" s="14" t="s">
        <v>1255</v>
      </c>
      <c r="I2972" s="14" t="s">
        <v>1217</v>
      </c>
      <c r="J2972" s="14" t="s">
        <v>1296</v>
      </c>
      <c r="K2972" s="14"/>
      <c r="L2972" s="14"/>
      <c r="M2972" s="14" t="s">
        <v>1259</v>
      </c>
      <c r="N2972" s="14" t="s">
        <v>1219</v>
      </c>
      <c r="O2972" s="14" t="s">
        <v>1220</v>
      </c>
    </row>
    <row r="2973" spans="1:15" x14ac:dyDescent="0.25">
      <c r="A2973" s="14">
        <v>6106</v>
      </c>
      <c r="B2973" s="14" t="s">
        <v>6669</v>
      </c>
      <c r="C2973" s="14" t="s">
        <v>6669</v>
      </c>
      <c r="D2973" s="14" t="s">
        <v>1807</v>
      </c>
      <c r="E2973" s="15"/>
      <c r="F2973" s="14"/>
      <c r="G2973" s="15"/>
      <c r="H2973" s="14" t="s">
        <v>1255</v>
      </c>
      <c r="I2973" s="14" t="s">
        <v>1217</v>
      </c>
      <c r="J2973" s="14"/>
      <c r="K2973" s="14"/>
      <c r="L2973" s="14"/>
      <c r="M2973" s="14"/>
      <c r="N2973" s="14" t="s">
        <v>1219</v>
      </c>
      <c r="O2973" s="14" t="s">
        <v>1220</v>
      </c>
    </row>
    <row r="2974" spans="1:15" x14ac:dyDescent="0.25">
      <c r="A2974" s="14">
        <v>6107</v>
      </c>
      <c r="B2974" s="14" t="s">
        <v>6670</v>
      </c>
      <c r="C2974" s="14" t="s">
        <v>6670</v>
      </c>
      <c r="D2974" s="14" t="s">
        <v>1807</v>
      </c>
      <c r="E2974" s="15"/>
      <c r="F2974" s="14"/>
      <c r="G2974" s="15"/>
      <c r="H2974" s="14" t="s">
        <v>1255</v>
      </c>
      <c r="I2974" s="14" t="s">
        <v>1217</v>
      </c>
      <c r="J2974" s="14"/>
      <c r="K2974" s="14"/>
      <c r="L2974" s="14"/>
      <c r="M2974" s="14"/>
      <c r="N2974" s="14" t="s">
        <v>1219</v>
      </c>
      <c r="O2974" s="14" t="s">
        <v>1220</v>
      </c>
    </row>
    <row r="2975" spans="1:15" x14ac:dyDescent="0.25">
      <c r="A2975" s="14">
        <v>6109</v>
      </c>
      <c r="B2975" s="14" t="s">
        <v>6671</v>
      </c>
      <c r="C2975" s="14" t="s">
        <v>6671</v>
      </c>
      <c r="D2975" s="14" t="s">
        <v>1807</v>
      </c>
      <c r="E2975" s="15"/>
      <c r="F2975" s="14"/>
      <c r="G2975" s="15"/>
      <c r="H2975" s="14" t="s">
        <v>1255</v>
      </c>
      <c r="I2975" s="14" t="s">
        <v>1217</v>
      </c>
      <c r="J2975" s="14"/>
      <c r="K2975" s="14"/>
      <c r="L2975" s="14"/>
      <c r="M2975" s="14"/>
      <c r="N2975" s="14" t="s">
        <v>1219</v>
      </c>
      <c r="O2975" s="14" t="s">
        <v>1220</v>
      </c>
    </row>
    <row r="2976" spans="1:15" x14ac:dyDescent="0.25">
      <c r="A2976" s="14">
        <v>6139</v>
      </c>
      <c r="B2976" s="14" t="s">
        <v>6672</v>
      </c>
      <c r="C2976" s="14" t="s">
        <v>6672</v>
      </c>
      <c r="D2976" s="14" t="s">
        <v>1807</v>
      </c>
      <c r="E2976" s="15"/>
      <c r="F2976" s="14"/>
      <c r="G2976" s="15"/>
      <c r="H2976" s="14" t="s">
        <v>1255</v>
      </c>
      <c r="I2976" s="14" t="s">
        <v>1217</v>
      </c>
      <c r="J2976" s="14"/>
      <c r="K2976" s="14"/>
      <c r="L2976" s="14"/>
      <c r="M2976" s="14"/>
      <c r="N2976" s="14" t="s">
        <v>1219</v>
      </c>
      <c r="O2976" s="14" t="s">
        <v>1220</v>
      </c>
    </row>
    <row r="2977" spans="1:15" x14ac:dyDescent="0.25">
      <c r="A2977" s="14">
        <v>6112</v>
      </c>
      <c r="B2977" s="14" t="s">
        <v>6673</v>
      </c>
      <c r="C2977" s="14" t="s">
        <v>6673</v>
      </c>
      <c r="D2977" s="14" t="s">
        <v>1807</v>
      </c>
      <c r="E2977" s="15"/>
      <c r="F2977" s="14"/>
      <c r="G2977" s="15"/>
      <c r="H2977" s="14" t="s">
        <v>1255</v>
      </c>
      <c r="I2977" s="14" t="s">
        <v>1217</v>
      </c>
      <c r="J2977" s="14"/>
      <c r="K2977" s="14"/>
      <c r="L2977" s="14"/>
      <c r="M2977" s="14"/>
      <c r="N2977" s="14" t="s">
        <v>1219</v>
      </c>
      <c r="O2977" s="14" t="s">
        <v>1220</v>
      </c>
    </row>
    <row r="2978" spans="1:15" x14ac:dyDescent="0.25">
      <c r="A2978" s="14">
        <v>6140</v>
      </c>
      <c r="B2978" s="14" t="s">
        <v>6674</v>
      </c>
      <c r="C2978" s="14" t="s">
        <v>6674</v>
      </c>
      <c r="D2978" s="14" t="s">
        <v>1807</v>
      </c>
      <c r="E2978" s="15"/>
      <c r="F2978" s="14"/>
      <c r="G2978" s="15"/>
      <c r="H2978" s="14" t="s">
        <v>1255</v>
      </c>
      <c r="I2978" s="14" t="s">
        <v>1217</v>
      </c>
      <c r="J2978" s="14"/>
      <c r="K2978" s="14"/>
      <c r="L2978" s="14"/>
      <c r="M2978" s="14"/>
      <c r="N2978" s="14" t="s">
        <v>1219</v>
      </c>
      <c r="O2978" s="14" t="s">
        <v>1220</v>
      </c>
    </row>
    <row r="2979" spans="1:15" x14ac:dyDescent="0.25">
      <c r="A2979" s="14">
        <v>6141</v>
      </c>
      <c r="B2979" s="14" t="s">
        <v>6675</v>
      </c>
      <c r="C2979" s="14" t="s">
        <v>6675</v>
      </c>
      <c r="D2979" s="14" t="s">
        <v>1807</v>
      </c>
      <c r="E2979" s="15"/>
      <c r="F2979" s="14"/>
      <c r="G2979" s="15"/>
      <c r="H2979" s="14" t="s">
        <v>1255</v>
      </c>
      <c r="I2979" s="14" t="s">
        <v>1217</v>
      </c>
      <c r="J2979" s="14"/>
      <c r="K2979" s="14"/>
      <c r="L2979" s="14"/>
      <c r="M2979" s="14"/>
      <c r="N2979" s="14" t="s">
        <v>1219</v>
      </c>
      <c r="O2979" s="14" t="s">
        <v>1220</v>
      </c>
    </row>
    <row r="2980" spans="1:15" x14ac:dyDescent="0.25">
      <c r="A2980" s="14">
        <v>6053</v>
      </c>
      <c r="B2980" s="14" t="s">
        <v>6676</v>
      </c>
      <c r="C2980" s="14" t="s">
        <v>6676</v>
      </c>
      <c r="D2980" s="14" t="s">
        <v>1807</v>
      </c>
      <c r="E2980" s="15"/>
      <c r="F2980" s="14"/>
      <c r="G2980" s="15"/>
      <c r="H2980" s="14" t="s">
        <v>1255</v>
      </c>
      <c r="I2980" s="14" t="s">
        <v>1217</v>
      </c>
      <c r="J2980" s="14"/>
      <c r="K2980" s="14"/>
      <c r="L2980" s="14"/>
      <c r="M2980" s="14"/>
      <c r="N2980" s="14" t="s">
        <v>1219</v>
      </c>
      <c r="O2980" s="14" t="s">
        <v>1220</v>
      </c>
    </row>
    <row r="2981" spans="1:15" x14ac:dyDescent="0.25">
      <c r="A2981" s="14">
        <v>6142</v>
      </c>
      <c r="B2981" s="14" t="s">
        <v>6677</v>
      </c>
      <c r="C2981" s="14" t="s">
        <v>6677</v>
      </c>
      <c r="D2981" s="14" t="s">
        <v>1807</v>
      </c>
      <c r="E2981" s="15"/>
      <c r="F2981" s="14"/>
      <c r="G2981" s="15"/>
      <c r="H2981" s="14" t="s">
        <v>1255</v>
      </c>
      <c r="I2981" s="14" t="s">
        <v>1217</v>
      </c>
      <c r="J2981" s="14"/>
      <c r="K2981" s="14"/>
      <c r="L2981" s="14"/>
      <c r="M2981" s="14"/>
      <c r="N2981" s="14" t="s">
        <v>1219</v>
      </c>
      <c r="O2981" s="14" t="s">
        <v>1220</v>
      </c>
    </row>
    <row r="2982" spans="1:15" x14ac:dyDescent="0.25">
      <c r="A2982" s="14">
        <v>6108</v>
      </c>
      <c r="B2982" s="14" t="s">
        <v>6678</v>
      </c>
      <c r="C2982" s="14" t="s">
        <v>6678</v>
      </c>
      <c r="D2982" s="14" t="s">
        <v>1807</v>
      </c>
      <c r="E2982" s="15"/>
      <c r="F2982" s="14"/>
      <c r="G2982" s="15"/>
      <c r="H2982" s="14" t="s">
        <v>1255</v>
      </c>
      <c r="I2982" s="14" t="s">
        <v>1217</v>
      </c>
      <c r="J2982" s="14"/>
      <c r="K2982" s="14"/>
      <c r="L2982" s="14"/>
      <c r="M2982" s="14"/>
      <c r="N2982" s="14" t="s">
        <v>1219</v>
      </c>
      <c r="O2982" s="14" t="s">
        <v>1220</v>
      </c>
    </row>
    <row r="2983" spans="1:15" x14ac:dyDescent="0.25">
      <c r="A2983" s="14">
        <v>6110</v>
      </c>
      <c r="B2983" s="14" t="s">
        <v>6679</v>
      </c>
      <c r="C2983" s="14" t="s">
        <v>6679</v>
      </c>
      <c r="D2983" s="14" t="s">
        <v>1807</v>
      </c>
      <c r="E2983" s="15"/>
      <c r="F2983" s="14"/>
      <c r="G2983" s="15"/>
      <c r="H2983" s="14" t="s">
        <v>1255</v>
      </c>
      <c r="I2983" s="14" t="s">
        <v>1217</v>
      </c>
      <c r="J2983" s="14"/>
      <c r="K2983" s="14"/>
      <c r="L2983" s="14"/>
      <c r="M2983" s="14"/>
      <c r="N2983" s="14" t="s">
        <v>1219</v>
      </c>
      <c r="O2983" s="14" t="s">
        <v>1220</v>
      </c>
    </row>
    <row r="2984" spans="1:15" x14ac:dyDescent="0.25">
      <c r="A2984" s="14">
        <v>6111</v>
      </c>
      <c r="B2984" s="14" t="s">
        <v>6680</v>
      </c>
      <c r="C2984" s="14" t="s">
        <v>6680</v>
      </c>
      <c r="D2984" s="14" t="s">
        <v>1807</v>
      </c>
      <c r="E2984" s="15"/>
      <c r="F2984" s="14"/>
      <c r="G2984" s="15"/>
      <c r="H2984" s="14" t="s">
        <v>1255</v>
      </c>
      <c r="I2984" s="14" t="s">
        <v>1217</v>
      </c>
      <c r="J2984" s="14"/>
      <c r="K2984" s="14"/>
      <c r="L2984" s="14"/>
      <c r="M2984" s="14"/>
      <c r="N2984" s="14" t="s">
        <v>1219</v>
      </c>
      <c r="O2984" s="14" t="s">
        <v>1220</v>
      </c>
    </row>
    <row r="2985" spans="1:15" x14ac:dyDescent="0.25">
      <c r="A2985" s="14">
        <v>6113</v>
      </c>
      <c r="B2985" s="14" t="s">
        <v>6681</v>
      </c>
      <c r="C2985" s="14" t="s">
        <v>6681</v>
      </c>
      <c r="D2985" s="14" t="s">
        <v>1807</v>
      </c>
      <c r="E2985" s="15"/>
      <c r="F2985" s="14"/>
      <c r="G2985" s="15"/>
      <c r="H2985" s="14" t="s">
        <v>1255</v>
      </c>
      <c r="I2985" s="14" t="s">
        <v>1217</v>
      </c>
      <c r="J2985" s="14"/>
      <c r="K2985" s="14"/>
      <c r="L2985" s="14"/>
      <c r="M2985" s="14"/>
      <c r="N2985" s="14" t="s">
        <v>1219</v>
      </c>
      <c r="O2985" s="14" t="s">
        <v>1220</v>
      </c>
    </row>
    <row r="2986" spans="1:15" x14ac:dyDescent="0.25">
      <c r="A2986" s="14">
        <v>6024</v>
      </c>
      <c r="B2986" s="14" t="s">
        <v>6682</v>
      </c>
      <c r="C2986" s="14" t="s">
        <v>6682</v>
      </c>
      <c r="D2986" s="14" t="s">
        <v>1807</v>
      </c>
      <c r="E2986" s="15"/>
      <c r="F2986" s="14"/>
      <c r="G2986" s="15"/>
      <c r="H2986" s="14" t="s">
        <v>1255</v>
      </c>
      <c r="I2986" s="14" t="s">
        <v>1217</v>
      </c>
      <c r="J2986" s="14"/>
      <c r="K2986" s="14"/>
      <c r="L2986" s="14"/>
      <c r="M2986" s="14"/>
      <c r="N2986" s="14" t="s">
        <v>1219</v>
      </c>
      <c r="O2986" s="14" t="s">
        <v>1220</v>
      </c>
    </row>
    <row r="2987" spans="1:15" x14ac:dyDescent="0.25">
      <c r="A2987" s="14">
        <v>6114</v>
      </c>
      <c r="B2987" s="14" t="s">
        <v>6683</v>
      </c>
      <c r="C2987" s="14" t="s">
        <v>6683</v>
      </c>
      <c r="D2987" s="14" t="s">
        <v>1807</v>
      </c>
      <c r="E2987" s="15"/>
      <c r="F2987" s="14"/>
      <c r="G2987" s="15"/>
      <c r="H2987" s="14" t="s">
        <v>1255</v>
      </c>
      <c r="I2987" s="14" t="s">
        <v>1217</v>
      </c>
      <c r="J2987" s="14"/>
      <c r="K2987" s="14"/>
      <c r="L2987" s="14"/>
      <c r="M2987" s="14"/>
      <c r="N2987" s="14" t="s">
        <v>1219</v>
      </c>
      <c r="O2987" s="14" t="s">
        <v>1220</v>
      </c>
    </row>
    <row r="2988" spans="1:15" x14ac:dyDescent="0.25">
      <c r="A2988" s="14">
        <v>3598</v>
      </c>
      <c r="B2988" s="14" t="s">
        <v>541</v>
      </c>
      <c r="C2988" s="14" t="s">
        <v>541</v>
      </c>
      <c r="D2988" s="14" t="s">
        <v>1512</v>
      </c>
      <c r="E2988" s="16">
        <v>150</v>
      </c>
      <c r="F2988" s="14" t="s">
        <v>1255</v>
      </c>
      <c r="G2988" s="16">
        <v>800</v>
      </c>
      <c r="H2988" s="14" t="s">
        <v>1255</v>
      </c>
      <c r="I2988" s="14" t="s">
        <v>1256</v>
      </c>
      <c r="J2988" s="14" t="s">
        <v>1296</v>
      </c>
      <c r="K2988" s="14" t="s">
        <v>1257</v>
      </c>
      <c r="L2988" s="14" t="s">
        <v>6684</v>
      </c>
      <c r="M2988" s="14" t="s">
        <v>1259</v>
      </c>
      <c r="N2988" s="14" t="s">
        <v>1237</v>
      </c>
      <c r="O2988" s="14" t="s">
        <v>1220</v>
      </c>
    </row>
    <row r="2989" spans="1:15" x14ac:dyDescent="0.25">
      <c r="A2989" s="14">
        <v>3599</v>
      </c>
      <c r="B2989" s="14" t="s">
        <v>542</v>
      </c>
      <c r="C2989" s="14" t="s">
        <v>542</v>
      </c>
      <c r="D2989" s="14" t="s">
        <v>1512</v>
      </c>
      <c r="E2989" s="16">
        <v>120</v>
      </c>
      <c r="F2989" s="14" t="s">
        <v>1255</v>
      </c>
      <c r="G2989" s="16">
        <v>625</v>
      </c>
      <c r="H2989" s="14" t="s">
        <v>1255</v>
      </c>
      <c r="I2989" s="14" t="s">
        <v>1256</v>
      </c>
      <c r="J2989" s="14" t="s">
        <v>1296</v>
      </c>
      <c r="K2989" s="14" t="s">
        <v>1257</v>
      </c>
      <c r="L2989" s="14" t="s">
        <v>6685</v>
      </c>
      <c r="M2989" s="14" t="s">
        <v>1259</v>
      </c>
      <c r="N2989" s="14" t="s">
        <v>1237</v>
      </c>
      <c r="O2989" s="14" t="s">
        <v>1220</v>
      </c>
    </row>
    <row r="2990" spans="1:15" x14ac:dyDescent="0.25">
      <c r="A2990" s="14">
        <v>3601</v>
      </c>
      <c r="B2990" s="14" t="s">
        <v>6686</v>
      </c>
      <c r="C2990" s="14" t="s">
        <v>6686</v>
      </c>
      <c r="D2990" s="14" t="s">
        <v>1349</v>
      </c>
      <c r="E2990" s="15"/>
      <c r="F2990" s="14"/>
      <c r="G2990" s="15"/>
      <c r="H2990" s="14" t="s">
        <v>1255</v>
      </c>
      <c r="I2990" s="14" t="s">
        <v>1360</v>
      </c>
      <c r="J2990" s="14" t="s">
        <v>1360</v>
      </c>
      <c r="K2990" s="14"/>
      <c r="L2990" s="14"/>
      <c r="M2990" s="14" t="s">
        <v>1259</v>
      </c>
      <c r="N2990" s="14" t="s">
        <v>1219</v>
      </c>
      <c r="O2990" s="14" t="s">
        <v>1220</v>
      </c>
    </row>
    <row r="2991" spans="1:15" x14ac:dyDescent="0.25">
      <c r="A2991" s="14">
        <v>3600</v>
      </c>
      <c r="B2991" s="14" t="s">
        <v>543</v>
      </c>
      <c r="C2991" s="14" t="s">
        <v>543</v>
      </c>
      <c r="D2991" s="14" t="s">
        <v>1512</v>
      </c>
      <c r="E2991" s="16">
        <v>100</v>
      </c>
      <c r="F2991" s="14" t="s">
        <v>1255</v>
      </c>
      <c r="G2991" s="16">
        <v>500</v>
      </c>
      <c r="H2991" s="14" t="s">
        <v>1255</v>
      </c>
      <c r="I2991" s="14" t="s">
        <v>1256</v>
      </c>
      <c r="J2991" s="14" t="s">
        <v>1296</v>
      </c>
      <c r="K2991" s="14" t="s">
        <v>1257</v>
      </c>
      <c r="L2991" s="14" t="s">
        <v>6687</v>
      </c>
      <c r="M2991" s="14" t="s">
        <v>1259</v>
      </c>
      <c r="N2991" s="14" t="s">
        <v>1237</v>
      </c>
      <c r="O2991" s="14" t="s">
        <v>1220</v>
      </c>
    </row>
    <row r="2992" spans="1:15" x14ac:dyDescent="0.25">
      <c r="A2992" s="14">
        <v>1889</v>
      </c>
      <c r="B2992" s="14" t="s">
        <v>6688</v>
      </c>
      <c r="C2992" s="14" t="s">
        <v>6688</v>
      </c>
      <c r="D2992" s="14" t="s">
        <v>1349</v>
      </c>
      <c r="E2992" s="15"/>
      <c r="F2992" s="14"/>
      <c r="G2992" s="15"/>
      <c r="H2992" s="14" t="s">
        <v>1255</v>
      </c>
      <c r="I2992" s="14" t="s">
        <v>1360</v>
      </c>
      <c r="J2992" s="14" t="s">
        <v>1360</v>
      </c>
      <c r="K2992" s="14"/>
      <c r="L2992" s="14"/>
      <c r="M2992" s="14" t="s">
        <v>1259</v>
      </c>
      <c r="N2992" s="14" t="s">
        <v>1219</v>
      </c>
      <c r="O2992" s="14" t="s">
        <v>1220</v>
      </c>
    </row>
    <row r="2993" spans="1:15" x14ac:dyDescent="0.25">
      <c r="A2993" s="14">
        <v>3602</v>
      </c>
      <c r="B2993" s="14" t="s">
        <v>6689</v>
      </c>
      <c r="C2993" s="14" t="s">
        <v>6689</v>
      </c>
      <c r="D2993" s="14" t="s">
        <v>1349</v>
      </c>
      <c r="E2993" s="15"/>
      <c r="F2993" s="14" t="s">
        <v>1350</v>
      </c>
      <c r="G2993" s="15"/>
      <c r="H2993" s="14" t="s">
        <v>1255</v>
      </c>
      <c r="I2993" s="14" t="s">
        <v>1360</v>
      </c>
      <c r="J2993" s="14" t="s">
        <v>1360</v>
      </c>
      <c r="K2993" s="14" t="s">
        <v>1257</v>
      </c>
      <c r="L2993" s="14" t="s">
        <v>6687</v>
      </c>
      <c r="M2993" s="14" t="s">
        <v>1259</v>
      </c>
      <c r="N2993" s="14" t="s">
        <v>1219</v>
      </c>
      <c r="O2993" s="14" t="s">
        <v>1220</v>
      </c>
    </row>
    <row r="2994" spans="1:15" x14ac:dyDescent="0.25">
      <c r="A2994" s="14" t="s">
        <v>6690</v>
      </c>
      <c r="B2994" s="14" t="s">
        <v>6691</v>
      </c>
      <c r="C2994" s="14" t="s">
        <v>6691</v>
      </c>
      <c r="D2994" s="14" t="s">
        <v>1283</v>
      </c>
      <c r="E2994" s="15"/>
      <c r="F2994" s="14" t="s">
        <v>1255</v>
      </c>
      <c r="G2994" s="15"/>
      <c r="H2994" s="14" t="s">
        <v>1255</v>
      </c>
      <c r="I2994" s="14" t="s">
        <v>1217</v>
      </c>
      <c r="J2994" s="14" t="s">
        <v>1296</v>
      </c>
      <c r="K2994" s="14"/>
      <c r="L2994" s="14"/>
      <c r="M2994" s="14" t="s">
        <v>1259</v>
      </c>
      <c r="N2994" s="14" t="s">
        <v>1219</v>
      </c>
      <c r="O2994" s="14" t="s">
        <v>1220</v>
      </c>
    </row>
    <row r="2995" spans="1:15" x14ac:dyDescent="0.25">
      <c r="A2995" s="14" t="s">
        <v>6692</v>
      </c>
      <c r="B2995" s="14" t="s">
        <v>6693</v>
      </c>
      <c r="C2995" s="14" t="s">
        <v>6693</v>
      </c>
      <c r="D2995" s="14" t="s">
        <v>1283</v>
      </c>
      <c r="E2995" s="15"/>
      <c r="F2995" s="14" t="s">
        <v>1255</v>
      </c>
      <c r="G2995" s="15"/>
      <c r="H2995" s="14" t="s">
        <v>1255</v>
      </c>
      <c r="I2995" s="14" t="s">
        <v>1217</v>
      </c>
      <c r="J2995" s="14" t="s">
        <v>1296</v>
      </c>
      <c r="K2995" s="14"/>
      <c r="L2995" s="14"/>
      <c r="M2995" s="14" t="s">
        <v>1259</v>
      </c>
      <c r="N2995" s="14" t="s">
        <v>1219</v>
      </c>
      <c r="O2995" s="14" t="s">
        <v>1220</v>
      </c>
    </row>
    <row r="2996" spans="1:15" x14ac:dyDescent="0.25">
      <c r="A2996" s="14" t="s">
        <v>6694</v>
      </c>
      <c r="B2996" s="14" t="s">
        <v>6695</v>
      </c>
      <c r="C2996" s="14" t="s">
        <v>6695</v>
      </c>
      <c r="D2996" s="14" t="s">
        <v>1283</v>
      </c>
      <c r="E2996" s="15"/>
      <c r="F2996" s="14" t="s">
        <v>1255</v>
      </c>
      <c r="G2996" s="15"/>
      <c r="H2996" s="14" t="s">
        <v>1255</v>
      </c>
      <c r="I2996" s="14" t="s">
        <v>1217</v>
      </c>
      <c r="J2996" s="14" t="s">
        <v>1296</v>
      </c>
      <c r="K2996" s="14"/>
      <c r="L2996" s="14"/>
      <c r="M2996" s="14" t="s">
        <v>1259</v>
      </c>
      <c r="N2996" s="14" t="s">
        <v>1219</v>
      </c>
      <c r="O2996" s="14" t="s">
        <v>1220</v>
      </c>
    </row>
    <row r="2997" spans="1:15" x14ac:dyDescent="0.25">
      <c r="A2997" s="14" t="s">
        <v>6696</v>
      </c>
      <c r="B2997" s="14" t="s">
        <v>6697</v>
      </c>
      <c r="C2997" s="14" t="s">
        <v>6697</v>
      </c>
      <c r="D2997" s="14" t="s">
        <v>1283</v>
      </c>
      <c r="E2997" s="15"/>
      <c r="F2997" s="14" t="s">
        <v>1742</v>
      </c>
      <c r="G2997" s="15"/>
      <c r="H2997" s="14" t="s">
        <v>1255</v>
      </c>
      <c r="I2997" s="14" t="s">
        <v>1217</v>
      </c>
      <c r="J2997" s="14" t="s">
        <v>1296</v>
      </c>
      <c r="K2997" s="14"/>
      <c r="L2997" s="14"/>
      <c r="M2997" s="14" t="s">
        <v>1259</v>
      </c>
      <c r="N2997" s="14" t="s">
        <v>1219</v>
      </c>
      <c r="O2997" s="14" t="s">
        <v>1220</v>
      </c>
    </row>
    <row r="2998" spans="1:15" x14ac:dyDescent="0.25">
      <c r="A2998" s="14" t="s">
        <v>6698</v>
      </c>
      <c r="B2998" s="14" t="s">
        <v>6699</v>
      </c>
      <c r="C2998" s="14" t="s">
        <v>6699</v>
      </c>
      <c r="D2998" s="14" t="s">
        <v>1283</v>
      </c>
      <c r="E2998" s="15"/>
      <c r="F2998" s="14" t="s">
        <v>1742</v>
      </c>
      <c r="G2998" s="15"/>
      <c r="H2998" s="14" t="s">
        <v>1255</v>
      </c>
      <c r="I2998" s="14" t="s">
        <v>1217</v>
      </c>
      <c r="J2998" s="14" t="s">
        <v>1296</v>
      </c>
      <c r="K2998" s="14"/>
      <c r="L2998" s="14"/>
      <c r="M2998" s="14" t="s">
        <v>1259</v>
      </c>
      <c r="N2998" s="14" t="s">
        <v>1219</v>
      </c>
      <c r="O2998" s="14" t="s">
        <v>1220</v>
      </c>
    </row>
    <row r="2999" spans="1:15" x14ac:dyDescent="0.25">
      <c r="A2999" s="14" t="s">
        <v>6700</v>
      </c>
      <c r="B2999" s="14" t="s">
        <v>6701</v>
      </c>
      <c r="C2999" s="14" t="s">
        <v>6701</v>
      </c>
      <c r="D2999" s="14" t="s">
        <v>1283</v>
      </c>
      <c r="E2999" s="15"/>
      <c r="F2999" s="14" t="s">
        <v>1742</v>
      </c>
      <c r="G2999" s="15"/>
      <c r="H2999" s="14" t="s">
        <v>1255</v>
      </c>
      <c r="I2999" s="14" t="s">
        <v>1217</v>
      </c>
      <c r="J2999" s="14" t="s">
        <v>1296</v>
      </c>
      <c r="K2999" s="14"/>
      <c r="L2999" s="14"/>
      <c r="M2999" s="14" t="s">
        <v>1259</v>
      </c>
      <c r="N2999" s="14" t="s">
        <v>1219</v>
      </c>
      <c r="O2999" s="14" t="s">
        <v>1220</v>
      </c>
    </row>
    <row r="3000" spans="1:15" x14ac:dyDescent="0.25">
      <c r="A3000" s="14" t="s">
        <v>6702</v>
      </c>
      <c r="B3000" s="14" t="s">
        <v>6703</v>
      </c>
      <c r="C3000" s="14" t="s">
        <v>6703</v>
      </c>
      <c r="D3000" s="14" t="s">
        <v>1283</v>
      </c>
      <c r="E3000" s="15"/>
      <c r="F3000" s="14" t="s">
        <v>1742</v>
      </c>
      <c r="G3000" s="15"/>
      <c r="H3000" s="14" t="s">
        <v>1255</v>
      </c>
      <c r="I3000" s="14" t="s">
        <v>1217</v>
      </c>
      <c r="J3000" s="14" t="s">
        <v>1296</v>
      </c>
      <c r="K3000" s="14"/>
      <c r="L3000" s="14"/>
      <c r="M3000" s="14" t="s">
        <v>1259</v>
      </c>
      <c r="N3000" s="14" t="s">
        <v>1219</v>
      </c>
      <c r="O3000" s="14" t="s">
        <v>1220</v>
      </c>
    </row>
    <row r="3001" spans="1:15" x14ac:dyDescent="0.25">
      <c r="A3001" s="14">
        <v>2388</v>
      </c>
      <c r="B3001" s="14" t="s">
        <v>713</v>
      </c>
      <c r="C3001" s="14" t="s">
        <v>6704</v>
      </c>
      <c r="D3001" s="14" t="s">
        <v>1512</v>
      </c>
      <c r="E3001" s="16">
        <v>120</v>
      </c>
      <c r="F3001" s="14" t="s">
        <v>1321</v>
      </c>
      <c r="G3001" s="17">
        <v>1680</v>
      </c>
      <c r="H3001" s="14" t="s">
        <v>1322</v>
      </c>
      <c r="I3001" s="14" t="s">
        <v>1256</v>
      </c>
      <c r="J3001" s="14" t="s">
        <v>1242</v>
      </c>
      <c r="K3001" s="14" t="s">
        <v>1257</v>
      </c>
      <c r="L3001" s="14" t="s">
        <v>6705</v>
      </c>
      <c r="M3001" s="14" t="s">
        <v>1324</v>
      </c>
      <c r="N3001" s="14" t="s">
        <v>1237</v>
      </c>
      <c r="O3001" s="14" t="s">
        <v>1220</v>
      </c>
    </row>
    <row r="3002" spans="1:15" x14ac:dyDescent="0.25">
      <c r="A3002" s="14" t="s">
        <v>6706</v>
      </c>
      <c r="B3002" s="14" t="s">
        <v>6707</v>
      </c>
      <c r="C3002" s="14" t="s">
        <v>6708</v>
      </c>
      <c r="D3002" s="14" t="s">
        <v>1512</v>
      </c>
      <c r="E3002" s="15"/>
      <c r="F3002" s="14" t="s">
        <v>1321</v>
      </c>
      <c r="G3002" s="15"/>
      <c r="H3002" s="14" t="s">
        <v>1322</v>
      </c>
      <c r="I3002" s="14" t="s">
        <v>1262</v>
      </c>
      <c r="J3002" s="14" t="s">
        <v>1262</v>
      </c>
      <c r="K3002" s="14"/>
      <c r="L3002" s="14" t="s">
        <v>6705</v>
      </c>
      <c r="M3002" s="14" t="s">
        <v>1324</v>
      </c>
      <c r="N3002" s="14" t="s">
        <v>1219</v>
      </c>
      <c r="O3002" s="14" t="s">
        <v>1220</v>
      </c>
    </row>
    <row r="3003" spans="1:15" x14ac:dyDescent="0.25">
      <c r="A3003" s="14">
        <v>1491</v>
      </c>
      <c r="B3003" s="14" t="s">
        <v>714</v>
      </c>
      <c r="C3003" s="14" t="s">
        <v>6709</v>
      </c>
      <c r="D3003" s="14" t="s">
        <v>1512</v>
      </c>
      <c r="E3003" s="16">
        <v>100</v>
      </c>
      <c r="F3003" s="14" t="s">
        <v>1321</v>
      </c>
      <c r="G3003" s="17">
        <v>1600</v>
      </c>
      <c r="H3003" s="14" t="s">
        <v>1322</v>
      </c>
      <c r="I3003" s="14" t="s">
        <v>1256</v>
      </c>
      <c r="J3003" s="14" t="s">
        <v>1296</v>
      </c>
      <c r="K3003" s="14" t="s">
        <v>1257</v>
      </c>
      <c r="L3003" s="14" t="s">
        <v>6710</v>
      </c>
      <c r="M3003" s="14" t="s">
        <v>1324</v>
      </c>
      <c r="N3003" s="14" t="s">
        <v>1237</v>
      </c>
      <c r="O3003" s="14" t="s">
        <v>1220</v>
      </c>
    </row>
    <row r="3004" spans="1:15" x14ac:dyDescent="0.25">
      <c r="A3004" s="14" t="s">
        <v>6711</v>
      </c>
      <c r="B3004" s="14" t="s">
        <v>6712</v>
      </c>
      <c r="C3004" s="14" t="s">
        <v>6713</v>
      </c>
      <c r="D3004" s="14" t="s">
        <v>1512</v>
      </c>
      <c r="E3004" s="15"/>
      <c r="F3004" s="14" t="s">
        <v>1321</v>
      </c>
      <c r="G3004" s="15"/>
      <c r="H3004" s="14" t="s">
        <v>1322</v>
      </c>
      <c r="I3004" s="14" t="s">
        <v>1262</v>
      </c>
      <c r="J3004" s="14" t="s">
        <v>1262</v>
      </c>
      <c r="K3004" s="14"/>
      <c r="L3004" s="14" t="s">
        <v>6710</v>
      </c>
      <c r="M3004" s="14" t="s">
        <v>1324</v>
      </c>
      <c r="N3004" s="14" t="s">
        <v>1219</v>
      </c>
      <c r="O3004" s="14" t="s">
        <v>1220</v>
      </c>
    </row>
    <row r="3005" spans="1:15" x14ac:dyDescent="0.25">
      <c r="A3005" s="14">
        <v>3541</v>
      </c>
      <c r="B3005" s="14" t="s">
        <v>544</v>
      </c>
      <c r="C3005" s="14" t="s">
        <v>544</v>
      </c>
      <c r="D3005" s="14" t="s">
        <v>1512</v>
      </c>
      <c r="E3005" s="16">
        <v>80</v>
      </c>
      <c r="F3005" s="14" t="s">
        <v>1255</v>
      </c>
      <c r="G3005" s="16">
        <v>800</v>
      </c>
      <c r="H3005" s="14" t="s">
        <v>1255</v>
      </c>
      <c r="I3005" s="14" t="s">
        <v>1256</v>
      </c>
      <c r="J3005" s="14" t="s">
        <v>1296</v>
      </c>
      <c r="K3005" s="14" t="s">
        <v>1257</v>
      </c>
      <c r="L3005" s="14" t="s">
        <v>6714</v>
      </c>
      <c r="M3005" s="14" t="s">
        <v>1259</v>
      </c>
      <c r="N3005" s="14" t="s">
        <v>1237</v>
      </c>
      <c r="O3005" s="14" t="s">
        <v>1220</v>
      </c>
    </row>
    <row r="3006" spans="1:15" x14ac:dyDescent="0.25">
      <c r="A3006" s="14" t="s">
        <v>6715</v>
      </c>
      <c r="B3006" s="14" t="s">
        <v>6716</v>
      </c>
      <c r="C3006" s="14" t="s">
        <v>6716</v>
      </c>
      <c r="D3006" s="14" t="s">
        <v>6630</v>
      </c>
      <c r="E3006" s="15"/>
      <c r="F3006" s="14" t="s">
        <v>1255</v>
      </c>
      <c r="G3006" s="15"/>
      <c r="H3006" s="14" t="s">
        <v>1255</v>
      </c>
      <c r="I3006" s="14" t="s">
        <v>1262</v>
      </c>
      <c r="J3006" s="14" t="s">
        <v>1262</v>
      </c>
      <c r="K3006" s="14"/>
      <c r="L3006" s="14" t="s">
        <v>6714</v>
      </c>
      <c r="M3006" s="14" t="s">
        <v>1259</v>
      </c>
      <c r="N3006" s="14" t="s">
        <v>1219</v>
      </c>
      <c r="O3006" s="14" t="s">
        <v>1220</v>
      </c>
    </row>
    <row r="3007" spans="1:15" x14ac:dyDescent="0.25">
      <c r="A3007" s="14">
        <v>3543</v>
      </c>
      <c r="B3007" s="14" t="s">
        <v>545</v>
      </c>
      <c r="C3007" s="14" t="s">
        <v>545</v>
      </c>
      <c r="D3007" s="14" t="s">
        <v>1512</v>
      </c>
      <c r="E3007" s="16">
        <v>80</v>
      </c>
      <c r="F3007" s="14" t="s">
        <v>1255</v>
      </c>
      <c r="G3007" s="16">
        <v>800</v>
      </c>
      <c r="H3007" s="14" t="s">
        <v>1255</v>
      </c>
      <c r="I3007" s="14" t="s">
        <v>1256</v>
      </c>
      <c r="J3007" s="14" t="s">
        <v>1242</v>
      </c>
      <c r="K3007" s="14" t="s">
        <v>1257</v>
      </c>
      <c r="L3007" s="14" t="s">
        <v>6717</v>
      </c>
      <c r="M3007" s="14" t="s">
        <v>1259</v>
      </c>
      <c r="N3007" s="14" t="s">
        <v>1237</v>
      </c>
      <c r="O3007" s="14" t="s">
        <v>1220</v>
      </c>
    </row>
    <row r="3008" spans="1:15" x14ac:dyDescent="0.25">
      <c r="A3008" s="14" t="s">
        <v>6718</v>
      </c>
      <c r="B3008" s="14" t="s">
        <v>6719</v>
      </c>
      <c r="C3008" s="14" t="s">
        <v>6719</v>
      </c>
      <c r="D3008" s="14" t="s">
        <v>6630</v>
      </c>
      <c r="E3008" s="15"/>
      <c r="F3008" s="14" t="s">
        <v>1255</v>
      </c>
      <c r="G3008" s="15"/>
      <c r="H3008" s="14" t="s">
        <v>1255</v>
      </c>
      <c r="I3008" s="14" t="s">
        <v>1262</v>
      </c>
      <c r="J3008" s="14" t="s">
        <v>1262</v>
      </c>
      <c r="K3008" s="14"/>
      <c r="L3008" s="14" t="s">
        <v>6717</v>
      </c>
      <c r="M3008" s="14" t="s">
        <v>1259</v>
      </c>
      <c r="N3008" s="14" t="s">
        <v>1219</v>
      </c>
      <c r="O3008" s="14" t="s">
        <v>1220</v>
      </c>
    </row>
    <row r="3009" spans="1:15" x14ac:dyDescent="0.25">
      <c r="A3009" s="14">
        <v>3542</v>
      </c>
      <c r="B3009" s="14" t="s">
        <v>546</v>
      </c>
      <c r="C3009" s="14" t="s">
        <v>546</v>
      </c>
      <c r="D3009" s="14" t="s">
        <v>1512</v>
      </c>
      <c r="E3009" s="16">
        <v>80</v>
      </c>
      <c r="F3009" s="14" t="s">
        <v>1255</v>
      </c>
      <c r="G3009" s="16">
        <v>400</v>
      </c>
      <c r="H3009" s="14" t="s">
        <v>1255</v>
      </c>
      <c r="I3009" s="14" t="s">
        <v>1256</v>
      </c>
      <c r="J3009" s="14" t="s">
        <v>1296</v>
      </c>
      <c r="K3009" s="14" t="s">
        <v>1257</v>
      </c>
      <c r="L3009" s="14" t="s">
        <v>6720</v>
      </c>
      <c r="M3009" s="14" t="s">
        <v>1259</v>
      </c>
      <c r="N3009" s="14" t="s">
        <v>1237</v>
      </c>
      <c r="O3009" s="14" t="s">
        <v>1220</v>
      </c>
    </row>
    <row r="3010" spans="1:15" x14ac:dyDescent="0.25">
      <c r="A3010" s="14">
        <v>3885</v>
      </c>
      <c r="B3010" s="14" t="s">
        <v>547</v>
      </c>
      <c r="C3010" s="14" t="s">
        <v>547</v>
      </c>
      <c r="D3010" s="14" t="s">
        <v>1512</v>
      </c>
      <c r="E3010" s="16">
        <v>60</v>
      </c>
      <c r="F3010" s="14" t="s">
        <v>1255</v>
      </c>
      <c r="G3010" s="16">
        <v>400</v>
      </c>
      <c r="H3010" s="14" t="s">
        <v>1255</v>
      </c>
      <c r="I3010" s="14" t="s">
        <v>1256</v>
      </c>
      <c r="J3010" s="14" t="s">
        <v>1296</v>
      </c>
      <c r="K3010" s="14" t="s">
        <v>1257</v>
      </c>
      <c r="L3010" s="14" t="s">
        <v>6721</v>
      </c>
      <c r="M3010" s="14" t="s">
        <v>1259</v>
      </c>
      <c r="N3010" s="14" t="s">
        <v>1237</v>
      </c>
      <c r="O3010" s="14" t="s">
        <v>1220</v>
      </c>
    </row>
    <row r="3011" spans="1:15" x14ac:dyDescent="0.25">
      <c r="A3011" s="14">
        <v>1809</v>
      </c>
      <c r="B3011" s="14" t="s">
        <v>6722</v>
      </c>
      <c r="C3011" s="14" t="s">
        <v>6722</v>
      </c>
      <c r="D3011" s="14" t="s">
        <v>1349</v>
      </c>
      <c r="E3011" s="15"/>
      <c r="F3011" s="14"/>
      <c r="G3011" s="15"/>
      <c r="H3011" s="14" t="s">
        <v>1255</v>
      </c>
      <c r="I3011" s="14" t="s">
        <v>1360</v>
      </c>
      <c r="J3011" s="14" t="s">
        <v>1360</v>
      </c>
      <c r="K3011" s="14"/>
      <c r="L3011" s="14"/>
      <c r="M3011" s="14" t="s">
        <v>1259</v>
      </c>
      <c r="N3011" s="14" t="s">
        <v>1219</v>
      </c>
      <c r="O3011" s="14" t="s">
        <v>1220</v>
      </c>
    </row>
    <row r="3012" spans="1:15" x14ac:dyDescent="0.25">
      <c r="A3012" s="14">
        <v>275</v>
      </c>
      <c r="B3012" s="14" t="s">
        <v>334</v>
      </c>
      <c r="C3012" s="14" t="s">
        <v>6723</v>
      </c>
      <c r="D3012" s="14" t="s">
        <v>1512</v>
      </c>
      <c r="E3012" s="16">
        <v>150</v>
      </c>
      <c r="F3012" s="14" t="s">
        <v>1510</v>
      </c>
      <c r="G3012" s="17">
        <v>1500</v>
      </c>
      <c r="H3012" s="14" t="s">
        <v>1510</v>
      </c>
      <c r="I3012" s="14" t="s">
        <v>1256</v>
      </c>
      <c r="J3012" s="14" t="s">
        <v>1242</v>
      </c>
      <c r="K3012" s="14" t="s">
        <v>1257</v>
      </c>
      <c r="L3012" s="14" t="s">
        <v>6724</v>
      </c>
      <c r="M3012" s="14" t="s">
        <v>1324</v>
      </c>
      <c r="N3012" s="14" t="s">
        <v>1237</v>
      </c>
      <c r="O3012" s="14" t="s">
        <v>1220</v>
      </c>
    </row>
    <row r="3013" spans="1:15" x14ac:dyDescent="0.25">
      <c r="A3013" s="14" t="s">
        <v>6725</v>
      </c>
      <c r="B3013" s="14" t="s">
        <v>6726</v>
      </c>
      <c r="C3013" s="14" t="s">
        <v>6727</v>
      </c>
      <c r="D3013" s="14" t="s">
        <v>1517</v>
      </c>
      <c r="E3013" s="15"/>
      <c r="F3013" s="14" t="s">
        <v>1510</v>
      </c>
      <c r="G3013" s="15"/>
      <c r="H3013" s="14" t="s">
        <v>1510</v>
      </c>
      <c r="I3013" s="14" t="s">
        <v>1262</v>
      </c>
      <c r="J3013" s="14" t="s">
        <v>1262</v>
      </c>
      <c r="K3013" s="14"/>
      <c r="L3013" s="14" t="s">
        <v>6724</v>
      </c>
      <c r="M3013" s="14" t="s">
        <v>1324</v>
      </c>
      <c r="N3013" s="14" t="s">
        <v>1219</v>
      </c>
      <c r="O3013" s="14" t="s">
        <v>1220</v>
      </c>
    </row>
    <row r="3014" spans="1:15" x14ac:dyDescent="0.25">
      <c r="A3014" s="14">
        <v>469</v>
      </c>
      <c r="B3014" s="14" t="s">
        <v>338</v>
      </c>
      <c r="C3014" s="14" t="s">
        <v>6728</v>
      </c>
      <c r="D3014" s="14" t="s">
        <v>1512</v>
      </c>
      <c r="E3014" s="16">
        <v>120</v>
      </c>
      <c r="F3014" s="14" t="s">
        <v>1510</v>
      </c>
      <c r="G3014" s="16">
        <v>600</v>
      </c>
      <c r="H3014" s="14" t="s">
        <v>1510</v>
      </c>
      <c r="I3014" s="14" t="s">
        <v>1256</v>
      </c>
      <c r="J3014" s="14" t="s">
        <v>1296</v>
      </c>
      <c r="K3014" s="14" t="s">
        <v>1257</v>
      </c>
      <c r="L3014" s="14" t="s">
        <v>6729</v>
      </c>
      <c r="M3014" s="14" t="s">
        <v>1324</v>
      </c>
      <c r="N3014" s="14" t="s">
        <v>1237</v>
      </c>
      <c r="O3014" s="14" t="s">
        <v>1220</v>
      </c>
    </row>
    <row r="3015" spans="1:15" x14ac:dyDescent="0.25">
      <c r="A3015" s="14" t="s">
        <v>6730</v>
      </c>
      <c r="B3015" s="14" t="s">
        <v>6731</v>
      </c>
      <c r="C3015" s="14" t="s">
        <v>6732</v>
      </c>
      <c r="D3015" s="14" t="s">
        <v>1517</v>
      </c>
      <c r="E3015" s="15"/>
      <c r="F3015" s="14" t="s">
        <v>1510</v>
      </c>
      <c r="G3015" s="15"/>
      <c r="H3015" s="14" t="s">
        <v>1510</v>
      </c>
      <c r="I3015" s="14" t="s">
        <v>1262</v>
      </c>
      <c r="J3015" s="14" t="s">
        <v>1262</v>
      </c>
      <c r="K3015" s="14"/>
      <c r="L3015" s="14" t="s">
        <v>6729</v>
      </c>
      <c r="M3015" s="14" t="s">
        <v>1324</v>
      </c>
      <c r="N3015" s="14" t="s">
        <v>1219</v>
      </c>
      <c r="O3015" s="14" t="s">
        <v>1220</v>
      </c>
    </row>
    <row r="3016" spans="1:15" x14ac:dyDescent="0.25">
      <c r="A3016" s="14">
        <v>174</v>
      </c>
      <c r="B3016" s="14" t="s">
        <v>340</v>
      </c>
      <c r="C3016" s="14" t="s">
        <v>6733</v>
      </c>
      <c r="D3016" s="14" t="s">
        <v>1512</v>
      </c>
      <c r="E3016" s="16">
        <v>100</v>
      </c>
      <c r="F3016" s="14" t="s">
        <v>1510</v>
      </c>
      <c r="G3016" s="16">
        <v>700</v>
      </c>
      <c r="H3016" s="14" t="s">
        <v>1510</v>
      </c>
      <c r="I3016" s="14" t="s">
        <v>1256</v>
      </c>
      <c r="J3016" s="14" t="s">
        <v>1296</v>
      </c>
      <c r="K3016" s="14" t="s">
        <v>1257</v>
      </c>
      <c r="L3016" s="14" t="s">
        <v>6734</v>
      </c>
      <c r="M3016" s="14" t="s">
        <v>1324</v>
      </c>
      <c r="N3016" s="14" t="s">
        <v>1237</v>
      </c>
      <c r="O3016" s="14" t="s">
        <v>1220</v>
      </c>
    </row>
    <row r="3017" spans="1:15" x14ac:dyDescent="0.25">
      <c r="A3017" s="14" t="s">
        <v>6735</v>
      </c>
      <c r="B3017" s="14" t="s">
        <v>6736</v>
      </c>
      <c r="C3017" s="14" t="s">
        <v>6737</v>
      </c>
      <c r="D3017" s="14" t="s">
        <v>1512</v>
      </c>
      <c r="E3017" s="15"/>
      <c r="F3017" s="14" t="s">
        <v>1350</v>
      </c>
      <c r="G3017" s="15"/>
      <c r="H3017" s="14" t="s">
        <v>1510</v>
      </c>
      <c r="I3017" s="14" t="s">
        <v>1262</v>
      </c>
      <c r="J3017" s="14" t="s">
        <v>1262</v>
      </c>
      <c r="K3017" s="14" t="s">
        <v>1257</v>
      </c>
      <c r="L3017" s="14" t="s">
        <v>6734</v>
      </c>
      <c r="M3017" s="14" t="s">
        <v>1324</v>
      </c>
      <c r="N3017" s="14" t="s">
        <v>1219</v>
      </c>
      <c r="O3017" s="14" t="s">
        <v>1220</v>
      </c>
    </row>
    <row r="3018" spans="1:15" x14ac:dyDescent="0.25">
      <c r="A3018" s="14">
        <v>182</v>
      </c>
      <c r="B3018" s="14" t="s">
        <v>343</v>
      </c>
      <c r="C3018" s="14" t="s">
        <v>6738</v>
      </c>
      <c r="D3018" s="14" t="s">
        <v>1512</v>
      </c>
      <c r="E3018" s="16">
        <v>100</v>
      </c>
      <c r="F3018" s="14" t="s">
        <v>1510</v>
      </c>
      <c r="G3018" s="17">
        <v>1000</v>
      </c>
      <c r="H3018" s="14" t="s">
        <v>1510</v>
      </c>
      <c r="I3018" s="14" t="s">
        <v>1256</v>
      </c>
      <c r="J3018" s="14" t="s">
        <v>1296</v>
      </c>
      <c r="K3018" s="14" t="s">
        <v>1257</v>
      </c>
      <c r="L3018" s="14" t="s">
        <v>6739</v>
      </c>
      <c r="M3018" s="14" t="s">
        <v>1324</v>
      </c>
      <c r="N3018" s="14" t="s">
        <v>1237</v>
      </c>
      <c r="O3018" s="14" t="s">
        <v>1220</v>
      </c>
    </row>
    <row r="3019" spans="1:15" x14ac:dyDescent="0.25">
      <c r="A3019" s="14" t="s">
        <v>6740</v>
      </c>
      <c r="B3019" s="14" t="s">
        <v>6741</v>
      </c>
      <c r="C3019" s="14" t="s">
        <v>6742</v>
      </c>
      <c r="D3019" s="14" t="s">
        <v>1512</v>
      </c>
      <c r="E3019" s="15"/>
      <c r="F3019" s="14" t="s">
        <v>1350</v>
      </c>
      <c r="G3019" s="15"/>
      <c r="H3019" s="14" t="s">
        <v>1510</v>
      </c>
      <c r="I3019" s="14" t="s">
        <v>1262</v>
      </c>
      <c r="J3019" s="14" t="s">
        <v>1262</v>
      </c>
      <c r="K3019" s="14" t="s">
        <v>1257</v>
      </c>
      <c r="L3019" s="14" t="s">
        <v>6739</v>
      </c>
      <c r="M3019" s="14" t="s">
        <v>1324</v>
      </c>
      <c r="N3019" s="14" t="s">
        <v>1219</v>
      </c>
      <c r="O3019" s="14" t="s">
        <v>1220</v>
      </c>
    </row>
    <row r="3020" spans="1:15" x14ac:dyDescent="0.25">
      <c r="A3020" s="14">
        <v>493</v>
      </c>
      <c r="B3020" s="14" t="s">
        <v>6743</v>
      </c>
      <c r="C3020" s="14" t="s">
        <v>6744</v>
      </c>
      <c r="D3020" s="14" t="s">
        <v>1349</v>
      </c>
      <c r="E3020" s="15"/>
      <c r="F3020" s="14"/>
      <c r="G3020" s="15"/>
      <c r="H3020" s="14" t="s">
        <v>1510</v>
      </c>
      <c r="I3020" s="14" t="s">
        <v>1360</v>
      </c>
      <c r="J3020" s="14" t="s">
        <v>1360</v>
      </c>
      <c r="K3020" s="14"/>
      <c r="L3020" s="14"/>
      <c r="M3020" s="14" t="s">
        <v>1324</v>
      </c>
      <c r="N3020" s="14" t="s">
        <v>1219</v>
      </c>
      <c r="O3020" s="14" t="s">
        <v>1220</v>
      </c>
    </row>
    <row r="3021" spans="1:15" x14ac:dyDescent="0.25">
      <c r="A3021" s="14">
        <v>583</v>
      </c>
      <c r="B3021" s="14" t="s">
        <v>6745</v>
      </c>
      <c r="C3021" s="14" t="s">
        <v>6746</v>
      </c>
      <c r="D3021" s="14" t="s">
        <v>1512</v>
      </c>
      <c r="E3021" s="15"/>
      <c r="F3021" s="14" t="s">
        <v>1350</v>
      </c>
      <c r="G3021" s="15"/>
      <c r="H3021" s="14" t="s">
        <v>1510</v>
      </c>
      <c r="I3021" s="14" t="s">
        <v>1360</v>
      </c>
      <c r="J3021" s="14" t="s">
        <v>1360</v>
      </c>
      <c r="K3021" s="14" t="s">
        <v>1257</v>
      </c>
      <c r="L3021" s="14" t="s">
        <v>6747</v>
      </c>
      <c r="M3021" s="14" t="s">
        <v>1324</v>
      </c>
      <c r="N3021" s="14" t="s">
        <v>1219</v>
      </c>
      <c r="O3021" s="14" t="s">
        <v>1220</v>
      </c>
    </row>
    <row r="3022" spans="1:15" x14ac:dyDescent="0.25">
      <c r="A3022" s="14">
        <v>183</v>
      </c>
      <c r="B3022" s="14" t="s">
        <v>6748</v>
      </c>
      <c r="C3022" s="14" t="s">
        <v>6749</v>
      </c>
      <c r="D3022" s="14" t="s">
        <v>1512</v>
      </c>
      <c r="E3022" s="15"/>
      <c r="F3022" s="14" t="s">
        <v>1350</v>
      </c>
      <c r="G3022" s="15"/>
      <c r="H3022" s="14" t="s">
        <v>1510</v>
      </c>
      <c r="I3022" s="14" t="s">
        <v>1351</v>
      </c>
      <c r="J3022" s="14" t="s">
        <v>1351</v>
      </c>
      <c r="K3022" s="14" t="s">
        <v>1257</v>
      </c>
      <c r="L3022" s="14" t="s">
        <v>6747</v>
      </c>
      <c r="M3022" s="14" t="s">
        <v>1324</v>
      </c>
      <c r="N3022" s="14" t="s">
        <v>1219</v>
      </c>
      <c r="O3022" s="14" t="s">
        <v>1220</v>
      </c>
    </row>
    <row r="3023" spans="1:15" x14ac:dyDescent="0.25">
      <c r="A3023" s="14">
        <v>198</v>
      </c>
      <c r="B3023" s="14" t="s">
        <v>6750</v>
      </c>
      <c r="C3023" s="14" t="s">
        <v>6751</v>
      </c>
      <c r="D3023" s="14" t="s">
        <v>1349</v>
      </c>
      <c r="E3023" s="15"/>
      <c r="F3023" s="14"/>
      <c r="G3023" s="15"/>
      <c r="H3023" s="14" t="s">
        <v>1510</v>
      </c>
      <c r="I3023" s="14" t="s">
        <v>1360</v>
      </c>
      <c r="J3023" s="14" t="s">
        <v>1360</v>
      </c>
      <c r="K3023" s="14"/>
      <c r="L3023" s="14"/>
      <c r="M3023" s="14" t="s">
        <v>1324</v>
      </c>
      <c r="N3023" s="14" t="s">
        <v>1219</v>
      </c>
      <c r="O3023" s="14" t="s">
        <v>1220</v>
      </c>
    </row>
    <row r="3024" spans="1:15" x14ac:dyDescent="0.25">
      <c r="A3024" s="14">
        <v>586</v>
      </c>
      <c r="B3024" s="14" t="s">
        <v>6752</v>
      </c>
      <c r="C3024" s="14" t="s">
        <v>6753</v>
      </c>
      <c r="D3024" s="14" t="s">
        <v>1512</v>
      </c>
      <c r="E3024" s="15"/>
      <c r="F3024" s="14" t="s">
        <v>1350</v>
      </c>
      <c r="G3024" s="15"/>
      <c r="H3024" s="14" t="s">
        <v>1510</v>
      </c>
      <c r="I3024" s="14" t="s">
        <v>1351</v>
      </c>
      <c r="J3024" s="14" t="s">
        <v>1385</v>
      </c>
      <c r="K3024" s="14" t="s">
        <v>1257</v>
      </c>
      <c r="L3024" s="14" t="s">
        <v>6747</v>
      </c>
      <c r="M3024" s="14" t="s">
        <v>1324</v>
      </c>
      <c r="N3024" s="14" t="s">
        <v>1219</v>
      </c>
      <c r="O3024" s="14" t="s">
        <v>1220</v>
      </c>
    </row>
    <row r="3025" spans="1:15" x14ac:dyDescent="0.25">
      <c r="A3025" s="14">
        <v>588</v>
      </c>
      <c r="B3025" s="14" t="s">
        <v>6754</v>
      </c>
      <c r="C3025" s="14" t="s">
        <v>6755</v>
      </c>
      <c r="D3025" s="14" t="s">
        <v>1512</v>
      </c>
      <c r="E3025" s="15"/>
      <c r="F3025" s="14" t="s">
        <v>1350</v>
      </c>
      <c r="G3025" s="15"/>
      <c r="H3025" s="14" t="s">
        <v>1510</v>
      </c>
      <c r="I3025" s="14" t="s">
        <v>1351</v>
      </c>
      <c r="J3025" s="14" t="s">
        <v>1385</v>
      </c>
      <c r="K3025" s="14" t="s">
        <v>1257</v>
      </c>
      <c r="L3025" s="14" t="s">
        <v>6747</v>
      </c>
      <c r="M3025" s="14" t="s">
        <v>1324</v>
      </c>
      <c r="N3025" s="14" t="s">
        <v>1219</v>
      </c>
      <c r="O3025" s="14" t="s">
        <v>1220</v>
      </c>
    </row>
    <row r="3026" spans="1:15" x14ac:dyDescent="0.25">
      <c r="A3026" s="14">
        <v>285</v>
      </c>
      <c r="B3026" s="14" t="s">
        <v>335</v>
      </c>
      <c r="C3026" s="14" t="s">
        <v>6756</v>
      </c>
      <c r="D3026" s="14" t="s">
        <v>1512</v>
      </c>
      <c r="E3026" s="16">
        <v>160</v>
      </c>
      <c r="F3026" s="14" t="s">
        <v>1510</v>
      </c>
      <c r="G3026" s="17">
        <v>1600</v>
      </c>
      <c r="H3026" s="14" t="s">
        <v>1510</v>
      </c>
      <c r="I3026" s="14" t="s">
        <v>1256</v>
      </c>
      <c r="J3026" s="14" t="s">
        <v>1242</v>
      </c>
      <c r="K3026" s="14" t="s">
        <v>1257</v>
      </c>
      <c r="L3026" s="14" t="s">
        <v>6757</v>
      </c>
      <c r="M3026" s="14" t="s">
        <v>1324</v>
      </c>
      <c r="N3026" s="14" t="s">
        <v>1237</v>
      </c>
      <c r="O3026" s="14" t="s">
        <v>1220</v>
      </c>
    </row>
    <row r="3027" spans="1:15" x14ac:dyDescent="0.25">
      <c r="A3027" s="14" t="s">
        <v>6758</v>
      </c>
      <c r="B3027" s="14" t="s">
        <v>6759</v>
      </c>
      <c r="C3027" s="14" t="s">
        <v>6760</v>
      </c>
      <c r="D3027" s="14" t="s">
        <v>1517</v>
      </c>
      <c r="E3027" s="15"/>
      <c r="F3027" s="14" t="s">
        <v>1510</v>
      </c>
      <c r="G3027" s="15"/>
      <c r="H3027" s="14" t="s">
        <v>1510</v>
      </c>
      <c r="I3027" s="14" t="s">
        <v>1262</v>
      </c>
      <c r="J3027" s="14" t="s">
        <v>1262</v>
      </c>
      <c r="K3027" s="14"/>
      <c r="L3027" s="14" t="s">
        <v>6757</v>
      </c>
      <c r="M3027" s="14" t="s">
        <v>1324</v>
      </c>
      <c r="N3027" s="14" t="s">
        <v>1219</v>
      </c>
      <c r="O3027" s="14" t="s">
        <v>1220</v>
      </c>
    </row>
    <row r="3028" spans="1:15" x14ac:dyDescent="0.25">
      <c r="A3028" s="14">
        <v>467</v>
      </c>
      <c r="B3028" s="14" t="s">
        <v>339</v>
      </c>
      <c r="C3028" s="14" t="s">
        <v>6761</v>
      </c>
      <c r="D3028" s="14" t="s">
        <v>1512</v>
      </c>
      <c r="E3028" s="16">
        <v>120</v>
      </c>
      <c r="F3028" s="14" t="s">
        <v>1510</v>
      </c>
      <c r="G3028" s="16">
        <v>600</v>
      </c>
      <c r="H3028" s="14" t="s">
        <v>1510</v>
      </c>
      <c r="I3028" s="14" t="s">
        <v>1256</v>
      </c>
      <c r="J3028" s="14" t="s">
        <v>1296</v>
      </c>
      <c r="K3028" s="14" t="s">
        <v>1257</v>
      </c>
      <c r="L3028" s="14" t="s">
        <v>6762</v>
      </c>
      <c r="M3028" s="14" t="s">
        <v>1324</v>
      </c>
      <c r="N3028" s="14" t="s">
        <v>1237</v>
      </c>
      <c r="O3028" s="14" t="s">
        <v>1220</v>
      </c>
    </row>
    <row r="3029" spans="1:15" x14ac:dyDescent="0.25">
      <c r="A3029" s="14" t="s">
        <v>6763</v>
      </c>
      <c r="B3029" s="14" t="s">
        <v>6764</v>
      </c>
      <c r="C3029" s="14" t="s">
        <v>6765</v>
      </c>
      <c r="D3029" s="14" t="s">
        <v>1517</v>
      </c>
      <c r="E3029" s="15"/>
      <c r="F3029" s="14" t="s">
        <v>1510</v>
      </c>
      <c r="G3029" s="15"/>
      <c r="H3029" s="14" t="s">
        <v>1510</v>
      </c>
      <c r="I3029" s="14" t="s">
        <v>1262</v>
      </c>
      <c r="J3029" s="14" t="s">
        <v>1262</v>
      </c>
      <c r="K3029" s="14"/>
      <c r="L3029" s="14" t="s">
        <v>6762</v>
      </c>
      <c r="M3029" s="14" t="s">
        <v>1324</v>
      </c>
      <c r="N3029" s="14" t="s">
        <v>1219</v>
      </c>
      <c r="O3029" s="14" t="s">
        <v>1220</v>
      </c>
    </row>
    <row r="3030" spans="1:15" x14ac:dyDescent="0.25">
      <c r="A3030" s="14">
        <v>470</v>
      </c>
      <c r="B3030" s="14" t="s">
        <v>341</v>
      </c>
      <c r="C3030" s="14" t="s">
        <v>6766</v>
      </c>
      <c r="D3030" s="14" t="s">
        <v>1512</v>
      </c>
      <c r="E3030" s="16">
        <v>100</v>
      </c>
      <c r="F3030" s="14" t="s">
        <v>1510</v>
      </c>
      <c r="G3030" s="16">
        <v>500</v>
      </c>
      <c r="H3030" s="14" t="s">
        <v>1510</v>
      </c>
      <c r="I3030" s="14" t="s">
        <v>1256</v>
      </c>
      <c r="J3030" s="14" t="s">
        <v>1296</v>
      </c>
      <c r="K3030" s="14" t="s">
        <v>1257</v>
      </c>
      <c r="L3030" s="14" t="s">
        <v>6767</v>
      </c>
      <c r="M3030" s="14" t="s">
        <v>1324</v>
      </c>
      <c r="N3030" s="14" t="s">
        <v>1237</v>
      </c>
      <c r="O3030" s="14" t="s">
        <v>1220</v>
      </c>
    </row>
    <row r="3031" spans="1:15" x14ac:dyDescent="0.25">
      <c r="A3031" s="14" t="s">
        <v>6768</v>
      </c>
      <c r="B3031" s="14" t="s">
        <v>6769</v>
      </c>
      <c r="C3031" s="14" t="s">
        <v>6770</v>
      </c>
      <c r="D3031" s="14" t="s">
        <v>4352</v>
      </c>
      <c r="E3031" s="15"/>
      <c r="F3031" s="14" t="s">
        <v>1510</v>
      </c>
      <c r="G3031" s="15"/>
      <c r="H3031" s="14" t="s">
        <v>1510</v>
      </c>
      <c r="I3031" s="14" t="s">
        <v>1262</v>
      </c>
      <c r="J3031" s="14" t="s">
        <v>1262</v>
      </c>
      <c r="K3031" s="14"/>
      <c r="L3031" s="14" t="s">
        <v>6767</v>
      </c>
      <c r="M3031" s="14" t="s">
        <v>1324</v>
      </c>
      <c r="N3031" s="14" t="s">
        <v>1219</v>
      </c>
      <c r="O3031" s="14" t="s">
        <v>1220</v>
      </c>
    </row>
    <row r="3032" spans="1:15" x14ac:dyDescent="0.25">
      <c r="A3032" s="14">
        <v>471</v>
      </c>
      <c r="B3032" s="14" t="s">
        <v>344</v>
      </c>
      <c r="C3032" s="14" t="s">
        <v>6771</v>
      </c>
      <c r="D3032" s="14" t="s">
        <v>1512</v>
      </c>
      <c r="E3032" s="16">
        <v>100</v>
      </c>
      <c r="F3032" s="14" t="s">
        <v>1510</v>
      </c>
      <c r="G3032" s="16">
        <v>600</v>
      </c>
      <c r="H3032" s="14" t="s">
        <v>1510</v>
      </c>
      <c r="I3032" s="14" t="s">
        <v>1256</v>
      </c>
      <c r="J3032" s="14" t="s">
        <v>1296</v>
      </c>
      <c r="K3032" s="14" t="s">
        <v>1257</v>
      </c>
      <c r="L3032" s="14" t="s">
        <v>6747</v>
      </c>
      <c r="M3032" s="14" t="s">
        <v>1324</v>
      </c>
      <c r="N3032" s="14" t="s">
        <v>1237</v>
      </c>
      <c r="O3032" s="14" t="s">
        <v>1220</v>
      </c>
    </row>
    <row r="3033" spans="1:15" x14ac:dyDescent="0.25">
      <c r="A3033" s="14" t="s">
        <v>6772</v>
      </c>
      <c r="B3033" s="14" t="s">
        <v>6773</v>
      </c>
      <c r="C3033" s="14" t="s">
        <v>6774</v>
      </c>
      <c r="D3033" s="14" t="s">
        <v>1512</v>
      </c>
      <c r="E3033" s="15"/>
      <c r="F3033" s="14" t="s">
        <v>1350</v>
      </c>
      <c r="G3033" s="15"/>
      <c r="H3033" s="14" t="s">
        <v>1510</v>
      </c>
      <c r="I3033" s="14" t="s">
        <v>1262</v>
      </c>
      <c r="J3033" s="14" t="s">
        <v>1262</v>
      </c>
      <c r="K3033" s="14" t="s">
        <v>1257</v>
      </c>
      <c r="L3033" s="14" t="s">
        <v>6747</v>
      </c>
      <c r="M3033" s="14" t="s">
        <v>1324</v>
      </c>
      <c r="N3033" s="14" t="s">
        <v>1219</v>
      </c>
      <c r="O3033" s="14" t="s">
        <v>1220</v>
      </c>
    </row>
    <row r="3034" spans="1:15" x14ac:dyDescent="0.25">
      <c r="A3034" s="14">
        <v>294</v>
      </c>
      <c r="B3034" s="14" t="s">
        <v>6775</v>
      </c>
      <c r="C3034" s="14" t="s">
        <v>6776</v>
      </c>
      <c r="D3034" s="14" t="s">
        <v>1349</v>
      </c>
      <c r="E3034" s="15"/>
      <c r="F3034" s="14"/>
      <c r="G3034" s="15"/>
      <c r="H3034" s="14" t="s">
        <v>1510</v>
      </c>
      <c r="I3034" s="14" t="s">
        <v>1360</v>
      </c>
      <c r="J3034" s="14" t="s">
        <v>1360</v>
      </c>
      <c r="K3034" s="14"/>
      <c r="L3034" s="14"/>
      <c r="M3034" s="14" t="s">
        <v>1324</v>
      </c>
      <c r="N3034" s="14" t="s">
        <v>1219</v>
      </c>
      <c r="O3034" s="14" t="s">
        <v>1220</v>
      </c>
    </row>
    <row r="3035" spans="1:15" x14ac:dyDescent="0.25">
      <c r="A3035" s="14">
        <v>584</v>
      </c>
      <c r="B3035" s="14" t="s">
        <v>6777</v>
      </c>
      <c r="C3035" s="14" t="s">
        <v>6778</v>
      </c>
      <c r="D3035" s="14" t="s">
        <v>1512</v>
      </c>
      <c r="E3035" s="15"/>
      <c r="F3035" s="14" t="s">
        <v>1350</v>
      </c>
      <c r="G3035" s="15"/>
      <c r="H3035" s="14" t="s">
        <v>1510</v>
      </c>
      <c r="I3035" s="14" t="s">
        <v>1351</v>
      </c>
      <c r="J3035" s="14" t="s">
        <v>1351</v>
      </c>
      <c r="K3035" s="14" t="s">
        <v>1257</v>
      </c>
      <c r="L3035" s="14" t="s">
        <v>6747</v>
      </c>
      <c r="M3035" s="14" t="s">
        <v>1324</v>
      </c>
      <c r="N3035" s="14" t="s">
        <v>1219</v>
      </c>
      <c r="O3035" s="14" t="s">
        <v>1220</v>
      </c>
    </row>
    <row r="3036" spans="1:15" x14ac:dyDescent="0.25">
      <c r="A3036" s="14">
        <v>184</v>
      </c>
      <c r="B3036" s="14" t="s">
        <v>6779</v>
      </c>
      <c r="C3036" s="14" t="s">
        <v>6780</v>
      </c>
      <c r="D3036" s="14" t="s">
        <v>1512</v>
      </c>
      <c r="E3036" s="15"/>
      <c r="F3036" s="14" t="s">
        <v>1350</v>
      </c>
      <c r="G3036" s="15"/>
      <c r="H3036" s="14" t="s">
        <v>1510</v>
      </c>
      <c r="I3036" s="14" t="s">
        <v>1360</v>
      </c>
      <c r="J3036" s="14" t="s">
        <v>1360</v>
      </c>
      <c r="K3036" s="14" t="s">
        <v>1257</v>
      </c>
      <c r="L3036" s="14" t="s">
        <v>6747</v>
      </c>
      <c r="M3036" s="14" t="s">
        <v>1324</v>
      </c>
      <c r="N3036" s="14" t="s">
        <v>1219</v>
      </c>
      <c r="O3036" s="14" t="s">
        <v>1220</v>
      </c>
    </row>
    <row r="3037" spans="1:15" x14ac:dyDescent="0.25">
      <c r="A3037" s="14">
        <v>582</v>
      </c>
      <c r="B3037" s="14" t="s">
        <v>6781</v>
      </c>
      <c r="C3037" s="14" t="s">
        <v>6782</v>
      </c>
      <c r="D3037" s="14" t="s">
        <v>1349</v>
      </c>
      <c r="E3037" s="15"/>
      <c r="F3037" s="14"/>
      <c r="G3037" s="15"/>
      <c r="H3037" s="14" t="s">
        <v>1510</v>
      </c>
      <c r="I3037" s="14" t="s">
        <v>1360</v>
      </c>
      <c r="J3037" s="14" t="s">
        <v>1360</v>
      </c>
      <c r="K3037" s="14"/>
      <c r="L3037" s="14"/>
      <c r="M3037" s="14" t="s">
        <v>1324</v>
      </c>
      <c r="N3037" s="14" t="s">
        <v>1219</v>
      </c>
      <c r="O3037" s="14" t="s">
        <v>1220</v>
      </c>
    </row>
    <row r="3038" spans="1:15" x14ac:dyDescent="0.25">
      <c r="A3038" s="14">
        <v>587</v>
      </c>
      <c r="B3038" s="14" t="s">
        <v>6783</v>
      </c>
      <c r="C3038" s="14" t="s">
        <v>6784</v>
      </c>
      <c r="D3038" s="14" t="s">
        <v>1512</v>
      </c>
      <c r="E3038" s="15"/>
      <c r="F3038" s="14" t="s">
        <v>1350</v>
      </c>
      <c r="G3038" s="15"/>
      <c r="H3038" s="14" t="s">
        <v>1510</v>
      </c>
      <c r="I3038" s="14" t="s">
        <v>1351</v>
      </c>
      <c r="J3038" s="14" t="s">
        <v>1385</v>
      </c>
      <c r="K3038" s="14" t="s">
        <v>1257</v>
      </c>
      <c r="L3038" s="14" t="s">
        <v>6747</v>
      </c>
      <c r="M3038" s="14" t="s">
        <v>1324</v>
      </c>
      <c r="N3038" s="14" t="s">
        <v>1219</v>
      </c>
      <c r="O3038" s="14" t="s">
        <v>1220</v>
      </c>
    </row>
    <row r="3039" spans="1:15" x14ac:dyDescent="0.25">
      <c r="A3039" s="14">
        <v>589</v>
      </c>
      <c r="B3039" s="14" t="s">
        <v>6785</v>
      </c>
      <c r="C3039" s="14" t="s">
        <v>6786</v>
      </c>
      <c r="D3039" s="14" t="s">
        <v>1512</v>
      </c>
      <c r="E3039" s="15"/>
      <c r="F3039" s="14" t="s">
        <v>1350</v>
      </c>
      <c r="G3039" s="15"/>
      <c r="H3039" s="14" t="s">
        <v>1510</v>
      </c>
      <c r="I3039" s="14" t="s">
        <v>1351</v>
      </c>
      <c r="J3039" s="14" t="s">
        <v>1385</v>
      </c>
      <c r="K3039" s="14" t="s">
        <v>1257</v>
      </c>
      <c r="L3039" s="14" t="s">
        <v>6747</v>
      </c>
      <c r="M3039" s="14" t="s">
        <v>1324</v>
      </c>
      <c r="N3039" s="14" t="s">
        <v>1219</v>
      </c>
      <c r="O3039" s="14" t="s">
        <v>1220</v>
      </c>
    </row>
    <row r="3040" spans="1:15" x14ac:dyDescent="0.25">
      <c r="A3040" s="14">
        <v>4510</v>
      </c>
      <c r="B3040" s="14" t="s">
        <v>715</v>
      </c>
      <c r="C3040" s="14" t="s">
        <v>6787</v>
      </c>
      <c r="D3040" s="14" t="s">
        <v>1512</v>
      </c>
      <c r="E3040" s="16">
        <v>25</v>
      </c>
      <c r="F3040" s="14" t="s">
        <v>1321</v>
      </c>
      <c r="G3040" s="16">
        <v>550</v>
      </c>
      <c r="H3040" s="14" t="s">
        <v>1322</v>
      </c>
      <c r="I3040" s="14" t="s">
        <v>1256</v>
      </c>
      <c r="J3040" s="14" t="s">
        <v>1296</v>
      </c>
      <c r="K3040" s="14" t="s">
        <v>1387</v>
      </c>
      <c r="L3040" s="14" t="s">
        <v>6788</v>
      </c>
      <c r="M3040" s="14" t="s">
        <v>1324</v>
      </c>
      <c r="N3040" s="14" t="s">
        <v>1237</v>
      </c>
      <c r="O3040" s="14" t="s">
        <v>1220</v>
      </c>
    </row>
    <row r="3041" spans="1:15" x14ac:dyDescent="0.25">
      <c r="A3041" s="14" t="s">
        <v>6789</v>
      </c>
      <c r="B3041" s="14" t="s">
        <v>6790</v>
      </c>
      <c r="C3041" s="14" t="s">
        <v>6790</v>
      </c>
      <c r="D3041" s="14" t="s">
        <v>5290</v>
      </c>
      <c r="E3041" s="15"/>
      <c r="F3041" s="14" t="s">
        <v>1321</v>
      </c>
      <c r="G3041" s="15"/>
      <c r="H3041" s="14" t="s">
        <v>1322</v>
      </c>
      <c r="I3041" s="14" t="s">
        <v>1262</v>
      </c>
      <c r="J3041" s="14" t="s">
        <v>1262</v>
      </c>
      <c r="K3041" s="14"/>
      <c r="L3041" s="14" t="s">
        <v>6791</v>
      </c>
      <c r="M3041" s="14" t="s">
        <v>1324</v>
      </c>
      <c r="N3041" s="14" t="s">
        <v>1219</v>
      </c>
      <c r="O3041" s="14" t="s">
        <v>1220</v>
      </c>
    </row>
    <row r="3042" spans="1:15" x14ac:dyDescent="0.25">
      <c r="A3042" s="14" t="s">
        <v>6792</v>
      </c>
      <c r="B3042" s="14" t="s">
        <v>6793</v>
      </c>
      <c r="C3042" s="14" t="s">
        <v>6793</v>
      </c>
      <c r="D3042" s="14" t="s">
        <v>5290</v>
      </c>
      <c r="E3042" s="15"/>
      <c r="F3042" s="14" t="s">
        <v>1321</v>
      </c>
      <c r="G3042" s="15"/>
      <c r="H3042" s="14" t="s">
        <v>1322</v>
      </c>
      <c r="I3042" s="14" t="s">
        <v>1262</v>
      </c>
      <c r="J3042" s="14" t="s">
        <v>1262</v>
      </c>
      <c r="K3042" s="14" t="s">
        <v>1257</v>
      </c>
      <c r="L3042" s="14" t="s">
        <v>6794</v>
      </c>
      <c r="M3042" s="14" t="s">
        <v>1324</v>
      </c>
      <c r="N3042" s="14" t="s">
        <v>1219</v>
      </c>
      <c r="O3042" s="14" t="s">
        <v>1220</v>
      </c>
    </row>
    <row r="3043" spans="1:15" x14ac:dyDescent="0.25">
      <c r="A3043" s="14" t="s">
        <v>6795</v>
      </c>
      <c r="B3043" s="14" t="s">
        <v>6796</v>
      </c>
      <c r="C3043" s="14" t="s">
        <v>6796</v>
      </c>
      <c r="D3043" s="14" t="s">
        <v>5290</v>
      </c>
      <c r="E3043" s="15"/>
      <c r="F3043" s="14" t="s">
        <v>1321</v>
      </c>
      <c r="G3043" s="15"/>
      <c r="H3043" s="14" t="s">
        <v>1322</v>
      </c>
      <c r="I3043" s="14" t="s">
        <v>1262</v>
      </c>
      <c r="J3043" s="14" t="s">
        <v>1262</v>
      </c>
      <c r="K3043" s="14" t="s">
        <v>1257</v>
      </c>
      <c r="L3043" s="14" t="s">
        <v>6797</v>
      </c>
      <c r="M3043" s="14" t="s">
        <v>1324</v>
      </c>
      <c r="N3043" s="14" t="s">
        <v>1219</v>
      </c>
      <c r="O3043" s="14" t="s">
        <v>1220</v>
      </c>
    </row>
    <row r="3044" spans="1:15" x14ac:dyDescent="0.25">
      <c r="A3044" s="14">
        <v>4544</v>
      </c>
      <c r="B3044" s="14" t="s">
        <v>739</v>
      </c>
      <c r="C3044" s="14" t="s">
        <v>739</v>
      </c>
      <c r="D3044" s="14" t="s">
        <v>5290</v>
      </c>
      <c r="E3044" s="16">
        <v>200</v>
      </c>
      <c r="F3044" s="14" t="s">
        <v>1321</v>
      </c>
      <c r="G3044" s="16">
        <v>400</v>
      </c>
      <c r="H3044" s="14" t="s">
        <v>1322</v>
      </c>
      <c r="I3044" s="14" t="s">
        <v>1256</v>
      </c>
      <c r="J3044" s="14" t="s">
        <v>1296</v>
      </c>
      <c r="K3044" s="14" t="s">
        <v>1257</v>
      </c>
      <c r="L3044" s="14" t="s">
        <v>6798</v>
      </c>
      <c r="M3044" s="14" t="s">
        <v>1324</v>
      </c>
      <c r="N3044" s="14" t="s">
        <v>1237</v>
      </c>
      <c r="O3044" s="14" t="s">
        <v>1220</v>
      </c>
    </row>
    <row r="3045" spans="1:15" x14ac:dyDescent="0.25">
      <c r="A3045" s="14">
        <v>4545</v>
      </c>
      <c r="B3045" s="14" t="s">
        <v>740</v>
      </c>
      <c r="C3045" s="14" t="s">
        <v>740</v>
      </c>
      <c r="D3045" s="14" t="s">
        <v>5290</v>
      </c>
      <c r="E3045" s="16">
        <v>150</v>
      </c>
      <c r="F3045" s="14" t="s">
        <v>1321</v>
      </c>
      <c r="G3045" s="16">
        <v>300</v>
      </c>
      <c r="H3045" s="14" t="s">
        <v>1322</v>
      </c>
      <c r="I3045" s="14" t="s">
        <v>1256</v>
      </c>
      <c r="J3045" s="14" t="s">
        <v>1296</v>
      </c>
      <c r="K3045" s="14" t="s">
        <v>1257</v>
      </c>
      <c r="L3045" s="14" t="s">
        <v>6799</v>
      </c>
      <c r="M3045" s="14" t="s">
        <v>1324</v>
      </c>
      <c r="N3045" s="14" t="s">
        <v>1237</v>
      </c>
      <c r="O3045" s="14" t="s">
        <v>1220</v>
      </c>
    </row>
    <row r="3046" spans="1:15" x14ac:dyDescent="0.25">
      <c r="A3046" s="14">
        <v>4546</v>
      </c>
      <c r="B3046" s="14" t="s">
        <v>741</v>
      </c>
      <c r="C3046" s="14" t="s">
        <v>741</v>
      </c>
      <c r="D3046" s="14" t="s">
        <v>5290</v>
      </c>
      <c r="E3046" s="16">
        <v>130</v>
      </c>
      <c r="F3046" s="14" t="s">
        <v>1321</v>
      </c>
      <c r="G3046" s="16">
        <v>390</v>
      </c>
      <c r="H3046" s="14" t="s">
        <v>1322</v>
      </c>
      <c r="I3046" s="14" t="s">
        <v>1256</v>
      </c>
      <c r="J3046" s="14" t="s">
        <v>1296</v>
      </c>
      <c r="K3046" s="14" t="s">
        <v>1257</v>
      </c>
      <c r="L3046" s="14" t="s">
        <v>6800</v>
      </c>
      <c r="M3046" s="14" t="s">
        <v>1324</v>
      </c>
      <c r="N3046" s="14" t="s">
        <v>1237</v>
      </c>
      <c r="O3046" s="14" t="s">
        <v>1220</v>
      </c>
    </row>
    <row r="3047" spans="1:15" x14ac:dyDescent="0.25">
      <c r="A3047" s="14">
        <v>4547</v>
      </c>
      <c r="B3047" s="14" t="s">
        <v>742</v>
      </c>
      <c r="C3047" s="14" t="s">
        <v>742</v>
      </c>
      <c r="D3047" s="14" t="s">
        <v>5290</v>
      </c>
      <c r="E3047" s="16">
        <v>120</v>
      </c>
      <c r="F3047" s="14" t="s">
        <v>1321</v>
      </c>
      <c r="G3047" s="16">
        <v>360</v>
      </c>
      <c r="H3047" s="14" t="s">
        <v>1322</v>
      </c>
      <c r="I3047" s="14" t="s">
        <v>1256</v>
      </c>
      <c r="J3047" s="14" t="s">
        <v>1296</v>
      </c>
      <c r="K3047" s="14" t="s">
        <v>1257</v>
      </c>
      <c r="L3047" s="14" t="s">
        <v>6801</v>
      </c>
      <c r="M3047" s="14" t="s">
        <v>1324</v>
      </c>
      <c r="N3047" s="14" t="s">
        <v>1237</v>
      </c>
      <c r="O3047" s="14" t="s">
        <v>1220</v>
      </c>
    </row>
    <row r="3048" spans="1:15" x14ac:dyDescent="0.25">
      <c r="A3048" s="14">
        <v>4548</v>
      </c>
      <c r="B3048" s="14" t="s">
        <v>743</v>
      </c>
      <c r="C3048" s="14" t="s">
        <v>743</v>
      </c>
      <c r="D3048" s="14" t="s">
        <v>5290</v>
      </c>
      <c r="E3048" s="16">
        <v>100</v>
      </c>
      <c r="F3048" s="14" t="s">
        <v>1321</v>
      </c>
      <c r="G3048" s="16">
        <v>400</v>
      </c>
      <c r="H3048" s="14" t="s">
        <v>1322</v>
      </c>
      <c r="I3048" s="14" t="s">
        <v>1256</v>
      </c>
      <c r="J3048" s="14" t="s">
        <v>1296</v>
      </c>
      <c r="K3048" s="14" t="s">
        <v>1257</v>
      </c>
      <c r="L3048" s="14" t="s">
        <v>6802</v>
      </c>
      <c r="M3048" s="14" t="s">
        <v>1324</v>
      </c>
      <c r="N3048" s="14" t="s">
        <v>1237</v>
      </c>
      <c r="O3048" s="14" t="s">
        <v>1220</v>
      </c>
    </row>
    <row r="3049" spans="1:15" x14ac:dyDescent="0.25">
      <c r="A3049" s="14">
        <v>4549</v>
      </c>
      <c r="B3049" s="14" t="s">
        <v>744</v>
      </c>
      <c r="C3049" s="14" t="s">
        <v>744</v>
      </c>
      <c r="D3049" s="14" t="s">
        <v>5290</v>
      </c>
      <c r="E3049" s="16">
        <v>80</v>
      </c>
      <c r="F3049" s="14" t="s">
        <v>1321</v>
      </c>
      <c r="G3049" s="16">
        <v>400</v>
      </c>
      <c r="H3049" s="14" t="s">
        <v>1322</v>
      </c>
      <c r="I3049" s="14" t="s">
        <v>1256</v>
      </c>
      <c r="J3049" s="14" t="s">
        <v>1296</v>
      </c>
      <c r="K3049" s="14" t="s">
        <v>1257</v>
      </c>
      <c r="L3049" s="14" t="s">
        <v>6803</v>
      </c>
      <c r="M3049" s="14" t="s">
        <v>1324</v>
      </c>
      <c r="N3049" s="14" t="s">
        <v>1237</v>
      </c>
      <c r="O3049" s="14" t="s">
        <v>1220</v>
      </c>
    </row>
    <row r="3050" spans="1:15" x14ac:dyDescent="0.25">
      <c r="A3050" s="14">
        <v>4550</v>
      </c>
      <c r="B3050" s="14" t="s">
        <v>745</v>
      </c>
      <c r="C3050" s="14" t="s">
        <v>745</v>
      </c>
      <c r="D3050" s="14" t="s">
        <v>5290</v>
      </c>
      <c r="E3050" s="16">
        <v>70</v>
      </c>
      <c r="F3050" s="14" t="s">
        <v>1321</v>
      </c>
      <c r="G3050" s="16">
        <v>910</v>
      </c>
      <c r="H3050" s="14" t="s">
        <v>1322</v>
      </c>
      <c r="I3050" s="14" t="s">
        <v>1256</v>
      </c>
      <c r="J3050" s="14" t="s">
        <v>1242</v>
      </c>
      <c r="K3050" s="14" t="s">
        <v>1257</v>
      </c>
      <c r="L3050" s="14" t="s">
        <v>6804</v>
      </c>
      <c r="M3050" s="14" t="s">
        <v>1324</v>
      </c>
      <c r="N3050" s="14" t="s">
        <v>1237</v>
      </c>
      <c r="O3050" s="14" t="s">
        <v>1220</v>
      </c>
    </row>
    <row r="3051" spans="1:15" x14ac:dyDescent="0.25">
      <c r="A3051" s="14">
        <v>2412</v>
      </c>
      <c r="B3051" s="14" t="s">
        <v>716</v>
      </c>
      <c r="C3051" s="14" t="s">
        <v>6805</v>
      </c>
      <c r="D3051" s="14" t="s">
        <v>5290</v>
      </c>
      <c r="E3051" s="16">
        <v>400</v>
      </c>
      <c r="F3051" s="14" t="s">
        <v>1321</v>
      </c>
      <c r="G3051" s="17">
        <v>7600</v>
      </c>
      <c r="H3051" s="14" t="s">
        <v>1322</v>
      </c>
      <c r="I3051" s="14" t="s">
        <v>1256</v>
      </c>
      <c r="J3051" s="14" t="s">
        <v>1242</v>
      </c>
      <c r="K3051" s="14" t="s">
        <v>1257</v>
      </c>
      <c r="L3051" s="14" t="s">
        <v>6791</v>
      </c>
      <c r="M3051" s="14" t="s">
        <v>1324</v>
      </c>
      <c r="N3051" s="14" t="s">
        <v>1237</v>
      </c>
      <c r="O3051" s="14" t="s">
        <v>1220</v>
      </c>
    </row>
    <row r="3052" spans="1:15" x14ac:dyDescent="0.25">
      <c r="A3052" s="14">
        <v>2485</v>
      </c>
      <c r="B3052" s="14" t="s">
        <v>727</v>
      </c>
      <c r="C3052" s="14" t="s">
        <v>6806</v>
      </c>
      <c r="D3052" s="14" t="s">
        <v>5290</v>
      </c>
      <c r="E3052" s="16">
        <v>100</v>
      </c>
      <c r="F3052" s="14" t="s">
        <v>1321</v>
      </c>
      <c r="G3052" s="17">
        <v>2400</v>
      </c>
      <c r="H3052" s="14" t="s">
        <v>1322</v>
      </c>
      <c r="I3052" s="14" t="s">
        <v>1256</v>
      </c>
      <c r="J3052" s="14" t="s">
        <v>1242</v>
      </c>
      <c r="K3052" s="14" t="s">
        <v>1257</v>
      </c>
      <c r="L3052" s="14" t="s">
        <v>6807</v>
      </c>
      <c r="M3052" s="14" t="s">
        <v>1324</v>
      </c>
      <c r="N3052" s="14" t="s">
        <v>1237</v>
      </c>
      <c r="O3052" s="14" t="s">
        <v>1220</v>
      </c>
    </row>
    <row r="3053" spans="1:15" x14ac:dyDescent="0.25">
      <c r="A3053" s="14" t="s">
        <v>6808</v>
      </c>
      <c r="B3053" s="14" t="s">
        <v>6809</v>
      </c>
      <c r="C3053" s="14" t="s">
        <v>6810</v>
      </c>
      <c r="D3053" s="14" t="s">
        <v>5290</v>
      </c>
      <c r="E3053" s="15"/>
      <c r="F3053" s="14" t="s">
        <v>1321</v>
      </c>
      <c r="G3053" s="15"/>
      <c r="H3053" s="14" t="s">
        <v>1322</v>
      </c>
      <c r="I3053" s="14" t="s">
        <v>1262</v>
      </c>
      <c r="J3053" s="14" t="s">
        <v>1262</v>
      </c>
      <c r="K3053" s="14"/>
      <c r="L3053" s="14" t="s">
        <v>6807</v>
      </c>
      <c r="M3053" s="14" t="s">
        <v>1324</v>
      </c>
      <c r="N3053" s="14" t="s">
        <v>1219</v>
      </c>
      <c r="O3053" s="14" t="s">
        <v>1220</v>
      </c>
    </row>
    <row r="3054" spans="1:15" x14ac:dyDescent="0.25">
      <c r="A3054" s="14">
        <v>2403</v>
      </c>
      <c r="B3054" s="14" t="s">
        <v>717</v>
      </c>
      <c r="C3054" s="14" t="s">
        <v>6811</v>
      </c>
      <c r="D3054" s="14" t="s">
        <v>5290</v>
      </c>
      <c r="E3054" s="16">
        <v>300</v>
      </c>
      <c r="F3054" s="14" t="s">
        <v>1321</v>
      </c>
      <c r="G3054" s="17">
        <v>6000</v>
      </c>
      <c r="H3054" s="14" t="s">
        <v>1322</v>
      </c>
      <c r="I3054" s="14" t="s">
        <v>1256</v>
      </c>
      <c r="J3054" s="14" t="s">
        <v>1242</v>
      </c>
      <c r="K3054" s="14" t="s">
        <v>1257</v>
      </c>
      <c r="L3054" s="14" t="s">
        <v>6812</v>
      </c>
      <c r="M3054" s="14" t="s">
        <v>1324</v>
      </c>
      <c r="N3054" s="14" t="s">
        <v>1237</v>
      </c>
      <c r="O3054" s="14" t="s">
        <v>1220</v>
      </c>
    </row>
    <row r="3055" spans="1:15" x14ac:dyDescent="0.25">
      <c r="A3055" s="14" t="s">
        <v>6813</v>
      </c>
      <c r="B3055" s="14" t="s">
        <v>6814</v>
      </c>
      <c r="C3055" s="14" t="s">
        <v>6815</v>
      </c>
      <c r="D3055" s="14" t="s">
        <v>5290</v>
      </c>
      <c r="E3055" s="15"/>
      <c r="F3055" s="14" t="s">
        <v>1321</v>
      </c>
      <c r="G3055" s="15"/>
      <c r="H3055" s="14" t="s">
        <v>1322</v>
      </c>
      <c r="I3055" s="14" t="s">
        <v>1262</v>
      </c>
      <c r="J3055" s="14" t="s">
        <v>1262</v>
      </c>
      <c r="K3055" s="14"/>
      <c r="L3055" s="14" t="s">
        <v>6812</v>
      </c>
      <c r="M3055" s="14" t="s">
        <v>1324</v>
      </c>
      <c r="N3055" s="14" t="s">
        <v>1219</v>
      </c>
      <c r="O3055" s="14" t="s">
        <v>1220</v>
      </c>
    </row>
    <row r="3056" spans="1:15" x14ac:dyDescent="0.25">
      <c r="A3056" s="14">
        <v>2404</v>
      </c>
      <c r="B3056" s="14" t="s">
        <v>718</v>
      </c>
      <c r="C3056" s="14" t="s">
        <v>6816</v>
      </c>
      <c r="D3056" s="14" t="s">
        <v>5290</v>
      </c>
      <c r="E3056" s="16">
        <v>280</v>
      </c>
      <c r="F3056" s="14" t="s">
        <v>1321</v>
      </c>
      <c r="G3056" s="17">
        <v>7280</v>
      </c>
      <c r="H3056" s="14" t="s">
        <v>1322</v>
      </c>
      <c r="I3056" s="14" t="s">
        <v>1256</v>
      </c>
      <c r="J3056" s="14" t="s">
        <v>1242</v>
      </c>
      <c r="K3056" s="14" t="s">
        <v>1257</v>
      </c>
      <c r="L3056" s="14" t="s">
        <v>6817</v>
      </c>
      <c r="M3056" s="14" t="s">
        <v>1324</v>
      </c>
      <c r="N3056" s="14" t="s">
        <v>1237</v>
      </c>
      <c r="O3056" s="14" t="s">
        <v>1220</v>
      </c>
    </row>
    <row r="3057" spans="1:15" x14ac:dyDescent="0.25">
      <c r="A3057" s="14" t="s">
        <v>6818</v>
      </c>
      <c r="B3057" s="14" t="s">
        <v>6819</v>
      </c>
      <c r="C3057" s="14" t="s">
        <v>6820</v>
      </c>
      <c r="D3057" s="14" t="s">
        <v>5290</v>
      </c>
      <c r="E3057" s="15"/>
      <c r="F3057" s="14" t="s">
        <v>1321</v>
      </c>
      <c r="G3057" s="15"/>
      <c r="H3057" s="14" t="s">
        <v>1322</v>
      </c>
      <c r="I3057" s="14" t="s">
        <v>1262</v>
      </c>
      <c r="J3057" s="14" t="s">
        <v>1262</v>
      </c>
      <c r="K3057" s="14"/>
      <c r="L3057" s="14" t="s">
        <v>6817</v>
      </c>
      <c r="M3057" s="14" t="s">
        <v>1324</v>
      </c>
      <c r="N3057" s="14" t="s">
        <v>1219</v>
      </c>
      <c r="O3057" s="14" t="s">
        <v>1220</v>
      </c>
    </row>
    <row r="3058" spans="1:15" x14ac:dyDescent="0.25">
      <c r="A3058" s="14">
        <v>2405</v>
      </c>
      <c r="B3058" s="14" t="s">
        <v>719</v>
      </c>
      <c r="C3058" s="14" t="s">
        <v>6821</v>
      </c>
      <c r="D3058" s="14" t="s">
        <v>5290</v>
      </c>
      <c r="E3058" s="16">
        <v>240</v>
      </c>
      <c r="F3058" s="14" t="s">
        <v>1321</v>
      </c>
      <c r="G3058" s="17">
        <v>5040</v>
      </c>
      <c r="H3058" s="14" t="s">
        <v>1322</v>
      </c>
      <c r="I3058" s="14" t="s">
        <v>1256</v>
      </c>
      <c r="J3058" s="14" t="s">
        <v>1242</v>
      </c>
      <c r="K3058" s="14" t="s">
        <v>1257</v>
      </c>
      <c r="L3058" s="14" t="s">
        <v>6822</v>
      </c>
      <c r="M3058" s="14" t="s">
        <v>1324</v>
      </c>
      <c r="N3058" s="14" t="s">
        <v>1237</v>
      </c>
      <c r="O3058" s="14" t="s">
        <v>1220</v>
      </c>
    </row>
    <row r="3059" spans="1:15" x14ac:dyDescent="0.25">
      <c r="A3059" s="14" t="s">
        <v>6823</v>
      </c>
      <c r="B3059" s="14" t="s">
        <v>6824</v>
      </c>
      <c r="C3059" s="14" t="s">
        <v>6825</v>
      </c>
      <c r="D3059" s="14" t="s">
        <v>5290</v>
      </c>
      <c r="E3059" s="15"/>
      <c r="F3059" s="14" t="s">
        <v>1321</v>
      </c>
      <c r="G3059" s="15"/>
      <c r="H3059" s="14" t="s">
        <v>1322</v>
      </c>
      <c r="I3059" s="14" t="s">
        <v>1262</v>
      </c>
      <c r="J3059" s="14" t="s">
        <v>1262</v>
      </c>
      <c r="K3059" s="14"/>
      <c r="L3059" s="14" t="s">
        <v>6822</v>
      </c>
      <c r="M3059" s="14" t="s">
        <v>1324</v>
      </c>
      <c r="N3059" s="14" t="s">
        <v>1219</v>
      </c>
      <c r="O3059" s="14" t="s">
        <v>1220</v>
      </c>
    </row>
    <row r="3060" spans="1:15" x14ac:dyDescent="0.25">
      <c r="A3060" s="14">
        <v>2406</v>
      </c>
      <c r="B3060" s="14" t="s">
        <v>720</v>
      </c>
      <c r="C3060" s="14" t="s">
        <v>6826</v>
      </c>
      <c r="D3060" s="14" t="s">
        <v>5290</v>
      </c>
      <c r="E3060" s="16">
        <v>240</v>
      </c>
      <c r="F3060" s="14" t="s">
        <v>1321</v>
      </c>
      <c r="G3060" s="17">
        <v>5040</v>
      </c>
      <c r="H3060" s="14" t="s">
        <v>1322</v>
      </c>
      <c r="I3060" s="14" t="s">
        <v>1256</v>
      </c>
      <c r="J3060" s="14" t="s">
        <v>1242</v>
      </c>
      <c r="K3060" s="14" t="s">
        <v>1257</v>
      </c>
      <c r="L3060" s="14" t="s">
        <v>6827</v>
      </c>
      <c r="M3060" s="14" t="s">
        <v>1324</v>
      </c>
      <c r="N3060" s="14" t="s">
        <v>1237</v>
      </c>
      <c r="O3060" s="14" t="s">
        <v>1220</v>
      </c>
    </row>
    <row r="3061" spans="1:15" x14ac:dyDescent="0.25">
      <c r="A3061" s="14" t="s">
        <v>6828</v>
      </c>
      <c r="B3061" s="14" t="s">
        <v>6829</v>
      </c>
      <c r="C3061" s="14" t="s">
        <v>6830</v>
      </c>
      <c r="D3061" s="14" t="s">
        <v>5290</v>
      </c>
      <c r="E3061" s="15"/>
      <c r="F3061" s="14" t="s">
        <v>1321</v>
      </c>
      <c r="G3061" s="15"/>
      <c r="H3061" s="14" t="s">
        <v>1322</v>
      </c>
      <c r="I3061" s="14" t="s">
        <v>1262</v>
      </c>
      <c r="J3061" s="14" t="s">
        <v>1262</v>
      </c>
      <c r="K3061" s="14"/>
      <c r="L3061" s="14" t="s">
        <v>6827</v>
      </c>
      <c r="M3061" s="14" t="s">
        <v>1324</v>
      </c>
      <c r="N3061" s="14" t="s">
        <v>1219</v>
      </c>
      <c r="O3061" s="14" t="s">
        <v>1220</v>
      </c>
    </row>
    <row r="3062" spans="1:15" x14ac:dyDescent="0.25">
      <c r="A3062" s="14">
        <v>2407</v>
      </c>
      <c r="B3062" s="14" t="s">
        <v>721</v>
      </c>
      <c r="C3062" s="14" t="s">
        <v>6831</v>
      </c>
      <c r="D3062" s="14" t="s">
        <v>5290</v>
      </c>
      <c r="E3062" s="16">
        <v>180</v>
      </c>
      <c r="F3062" s="14" t="s">
        <v>1321</v>
      </c>
      <c r="G3062" s="17">
        <v>4680</v>
      </c>
      <c r="H3062" s="14" t="s">
        <v>1322</v>
      </c>
      <c r="I3062" s="14" t="s">
        <v>1256</v>
      </c>
      <c r="J3062" s="14" t="s">
        <v>1242</v>
      </c>
      <c r="K3062" s="14" t="s">
        <v>1257</v>
      </c>
      <c r="L3062" s="14" t="s">
        <v>6832</v>
      </c>
      <c r="M3062" s="14" t="s">
        <v>1324</v>
      </c>
      <c r="N3062" s="14" t="s">
        <v>1237</v>
      </c>
      <c r="O3062" s="14" t="s">
        <v>1220</v>
      </c>
    </row>
    <row r="3063" spans="1:15" x14ac:dyDescent="0.25">
      <c r="A3063" s="14" t="s">
        <v>6833</v>
      </c>
      <c r="B3063" s="14" t="s">
        <v>6834</v>
      </c>
      <c r="C3063" s="14" t="s">
        <v>6835</v>
      </c>
      <c r="D3063" s="14" t="s">
        <v>5290</v>
      </c>
      <c r="E3063" s="15"/>
      <c r="F3063" s="14" t="s">
        <v>1321</v>
      </c>
      <c r="G3063" s="15"/>
      <c r="H3063" s="14" t="s">
        <v>1322</v>
      </c>
      <c r="I3063" s="14" t="s">
        <v>1262</v>
      </c>
      <c r="J3063" s="14" t="s">
        <v>1262</v>
      </c>
      <c r="K3063" s="14"/>
      <c r="L3063" s="14" t="s">
        <v>6832</v>
      </c>
      <c r="M3063" s="14" t="s">
        <v>1324</v>
      </c>
      <c r="N3063" s="14" t="s">
        <v>1219</v>
      </c>
      <c r="O3063" s="14" t="s">
        <v>1220</v>
      </c>
    </row>
    <row r="3064" spans="1:15" x14ac:dyDescent="0.25">
      <c r="A3064" s="14">
        <v>2408</v>
      </c>
      <c r="B3064" s="14" t="s">
        <v>722</v>
      </c>
      <c r="C3064" s="14" t="s">
        <v>6836</v>
      </c>
      <c r="D3064" s="14" t="s">
        <v>5290</v>
      </c>
      <c r="E3064" s="16">
        <v>140</v>
      </c>
      <c r="F3064" s="14" t="s">
        <v>1321</v>
      </c>
      <c r="G3064" s="17">
        <v>2940</v>
      </c>
      <c r="H3064" s="14" t="s">
        <v>1322</v>
      </c>
      <c r="I3064" s="14" t="s">
        <v>1256</v>
      </c>
      <c r="J3064" s="14" t="s">
        <v>1233</v>
      </c>
      <c r="K3064" s="14" t="s">
        <v>1257</v>
      </c>
      <c r="L3064" s="14" t="s">
        <v>6837</v>
      </c>
      <c r="M3064" s="14" t="s">
        <v>1324</v>
      </c>
      <c r="N3064" s="14" t="s">
        <v>1237</v>
      </c>
      <c r="O3064" s="14" t="s">
        <v>1220</v>
      </c>
    </row>
    <row r="3065" spans="1:15" x14ac:dyDescent="0.25">
      <c r="A3065" s="14" t="s">
        <v>6838</v>
      </c>
      <c r="B3065" s="14" t="s">
        <v>6839</v>
      </c>
      <c r="C3065" s="14" t="s">
        <v>6840</v>
      </c>
      <c r="D3065" s="14" t="s">
        <v>5290</v>
      </c>
      <c r="E3065" s="15"/>
      <c r="F3065" s="14" t="s">
        <v>1321</v>
      </c>
      <c r="G3065" s="15"/>
      <c r="H3065" s="14" t="s">
        <v>1322</v>
      </c>
      <c r="I3065" s="14" t="s">
        <v>1262</v>
      </c>
      <c r="J3065" s="14" t="s">
        <v>1262</v>
      </c>
      <c r="K3065" s="14"/>
      <c r="L3065" s="14" t="s">
        <v>6837</v>
      </c>
      <c r="M3065" s="14" t="s">
        <v>1324</v>
      </c>
      <c r="N3065" s="14" t="s">
        <v>1219</v>
      </c>
      <c r="O3065" s="14" t="s">
        <v>1220</v>
      </c>
    </row>
    <row r="3066" spans="1:15" x14ac:dyDescent="0.25">
      <c r="A3066" s="14">
        <v>2409</v>
      </c>
      <c r="B3066" s="14" t="s">
        <v>723</v>
      </c>
      <c r="C3066" s="14" t="s">
        <v>6841</v>
      </c>
      <c r="D3066" s="14" t="s">
        <v>5290</v>
      </c>
      <c r="E3066" s="16">
        <v>120</v>
      </c>
      <c r="F3066" s="14" t="s">
        <v>1321</v>
      </c>
      <c r="G3066" s="17">
        <v>2400</v>
      </c>
      <c r="H3066" s="14" t="s">
        <v>1322</v>
      </c>
      <c r="I3066" s="14" t="s">
        <v>1256</v>
      </c>
      <c r="J3066" s="14" t="s">
        <v>1242</v>
      </c>
      <c r="K3066" s="14" t="s">
        <v>1257</v>
      </c>
      <c r="L3066" s="14" t="s">
        <v>6842</v>
      </c>
      <c r="M3066" s="14" t="s">
        <v>1324</v>
      </c>
      <c r="N3066" s="14" t="s">
        <v>1237</v>
      </c>
      <c r="O3066" s="14" t="s">
        <v>1220</v>
      </c>
    </row>
    <row r="3067" spans="1:15" x14ac:dyDescent="0.25">
      <c r="A3067" s="14" t="s">
        <v>6843</v>
      </c>
      <c r="B3067" s="14" t="s">
        <v>6844</v>
      </c>
      <c r="C3067" s="14" t="s">
        <v>6845</v>
      </c>
      <c r="D3067" s="14" t="s">
        <v>5290</v>
      </c>
      <c r="E3067" s="15"/>
      <c r="F3067" s="14" t="s">
        <v>1321</v>
      </c>
      <c r="G3067" s="15"/>
      <c r="H3067" s="14" t="s">
        <v>1322</v>
      </c>
      <c r="I3067" s="14" t="s">
        <v>1262</v>
      </c>
      <c r="J3067" s="14" t="s">
        <v>1262</v>
      </c>
      <c r="K3067" s="14"/>
      <c r="L3067" s="14" t="s">
        <v>6842</v>
      </c>
      <c r="M3067" s="14" t="s">
        <v>1324</v>
      </c>
      <c r="N3067" s="14" t="s">
        <v>1219</v>
      </c>
      <c r="O3067" s="14" t="s">
        <v>1220</v>
      </c>
    </row>
    <row r="3068" spans="1:15" x14ac:dyDescent="0.25">
      <c r="A3068" s="14">
        <v>2395</v>
      </c>
      <c r="B3068" s="14" t="s">
        <v>724</v>
      </c>
      <c r="C3068" s="14" t="s">
        <v>6846</v>
      </c>
      <c r="D3068" s="14" t="s">
        <v>5290</v>
      </c>
      <c r="E3068" s="16">
        <v>110</v>
      </c>
      <c r="F3068" s="14" t="s">
        <v>1321</v>
      </c>
      <c r="G3068" s="17">
        <v>1430</v>
      </c>
      <c r="H3068" s="14" t="s">
        <v>1322</v>
      </c>
      <c r="I3068" s="14" t="s">
        <v>1256</v>
      </c>
      <c r="J3068" s="14" t="s">
        <v>1242</v>
      </c>
      <c r="K3068" s="14" t="s">
        <v>1257</v>
      </c>
      <c r="L3068" s="14" t="s">
        <v>6794</v>
      </c>
      <c r="M3068" s="14" t="s">
        <v>1324</v>
      </c>
      <c r="N3068" s="14" t="s">
        <v>1237</v>
      </c>
      <c r="O3068" s="14" t="s">
        <v>1220</v>
      </c>
    </row>
    <row r="3069" spans="1:15" x14ac:dyDescent="0.25">
      <c r="A3069" s="14">
        <v>2410</v>
      </c>
      <c r="B3069" s="14" t="s">
        <v>725</v>
      </c>
      <c r="C3069" s="14" t="s">
        <v>6847</v>
      </c>
      <c r="D3069" s="14" t="s">
        <v>5290</v>
      </c>
      <c r="E3069" s="16">
        <v>110</v>
      </c>
      <c r="F3069" s="14" t="s">
        <v>1321</v>
      </c>
      <c r="G3069" s="17">
        <v>1650</v>
      </c>
      <c r="H3069" s="14" t="s">
        <v>1322</v>
      </c>
      <c r="I3069" s="14" t="s">
        <v>1256</v>
      </c>
      <c r="J3069" s="14" t="s">
        <v>1242</v>
      </c>
      <c r="K3069" s="14" t="s">
        <v>1257</v>
      </c>
      <c r="L3069" s="14" t="s">
        <v>6848</v>
      </c>
      <c r="M3069" s="14" t="s">
        <v>1324</v>
      </c>
      <c r="N3069" s="14" t="s">
        <v>1237</v>
      </c>
      <c r="O3069" s="14" t="s">
        <v>1220</v>
      </c>
    </row>
    <row r="3070" spans="1:15" x14ac:dyDescent="0.25">
      <c r="A3070" s="14" t="s">
        <v>6849</v>
      </c>
      <c r="B3070" s="14" t="s">
        <v>6850</v>
      </c>
      <c r="C3070" s="14" t="s">
        <v>6851</v>
      </c>
      <c r="D3070" s="14" t="s">
        <v>5290</v>
      </c>
      <c r="E3070" s="15"/>
      <c r="F3070" s="14" t="s">
        <v>1321</v>
      </c>
      <c r="G3070" s="15"/>
      <c r="H3070" s="14" t="s">
        <v>1322</v>
      </c>
      <c r="I3070" s="14" t="s">
        <v>1262</v>
      </c>
      <c r="J3070" s="14" t="s">
        <v>1262</v>
      </c>
      <c r="K3070" s="14"/>
      <c r="L3070" s="14" t="s">
        <v>6848</v>
      </c>
      <c r="M3070" s="14" t="s">
        <v>1324</v>
      </c>
      <c r="N3070" s="14" t="s">
        <v>1219</v>
      </c>
      <c r="O3070" s="14" t="s">
        <v>1220</v>
      </c>
    </row>
    <row r="3071" spans="1:15" x14ac:dyDescent="0.25">
      <c r="A3071" s="14">
        <v>2396</v>
      </c>
      <c r="B3071" s="14" t="s">
        <v>726</v>
      </c>
      <c r="C3071" s="14" t="s">
        <v>6852</v>
      </c>
      <c r="D3071" s="14" t="s">
        <v>5290</v>
      </c>
      <c r="E3071" s="16">
        <v>100</v>
      </c>
      <c r="F3071" s="14" t="s">
        <v>1321</v>
      </c>
      <c r="G3071" s="16">
        <v>400</v>
      </c>
      <c r="H3071" s="14" t="s">
        <v>1322</v>
      </c>
      <c r="I3071" s="14" t="s">
        <v>1256</v>
      </c>
      <c r="J3071" s="14" t="s">
        <v>1296</v>
      </c>
      <c r="K3071" s="14" t="s">
        <v>1257</v>
      </c>
      <c r="L3071" s="14" t="s">
        <v>6853</v>
      </c>
      <c r="M3071" s="14" t="s">
        <v>1324</v>
      </c>
      <c r="N3071" s="14" t="s">
        <v>1237</v>
      </c>
      <c r="O3071" s="14" t="s">
        <v>1220</v>
      </c>
    </row>
    <row r="3072" spans="1:15" x14ac:dyDescent="0.25">
      <c r="A3072" s="14">
        <v>4539</v>
      </c>
      <c r="B3072" s="14" t="s">
        <v>728</v>
      </c>
      <c r="C3072" s="14" t="s">
        <v>6854</v>
      </c>
      <c r="D3072" s="14" t="s">
        <v>5290</v>
      </c>
      <c r="E3072" s="16">
        <v>250</v>
      </c>
      <c r="F3072" s="14" t="s">
        <v>1321</v>
      </c>
      <c r="G3072" s="17">
        <v>1500</v>
      </c>
      <c r="H3072" s="14" t="s">
        <v>1322</v>
      </c>
      <c r="I3072" s="14" t="s">
        <v>1256</v>
      </c>
      <c r="J3072" s="14" t="s">
        <v>1296</v>
      </c>
      <c r="K3072" s="14" t="s">
        <v>1257</v>
      </c>
      <c r="L3072" s="14" t="s">
        <v>6855</v>
      </c>
      <c r="M3072" s="14" t="s">
        <v>1324</v>
      </c>
      <c r="N3072" s="14" t="s">
        <v>1237</v>
      </c>
      <c r="O3072" s="14" t="s">
        <v>1220</v>
      </c>
    </row>
    <row r="3073" spans="1:15" x14ac:dyDescent="0.25">
      <c r="A3073" s="14">
        <v>4543</v>
      </c>
      <c r="B3073" s="14" t="s">
        <v>738</v>
      </c>
      <c r="C3073" s="14" t="s">
        <v>6856</v>
      </c>
      <c r="D3073" s="14" t="s">
        <v>5290</v>
      </c>
      <c r="E3073" s="16">
        <v>60</v>
      </c>
      <c r="F3073" s="14" t="s">
        <v>1321</v>
      </c>
      <c r="G3073" s="16">
        <v>600</v>
      </c>
      <c r="H3073" s="14" t="s">
        <v>1322</v>
      </c>
      <c r="I3073" s="14" t="s">
        <v>1256</v>
      </c>
      <c r="J3073" s="14" t="s">
        <v>1242</v>
      </c>
      <c r="K3073" s="14" t="s">
        <v>1257</v>
      </c>
      <c r="L3073" s="14" t="s">
        <v>6857</v>
      </c>
      <c r="M3073" s="14" t="s">
        <v>1324</v>
      </c>
      <c r="N3073" s="14" t="s">
        <v>1237</v>
      </c>
      <c r="O3073" s="14" t="s">
        <v>1220</v>
      </c>
    </row>
    <row r="3074" spans="1:15" x14ac:dyDescent="0.25">
      <c r="A3074" s="14" t="s">
        <v>6858</v>
      </c>
      <c r="B3074" s="14" t="s">
        <v>6859</v>
      </c>
      <c r="C3074" s="14" t="s">
        <v>6860</v>
      </c>
      <c r="D3074" s="14" t="s">
        <v>5290</v>
      </c>
      <c r="E3074" s="15"/>
      <c r="F3074" s="14" t="s">
        <v>1321</v>
      </c>
      <c r="G3074" s="15"/>
      <c r="H3074" s="14" t="s">
        <v>1322</v>
      </c>
      <c r="I3074" s="14" t="s">
        <v>1262</v>
      </c>
      <c r="J3074" s="14" t="s">
        <v>1262</v>
      </c>
      <c r="K3074" s="14"/>
      <c r="L3074" s="14" t="s">
        <v>6857</v>
      </c>
      <c r="M3074" s="14" t="s">
        <v>1324</v>
      </c>
      <c r="N3074" s="14" t="s">
        <v>1219</v>
      </c>
      <c r="O3074" s="14" t="s">
        <v>1220</v>
      </c>
    </row>
    <row r="3075" spans="1:15" x14ac:dyDescent="0.25">
      <c r="A3075" s="14" t="s">
        <v>6861</v>
      </c>
      <c r="B3075" s="14" t="s">
        <v>6862</v>
      </c>
      <c r="C3075" s="14" t="s">
        <v>6863</v>
      </c>
      <c r="D3075" s="14" t="s">
        <v>5290</v>
      </c>
      <c r="E3075" s="16">
        <v>250</v>
      </c>
      <c r="F3075" s="14" t="s">
        <v>1321</v>
      </c>
      <c r="G3075" s="17">
        <v>1500</v>
      </c>
      <c r="H3075" s="14" t="s">
        <v>1322</v>
      </c>
      <c r="I3075" s="14" t="s">
        <v>1262</v>
      </c>
      <c r="J3075" s="14" t="s">
        <v>1262</v>
      </c>
      <c r="K3075" s="14" t="s">
        <v>1257</v>
      </c>
      <c r="L3075" s="14" t="s">
        <v>6855</v>
      </c>
      <c r="M3075" s="14" t="s">
        <v>1324</v>
      </c>
      <c r="N3075" s="14" t="s">
        <v>1219</v>
      </c>
      <c r="O3075" s="14" t="s">
        <v>1220</v>
      </c>
    </row>
    <row r="3076" spans="1:15" x14ac:dyDescent="0.25">
      <c r="A3076" s="14">
        <v>4540</v>
      </c>
      <c r="B3076" s="14" t="s">
        <v>729</v>
      </c>
      <c r="C3076" s="14" t="s">
        <v>6864</v>
      </c>
      <c r="D3076" s="14" t="s">
        <v>5290</v>
      </c>
      <c r="E3076" s="16">
        <v>200</v>
      </c>
      <c r="F3076" s="14" t="s">
        <v>1321</v>
      </c>
      <c r="G3076" s="17">
        <v>1200</v>
      </c>
      <c r="H3076" s="14" t="s">
        <v>1322</v>
      </c>
      <c r="I3076" s="14" t="s">
        <v>1256</v>
      </c>
      <c r="J3076" s="14" t="s">
        <v>1296</v>
      </c>
      <c r="K3076" s="14" t="s">
        <v>1257</v>
      </c>
      <c r="L3076" s="14" t="s">
        <v>6865</v>
      </c>
      <c r="M3076" s="14" t="s">
        <v>1324</v>
      </c>
      <c r="N3076" s="14" t="s">
        <v>1237</v>
      </c>
      <c r="O3076" s="14" t="s">
        <v>1220</v>
      </c>
    </row>
    <row r="3077" spans="1:15" x14ac:dyDescent="0.25">
      <c r="A3077" s="14" t="s">
        <v>6866</v>
      </c>
      <c r="B3077" s="14" t="s">
        <v>6867</v>
      </c>
      <c r="C3077" s="14" t="s">
        <v>6868</v>
      </c>
      <c r="D3077" s="14" t="s">
        <v>5290</v>
      </c>
      <c r="E3077" s="16">
        <v>200</v>
      </c>
      <c r="F3077" s="14" t="s">
        <v>1321</v>
      </c>
      <c r="G3077" s="17">
        <v>1200</v>
      </c>
      <c r="H3077" s="14" t="s">
        <v>1322</v>
      </c>
      <c r="I3077" s="14" t="s">
        <v>1262</v>
      </c>
      <c r="J3077" s="14" t="s">
        <v>1262</v>
      </c>
      <c r="K3077" s="14" t="s">
        <v>1257</v>
      </c>
      <c r="L3077" s="14" t="s">
        <v>6865</v>
      </c>
      <c r="M3077" s="14" t="s">
        <v>1324</v>
      </c>
      <c r="N3077" s="14" t="s">
        <v>1219</v>
      </c>
      <c r="O3077" s="14" t="s">
        <v>1220</v>
      </c>
    </row>
    <row r="3078" spans="1:15" x14ac:dyDescent="0.25">
      <c r="A3078" s="14">
        <v>4541</v>
      </c>
      <c r="B3078" s="14" t="s">
        <v>730</v>
      </c>
      <c r="C3078" s="14" t="s">
        <v>6869</v>
      </c>
      <c r="D3078" s="14" t="s">
        <v>5290</v>
      </c>
      <c r="E3078" s="16">
        <v>180</v>
      </c>
      <c r="F3078" s="14" t="s">
        <v>1321</v>
      </c>
      <c r="G3078" s="17">
        <v>2520</v>
      </c>
      <c r="H3078" s="14" t="s">
        <v>1322</v>
      </c>
      <c r="I3078" s="14" t="s">
        <v>1256</v>
      </c>
      <c r="J3078" s="14" t="s">
        <v>1296</v>
      </c>
      <c r="K3078" s="14" t="s">
        <v>1257</v>
      </c>
      <c r="L3078" s="14" t="s">
        <v>6797</v>
      </c>
      <c r="M3078" s="14" t="s">
        <v>1324</v>
      </c>
      <c r="N3078" s="14" t="s">
        <v>1237</v>
      </c>
      <c r="O3078" s="14" t="s">
        <v>1220</v>
      </c>
    </row>
    <row r="3079" spans="1:15" x14ac:dyDescent="0.25">
      <c r="A3079" s="14">
        <v>4542</v>
      </c>
      <c r="B3079" s="14" t="s">
        <v>731</v>
      </c>
      <c r="C3079" s="14" t="s">
        <v>6870</v>
      </c>
      <c r="D3079" s="14" t="s">
        <v>5290</v>
      </c>
      <c r="E3079" s="16">
        <v>160</v>
      </c>
      <c r="F3079" s="14" t="s">
        <v>1321</v>
      </c>
      <c r="G3079" s="16">
        <v>960</v>
      </c>
      <c r="H3079" s="14" t="s">
        <v>1322</v>
      </c>
      <c r="I3079" s="14" t="s">
        <v>1256</v>
      </c>
      <c r="J3079" s="14" t="s">
        <v>1296</v>
      </c>
      <c r="K3079" s="14" t="s">
        <v>1257</v>
      </c>
      <c r="L3079" s="14" t="s">
        <v>6871</v>
      </c>
      <c r="M3079" s="14" t="s">
        <v>1324</v>
      </c>
      <c r="N3079" s="14" t="s">
        <v>1237</v>
      </c>
      <c r="O3079" s="14" t="s">
        <v>1220</v>
      </c>
    </row>
    <row r="3080" spans="1:15" x14ac:dyDescent="0.25">
      <c r="A3080" s="14" t="s">
        <v>6872</v>
      </c>
      <c r="B3080" s="14" t="s">
        <v>6873</v>
      </c>
      <c r="C3080" s="14" t="s">
        <v>6874</v>
      </c>
      <c r="D3080" s="14" t="s">
        <v>5290</v>
      </c>
      <c r="E3080" s="16">
        <v>160</v>
      </c>
      <c r="F3080" s="14" t="s">
        <v>1321</v>
      </c>
      <c r="G3080" s="16">
        <v>960</v>
      </c>
      <c r="H3080" s="14" t="s">
        <v>1322</v>
      </c>
      <c r="I3080" s="14" t="s">
        <v>1262</v>
      </c>
      <c r="J3080" s="14" t="s">
        <v>1262</v>
      </c>
      <c r="K3080" s="14" t="s">
        <v>1257</v>
      </c>
      <c r="L3080" s="14" t="s">
        <v>6871</v>
      </c>
      <c r="M3080" s="14" t="s">
        <v>1324</v>
      </c>
      <c r="N3080" s="14" t="s">
        <v>1219</v>
      </c>
      <c r="O3080" s="14" t="s">
        <v>1220</v>
      </c>
    </row>
    <row r="3081" spans="1:15" x14ac:dyDescent="0.25">
      <c r="A3081" s="14">
        <v>2397</v>
      </c>
      <c r="B3081" s="14" t="s">
        <v>732</v>
      </c>
      <c r="C3081" s="14" t="s">
        <v>6875</v>
      </c>
      <c r="D3081" s="14" t="s">
        <v>5290</v>
      </c>
      <c r="E3081" s="16">
        <v>150</v>
      </c>
      <c r="F3081" s="14" t="s">
        <v>1321</v>
      </c>
      <c r="G3081" s="17">
        <v>2250</v>
      </c>
      <c r="H3081" s="14" t="s">
        <v>1322</v>
      </c>
      <c r="I3081" s="14" t="s">
        <v>1256</v>
      </c>
      <c r="J3081" s="14" t="s">
        <v>1242</v>
      </c>
      <c r="K3081" s="14" t="s">
        <v>1257</v>
      </c>
      <c r="L3081" s="14" t="s">
        <v>6876</v>
      </c>
      <c r="M3081" s="14" t="s">
        <v>1324</v>
      </c>
      <c r="N3081" s="14" t="s">
        <v>1237</v>
      </c>
      <c r="O3081" s="14" t="s">
        <v>1220</v>
      </c>
    </row>
    <row r="3082" spans="1:15" x14ac:dyDescent="0.25">
      <c r="A3082" s="14" t="s">
        <v>6877</v>
      </c>
      <c r="B3082" s="14" t="s">
        <v>6878</v>
      </c>
      <c r="C3082" s="14" t="s">
        <v>6879</v>
      </c>
      <c r="D3082" s="14" t="s">
        <v>5290</v>
      </c>
      <c r="E3082" s="15"/>
      <c r="F3082" s="14" t="s">
        <v>1321</v>
      </c>
      <c r="G3082" s="15"/>
      <c r="H3082" s="14" t="s">
        <v>1322</v>
      </c>
      <c r="I3082" s="14" t="s">
        <v>1262</v>
      </c>
      <c r="J3082" s="14" t="s">
        <v>1262</v>
      </c>
      <c r="K3082" s="14"/>
      <c r="L3082" s="14" t="s">
        <v>6876</v>
      </c>
      <c r="M3082" s="14" t="s">
        <v>1324</v>
      </c>
      <c r="N3082" s="14" t="s">
        <v>1219</v>
      </c>
      <c r="O3082" s="14" t="s">
        <v>1220</v>
      </c>
    </row>
    <row r="3083" spans="1:15" x14ac:dyDescent="0.25">
      <c r="A3083" s="14">
        <v>2398</v>
      </c>
      <c r="B3083" s="14" t="s">
        <v>733</v>
      </c>
      <c r="C3083" s="14" t="s">
        <v>6880</v>
      </c>
      <c r="D3083" s="14" t="s">
        <v>5290</v>
      </c>
      <c r="E3083" s="16">
        <v>120</v>
      </c>
      <c r="F3083" s="14" t="s">
        <v>1321</v>
      </c>
      <c r="G3083" s="17">
        <v>1320</v>
      </c>
      <c r="H3083" s="14" t="s">
        <v>1322</v>
      </c>
      <c r="I3083" s="14" t="s">
        <v>1256</v>
      </c>
      <c r="J3083" s="14" t="s">
        <v>1242</v>
      </c>
      <c r="K3083" s="14" t="s">
        <v>1257</v>
      </c>
      <c r="L3083" s="14" t="s">
        <v>6881</v>
      </c>
      <c r="M3083" s="14" t="s">
        <v>1324</v>
      </c>
      <c r="N3083" s="14" t="s">
        <v>1237</v>
      </c>
      <c r="O3083" s="14" t="s">
        <v>1220</v>
      </c>
    </row>
    <row r="3084" spans="1:15" x14ac:dyDescent="0.25">
      <c r="A3084" s="14" t="s">
        <v>6882</v>
      </c>
      <c r="B3084" s="14" t="s">
        <v>6883</v>
      </c>
      <c r="C3084" s="14" t="s">
        <v>6884</v>
      </c>
      <c r="D3084" s="14" t="s">
        <v>5290</v>
      </c>
      <c r="E3084" s="15"/>
      <c r="F3084" s="14" t="s">
        <v>1350</v>
      </c>
      <c r="G3084" s="15"/>
      <c r="H3084" s="14" t="s">
        <v>1322</v>
      </c>
      <c r="I3084" s="14" t="s">
        <v>1262</v>
      </c>
      <c r="J3084" s="14" t="s">
        <v>1262</v>
      </c>
      <c r="K3084" s="14" t="s">
        <v>1257</v>
      </c>
      <c r="L3084" s="14" t="s">
        <v>6881</v>
      </c>
      <c r="M3084" s="14" t="s">
        <v>1324</v>
      </c>
      <c r="N3084" s="14" t="s">
        <v>1219</v>
      </c>
      <c r="O3084" s="14" t="s">
        <v>1220</v>
      </c>
    </row>
    <row r="3085" spans="1:15" x14ac:dyDescent="0.25">
      <c r="A3085" s="14">
        <v>2399</v>
      </c>
      <c r="B3085" s="14" t="s">
        <v>734</v>
      </c>
      <c r="C3085" s="14" t="s">
        <v>6885</v>
      </c>
      <c r="D3085" s="14" t="s">
        <v>5290</v>
      </c>
      <c r="E3085" s="16">
        <v>90</v>
      </c>
      <c r="F3085" s="14" t="s">
        <v>1321</v>
      </c>
      <c r="G3085" s="17">
        <v>1260</v>
      </c>
      <c r="H3085" s="14" t="s">
        <v>1322</v>
      </c>
      <c r="I3085" s="14" t="s">
        <v>1256</v>
      </c>
      <c r="J3085" s="14" t="s">
        <v>1242</v>
      </c>
      <c r="K3085" s="14" t="s">
        <v>1257</v>
      </c>
      <c r="L3085" s="14" t="s">
        <v>6886</v>
      </c>
      <c r="M3085" s="14" t="s">
        <v>1324</v>
      </c>
      <c r="N3085" s="14" t="s">
        <v>1237</v>
      </c>
      <c r="O3085" s="14" t="s">
        <v>1220</v>
      </c>
    </row>
    <row r="3086" spans="1:15" x14ac:dyDescent="0.25">
      <c r="A3086" s="14" t="s">
        <v>6887</v>
      </c>
      <c r="B3086" s="14" t="s">
        <v>6888</v>
      </c>
      <c r="C3086" s="14" t="s">
        <v>6889</v>
      </c>
      <c r="D3086" s="14" t="s">
        <v>5290</v>
      </c>
      <c r="E3086" s="15"/>
      <c r="F3086" s="14" t="s">
        <v>1321</v>
      </c>
      <c r="G3086" s="15"/>
      <c r="H3086" s="14" t="s">
        <v>1322</v>
      </c>
      <c r="I3086" s="14" t="s">
        <v>1262</v>
      </c>
      <c r="J3086" s="14" t="s">
        <v>1262</v>
      </c>
      <c r="K3086" s="14"/>
      <c r="L3086" s="14" t="s">
        <v>6886</v>
      </c>
      <c r="M3086" s="14" t="s">
        <v>1324</v>
      </c>
      <c r="N3086" s="14" t="s">
        <v>1219</v>
      </c>
      <c r="O3086" s="14" t="s">
        <v>1220</v>
      </c>
    </row>
    <row r="3087" spans="1:15" x14ac:dyDescent="0.25">
      <c r="A3087" s="14">
        <v>2400</v>
      </c>
      <c r="B3087" s="14" t="s">
        <v>735</v>
      </c>
      <c r="C3087" s="14" t="s">
        <v>6890</v>
      </c>
      <c r="D3087" s="14" t="s">
        <v>5290</v>
      </c>
      <c r="E3087" s="16">
        <v>90</v>
      </c>
      <c r="F3087" s="14" t="s">
        <v>1321</v>
      </c>
      <c r="G3087" s="16">
        <v>720</v>
      </c>
      <c r="H3087" s="14" t="s">
        <v>1322</v>
      </c>
      <c r="I3087" s="14" t="s">
        <v>1256</v>
      </c>
      <c r="J3087" s="14" t="s">
        <v>1296</v>
      </c>
      <c r="K3087" s="14" t="s">
        <v>1257</v>
      </c>
      <c r="L3087" s="14" t="s">
        <v>6891</v>
      </c>
      <c r="M3087" s="14" t="s">
        <v>1324</v>
      </c>
      <c r="N3087" s="14" t="s">
        <v>1237</v>
      </c>
      <c r="O3087" s="14" t="s">
        <v>1220</v>
      </c>
    </row>
    <row r="3088" spans="1:15" x14ac:dyDescent="0.25">
      <c r="A3088" s="14" t="s">
        <v>6892</v>
      </c>
      <c r="B3088" s="14" t="s">
        <v>6893</v>
      </c>
      <c r="C3088" s="14" t="s">
        <v>6894</v>
      </c>
      <c r="D3088" s="14" t="s">
        <v>5290</v>
      </c>
      <c r="E3088" s="15"/>
      <c r="F3088" s="14" t="s">
        <v>1321</v>
      </c>
      <c r="G3088" s="15"/>
      <c r="H3088" s="14" t="s">
        <v>1322</v>
      </c>
      <c r="I3088" s="14" t="s">
        <v>1262</v>
      </c>
      <c r="J3088" s="14" t="s">
        <v>1262</v>
      </c>
      <c r="K3088" s="14"/>
      <c r="L3088" s="14" t="s">
        <v>6891</v>
      </c>
      <c r="M3088" s="14" t="s">
        <v>1324</v>
      </c>
      <c r="N3088" s="14" t="s">
        <v>1219</v>
      </c>
      <c r="O3088" s="14" t="s">
        <v>1220</v>
      </c>
    </row>
    <row r="3089" spans="1:15" x14ac:dyDescent="0.25">
      <c r="A3089" s="14">
        <v>2401</v>
      </c>
      <c r="B3089" s="14" t="s">
        <v>736</v>
      </c>
      <c r="C3089" s="14" t="s">
        <v>6895</v>
      </c>
      <c r="D3089" s="14" t="s">
        <v>5290</v>
      </c>
      <c r="E3089" s="16">
        <v>70</v>
      </c>
      <c r="F3089" s="14" t="s">
        <v>1321</v>
      </c>
      <c r="G3089" s="16">
        <v>350</v>
      </c>
      <c r="H3089" s="14" t="s">
        <v>1322</v>
      </c>
      <c r="I3089" s="14" t="s">
        <v>1256</v>
      </c>
      <c r="J3089" s="14" t="s">
        <v>1296</v>
      </c>
      <c r="K3089" s="14" t="s">
        <v>1257</v>
      </c>
      <c r="L3089" s="14" t="s">
        <v>6896</v>
      </c>
      <c r="M3089" s="14" t="s">
        <v>1324</v>
      </c>
      <c r="N3089" s="14" t="s">
        <v>1237</v>
      </c>
      <c r="O3089" s="14" t="s">
        <v>1220</v>
      </c>
    </row>
    <row r="3090" spans="1:15" x14ac:dyDescent="0.25">
      <c r="A3090" s="14" t="s">
        <v>6897</v>
      </c>
      <c r="B3090" s="14" t="s">
        <v>6898</v>
      </c>
      <c r="C3090" s="14" t="s">
        <v>6899</v>
      </c>
      <c r="D3090" s="14" t="s">
        <v>5290</v>
      </c>
      <c r="E3090" s="15"/>
      <c r="F3090" s="14" t="s">
        <v>1350</v>
      </c>
      <c r="G3090" s="15"/>
      <c r="H3090" s="14" t="s">
        <v>1322</v>
      </c>
      <c r="I3090" s="14" t="s">
        <v>1262</v>
      </c>
      <c r="J3090" s="14" t="s">
        <v>1262</v>
      </c>
      <c r="K3090" s="14" t="s">
        <v>1257</v>
      </c>
      <c r="L3090" s="14" t="s">
        <v>6896</v>
      </c>
      <c r="M3090" s="14" t="s">
        <v>5300</v>
      </c>
      <c r="N3090" s="14" t="s">
        <v>1219</v>
      </c>
      <c r="O3090" s="14" t="s">
        <v>1220</v>
      </c>
    </row>
    <row r="3091" spans="1:15" x14ac:dyDescent="0.25">
      <c r="A3091" s="14">
        <v>2402</v>
      </c>
      <c r="B3091" s="14" t="s">
        <v>737</v>
      </c>
      <c r="C3091" s="14" t="s">
        <v>6900</v>
      </c>
      <c r="D3091" s="14" t="s">
        <v>5290</v>
      </c>
      <c r="E3091" s="16">
        <v>70</v>
      </c>
      <c r="F3091" s="14" t="s">
        <v>1321</v>
      </c>
      <c r="G3091" s="16">
        <v>560</v>
      </c>
      <c r="H3091" s="14" t="s">
        <v>1322</v>
      </c>
      <c r="I3091" s="14" t="s">
        <v>1256</v>
      </c>
      <c r="J3091" s="14" t="s">
        <v>1242</v>
      </c>
      <c r="K3091" s="14" t="s">
        <v>1257</v>
      </c>
      <c r="L3091" s="14" t="s">
        <v>6901</v>
      </c>
      <c r="M3091" s="14" t="s">
        <v>1324</v>
      </c>
      <c r="N3091" s="14" t="s">
        <v>1237</v>
      </c>
      <c r="O3091" s="14" t="s">
        <v>1220</v>
      </c>
    </row>
    <row r="3092" spans="1:15" x14ac:dyDescent="0.25">
      <c r="A3092" s="14" t="s">
        <v>6902</v>
      </c>
      <c r="B3092" s="14" t="s">
        <v>6903</v>
      </c>
      <c r="C3092" s="14" t="s">
        <v>6904</v>
      </c>
      <c r="D3092" s="14" t="s">
        <v>5290</v>
      </c>
      <c r="E3092" s="15"/>
      <c r="F3092" s="14" t="s">
        <v>1321</v>
      </c>
      <c r="G3092" s="15"/>
      <c r="H3092" s="14" t="s">
        <v>1322</v>
      </c>
      <c r="I3092" s="14" t="s">
        <v>1262</v>
      </c>
      <c r="J3092" s="14" t="s">
        <v>1262</v>
      </c>
      <c r="K3092" s="14"/>
      <c r="L3092" s="14" t="s">
        <v>6901</v>
      </c>
      <c r="M3092" s="14" t="s">
        <v>1324</v>
      </c>
      <c r="N3092" s="14" t="s">
        <v>1219</v>
      </c>
      <c r="O3092" s="14" t="s">
        <v>1220</v>
      </c>
    </row>
    <row r="3093" spans="1:15" x14ac:dyDescent="0.25">
      <c r="A3093" s="14">
        <v>2476</v>
      </c>
      <c r="B3093" s="14" t="s">
        <v>754</v>
      </c>
      <c r="C3093" s="14" t="s">
        <v>6905</v>
      </c>
      <c r="D3093" s="14" t="s">
        <v>5290</v>
      </c>
      <c r="E3093" s="16">
        <v>110</v>
      </c>
      <c r="F3093" s="14" t="s">
        <v>1321</v>
      </c>
      <c r="G3093" s="16">
        <v>550</v>
      </c>
      <c r="H3093" s="14" t="s">
        <v>1322</v>
      </c>
      <c r="I3093" s="14" t="s">
        <v>1256</v>
      </c>
      <c r="J3093" s="14" t="s">
        <v>1296</v>
      </c>
      <c r="K3093" s="14" t="s">
        <v>1257</v>
      </c>
      <c r="L3093" s="14" t="s">
        <v>6906</v>
      </c>
      <c r="M3093" s="14" t="s">
        <v>1324</v>
      </c>
      <c r="N3093" s="14" t="s">
        <v>1237</v>
      </c>
      <c r="O3093" s="14" t="s">
        <v>1220</v>
      </c>
    </row>
    <row r="3094" spans="1:15" x14ac:dyDescent="0.25">
      <c r="A3094" s="14" t="s">
        <v>6907</v>
      </c>
      <c r="B3094" s="14" t="s">
        <v>6908</v>
      </c>
      <c r="C3094" s="14" t="s">
        <v>6909</v>
      </c>
      <c r="D3094" s="14" t="s">
        <v>5290</v>
      </c>
      <c r="E3094" s="15"/>
      <c r="F3094" s="14" t="s">
        <v>1321</v>
      </c>
      <c r="G3094" s="15"/>
      <c r="H3094" s="14" t="s">
        <v>1322</v>
      </c>
      <c r="I3094" s="14" t="s">
        <v>1262</v>
      </c>
      <c r="J3094" s="14" t="s">
        <v>1262</v>
      </c>
      <c r="K3094" s="14"/>
      <c r="L3094" s="14" t="s">
        <v>6906</v>
      </c>
      <c r="M3094" s="14" t="s">
        <v>5300</v>
      </c>
      <c r="N3094" s="14" t="s">
        <v>1219</v>
      </c>
      <c r="O3094" s="14" t="s">
        <v>1220</v>
      </c>
    </row>
    <row r="3095" spans="1:15" x14ac:dyDescent="0.25">
      <c r="A3095" s="14">
        <v>4551</v>
      </c>
      <c r="B3095" s="14" t="s">
        <v>755</v>
      </c>
      <c r="C3095" s="14" t="s">
        <v>6910</v>
      </c>
      <c r="D3095" s="14" t="s">
        <v>5290</v>
      </c>
      <c r="E3095" s="16">
        <v>80</v>
      </c>
      <c r="F3095" s="14" t="s">
        <v>1321</v>
      </c>
      <c r="G3095" s="16">
        <v>160</v>
      </c>
      <c r="H3095" s="14" t="s">
        <v>1322</v>
      </c>
      <c r="I3095" s="14" t="s">
        <v>1256</v>
      </c>
      <c r="J3095" s="14" t="s">
        <v>1296</v>
      </c>
      <c r="K3095" s="14" t="s">
        <v>1257</v>
      </c>
      <c r="L3095" s="14" t="s">
        <v>6911</v>
      </c>
      <c r="M3095" s="14" t="s">
        <v>1324</v>
      </c>
      <c r="N3095" s="14" t="s">
        <v>1237</v>
      </c>
      <c r="O3095" s="14" t="s">
        <v>1220</v>
      </c>
    </row>
    <row r="3096" spans="1:15" x14ac:dyDescent="0.25">
      <c r="A3096" s="14">
        <v>4552</v>
      </c>
      <c r="B3096" s="14" t="s">
        <v>756</v>
      </c>
      <c r="C3096" s="14" t="s">
        <v>6912</v>
      </c>
      <c r="D3096" s="14" t="s">
        <v>5290</v>
      </c>
      <c r="E3096" s="16">
        <v>60</v>
      </c>
      <c r="F3096" s="14" t="s">
        <v>1321</v>
      </c>
      <c r="G3096" s="16">
        <v>120</v>
      </c>
      <c r="H3096" s="14" t="s">
        <v>1322</v>
      </c>
      <c r="I3096" s="14" t="s">
        <v>1256</v>
      </c>
      <c r="J3096" s="14" t="s">
        <v>1296</v>
      </c>
      <c r="K3096" s="14" t="s">
        <v>1257</v>
      </c>
      <c r="L3096" s="14" t="s">
        <v>6913</v>
      </c>
      <c r="M3096" s="14" t="s">
        <v>1324</v>
      </c>
      <c r="N3096" s="14" t="s">
        <v>1237</v>
      </c>
      <c r="O3096" s="14" t="s">
        <v>1220</v>
      </c>
    </row>
    <row r="3097" spans="1:15" x14ac:dyDescent="0.25">
      <c r="A3097" s="14">
        <v>2566</v>
      </c>
      <c r="B3097" s="14" t="s">
        <v>746</v>
      </c>
      <c r="C3097" s="14" t="s">
        <v>746</v>
      </c>
      <c r="D3097" s="14" t="s">
        <v>5290</v>
      </c>
      <c r="E3097" s="16">
        <v>250</v>
      </c>
      <c r="F3097" s="14" t="s">
        <v>1321</v>
      </c>
      <c r="G3097" s="16">
        <v>500</v>
      </c>
      <c r="H3097" s="14" t="s">
        <v>1322</v>
      </c>
      <c r="I3097" s="14" t="s">
        <v>1256</v>
      </c>
      <c r="J3097" s="14" t="s">
        <v>1296</v>
      </c>
      <c r="K3097" s="14" t="s">
        <v>1257</v>
      </c>
      <c r="L3097" s="14" t="s">
        <v>6914</v>
      </c>
      <c r="M3097" s="14" t="s">
        <v>1324</v>
      </c>
      <c r="N3097" s="14" t="s">
        <v>1237</v>
      </c>
      <c r="O3097" s="14" t="s">
        <v>1220</v>
      </c>
    </row>
    <row r="3098" spans="1:15" x14ac:dyDescent="0.25">
      <c r="A3098" s="14" t="s">
        <v>6915</v>
      </c>
      <c r="B3098" s="14" t="s">
        <v>6916</v>
      </c>
      <c r="C3098" s="14" t="s">
        <v>6916</v>
      </c>
      <c r="D3098" s="14" t="s">
        <v>5290</v>
      </c>
      <c r="E3098" s="15"/>
      <c r="F3098" s="14" t="s">
        <v>1321</v>
      </c>
      <c r="G3098" s="15"/>
      <c r="H3098" s="14" t="s">
        <v>1322</v>
      </c>
      <c r="I3098" s="14" t="s">
        <v>1262</v>
      </c>
      <c r="J3098" s="14" t="s">
        <v>1262</v>
      </c>
      <c r="K3098" s="14"/>
      <c r="L3098" s="14" t="s">
        <v>6914</v>
      </c>
      <c r="M3098" s="14" t="s">
        <v>1324</v>
      </c>
      <c r="N3098" s="14" t="s">
        <v>1219</v>
      </c>
      <c r="O3098" s="14" t="s">
        <v>1220</v>
      </c>
    </row>
    <row r="3099" spans="1:15" x14ac:dyDescent="0.25">
      <c r="A3099" s="14">
        <v>4553</v>
      </c>
      <c r="B3099" s="14" t="s">
        <v>757</v>
      </c>
      <c r="C3099" s="14" t="s">
        <v>6917</v>
      </c>
      <c r="D3099" s="14" t="s">
        <v>5290</v>
      </c>
      <c r="E3099" s="16">
        <v>50</v>
      </c>
      <c r="F3099" s="14" t="s">
        <v>1321</v>
      </c>
      <c r="G3099" s="16">
        <v>100</v>
      </c>
      <c r="H3099" s="14" t="s">
        <v>1322</v>
      </c>
      <c r="I3099" s="14" t="s">
        <v>1256</v>
      </c>
      <c r="J3099" s="14" t="s">
        <v>1296</v>
      </c>
      <c r="K3099" s="14" t="s">
        <v>1257</v>
      </c>
      <c r="L3099" s="14" t="s">
        <v>6918</v>
      </c>
      <c r="M3099" s="14" t="s">
        <v>1324</v>
      </c>
      <c r="N3099" s="14" t="s">
        <v>1237</v>
      </c>
      <c r="O3099" s="14" t="s">
        <v>1220</v>
      </c>
    </row>
    <row r="3100" spans="1:15" x14ac:dyDescent="0.25">
      <c r="A3100" s="14">
        <v>2469</v>
      </c>
      <c r="B3100" s="14" t="s">
        <v>747</v>
      </c>
      <c r="C3100" s="14" t="s">
        <v>747</v>
      </c>
      <c r="D3100" s="14" t="s">
        <v>5290</v>
      </c>
      <c r="E3100" s="16">
        <v>300</v>
      </c>
      <c r="F3100" s="14" t="s">
        <v>1321</v>
      </c>
      <c r="G3100" s="16">
        <v>600</v>
      </c>
      <c r="H3100" s="14" t="s">
        <v>1322</v>
      </c>
      <c r="I3100" s="14" t="s">
        <v>1256</v>
      </c>
      <c r="J3100" s="14" t="s">
        <v>1296</v>
      </c>
      <c r="K3100" s="14" t="s">
        <v>1257</v>
      </c>
      <c r="L3100" s="14" t="s">
        <v>6919</v>
      </c>
      <c r="M3100" s="14" t="s">
        <v>1324</v>
      </c>
      <c r="N3100" s="14" t="s">
        <v>1237</v>
      </c>
      <c r="O3100" s="14" t="s">
        <v>1220</v>
      </c>
    </row>
    <row r="3101" spans="1:15" x14ac:dyDescent="0.25">
      <c r="A3101" s="14" t="s">
        <v>6920</v>
      </c>
      <c r="B3101" s="14" t="s">
        <v>6921</v>
      </c>
      <c r="C3101" s="14" t="s">
        <v>6921</v>
      </c>
      <c r="D3101" s="14" t="s">
        <v>5290</v>
      </c>
      <c r="E3101" s="15"/>
      <c r="F3101" s="14" t="s">
        <v>1321</v>
      </c>
      <c r="G3101" s="15"/>
      <c r="H3101" s="14" t="s">
        <v>1322</v>
      </c>
      <c r="I3101" s="14" t="s">
        <v>1262</v>
      </c>
      <c r="J3101" s="14" t="s">
        <v>1262</v>
      </c>
      <c r="K3101" s="14"/>
      <c r="L3101" s="14" t="s">
        <v>6919</v>
      </c>
      <c r="M3101" s="14" t="s">
        <v>1324</v>
      </c>
      <c r="N3101" s="14" t="s">
        <v>1219</v>
      </c>
      <c r="O3101" s="14" t="s">
        <v>1220</v>
      </c>
    </row>
    <row r="3102" spans="1:15" x14ac:dyDescent="0.25">
      <c r="A3102" s="14">
        <v>2470</v>
      </c>
      <c r="B3102" s="14" t="s">
        <v>748</v>
      </c>
      <c r="C3102" s="14" t="s">
        <v>748</v>
      </c>
      <c r="D3102" s="14" t="s">
        <v>5290</v>
      </c>
      <c r="E3102" s="16">
        <v>220</v>
      </c>
      <c r="F3102" s="14" t="s">
        <v>1321</v>
      </c>
      <c r="G3102" s="16">
        <v>440</v>
      </c>
      <c r="H3102" s="14" t="s">
        <v>1322</v>
      </c>
      <c r="I3102" s="14" t="s">
        <v>1256</v>
      </c>
      <c r="J3102" s="14" t="s">
        <v>1296</v>
      </c>
      <c r="K3102" s="14" t="s">
        <v>1257</v>
      </c>
      <c r="L3102" s="14" t="s">
        <v>6922</v>
      </c>
      <c r="M3102" s="14" t="s">
        <v>1324</v>
      </c>
      <c r="N3102" s="14" t="s">
        <v>1237</v>
      </c>
      <c r="O3102" s="14" t="s">
        <v>1220</v>
      </c>
    </row>
    <row r="3103" spans="1:15" x14ac:dyDescent="0.25">
      <c r="A3103" s="14" t="s">
        <v>6923</v>
      </c>
      <c r="B3103" s="14" t="s">
        <v>6924</v>
      </c>
      <c r="C3103" s="14" t="s">
        <v>6924</v>
      </c>
      <c r="D3103" s="14" t="s">
        <v>5290</v>
      </c>
      <c r="E3103" s="15"/>
      <c r="F3103" s="14" t="s">
        <v>1321</v>
      </c>
      <c r="G3103" s="15"/>
      <c r="H3103" s="14" t="s">
        <v>1322</v>
      </c>
      <c r="I3103" s="14" t="s">
        <v>1262</v>
      </c>
      <c r="J3103" s="14" t="s">
        <v>1262</v>
      </c>
      <c r="K3103" s="14"/>
      <c r="L3103" s="14" t="s">
        <v>6922</v>
      </c>
      <c r="M3103" s="14" t="s">
        <v>1324</v>
      </c>
      <c r="N3103" s="14" t="s">
        <v>1219</v>
      </c>
      <c r="O3103" s="14" t="s">
        <v>1220</v>
      </c>
    </row>
    <row r="3104" spans="1:15" x14ac:dyDescent="0.25">
      <c r="A3104" s="14">
        <v>2471</v>
      </c>
      <c r="B3104" s="14" t="s">
        <v>749</v>
      </c>
      <c r="C3104" s="14" t="s">
        <v>749</v>
      </c>
      <c r="D3104" s="14" t="s">
        <v>5290</v>
      </c>
      <c r="E3104" s="16">
        <v>220</v>
      </c>
      <c r="F3104" s="14" t="s">
        <v>1321</v>
      </c>
      <c r="G3104" s="16">
        <v>660</v>
      </c>
      <c r="H3104" s="14" t="s">
        <v>1322</v>
      </c>
      <c r="I3104" s="14" t="s">
        <v>1256</v>
      </c>
      <c r="J3104" s="14" t="s">
        <v>1296</v>
      </c>
      <c r="K3104" s="14" t="s">
        <v>1257</v>
      </c>
      <c r="L3104" s="14" t="s">
        <v>6925</v>
      </c>
      <c r="M3104" s="14" t="s">
        <v>1324</v>
      </c>
      <c r="N3104" s="14" t="s">
        <v>1237</v>
      </c>
      <c r="O3104" s="14" t="s">
        <v>1220</v>
      </c>
    </row>
    <row r="3105" spans="1:15" x14ac:dyDescent="0.25">
      <c r="A3105" s="14" t="s">
        <v>6926</v>
      </c>
      <c r="B3105" s="14" t="s">
        <v>6927</v>
      </c>
      <c r="C3105" s="14" t="s">
        <v>6927</v>
      </c>
      <c r="D3105" s="14" t="s">
        <v>5290</v>
      </c>
      <c r="E3105" s="15"/>
      <c r="F3105" s="14" t="s">
        <v>1321</v>
      </c>
      <c r="G3105" s="15"/>
      <c r="H3105" s="14" t="s">
        <v>1322</v>
      </c>
      <c r="I3105" s="14" t="s">
        <v>1262</v>
      </c>
      <c r="J3105" s="14" t="s">
        <v>1262</v>
      </c>
      <c r="K3105" s="14"/>
      <c r="L3105" s="14" t="s">
        <v>6925</v>
      </c>
      <c r="M3105" s="14" t="s">
        <v>1324</v>
      </c>
      <c r="N3105" s="14" t="s">
        <v>1219</v>
      </c>
      <c r="O3105" s="14" t="s">
        <v>1220</v>
      </c>
    </row>
    <row r="3106" spans="1:15" x14ac:dyDescent="0.25">
      <c r="A3106" s="14">
        <v>2472</v>
      </c>
      <c r="B3106" s="14" t="s">
        <v>750</v>
      </c>
      <c r="C3106" s="14" t="s">
        <v>750</v>
      </c>
      <c r="D3106" s="14" t="s">
        <v>5290</v>
      </c>
      <c r="E3106" s="16">
        <v>140</v>
      </c>
      <c r="F3106" s="14" t="s">
        <v>1321</v>
      </c>
      <c r="G3106" s="17">
        <v>5180</v>
      </c>
      <c r="H3106" s="14" t="s">
        <v>1322</v>
      </c>
      <c r="I3106" s="14" t="s">
        <v>1256</v>
      </c>
      <c r="J3106" s="14" t="s">
        <v>1242</v>
      </c>
      <c r="K3106" s="14" t="s">
        <v>1257</v>
      </c>
      <c r="L3106" s="14" t="s">
        <v>6928</v>
      </c>
      <c r="M3106" s="14" t="s">
        <v>1324</v>
      </c>
      <c r="N3106" s="14" t="s">
        <v>1237</v>
      </c>
      <c r="O3106" s="14" t="s">
        <v>1220</v>
      </c>
    </row>
    <row r="3107" spans="1:15" x14ac:dyDescent="0.25">
      <c r="A3107" s="14" t="s">
        <v>6929</v>
      </c>
      <c r="B3107" s="14" t="s">
        <v>6930</v>
      </c>
      <c r="C3107" s="14" t="s">
        <v>6930</v>
      </c>
      <c r="D3107" s="14" t="s">
        <v>5290</v>
      </c>
      <c r="E3107" s="15"/>
      <c r="F3107" s="14" t="s">
        <v>1350</v>
      </c>
      <c r="G3107" s="15"/>
      <c r="H3107" s="14" t="s">
        <v>1322</v>
      </c>
      <c r="I3107" s="14" t="s">
        <v>1262</v>
      </c>
      <c r="J3107" s="14" t="s">
        <v>1262</v>
      </c>
      <c r="K3107" s="14" t="s">
        <v>1257</v>
      </c>
      <c r="L3107" s="14" t="s">
        <v>6928</v>
      </c>
      <c r="M3107" s="14" t="s">
        <v>1324</v>
      </c>
      <c r="N3107" s="14" t="s">
        <v>1219</v>
      </c>
      <c r="O3107" s="14" t="s">
        <v>1220</v>
      </c>
    </row>
    <row r="3108" spans="1:15" x14ac:dyDescent="0.25">
      <c r="A3108" s="14">
        <v>2473</v>
      </c>
      <c r="B3108" s="14" t="s">
        <v>751</v>
      </c>
      <c r="C3108" s="14" t="s">
        <v>751</v>
      </c>
      <c r="D3108" s="14" t="s">
        <v>5290</v>
      </c>
      <c r="E3108" s="16">
        <v>140</v>
      </c>
      <c r="F3108" s="14" t="s">
        <v>1321</v>
      </c>
      <c r="G3108" s="17">
        <v>1260</v>
      </c>
      <c r="H3108" s="14" t="s">
        <v>1322</v>
      </c>
      <c r="I3108" s="14" t="s">
        <v>1256</v>
      </c>
      <c r="J3108" s="14" t="s">
        <v>1296</v>
      </c>
      <c r="K3108" s="14" t="s">
        <v>1257</v>
      </c>
      <c r="L3108" s="14" t="s">
        <v>6931</v>
      </c>
      <c r="M3108" s="14" t="s">
        <v>1324</v>
      </c>
      <c r="N3108" s="14" t="s">
        <v>1237</v>
      </c>
      <c r="O3108" s="14" t="s">
        <v>1220</v>
      </c>
    </row>
    <row r="3109" spans="1:15" x14ac:dyDescent="0.25">
      <c r="A3109" s="14" t="s">
        <v>6932</v>
      </c>
      <c r="B3109" s="14" t="s">
        <v>6933</v>
      </c>
      <c r="C3109" s="14" t="s">
        <v>6933</v>
      </c>
      <c r="D3109" s="14" t="s">
        <v>5290</v>
      </c>
      <c r="E3109" s="16">
        <v>140</v>
      </c>
      <c r="F3109" s="14" t="s">
        <v>1321</v>
      </c>
      <c r="G3109" s="17">
        <v>1260</v>
      </c>
      <c r="H3109" s="14" t="s">
        <v>1322</v>
      </c>
      <c r="I3109" s="14" t="s">
        <v>1262</v>
      </c>
      <c r="J3109" s="14" t="s">
        <v>1262</v>
      </c>
      <c r="K3109" s="14" t="s">
        <v>1257</v>
      </c>
      <c r="L3109" s="14" t="s">
        <v>6931</v>
      </c>
      <c r="M3109" s="14" t="s">
        <v>1324</v>
      </c>
      <c r="N3109" s="14" t="s">
        <v>1219</v>
      </c>
      <c r="O3109" s="14" t="s">
        <v>1220</v>
      </c>
    </row>
    <row r="3110" spans="1:15" x14ac:dyDescent="0.25">
      <c r="A3110" s="14">
        <v>2474</v>
      </c>
      <c r="B3110" s="14" t="s">
        <v>752</v>
      </c>
      <c r="C3110" s="14" t="s">
        <v>752</v>
      </c>
      <c r="D3110" s="14" t="s">
        <v>5290</v>
      </c>
      <c r="E3110" s="16">
        <v>140</v>
      </c>
      <c r="F3110" s="14" t="s">
        <v>1321</v>
      </c>
      <c r="G3110" s="16">
        <v>840</v>
      </c>
      <c r="H3110" s="14" t="s">
        <v>1322</v>
      </c>
      <c r="I3110" s="14" t="s">
        <v>1256</v>
      </c>
      <c r="J3110" s="14" t="s">
        <v>1296</v>
      </c>
      <c r="K3110" s="14" t="s">
        <v>1257</v>
      </c>
      <c r="L3110" s="14" t="s">
        <v>6934</v>
      </c>
      <c r="M3110" s="14" t="s">
        <v>1324</v>
      </c>
      <c r="N3110" s="14" t="s">
        <v>1237</v>
      </c>
      <c r="O3110" s="14" t="s">
        <v>1220</v>
      </c>
    </row>
    <row r="3111" spans="1:15" x14ac:dyDescent="0.25">
      <c r="A3111" s="14" t="s">
        <v>6935</v>
      </c>
      <c r="B3111" s="14" t="s">
        <v>6936</v>
      </c>
      <c r="C3111" s="14" t="s">
        <v>6936</v>
      </c>
      <c r="D3111" s="14" t="s">
        <v>5290</v>
      </c>
      <c r="E3111" s="15"/>
      <c r="F3111" s="14" t="s">
        <v>1350</v>
      </c>
      <c r="G3111" s="15"/>
      <c r="H3111" s="14" t="s">
        <v>1322</v>
      </c>
      <c r="I3111" s="14" t="s">
        <v>1262</v>
      </c>
      <c r="J3111" s="14" t="s">
        <v>1262</v>
      </c>
      <c r="K3111" s="14" t="s">
        <v>1257</v>
      </c>
      <c r="L3111" s="14" t="s">
        <v>6934</v>
      </c>
      <c r="M3111" s="14" t="s">
        <v>1324</v>
      </c>
      <c r="N3111" s="14" t="s">
        <v>1219</v>
      </c>
      <c r="O3111" s="14" t="s">
        <v>1220</v>
      </c>
    </row>
    <row r="3112" spans="1:15" x14ac:dyDescent="0.25">
      <c r="A3112" s="14">
        <v>2475</v>
      </c>
      <c r="B3112" s="14" t="s">
        <v>753</v>
      </c>
      <c r="C3112" s="14" t="s">
        <v>753</v>
      </c>
      <c r="D3112" s="14" t="s">
        <v>5290</v>
      </c>
      <c r="E3112" s="16">
        <v>110</v>
      </c>
      <c r="F3112" s="14" t="s">
        <v>1321</v>
      </c>
      <c r="G3112" s="16">
        <v>330</v>
      </c>
      <c r="H3112" s="14" t="s">
        <v>1322</v>
      </c>
      <c r="I3112" s="14" t="s">
        <v>1256</v>
      </c>
      <c r="J3112" s="14" t="s">
        <v>1296</v>
      </c>
      <c r="K3112" s="14" t="s">
        <v>1257</v>
      </c>
      <c r="L3112" s="14" t="s">
        <v>6937</v>
      </c>
      <c r="M3112" s="14" t="s">
        <v>1324</v>
      </c>
      <c r="N3112" s="14" t="s">
        <v>1237</v>
      </c>
      <c r="O3112" s="14" t="s">
        <v>1220</v>
      </c>
    </row>
    <row r="3113" spans="1:15" x14ac:dyDescent="0.25">
      <c r="A3113" s="14" t="s">
        <v>6938</v>
      </c>
      <c r="B3113" s="14" t="s">
        <v>6939</v>
      </c>
      <c r="C3113" s="14" t="s">
        <v>6939</v>
      </c>
      <c r="D3113" s="14" t="s">
        <v>5290</v>
      </c>
      <c r="E3113" s="15"/>
      <c r="F3113" s="14" t="s">
        <v>1321</v>
      </c>
      <c r="G3113" s="15"/>
      <c r="H3113" s="14" t="s">
        <v>1322</v>
      </c>
      <c r="I3113" s="14" t="s">
        <v>1262</v>
      </c>
      <c r="J3113" s="14" t="s">
        <v>1262</v>
      </c>
      <c r="K3113" s="14"/>
      <c r="L3113" s="14" t="s">
        <v>6913</v>
      </c>
      <c r="M3113" s="14" t="s">
        <v>5300</v>
      </c>
      <c r="N3113" s="14" t="s">
        <v>1219</v>
      </c>
      <c r="O3113" s="14" t="s">
        <v>1220</v>
      </c>
    </row>
    <row r="3114" spans="1:15" x14ac:dyDescent="0.25">
      <c r="A3114" s="14">
        <v>2671</v>
      </c>
      <c r="B3114" s="14" t="s">
        <v>1064</v>
      </c>
      <c r="C3114" s="14" t="s">
        <v>1064</v>
      </c>
      <c r="D3114" s="14" t="s">
        <v>1553</v>
      </c>
      <c r="E3114" s="16">
        <v>60</v>
      </c>
      <c r="F3114" s="14" t="s">
        <v>1536</v>
      </c>
      <c r="G3114" s="16">
        <v>480</v>
      </c>
      <c r="H3114" s="14" t="s">
        <v>1545</v>
      </c>
      <c r="I3114" s="14" t="s">
        <v>1256</v>
      </c>
      <c r="J3114" s="14" t="s">
        <v>1233</v>
      </c>
      <c r="K3114" s="14" t="s">
        <v>6940</v>
      </c>
      <c r="L3114" s="14" t="s">
        <v>6941</v>
      </c>
      <c r="M3114" s="14" t="s">
        <v>1548</v>
      </c>
      <c r="N3114" s="14" t="s">
        <v>1237</v>
      </c>
      <c r="O3114" s="14" t="s">
        <v>1220</v>
      </c>
    </row>
    <row r="3115" spans="1:15" x14ac:dyDescent="0.25">
      <c r="A3115" s="14">
        <v>2672</v>
      </c>
      <c r="B3115" s="14" t="s">
        <v>1065</v>
      </c>
      <c r="C3115" s="14" t="s">
        <v>1065</v>
      </c>
      <c r="D3115" s="14" t="s">
        <v>1553</v>
      </c>
      <c r="E3115" s="16">
        <v>60</v>
      </c>
      <c r="F3115" s="14" t="s">
        <v>1536</v>
      </c>
      <c r="G3115" s="16">
        <v>480</v>
      </c>
      <c r="H3115" s="14" t="s">
        <v>1545</v>
      </c>
      <c r="I3115" s="14" t="s">
        <v>1256</v>
      </c>
      <c r="J3115" s="14" t="s">
        <v>1242</v>
      </c>
      <c r="K3115" s="14" t="s">
        <v>6940</v>
      </c>
      <c r="L3115" s="14" t="s">
        <v>6942</v>
      </c>
      <c r="M3115" s="14" t="s">
        <v>1548</v>
      </c>
      <c r="N3115" s="14" t="s">
        <v>1237</v>
      </c>
      <c r="O3115" s="14" t="s">
        <v>1220</v>
      </c>
    </row>
    <row r="3116" spans="1:15" x14ac:dyDescent="0.25">
      <c r="A3116" s="14">
        <v>3544</v>
      </c>
      <c r="B3116" s="14" t="s">
        <v>6943</v>
      </c>
      <c r="C3116" s="14" t="s">
        <v>6943</v>
      </c>
      <c r="D3116" s="14" t="s">
        <v>1512</v>
      </c>
      <c r="E3116" s="15"/>
      <c r="F3116" s="14" t="s">
        <v>1350</v>
      </c>
      <c r="G3116" s="15"/>
      <c r="H3116" s="14" t="s">
        <v>1255</v>
      </c>
      <c r="I3116" s="14" t="s">
        <v>1360</v>
      </c>
      <c r="J3116" s="14" t="s">
        <v>1385</v>
      </c>
      <c r="K3116" s="14" t="s">
        <v>1257</v>
      </c>
      <c r="L3116" s="14" t="s">
        <v>6918</v>
      </c>
      <c r="M3116" s="14" t="s">
        <v>1259</v>
      </c>
      <c r="N3116" s="14" t="s">
        <v>1219</v>
      </c>
      <c r="O3116" s="14" t="s">
        <v>1220</v>
      </c>
    </row>
    <row r="3117" spans="1:15" x14ac:dyDescent="0.25">
      <c r="A3117" s="14">
        <v>3545</v>
      </c>
      <c r="B3117" s="14" t="s">
        <v>6944</v>
      </c>
      <c r="C3117" s="14" t="s">
        <v>6944</v>
      </c>
      <c r="D3117" s="14" t="s">
        <v>1349</v>
      </c>
      <c r="E3117" s="15"/>
      <c r="F3117" s="14"/>
      <c r="G3117" s="15"/>
      <c r="H3117" s="14" t="s">
        <v>1255</v>
      </c>
      <c r="I3117" s="14" t="s">
        <v>1360</v>
      </c>
      <c r="J3117" s="14" t="s">
        <v>1360</v>
      </c>
      <c r="K3117" s="14"/>
      <c r="L3117" s="14"/>
      <c r="M3117" s="14" t="s">
        <v>1259</v>
      </c>
      <c r="N3117" s="14" t="s">
        <v>1219</v>
      </c>
      <c r="O3117" s="14" t="s">
        <v>1220</v>
      </c>
    </row>
    <row r="3118" spans="1:15" x14ac:dyDescent="0.25">
      <c r="A3118" s="14">
        <v>1114</v>
      </c>
      <c r="B3118" s="14" t="s">
        <v>6945</v>
      </c>
      <c r="C3118" s="14" t="s">
        <v>6945</v>
      </c>
      <c r="D3118" s="14" t="s">
        <v>2239</v>
      </c>
      <c r="E3118" s="15"/>
      <c r="F3118" s="14"/>
      <c r="G3118" s="15"/>
      <c r="H3118" s="14" t="s">
        <v>1588</v>
      </c>
      <c r="I3118" s="14"/>
      <c r="J3118" s="14"/>
      <c r="K3118" s="14"/>
      <c r="L3118" s="14"/>
      <c r="M3118" s="14"/>
      <c r="N3118" s="14" t="s">
        <v>1219</v>
      </c>
      <c r="O3118" s="14" t="s">
        <v>1220</v>
      </c>
    </row>
    <row r="3119" spans="1:15" x14ac:dyDescent="0.25">
      <c r="A3119" s="14" t="s">
        <v>6946</v>
      </c>
      <c r="B3119" s="14" t="s">
        <v>6947</v>
      </c>
      <c r="C3119" s="14" t="s">
        <v>6947</v>
      </c>
      <c r="D3119" s="14" t="s">
        <v>1222</v>
      </c>
      <c r="E3119" s="15"/>
      <c r="F3119" s="14"/>
      <c r="G3119" s="15"/>
      <c r="H3119" s="14" t="s">
        <v>1223</v>
      </c>
      <c r="I3119" s="14"/>
      <c r="J3119" s="14"/>
      <c r="K3119" s="14"/>
      <c r="L3119" s="14"/>
      <c r="M3119" s="14"/>
      <c r="N3119" s="14" t="s">
        <v>1219</v>
      </c>
      <c r="O3119" s="14" t="s">
        <v>1220</v>
      </c>
    </row>
    <row r="3120" spans="1:15" x14ac:dyDescent="0.25">
      <c r="A3120" s="14" t="s">
        <v>6948</v>
      </c>
      <c r="B3120" s="14" t="s">
        <v>6949</v>
      </c>
      <c r="C3120" s="14" t="s">
        <v>6949</v>
      </c>
      <c r="D3120" s="14" t="s">
        <v>1223</v>
      </c>
      <c r="E3120" s="15"/>
      <c r="F3120" s="14"/>
      <c r="G3120" s="15"/>
      <c r="H3120" s="14" t="s">
        <v>1223</v>
      </c>
      <c r="I3120" s="14"/>
      <c r="J3120" s="14"/>
      <c r="K3120" s="14"/>
      <c r="L3120" s="14"/>
      <c r="M3120" s="14"/>
      <c r="N3120" s="14" t="s">
        <v>1219</v>
      </c>
      <c r="O3120" s="14" t="s">
        <v>6950</v>
      </c>
    </row>
    <row r="3121" spans="1:15" x14ac:dyDescent="0.25">
      <c r="A3121" s="14" t="s">
        <v>6951</v>
      </c>
      <c r="B3121" s="14" t="s">
        <v>6952</v>
      </c>
      <c r="C3121" s="14" t="s">
        <v>6952</v>
      </c>
      <c r="D3121" s="14" t="s">
        <v>1223</v>
      </c>
      <c r="E3121" s="15"/>
      <c r="F3121" s="14"/>
      <c r="G3121" s="15"/>
      <c r="H3121" s="14" t="s">
        <v>1223</v>
      </c>
      <c r="I3121" s="14"/>
      <c r="J3121" s="14"/>
      <c r="K3121" s="14"/>
      <c r="L3121" s="14"/>
      <c r="M3121" s="14"/>
      <c r="N3121" s="14" t="s">
        <v>1219</v>
      </c>
      <c r="O3121" s="14" t="s">
        <v>1220</v>
      </c>
    </row>
    <row r="3122" spans="1:15" x14ac:dyDescent="0.25">
      <c r="A3122" s="14" t="s">
        <v>6953</v>
      </c>
      <c r="B3122" s="14" t="s">
        <v>6954</v>
      </c>
      <c r="C3122" s="14" t="s">
        <v>6955</v>
      </c>
      <c r="D3122" s="14" t="s">
        <v>1223</v>
      </c>
      <c r="E3122" s="15"/>
      <c r="F3122" s="14"/>
      <c r="G3122" s="15"/>
      <c r="H3122" s="14" t="s">
        <v>1223</v>
      </c>
      <c r="I3122" s="14"/>
      <c r="J3122" s="14"/>
      <c r="K3122" s="14"/>
      <c r="L3122" s="14"/>
      <c r="M3122" s="14"/>
      <c r="N3122" s="14" t="s">
        <v>1219</v>
      </c>
      <c r="O3122" s="14" t="s">
        <v>1220</v>
      </c>
    </row>
    <row r="3123" spans="1:15" x14ac:dyDescent="0.25">
      <c r="A3123" s="14" t="s">
        <v>6956</v>
      </c>
      <c r="B3123" s="14" t="s">
        <v>6955</v>
      </c>
      <c r="C3123" s="14" t="s">
        <v>6955</v>
      </c>
      <c r="D3123" s="14" t="s">
        <v>1223</v>
      </c>
      <c r="E3123" s="15"/>
      <c r="F3123" s="14"/>
      <c r="G3123" s="15"/>
      <c r="H3123" s="14" t="s">
        <v>1223</v>
      </c>
      <c r="I3123" s="14"/>
      <c r="J3123" s="14"/>
      <c r="K3123" s="14"/>
      <c r="L3123" s="14"/>
      <c r="M3123" s="14"/>
      <c r="N3123" s="14" t="s">
        <v>1219</v>
      </c>
      <c r="O3123" s="14" t="s">
        <v>1220</v>
      </c>
    </row>
    <row r="3124" spans="1:15" x14ac:dyDescent="0.25">
      <c r="A3124" s="14" t="s">
        <v>6957</v>
      </c>
      <c r="B3124" s="14" t="s">
        <v>6958</v>
      </c>
      <c r="C3124" s="14" t="s">
        <v>6958</v>
      </c>
      <c r="D3124" s="14" t="s">
        <v>1223</v>
      </c>
      <c r="E3124" s="15"/>
      <c r="F3124" s="14"/>
      <c r="G3124" s="15"/>
      <c r="H3124" s="14" t="s">
        <v>1223</v>
      </c>
      <c r="I3124" s="14"/>
      <c r="J3124" s="14"/>
      <c r="K3124" s="14"/>
      <c r="L3124" s="14"/>
      <c r="M3124" s="14"/>
      <c r="N3124" s="14" t="s">
        <v>1219</v>
      </c>
      <c r="O3124" s="14" t="s">
        <v>1220</v>
      </c>
    </row>
    <row r="3125" spans="1:15" x14ac:dyDescent="0.25">
      <c r="A3125" s="14" t="s">
        <v>6959</v>
      </c>
      <c r="B3125" s="14" t="s">
        <v>6960</v>
      </c>
      <c r="C3125" s="14" t="s">
        <v>6960</v>
      </c>
      <c r="D3125" s="14" t="s">
        <v>1223</v>
      </c>
      <c r="E3125" s="15"/>
      <c r="F3125" s="14"/>
      <c r="G3125" s="15"/>
      <c r="H3125" s="14" t="s">
        <v>1223</v>
      </c>
      <c r="I3125" s="14"/>
      <c r="J3125" s="14"/>
      <c r="K3125" s="14"/>
      <c r="L3125" s="14"/>
      <c r="M3125" s="14"/>
      <c r="N3125" s="14" t="s">
        <v>1219</v>
      </c>
      <c r="O3125" s="14" t="s">
        <v>1220</v>
      </c>
    </row>
    <row r="3126" spans="1:15" x14ac:dyDescent="0.25">
      <c r="A3126" s="14" t="s">
        <v>6961</v>
      </c>
      <c r="B3126" s="14" t="s">
        <v>6962</v>
      </c>
      <c r="C3126" s="14" t="s">
        <v>6962</v>
      </c>
      <c r="D3126" s="14" t="s">
        <v>1223</v>
      </c>
      <c r="E3126" s="15"/>
      <c r="F3126" s="14"/>
      <c r="G3126" s="15"/>
      <c r="H3126" s="14" t="s">
        <v>1223</v>
      </c>
      <c r="I3126" s="14"/>
      <c r="J3126" s="14"/>
      <c r="K3126" s="14"/>
      <c r="L3126" s="14"/>
      <c r="M3126" s="14"/>
      <c r="N3126" s="14" t="s">
        <v>1219</v>
      </c>
      <c r="O3126" s="14" t="s">
        <v>1220</v>
      </c>
    </row>
    <row r="3127" spans="1:15" x14ac:dyDescent="0.25">
      <c r="A3127" s="14" t="s">
        <v>6963</v>
      </c>
      <c r="B3127" s="14" t="s">
        <v>6964</v>
      </c>
      <c r="C3127" s="14" t="s">
        <v>6964</v>
      </c>
      <c r="D3127" s="14" t="s">
        <v>1223</v>
      </c>
      <c r="E3127" s="15"/>
      <c r="F3127" s="14"/>
      <c r="G3127" s="15"/>
      <c r="H3127" s="14" t="s">
        <v>1223</v>
      </c>
      <c r="I3127" s="14"/>
      <c r="J3127" s="14"/>
      <c r="K3127" s="14"/>
      <c r="L3127" s="14"/>
      <c r="M3127" s="14"/>
      <c r="N3127" s="14" t="s">
        <v>1219</v>
      </c>
      <c r="O3127" s="14" t="s">
        <v>6950</v>
      </c>
    </row>
    <row r="3128" spans="1:15" x14ac:dyDescent="0.25">
      <c r="A3128" s="14" t="s">
        <v>6965</v>
      </c>
      <c r="B3128" s="14" t="s">
        <v>6966</v>
      </c>
      <c r="C3128" s="14" t="s">
        <v>6966</v>
      </c>
      <c r="D3128" s="14" t="s">
        <v>1223</v>
      </c>
      <c r="E3128" s="15"/>
      <c r="F3128" s="14"/>
      <c r="G3128" s="15"/>
      <c r="H3128" s="14" t="s">
        <v>1223</v>
      </c>
      <c r="I3128" s="14"/>
      <c r="J3128" s="14"/>
      <c r="K3128" s="14"/>
      <c r="L3128" s="14"/>
      <c r="M3128" s="14"/>
      <c r="N3128" s="14" t="s">
        <v>1219</v>
      </c>
      <c r="O3128" s="14" t="s">
        <v>1220</v>
      </c>
    </row>
    <row r="3129" spans="1:15" x14ac:dyDescent="0.25">
      <c r="A3129" s="14" t="s">
        <v>6967</v>
      </c>
      <c r="B3129" s="14" t="s">
        <v>6968</v>
      </c>
      <c r="C3129" s="14" t="s">
        <v>6968</v>
      </c>
      <c r="D3129" s="14" t="s">
        <v>1223</v>
      </c>
      <c r="E3129" s="15"/>
      <c r="F3129" s="14"/>
      <c r="G3129" s="15"/>
      <c r="H3129" s="14" t="s">
        <v>1223</v>
      </c>
      <c r="I3129" s="14"/>
      <c r="J3129" s="14"/>
      <c r="K3129" s="14"/>
      <c r="L3129" s="14"/>
      <c r="M3129" s="14"/>
      <c r="N3129" s="14" t="s">
        <v>1219</v>
      </c>
      <c r="O3129" s="14" t="s">
        <v>1220</v>
      </c>
    </row>
    <row r="3130" spans="1:15" x14ac:dyDescent="0.25">
      <c r="A3130" s="14" t="s">
        <v>6969</v>
      </c>
      <c r="B3130" s="14" t="s">
        <v>6970</v>
      </c>
      <c r="C3130" s="14" t="s">
        <v>6970</v>
      </c>
      <c r="D3130" s="14" t="s">
        <v>1223</v>
      </c>
      <c r="E3130" s="15"/>
      <c r="F3130" s="14"/>
      <c r="G3130" s="15"/>
      <c r="H3130" s="14" t="s">
        <v>1223</v>
      </c>
      <c r="I3130" s="14"/>
      <c r="J3130" s="14"/>
      <c r="K3130" s="14"/>
      <c r="L3130" s="14"/>
      <c r="M3130" s="14"/>
      <c r="N3130" s="14" t="s">
        <v>1219</v>
      </c>
      <c r="O3130" s="14" t="s">
        <v>1220</v>
      </c>
    </row>
    <row r="3131" spans="1:15" x14ac:dyDescent="0.25">
      <c r="A3131" s="14" t="s">
        <v>6971</v>
      </c>
      <c r="B3131" s="14" t="s">
        <v>6972</v>
      </c>
      <c r="C3131" s="14" t="s">
        <v>6972</v>
      </c>
      <c r="D3131" s="14" t="s">
        <v>1223</v>
      </c>
      <c r="E3131" s="15"/>
      <c r="F3131" s="14"/>
      <c r="G3131" s="15"/>
      <c r="H3131" s="14" t="s">
        <v>1223</v>
      </c>
      <c r="I3131" s="14"/>
      <c r="J3131" s="14"/>
      <c r="K3131" s="14"/>
      <c r="L3131" s="14"/>
      <c r="M3131" s="14"/>
      <c r="N3131" s="14" t="s">
        <v>1219</v>
      </c>
      <c r="O3131" s="14" t="s">
        <v>1220</v>
      </c>
    </row>
    <row r="3132" spans="1:15" x14ac:dyDescent="0.25">
      <c r="A3132" s="14" t="s">
        <v>6973</v>
      </c>
      <c r="B3132" s="14" t="s">
        <v>6974</v>
      </c>
      <c r="C3132" s="14" t="s">
        <v>6974</v>
      </c>
      <c r="D3132" s="14" t="s">
        <v>1223</v>
      </c>
      <c r="E3132" s="15"/>
      <c r="F3132" s="14"/>
      <c r="G3132" s="15"/>
      <c r="H3132" s="14" t="s">
        <v>1223</v>
      </c>
      <c r="I3132" s="14"/>
      <c r="J3132" s="14"/>
      <c r="K3132" s="14"/>
      <c r="L3132" s="14"/>
      <c r="M3132" s="14"/>
      <c r="N3132" s="14" t="s">
        <v>1219</v>
      </c>
      <c r="O3132" s="14" t="s">
        <v>1220</v>
      </c>
    </row>
    <row r="3133" spans="1:15" x14ac:dyDescent="0.25">
      <c r="A3133" s="14" t="s">
        <v>6975</v>
      </c>
      <c r="B3133" s="14" t="s">
        <v>6976</v>
      </c>
      <c r="C3133" s="14" t="s">
        <v>6976</v>
      </c>
      <c r="D3133" s="14" t="s">
        <v>1223</v>
      </c>
      <c r="E3133" s="15"/>
      <c r="F3133" s="14"/>
      <c r="G3133" s="15"/>
      <c r="H3133" s="14" t="s">
        <v>1223</v>
      </c>
      <c r="I3133" s="14"/>
      <c r="J3133" s="14"/>
      <c r="K3133" s="14"/>
      <c r="L3133" s="14"/>
      <c r="M3133" s="14"/>
      <c r="N3133" s="14" t="s">
        <v>1219</v>
      </c>
      <c r="O3133" s="14" t="s">
        <v>1220</v>
      </c>
    </row>
    <row r="3134" spans="1:15" x14ac:dyDescent="0.25">
      <c r="A3134" s="14" t="s">
        <v>6977</v>
      </c>
      <c r="B3134" s="14" t="s">
        <v>6978</v>
      </c>
      <c r="C3134" s="14" t="s">
        <v>6978</v>
      </c>
      <c r="D3134" s="14" t="s">
        <v>1223</v>
      </c>
      <c r="E3134" s="15"/>
      <c r="F3134" s="14"/>
      <c r="G3134" s="15"/>
      <c r="H3134" s="14" t="s">
        <v>1223</v>
      </c>
      <c r="I3134" s="14"/>
      <c r="J3134" s="14"/>
      <c r="K3134" s="14"/>
      <c r="L3134" s="14"/>
      <c r="M3134" s="14"/>
      <c r="N3134" s="14" t="s">
        <v>1219</v>
      </c>
      <c r="O3134" s="14" t="s">
        <v>1220</v>
      </c>
    </row>
    <row r="3135" spans="1:15" x14ac:dyDescent="0.25">
      <c r="A3135" s="14" t="s">
        <v>6979</v>
      </c>
      <c r="B3135" s="14" t="s">
        <v>6980</v>
      </c>
      <c r="C3135" s="14" t="s">
        <v>6980</v>
      </c>
      <c r="D3135" s="14" t="s">
        <v>1223</v>
      </c>
      <c r="E3135" s="15"/>
      <c r="F3135" s="14"/>
      <c r="G3135" s="15"/>
      <c r="H3135" s="14" t="s">
        <v>1223</v>
      </c>
      <c r="I3135" s="14"/>
      <c r="J3135" s="14"/>
      <c r="K3135" s="14"/>
      <c r="L3135" s="14"/>
      <c r="M3135" s="14"/>
      <c r="N3135" s="14" t="s">
        <v>1219</v>
      </c>
      <c r="O3135" s="14" t="s">
        <v>1220</v>
      </c>
    </row>
    <row r="3136" spans="1:15" x14ac:dyDescent="0.25">
      <c r="A3136" s="14" t="s">
        <v>6981</v>
      </c>
      <c r="B3136" s="14" t="s">
        <v>6982</v>
      </c>
      <c r="C3136" s="14" t="s">
        <v>6982</v>
      </c>
      <c r="D3136" s="14" t="s">
        <v>1223</v>
      </c>
      <c r="E3136" s="15"/>
      <c r="F3136" s="14"/>
      <c r="G3136" s="15"/>
      <c r="H3136" s="14" t="s">
        <v>1223</v>
      </c>
      <c r="I3136" s="14"/>
      <c r="J3136" s="14"/>
      <c r="K3136" s="14"/>
      <c r="L3136" s="14"/>
      <c r="M3136" s="14"/>
      <c r="N3136" s="14" t="s">
        <v>1219</v>
      </c>
      <c r="O3136" s="14" t="s">
        <v>1220</v>
      </c>
    </row>
    <row r="3137" spans="1:15" x14ac:dyDescent="0.25">
      <c r="A3137" s="14" t="s">
        <v>6983</v>
      </c>
      <c r="B3137" s="14" t="s">
        <v>6984</v>
      </c>
      <c r="C3137" s="14" t="s">
        <v>6984</v>
      </c>
      <c r="D3137" s="14" t="s">
        <v>1223</v>
      </c>
      <c r="E3137" s="15"/>
      <c r="F3137" s="14"/>
      <c r="G3137" s="15"/>
      <c r="H3137" s="14" t="s">
        <v>1223</v>
      </c>
      <c r="I3137" s="14"/>
      <c r="J3137" s="14"/>
      <c r="K3137" s="14"/>
      <c r="L3137" s="14"/>
      <c r="M3137" s="14"/>
      <c r="N3137" s="14" t="s">
        <v>1219</v>
      </c>
      <c r="O3137" s="14" t="s">
        <v>1220</v>
      </c>
    </row>
    <row r="3138" spans="1:15" x14ac:dyDescent="0.25">
      <c r="A3138" s="14" t="s">
        <v>6985</v>
      </c>
      <c r="B3138" s="14" t="s">
        <v>6986</v>
      </c>
      <c r="C3138" s="14" t="s">
        <v>6986</v>
      </c>
      <c r="D3138" s="14" t="s">
        <v>1223</v>
      </c>
      <c r="E3138" s="15"/>
      <c r="F3138" s="14"/>
      <c r="G3138" s="15"/>
      <c r="H3138" s="14" t="s">
        <v>1223</v>
      </c>
      <c r="I3138" s="14"/>
      <c r="J3138" s="14"/>
      <c r="K3138" s="14"/>
      <c r="L3138" s="14"/>
      <c r="M3138" s="14"/>
      <c r="N3138" s="14" t="s">
        <v>1219</v>
      </c>
      <c r="O3138" s="14" t="s">
        <v>1220</v>
      </c>
    </row>
    <row r="3139" spans="1:15" x14ac:dyDescent="0.25">
      <c r="A3139" s="14" t="s">
        <v>6987</v>
      </c>
      <c r="B3139" s="14" t="s">
        <v>6988</v>
      </c>
      <c r="C3139" s="14" t="s">
        <v>6988</v>
      </c>
      <c r="D3139" s="14" t="s">
        <v>1223</v>
      </c>
      <c r="E3139" s="15"/>
      <c r="F3139" s="14"/>
      <c r="G3139" s="15"/>
      <c r="H3139" s="14" t="s">
        <v>1223</v>
      </c>
      <c r="I3139" s="14"/>
      <c r="J3139" s="14"/>
      <c r="K3139" s="14"/>
      <c r="L3139" s="14"/>
      <c r="M3139" s="14"/>
      <c r="N3139" s="14" t="s">
        <v>1219</v>
      </c>
      <c r="O3139" s="14" t="s">
        <v>1220</v>
      </c>
    </row>
    <row r="3140" spans="1:15" x14ac:dyDescent="0.25">
      <c r="A3140" s="14" t="s">
        <v>6989</v>
      </c>
      <c r="B3140" s="14" t="s">
        <v>6990</v>
      </c>
      <c r="C3140" s="14" t="s">
        <v>6990</v>
      </c>
      <c r="D3140" s="14" t="s">
        <v>1223</v>
      </c>
      <c r="E3140" s="15"/>
      <c r="F3140" s="14"/>
      <c r="G3140" s="15"/>
      <c r="H3140" s="14" t="s">
        <v>1223</v>
      </c>
      <c r="I3140" s="14"/>
      <c r="J3140" s="14"/>
      <c r="K3140" s="14"/>
      <c r="L3140" s="14"/>
      <c r="M3140" s="14"/>
      <c r="N3140" s="14" t="s">
        <v>1219</v>
      </c>
      <c r="O3140" s="14" t="s">
        <v>1220</v>
      </c>
    </row>
    <row r="3141" spans="1:15" x14ac:dyDescent="0.25">
      <c r="A3141" s="14" t="s">
        <v>6991</v>
      </c>
      <c r="B3141" s="14" t="s">
        <v>6992</v>
      </c>
      <c r="C3141" s="14" t="s">
        <v>6992</v>
      </c>
      <c r="D3141" s="14" t="s">
        <v>1223</v>
      </c>
      <c r="E3141" s="15"/>
      <c r="F3141" s="14"/>
      <c r="G3141" s="15"/>
      <c r="H3141" s="14" t="s">
        <v>1223</v>
      </c>
      <c r="I3141" s="14"/>
      <c r="J3141" s="14"/>
      <c r="K3141" s="14"/>
      <c r="L3141" s="14"/>
      <c r="M3141" s="14"/>
      <c r="N3141" s="14" t="s">
        <v>1219</v>
      </c>
      <c r="O3141" s="14" t="s">
        <v>1220</v>
      </c>
    </row>
    <row r="3142" spans="1:15" x14ac:dyDescent="0.25">
      <c r="A3142" s="14" t="s">
        <v>6993</v>
      </c>
      <c r="B3142" s="14" t="s">
        <v>6994</v>
      </c>
      <c r="C3142" s="14" t="s">
        <v>6994</v>
      </c>
      <c r="D3142" s="14" t="s">
        <v>1223</v>
      </c>
      <c r="E3142" s="15"/>
      <c r="F3142" s="14"/>
      <c r="G3142" s="15"/>
      <c r="H3142" s="14" t="s">
        <v>1223</v>
      </c>
      <c r="I3142" s="14"/>
      <c r="J3142" s="14"/>
      <c r="K3142" s="14"/>
      <c r="L3142" s="14"/>
      <c r="M3142" s="14"/>
      <c r="N3142" s="14" t="s">
        <v>1219</v>
      </c>
      <c r="O3142" s="14" t="s">
        <v>1220</v>
      </c>
    </row>
    <row r="3143" spans="1:15" x14ac:dyDescent="0.25">
      <c r="A3143" s="14" t="s">
        <v>6995</v>
      </c>
      <c r="B3143" s="14" t="s">
        <v>6996</v>
      </c>
      <c r="C3143" s="14" t="s">
        <v>6996</v>
      </c>
      <c r="D3143" s="14" t="s">
        <v>1223</v>
      </c>
      <c r="E3143" s="15"/>
      <c r="F3143" s="14"/>
      <c r="G3143" s="15"/>
      <c r="H3143" s="14" t="s">
        <v>1223</v>
      </c>
      <c r="I3143" s="14"/>
      <c r="J3143" s="14"/>
      <c r="K3143" s="14"/>
      <c r="L3143" s="14"/>
      <c r="M3143" s="14"/>
      <c r="N3143" s="14" t="s">
        <v>1219</v>
      </c>
      <c r="O3143" s="14" t="s">
        <v>1220</v>
      </c>
    </row>
    <row r="3144" spans="1:15" x14ac:dyDescent="0.25">
      <c r="A3144" s="14" t="s">
        <v>6997</v>
      </c>
      <c r="B3144" s="14" t="s">
        <v>6998</v>
      </c>
      <c r="C3144" s="14" t="s">
        <v>6998</v>
      </c>
      <c r="D3144" s="14" t="s">
        <v>1223</v>
      </c>
      <c r="E3144" s="15"/>
      <c r="F3144" s="14"/>
      <c r="G3144" s="15"/>
      <c r="H3144" s="14" t="s">
        <v>1223</v>
      </c>
      <c r="I3144" s="14"/>
      <c r="J3144" s="14"/>
      <c r="K3144" s="14"/>
      <c r="L3144" s="14"/>
      <c r="M3144" s="14"/>
      <c r="N3144" s="14" t="s">
        <v>1219</v>
      </c>
      <c r="O3144" s="14" t="s">
        <v>1220</v>
      </c>
    </row>
    <row r="3145" spans="1:15" x14ac:dyDescent="0.25">
      <c r="A3145" s="14" t="s">
        <v>6999</v>
      </c>
      <c r="B3145" s="14" t="s">
        <v>7000</v>
      </c>
      <c r="C3145" s="14" t="s">
        <v>7000</v>
      </c>
      <c r="D3145" s="14" t="s">
        <v>1223</v>
      </c>
      <c r="E3145" s="15"/>
      <c r="F3145" s="14"/>
      <c r="G3145" s="15"/>
      <c r="H3145" s="14" t="s">
        <v>1223</v>
      </c>
      <c r="I3145" s="14"/>
      <c r="J3145" s="14"/>
      <c r="K3145" s="14"/>
      <c r="L3145" s="14"/>
      <c r="M3145" s="14"/>
      <c r="N3145" s="14" t="s">
        <v>1219</v>
      </c>
      <c r="O3145" s="14" t="s">
        <v>1220</v>
      </c>
    </row>
    <row r="3146" spans="1:15" x14ac:dyDescent="0.25">
      <c r="A3146" s="14" t="s">
        <v>7001</v>
      </c>
      <c r="B3146" s="14" t="s">
        <v>7002</v>
      </c>
      <c r="C3146" s="14" t="s">
        <v>7002</v>
      </c>
      <c r="D3146" s="14" t="s">
        <v>1223</v>
      </c>
      <c r="E3146" s="15"/>
      <c r="F3146" s="14"/>
      <c r="G3146" s="15"/>
      <c r="H3146" s="14" t="s">
        <v>1223</v>
      </c>
      <c r="I3146" s="14"/>
      <c r="J3146" s="14"/>
      <c r="K3146" s="14"/>
      <c r="L3146" s="14"/>
      <c r="M3146" s="14"/>
      <c r="N3146" s="14" t="s">
        <v>1219</v>
      </c>
      <c r="O3146" s="14" t="s">
        <v>1220</v>
      </c>
    </row>
    <row r="3147" spans="1:15" x14ac:dyDescent="0.25">
      <c r="A3147" s="14" t="s">
        <v>7003</v>
      </c>
      <c r="B3147" s="14" t="s">
        <v>7004</v>
      </c>
      <c r="C3147" s="14" t="s">
        <v>7004</v>
      </c>
      <c r="D3147" s="14" t="s">
        <v>1223</v>
      </c>
      <c r="E3147" s="15"/>
      <c r="F3147" s="14"/>
      <c r="G3147" s="15"/>
      <c r="H3147" s="14" t="s">
        <v>1223</v>
      </c>
      <c r="I3147" s="14"/>
      <c r="J3147" s="14"/>
      <c r="K3147" s="14"/>
      <c r="L3147" s="14"/>
      <c r="M3147" s="14"/>
      <c r="N3147" s="14" t="s">
        <v>1219</v>
      </c>
      <c r="O3147" s="14" t="s">
        <v>1220</v>
      </c>
    </row>
    <row r="3148" spans="1:15" x14ac:dyDescent="0.25">
      <c r="A3148" s="14" t="s">
        <v>7005</v>
      </c>
      <c r="B3148" s="14" t="s">
        <v>7006</v>
      </c>
      <c r="C3148" s="14" t="s">
        <v>7006</v>
      </c>
      <c r="D3148" s="14" t="s">
        <v>1223</v>
      </c>
      <c r="E3148" s="15"/>
      <c r="F3148" s="14"/>
      <c r="G3148" s="15"/>
      <c r="H3148" s="14" t="s">
        <v>1223</v>
      </c>
      <c r="I3148" s="14"/>
      <c r="J3148" s="14"/>
      <c r="K3148" s="14"/>
      <c r="L3148" s="14"/>
      <c r="M3148" s="14"/>
      <c r="N3148" s="14" t="s">
        <v>1219</v>
      </c>
      <c r="O3148" s="14" t="s">
        <v>6950</v>
      </c>
    </row>
    <row r="3149" spans="1:15" x14ac:dyDescent="0.25">
      <c r="A3149" s="14">
        <v>946</v>
      </c>
      <c r="B3149" s="14" t="s">
        <v>7007</v>
      </c>
      <c r="C3149" s="14" t="s">
        <v>7007</v>
      </c>
      <c r="D3149" s="14" t="s">
        <v>1349</v>
      </c>
      <c r="E3149" s="15"/>
      <c r="F3149" s="14"/>
      <c r="G3149" s="15"/>
      <c r="H3149" s="14" t="s">
        <v>3129</v>
      </c>
      <c r="I3149" s="14" t="s">
        <v>1360</v>
      </c>
      <c r="J3149" s="14" t="s">
        <v>1360</v>
      </c>
      <c r="K3149" s="14"/>
      <c r="L3149" s="14"/>
      <c r="M3149" s="14" t="s">
        <v>3131</v>
      </c>
      <c r="N3149" s="14" t="s">
        <v>1219</v>
      </c>
      <c r="O3149" s="14" t="s">
        <v>1220</v>
      </c>
    </row>
    <row r="3150" spans="1:15" x14ac:dyDescent="0.25">
      <c r="A3150" s="14">
        <v>949</v>
      </c>
      <c r="B3150" s="14" t="s">
        <v>7008</v>
      </c>
      <c r="C3150" s="14" t="s">
        <v>7008</v>
      </c>
      <c r="D3150" s="14" t="s">
        <v>1349</v>
      </c>
      <c r="E3150" s="15"/>
      <c r="F3150" s="14" t="s">
        <v>1350</v>
      </c>
      <c r="G3150" s="15"/>
      <c r="H3150" s="14" t="s">
        <v>3129</v>
      </c>
      <c r="I3150" s="14" t="s">
        <v>1351</v>
      </c>
      <c r="J3150" s="14" t="s">
        <v>1351</v>
      </c>
      <c r="K3150" s="14" t="s">
        <v>1257</v>
      </c>
      <c r="L3150" s="14" t="s">
        <v>6918</v>
      </c>
      <c r="M3150" s="14" t="s">
        <v>3131</v>
      </c>
      <c r="N3150" s="14" t="s">
        <v>1219</v>
      </c>
      <c r="O3150" s="14" t="s">
        <v>1220</v>
      </c>
    </row>
    <row r="3151" spans="1:15" x14ac:dyDescent="0.25">
      <c r="A3151" s="14">
        <v>947</v>
      </c>
      <c r="B3151" s="14" t="s">
        <v>7009</v>
      </c>
      <c r="C3151" s="14" t="s">
        <v>7009</v>
      </c>
      <c r="D3151" s="14" t="s">
        <v>1349</v>
      </c>
      <c r="E3151" s="15"/>
      <c r="F3151" s="14" t="s">
        <v>1350</v>
      </c>
      <c r="G3151" s="15"/>
      <c r="H3151" s="14" t="s">
        <v>3129</v>
      </c>
      <c r="I3151" s="14" t="s">
        <v>1351</v>
      </c>
      <c r="J3151" s="14" t="s">
        <v>1351</v>
      </c>
      <c r="K3151" s="14" t="s">
        <v>1257</v>
      </c>
      <c r="L3151" s="14" t="s">
        <v>6918</v>
      </c>
      <c r="M3151" s="14" t="s">
        <v>3131</v>
      </c>
      <c r="N3151" s="14" t="s">
        <v>1219</v>
      </c>
      <c r="O3151" s="14" t="s">
        <v>1220</v>
      </c>
    </row>
    <row r="3152" spans="1:15" x14ac:dyDescent="0.25">
      <c r="A3152" s="14">
        <v>948</v>
      </c>
      <c r="B3152" s="14" t="s">
        <v>7010</v>
      </c>
      <c r="C3152" s="14" t="s">
        <v>7010</v>
      </c>
      <c r="D3152" s="14" t="s">
        <v>1349</v>
      </c>
      <c r="E3152" s="15"/>
      <c r="F3152" s="14" t="s">
        <v>1350</v>
      </c>
      <c r="G3152" s="15"/>
      <c r="H3152" s="14" t="s">
        <v>3129</v>
      </c>
      <c r="I3152" s="14" t="s">
        <v>1351</v>
      </c>
      <c r="J3152" s="14" t="s">
        <v>1351</v>
      </c>
      <c r="K3152" s="14" t="s">
        <v>1257</v>
      </c>
      <c r="L3152" s="14" t="s">
        <v>6918</v>
      </c>
      <c r="M3152" s="14" t="s">
        <v>3131</v>
      </c>
      <c r="N3152" s="14" t="s">
        <v>1219</v>
      </c>
      <c r="O3152" s="14" t="s">
        <v>1220</v>
      </c>
    </row>
    <row r="3153" spans="1:15" x14ac:dyDescent="0.25">
      <c r="A3153" s="14">
        <v>1040103</v>
      </c>
      <c r="B3153" s="14" t="s">
        <v>7011</v>
      </c>
      <c r="C3153" s="14" t="s">
        <v>7011</v>
      </c>
      <c r="D3153" s="14" t="s">
        <v>1215</v>
      </c>
      <c r="E3153" s="15"/>
      <c r="F3153" s="14" t="s">
        <v>1216</v>
      </c>
      <c r="G3153" s="15"/>
      <c r="H3153" s="14" t="s">
        <v>1216</v>
      </c>
      <c r="I3153" s="14" t="s">
        <v>1217</v>
      </c>
      <c r="J3153" s="14" t="s">
        <v>1233</v>
      </c>
      <c r="K3153" s="14"/>
      <c r="L3153" s="14"/>
      <c r="M3153" s="14" t="s">
        <v>2260</v>
      </c>
      <c r="N3153" s="14" t="s">
        <v>1219</v>
      </c>
      <c r="O3153" s="14" t="s">
        <v>1220</v>
      </c>
    </row>
    <row r="3154" spans="1:15" x14ac:dyDescent="0.25">
      <c r="A3154" s="14">
        <v>1040101</v>
      </c>
      <c r="B3154" s="14" t="s">
        <v>7012</v>
      </c>
      <c r="C3154" s="14" t="s">
        <v>7012</v>
      </c>
      <c r="D3154" s="14" t="s">
        <v>1215</v>
      </c>
      <c r="E3154" s="15"/>
      <c r="F3154" s="14" t="s">
        <v>1216</v>
      </c>
      <c r="G3154" s="15"/>
      <c r="H3154" s="14" t="s">
        <v>1216</v>
      </c>
      <c r="I3154" s="14" t="s">
        <v>1217</v>
      </c>
      <c r="J3154" s="14" t="s">
        <v>1233</v>
      </c>
      <c r="K3154" s="14"/>
      <c r="L3154" s="14"/>
      <c r="M3154" s="14" t="s">
        <v>2260</v>
      </c>
      <c r="N3154" s="14" t="s">
        <v>1219</v>
      </c>
      <c r="O3154" s="14" t="s">
        <v>1220</v>
      </c>
    </row>
    <row r="3155" spans="1:15" x14ac:dyDescent="0.25">
      <c r="A3155" s="14">
        <v>1700002</v>
      </c>
      <c r="B3155" s="14" t="s">
        <v>7013</v>
      </c>
      <c r="C3155" s="14" t="s">
        <v>7013</v>
      </c>
      <c r="D3155" s="14" t="s">
        <v>1824</v>
      </c>
      <c r="E3155" s="15"/>
      <c r="F3155" s="14" t="s">
        <v>1533</v>
      </c>
      <c r="G3155" s="15"/>
      <c r="H3155" s="14" t="s">
        <v>1534</v>
      </c>
      <c r="I3155" s="14" t="s">
        <v>1360</v>
      </c>
      <c r="J3155" s="14" t="s">
        <v>1351</v>
      </c>
      <c r="K3155" s="14"/>
      <c r="L3155" s="14"/>
      <c r="M3155" s="14" t="s">
        <v>1218</v>
      </c>
      <c r="N3155" s="14" t="s">
        <v>1219</v>
      </c>
      <c r="O3155" s="14" t="s">
        <v>1220</v>
      </c>
    </row>
    <row r="3156" spans="1:15" x14ac:dyDescent="0.25">
      <c r="A3156" s="14">
        <v>1700006</v>
      </c>
      <c r="B3156" s="14" t="s">
        <v>7014</v>
      </c>
      <c r="C3156" s="14" t="s">
        <v>7014</v>
      </c>
      <c r="D3156" s="14" t="s">
        <v>1824</v>
      </c>
      <c r="E3156" s="15"/>
      <c r="F3156" s="14" t="s">
        <v>1533</v>
      </c>
      <c r="G3156" s="15"/>
      <c r="H3156" s="14" t="s">
        <v>1534</v>
      </c>
      <c r="I3156" s="14" t="s">
        <v>1360</v>
      </c>
      <c r="J3156" s="14" t="s">
        <v>1351</v>
      </c>
      <c r="K3156" s="14"/>
      <c r="L3156" s="14"/>
      <c r="M3156" s="14" t="s">
        <v>1218</v>
      </c>
      <c r="N3156" s="14" t="s">
        <v>1219</v>
      </c>
      <c r="O3156" s="14" t="s">
        <v>1220</v>
      </c>
    </row>
    <row r="3157" spans="1:15" x14ac:dyDescent="0.25">
      <c r="A3157" s="14">
        <v>1700004</v>
      </c>
      <c r="B3157" s="14" t="s">
        <v>7015</v>
      </c>
      <c r="C3157" s="14" t="s">
        <v>7015</v>
      </c>
      <c r="D3157" s="14" t="s">
        <v>1824</v>
      </c>
      <c r="E3157" s="15"/>
      <c r="F3157" s="14" t="s">
        <v>1533</v>
      </c>
      <c r="G3157" s="15"/>
      <c r="H3157" s="14" t="s">
        <v>1534</v>
      </c>
      <c r="I3157" s="14" t="s">
        <v>1360</v>
      </c>
      <c r="J3157" s="14" t="s">
        <v>1351</v>
      </c>
      <c r="K3157" s="14"/>
      <c r="L3157" s="14"/>
      <c r="M3157" s="14" t="s">
        <v>1218</v>
      </c>
      <c r="N3157" s="14" t="s">
        <v>1219</v>
      </c>
      <c r="O3157" s="14" t="s">
        <v>1220</v>
      </c>
    </row>
    <row r="3158" spans="1:15" x14ac:dyDescent="0.25">
      <c r="A3158" s="14">
        <v>2770</v>
      </c>
      <c r="B3158" s="14" t="s">
        <v>25</v>
      </c>
      <c r="C3158" s="14" t="s">
        <v>25</v>
      </c>
      <c r="D3158" s="14" t="s">
        <v>1535</v>
      </c>
      <c r="E3158" s="16">
        <v>12</v>
      </c>
      <c r="F3158" s="14" t="s">
        <v>1536</v>
      </c>
      <c r="G3158" s="16">
        <v>180</v>
      </c>
      <c r="H3158" s="14" t="s">
        <v>1535</v>
      </c>
      <c r="I3158" s="14" t="s">
        <v>1256</v>
      </c>
      <c r="J3158" s="14" t="s">
        <v>1242</v>
      </c>
      <c r="K3158" s="14" t="s">
        <v>1537</v>
      </c>
      <c r="L3158" s="14" t="s">
        <v>7016</v>
      </c>
      <c r="M3158" s="14" t="s">
        <v>2260</v>
      </c>
      <c r="N3158" s="14" t="s">
        <v>1237</v>
      </c>
      <c r="O3158" s="14" t="s">
        <v>1220</v>
      </c>
    </row>
    <row r="3159" spans="1:15" x14ac:dyDescent="0.25">
      <c r="A3159" s="14">
        <v>2772</v>
      </c>
      <c r="B3159" s="14" t="s">
        <v>26</v>
      </c>
      <c r="C3159" s="14" t="s">
        <v>26</v>
      </c>
      <c r="D3159" s="14" t="s">
        <v>1535</v>
      </c>
      <c r="E3159" s="16">
        <v>12</v>
      </c>
      <c r="F3159" s="14" t="s">
        <v>1536</v>
      </c>
      <c r="G3159" s="16">
        <v>12</v>
      </c>
      <c r="H3159" s="14" t="s">
        <v>1535</v>
      </c>
      <c r="I3159" s="14" t="s">
        <v>1256</v>
      </c>
      <c r="J3159" s="14" t="s">
        <v>1242</v>
      </c>
      <c r="K3159" s="14" t="s">
        <v>1537</v>
      </c>
      <c r="L3159" s="14" t="s">
        <v>7017</v>
      </c>
      <c r="M3159" s="14" t="s">
        <v>2260</v>
      </c>
      <c r="N3159" s="14" t="s">
        <v>1237</v>
      </c>
      <c r="O3159" s="14" t="s">
        <v>1220</v>
      </c>
    </row>
    <row r="3160" spans="1:15" x14ac:dyDescent="0.25">
      <c r="A3160" s="14">
        <v>2771</v>
      </c>
      <c r="B3160" s="14" t="s">
        <v>27</v>
      </c>
      <c r="C3160" s="14" t="s">
        <v>27</v>
      </c>
      <c r="D3160" s="14" t="s">
        <v>1535</v>
      </c>
      <c r="E3160" s="16">
        <v>12</v>
      </c>
      <c r="F3160" s="14" t="s">
        <v>1536</v>
      </c>
      <c r="G3160" s="16">
        <v>12</v>
      </c>
      <c r="H3160" s="14" t="s">
        <v>1535</v>
      </c>
      <c r="I3160" s="14" t="s">
        <v>1256</v>
      </c>
      <c r="J3160" s="14" t="s">
        <v>1242</v>
      </c>
      <c r="K3160" s="14" t="s">
        <v>1537</v>
      </c>
      <c r="L3160" s="14" t="s">
        <v>7018</v>
      </c>
      <c r="M3160" s="14" t="s">
        <v>2260</v>
      </c>
      <c r="N3160" s="14" t="s">
        <v>1237</v>
      </c>
      <c r="O3160" s="14" t="s">
        <v>1220</v>
      </c>
    </row>
    <row r="3161" spans="1:15" x14ac:dyDescent="0.25">
      <c r="A3161" s="14" t="s">
        <v>7019</v>
      </c>
      <c r="B3161" s="14" t="s">
        <v>7020</v>
      </c>
      <c r="C3161" s="14" t="s">
        <v>7020</v>
      </c>
      <c r="D3161" s="14" t="s">
        <v>1283</v>
      </c>
      <c r="E3161" s="15"/>
      <c r="F3161" s="14" t="s">
        <v>1255</v>
      </c>
      <c r="G3161" s="15"/>
      <c r="H3161" s="14" t="s">
        <v>1255</v>
      </c>
      <c r="I3161" s="14" t="s">
        <v>1217</v>
      </c>
      <c r="J3161" s="14" t="s">
        <v>1242</v>
      </c>
      <c r="K3161" s="14"/>
      <c r="L3161" s="14"/>
      <c r="M3161" s="14" t="s">
        <v>2260</v>
      </c>
      <c r="N3161" s="14" t="s">
        <v>1219</v>
      </c>
      <c r="O3161" s="14" t="s">
        <v>1220</v>
      </c>
    </row>
    <row r="3162" spans="1:15" x14ac:dyDescent="0.25">
      <c r="A3162" s="14" t="s">
        <v>7021</v>
      </c>
      <c r="B3162" s="14" t="s">
        <v>7022</v>
      </c>
      <c r="C3162" s="14" t="s">
        <v>7022</v>
      </c>
      <c r="D3162" s="14" t="s">
        <v>1283</v>
      </c>
      <c r="E3162" s="15"/>
      <c r="F3162" s="14" t="s">
        <v>1255</v>
      </c>
      <c r="G3162" s="15"/>
      <c r="H3162" s="14" t="s">
        <v>1255</v>
      </c>
      <c r="I3162" s="14" t="s">
        <v>1217</v>
      </c>
      <c r="J3162" s="14" t="s">
        <v>1296</v>
      </c>
      <c r="K3162" s="14"/>
      <c r="L3162" s="14"/>
      <c r="M3162" s="14" t="s">
        <v>2260</v>
      </c>
      <c r="N3162" s="14" t="s">
        <v>1219</v>
      </c>
      <c r="O3162" s="14" t="s">
        <v>1220</v>
      </c>
    </row>
    <row r="3163" spans="1:15" x14ac:dyDescent="0.25">
      <c r="A3163" s="14" t="s">
        <v>7023</v>
      </c>
      <c r="B3163" s="14" t="s">
        <v>7024</v>
      </c>
      <c r="C3163" s="14" t="s">
        <v>7024</v>
      </c>
      <c r="D3163" s="14" t="s">
        <v>1283</v>
      </c>
      <c r="E3163" s="15"/>
      <c r="F3163" s="14" t="s">
        <v>1255</v>
      </c>
      <c r="G3163" s="15"/>
      <c r="H3163" s="14" t="s">
        <v>1255</v>
      </c>
      <c r="I3163" s="14" t="s">
        <v>1217</v>
      </c>
      <c r="J3163" s="14" t="s">
        <v>1296</v>
      </c>
      <c r="K3163" s="14"/>
      <c r="L3163" s="14"/>
      <c r="M3163" s="14" t="s">
        <v>2260</v>
      </c>
      <c r="N3163" s="14" t="s">
        <v>1219</v>
      </c>
      <c r="O3163" s="14" t="s">
        <v>1220</v>
      </c>
    </row>
    <row r="3164" spans="1:15" x14ac:dyDescent="0.25">
      <c r="A3164" s="14">
        <v>3613</v>
      </c>
      <c r="B3164" s="14" t="s">
        <v>548</v>
      </c>
      <c r="C3164" s="14" t="s">
        <v>548</v>
      </c>
      <c r="D3164" s="14" t="s">
        <v>7025</v>
      </c>
      <c r="E3164" s="16">
        <v>100</v>
      </c>
      <c r="F3164" s="14" t="s">
        <v>1255</v>
      </c>
      <c r="G3164" s="16">
        <v>500</v>
      </c>
      <c r="H3164" s="14" t="s">
        <v>1255</v>
      </c>
      <c r="I3164" s="14" t="s">
        <v>1256</v>
      </c>
      <c r="J3164" s="14" t="s">
        <v>1242</v>
      </c>
      <c r="K3164" s="14" t="s">
        <v>1257</v>
      </c>
      <c r="L3164" s="14" t="s">
        <v>7026</v>
      </c>
      <c r="M3164" s="14" t="s">
        <v>2260</v>
      </c>
      <c r="N3164" s="14" t="s">
        <v>1237</v>
      </c>
      <c r="O3164" s="14" t="s">
        <v>1220</v>
      </c>
    </row>
    <row r="3165" spans="1:15" x14ac:dyDescent="0.25">
      <c r="A3165" s="14" t="s">
        <v>7027</v>
      </c>
      <c r="B3165" s="14" t="s">
        <v>7028</v>
      </c>
      <c r="C3165" s="14" t="s">
        <v>7029</v>
      </c>
      <c r="D3165" s="14" t="s">
        <v>7025</v>
      </c>
      <c r="E3165" s="15"/>
      <c r="F3165" s="14" t="s">
        <v>1255</v>
      </c>
      <c r="G3165" s="15"/>
      <c r="H3165" s="14" t="s">
        <v>1255</v>
      </c>
      <c r="I3165" s="14" t="s">
        <v>1262</v>
      </c>
      <c r="J3165" s="14" t="s">
        <v>1262</v>
      </c>
      <c r="K3165" s="14"/>
      <c r="L3165" s="14" t="s">
        <v>7026</v>
      </c>
      <c r="M3165" s="14" t="s">
        <v>2260</v>
      </c>
      <c r="N3165" s="14" t="s">
        <v>1219</v>
      </c>
      <c r="O3165" s="14" t="s">
        <v>1220</v>
      </c>
    </row>
    <row r="3166" spans="1:15" x14ac:dyDescent="0.25">
      <c r="A3166" s="14">
        <v>3614</v>
      </c>
      <c r="B3166" s="14" t="s">
        <v>549</v>
      </c>
      <c r="C3166" s="14" t="s">
        <v>549</v>
      </c>
      <c r="D3166" s="14" t="s">
        <v>7025</v>
      </c>
      <c r="E3166" s="16">
        <v>50</v>
      </c>
      <c r="F3166" s="14" t="s">
        <v>1255</v>
      </c>
      <c r="G3166" s="16">
        <v>500</v>
      </c>
      <c r="H3166" s="14" t="s">
        <v>1255</v>
      </c>
      <c r="I3166" s="14" t="s">
        <v>1256</v>
      </c>
      <c r="J3166" s="14" t="s">
        <v>1242</v>
      </c>
      <c r="K3166" s="14" t="s">
        <v>1257</v>
      </c>
      <c r="L3166" s="14" t="s">
        <v>7030</v>
      </c>
      <c r="M3166" s="14" t="s">
        <v>2260</v>
      </c>
      <c r="N3166" s="14" t="s">
        <v>1237</v>
      </c>
      <c r="O3166" s="14" t="s">
        <v>1220</v>
      </c>
    </row>
    <row r="3167" spans="1:15" x14ac:dyDescent="0.25">
      <c r="A3167" s="14">
        <v>3615</v>
      </c>
      <c r="B3167" s="14" t="s">
        <v>550</v>
      </c>
      <c r="C3167" s="14" t="s">
        <v>550</v>
      </c>
      <c r="D3167" s="14" t="s">
        <v>7025</v>
      </c>
      <c r="E3167" s="16">
        <v>40</v>
      </c>
      <c r="F3167" s="14" t="s">
        <v>1255</v>
      </c>
      <c r="G3167" s="16">
        <v>300</v>
      </c>
      <c r="H3167" s="14" t="s">
        <v>1255</v>
      </c>
      <c r="I3167" s="14" t="s">
        <v>1256</v>
      </c>
      <c r="J3167" s="14" t="s">
        <v>1296</v>
      </c>
      <c r="K3167" s="14" t="s">
        <v>1257</v>
      </c>
      <c r="L3167" s="14" t="s">
        <v>7031</v>
      </c>
      <c r="M3167" s="14" t="s">
        <v>2260</v>
      </c>
      <c r="N3167" s="14" t="s">
        <v>1237</v>
      </c>
      <c r="O3167" s="14" t="s">
        <v>1220</v>
      </c>
    </row>
    <row r="3168" spans="1:15" x14ac:dyDescent="0.25">
      <c r="A3168" s="14">
        <v>3616</v>
      </c>
      <c r="B3168" s="14" t="s">
        <v>551</v>
      </c>
      <c r="C3168" s="14" t="s">
        <v>551</v>
      </c>
      <c r="D3168" s="14" t="s">
        <v>7025</v>
      </c>
      <c r="E3168" s="16">
        <v>100</v>
      </c>
      <c r="F3168" s="14" t="s">
        <v>1255</v>
      </c>
      <c r="G3168" s="16">
        <v>500</v>
      </c>
      <c r="H3168" s="14" t="s">
        <v>1255</v>
      </c>
      <c r="I3168" s="14" t="s">
        <v>1256</v>
      </c>
      <c r="J3168" s="14" t="s">
        <v>1296</v>
      </c>
      <c r="K3168" s="14" t="s">
        <v>1257</v>
      </c>
      <c r="L3168" s="14" t="s">
        <v>7032</v>
      </c>
      <c r="M3168" s="14" t="s">
        <v>2260</v>
      </c>
      <c r="N3168" s="14" t="s">
        <v>1237</v>
      </c>
      <c r="O3168" s="14" t="s">
        <v>1220</v>
      </c>
    </row>
    <row r="3169" spans="1:15" x14ac:dyDescent="0.25">
      <c r="A3169" s="14" t="s">
        <v>7033</v>
      </c>
      <c r="B3169" s="14" t="s">
        <v>7034</v>
      </c>
      <c r="C3169" s="14" t="s">
        <v>7034</v>
      </c>
      <c r="D3169" s="14" t="s">
        <v>7025</v>
      </c>
      <c r="E3169" s="15"/>
      <c r="F3169" s="14" t="s">
        <v>1350</v>
      </c>
      <c r="G3169" s="15"/>
      <c r="H3169" s="14" t="s">
        <v>1255</v>
      </c>
      <c r="I3169" s="14" t="s">
        <v>1262</v>
      </c>
      <c r="J3169" s="14" t="s">
        <v>1262</v>
      </c>
      <c r="K3169" s="14" t="s">
        <v>1257</v>
      </c>
      <c r="L3169" s="14" t="s">
        <v>7032</v>
      </c>
      <c r="M3169" s="14" t="s">
        <v>2260</v>
      </c>
      <c r="N3169" s="14" t="s">
        <v>1219</v>
      </c>
      <c r="O3169" s="14" t="s">
        <v>1220</v>
      </c>
    </row>
    <row r="3170" spans="1:15" x14ac:dyDescent="0.25">
      <c r="A3170" s="14">
        <v>3617</v>
      </c>
      <c r="B3170" s="14" t="s">
        <v>552</v>
      </c>
      <c r="C3170" s="14" t="s">
        <v>552</v>
      </c>
      <c r="D3170" s="14" t="s">
        <v>7025</v>
      </c>
      <c r="E3170" s="16">
        <v>60</v>
      </c>
      <c r="F3170" s="14" t="s">
        <v>1255</v>
      </c>
      <c r="G3170" s="16">
        <v>500</v>
      </c>
      <c r="H3170" s="14" t="s">
        <v>1255</v>
      </c>
      <c r="I3170" s="14" t="s">
        <v>1256</v>
      </c>
      <c r="J3170" s="14" t="s">
        <v>1296</v>
      </c>
      <c r="K3170" s="14" t="s">
        <v>1257</v>
      </c>
      <c r="L3170" s="14" t="s">
        <v>7035</v>
      </c>
      <c r="M3170" s="14" t="s">
        <v>2260</v>
      </c>
      <c r="N3170" s="14" t="s">
        <v>1237</v>
      </c>
      <c r="O3170" s="14" t="s">
        <v>1220</v>
      </c>
    </row>
    <row r="3171" spans="1:15" x14ac:dyDescent="0.25">
      <c r="A3171" s="14">
        <v>3618</v>
      </c>
      <c r="B3171" s="14" t="s">
        <v>553</v>
      </c>
      <c r="C3171" s="14" t="s">
        <v>553</v>
      </c>
      <c r="D3171" s="14" t="s">
        <v>7025</v>
      </c>
      <c r="E3171" s="16">
        <v>30</v>
      </c>
      <c r="F3171" s="14" t="s">
        <v>1255</v>
      </c>
      <c r="G3171" s="16">
        <v>150</v>
      </c>
      <c r="H3171" s="14" t="s">
        <v>1255</v>
      </c>
      <c r="I3171" s="14" t="s">
        <v>1256</v>
      </c>
      <c r="J3171" s="14" t="s">
        <v>1296</v>
      </c>
      <c r="K3171" s="14" t="s">
        <v>1257</v>
      </c>
      <c r="L3171" s="14" t="s">
        <v>7036</v>
      </c>
      <c r="M3171" s="14" t="s">
        <v>2260</v>
      </c>
      <c r="N3171" s="14" t="s">
        <v>1237</v>
      </c>
      <c r="O3171" s="14" t="s">
        <v>1220</v>
      </c>
    </row>
    <row r="3172" spans="1:15" x14ac:dyDescent="0.25">
      <c r="A3172" s="14" t="s">
        <v>7037</v>
      </c>
      <c r="B3172" s="14" t="s">
        <v>7038</v>
      </c>
      <c r="C3172" s="14" t="s">
        <v>7038</v>
      </c>
      <c r="D3172" s="14" t="s">
        <v>7025</v>
      </c>
      <c r="E3172" s="15"/>
      <c r="F3172" s="14" t="s">
        <v>1255</v>
      </c>
      <c r="G3172" s="15"/>
      <c r="H3172" s="14" t="s">
        <v>1255</v>
      </c>
      <c r="I3172" s="14" t="s">
        <v>1262</v>
      </c>
      <c r="J3172" s="14" t="s">
        <v>1262</v>
      </c>
      <c r="K3172" s="14"/>
      <c r="L3172" s="14" t="s">
        <v>7036</v>
      </c>
      <c r="M3172" s="14" t="s">
        <v>2260</v>
      </c>
      <c r="N3172" s="14" t="s">
        <v>1219</v>
      </c>
      <c r="O3172" s="14" t="s">
        <v>1220</v>
      </c>
    </row>
    <row r="3173" spans="1:15" x14ac:dyDescent="0.25">
      <c r="A3173" s="14">
        <v>2720</v>
      </c>
      <c r="B3173" s="14" t="s">
        <v>249</v>
      </c>
      <c r="C3173" s="14" t="s">
        <v>249</v>
      </c>
      <c r="D3173" s="14" t="s">
        <v>3223</v>
      </c>
      <c r="E3173" s="16">
        <v>250</v>
      </c>
      <c r="F3173" s="14" t="s">
        <v>1544</v>
      </c>
      <c r="G3173" s="16">
        <v>250</v>
      </c>
      <c r="H3173" s="14" t="s">
        <v>2078</v>
      </c>
      <c r="I3173" s="14" t="s">
        <v>1256</v>
      </c>
      <c r="J3173" s="14" t="s">
        <v>1233</v>
      </c>
      <c r="K3173" s="14" t="s">
        <v>1546</v>
      </c>
      <c r="L3173" s="14" t="s">
        <v>7039</v>
      </c>
      <c r="M3173" s="14" t="s">
        <v>1324</v>
      </c>
      <c r="N3173" s="14" t="s">
        <v>1237</v>
      </c>
      <c r="O3173" s="14" t="s">
        <v>1220</v>
      </c>
    </row>
    <row r="3174" spans="1:15" x14ac:dyDescent="0.25">
      <c r="A3174" s="14" t="s">
        <v>7040</v>
      </c>
      <c r="B3174" s="14" t="s">
        <v>7041</v>
      </c>
      <c r="C3174" s="14" t="s">
        <v>7041</v>
      </c>
      <c r="D3174" s="14" t="s">
        <v>1553</v>
      </c>
      <c r="E3174" s="15"/>
      <c r="F3174" s="14" t="s">
        <v>1544</v>
      </c>
      <c r="G3174" s="15"/>
      <c r="H3174" s="14" t="s">
        <v>2078</v>
      </c>
      <c r="I3174" s="14" t="s">
        <v>1262</v>
      </c>
      <c r="J3174" s="14" t="s">
        <v>1262</v>
      </c>
      <c r="K3174" s="14"/>
      <c r="L3174" s="14" t="s">
        <v>7039</v>
      </c>
      <c r="M3174" s="14" t="s">
        <v>1324</v>
      </c>
      <c r="N3174" s="14" t="s">
        <v>1219</v>
      </c>
      <c r="O3174" s="14" t="s">
        <v>1220</v>
      </c>
    </row>
    <row r="3175" spans="1:15" x14ac:dyDescent="0.25">
      <c r="A3175" s="14">
        <v>2721</v>
      </c>
      <c r="B3175" s="14" t="s">
        <v>250</v>
      </c>
      <c r="C3175" s="14" t="s">
        <v>250</v>
      </c>
      <c r="D3175" s="14" t="s">
        <v>3223</v>
      </c>
      <c r="E3175" s="16">
        <v>250</v>
      </c>
      <c r="F3175" s="14" t="s">
        <v>1544</v>
      </c>
      <c r="G3175" s="16">
        <v>250</v>
      </c>
      <c r="H3175" s="14" t="s">
        <v>2078</v>
      </c>
      <c r="I3175" s="14" t="s">
        <v>1256</v>
      </c>
      <c r="J3175" s="14" t="s">
        <v>1242</v>
      </c>
      <c r="K3175" s="14" t="s">
        <v>1546</v>
      </c>
      <c r="L3175" s="14" t="s">
        <v>7042</v>
      </c>
      <c r="M3175" s="14" t="s">
        <v>1324</v>
      </c>
      <c r="N3175" s="14" t="s">
        <v>1237</v>
      </c>
      <c r="O3175" s="14" t="s">
        <v>1220</v>
      </c>
    </row>
    <row r="3176" spans="1:15" x14ac:dyDescent="0.25">
      <c r="A3176" s="14" t="s">
        <v>7043</v>
      </c>
      <c r="B3176" s="14" t="s">
        <v>7044</v>
      </c>
      <c r="C3176" s="14" t="s">
        <v>7044</v>
      </c>
      <c r="D3176" s="14" t="s">
        <v>1553</v>
      </c>
      <c r="E3176" s="15"/>
      <c r="F3176" s="14" t="s">
        <v>1544</v>
      </c>
      <c r="G3176" s="15"/>
      <c r="H3176" s="14" t="s">
        <v>2078</v>
      </c>
      <c r="I3176" s="14" t="s">
        <v>1262</v>
      </c>
      <c r="J3176" s="14" t="s">
        <v>1262</v>
      </c>
      <c r="K3176" s="14"/>
      <c r="L3176" s="14" t="s">
        <v>7042</v>
      </c>
      <c r="M3176" s="14" t="s">
        <v>1324</v>
      </c>
      <c r="N3176" s="14" t="s">
        <v>1219</v>
      </c>
      <c r="O3176" s="14" t="s">
        <v>1220</v>
      </c>
    </row>
    <row r="3177" spans="1:15" x14ac:dyDescent="0.25">
      <c r="A3177" s="14" t="s">
        <v>7045</v>
      </c>
      <c r="B3177" s="14" t="s">
        <v>7046</v>
      </c>
      <c r="C3177" s="14" t="s">
        <v>7046</v>
      </c>
      <c r="D3177" s="14" t="s">
        <v>1427</v>
      </c>
      <c r="E3177" s="15"/>
      <c r="F3177" s="14"/>
      <c r="G3177" s="15"/>
      <c r="H3177" s="14" t="s">
        <v>1440</v>
      </c>
      <c r="I3177" s="14"/>
      <c r="J3177" s="14"/>
      <c r="K3177" s="14"/>
      <c r="L3177" s="14" t="s">
        <v>7047</v>
      </c>
      <c r="M3177" s="14"/>
      <c r="N3177" s="14" t="s">
        <v>1219</v>
      </c>
      <c r="O3177" s="14" t="s">
        <v>1429</v>
      </c>
    </row>
    <row r="3178" spans="1:15" x14ac:dyDescent="0.25">
      <c r="A3178" s="14">
        <v>4503</v>
      </c>
      <c r="B3178" s="14" t="s">
        <v>766</v>
      </c>
      <c r="C3178" s="14" t="s">
        <v>766</v>
      </c>
      <c r="D3178" s="14" t="s">
        <v>7048</v>
      </c>
      <c r="E3178" s="16">
        <v>40</v>
      </c>
      <c r="F3178" s="14" t="s">
        <v>1321</v>
      </c>
      <c r="G3178" s="16">
        <v>560</v>
      </c>
      <c r="H3178" s="14" t="s">
        <v>1322</v>
      </c>
      <c r="I3178" s="14" t="s">
        <v>1256</v>
      </c>
      <c r="J3178" s="14" t="s">
        <v>1242</v>
      </c>
      <c r="K3178" s="14" t="s">
        <v>1257</v>
      </c>
      <c r="L3178" s="14" t="s">
        <v>7049</v>
      </c>
      <c r="M3178" s="14" t="s">
        <v>1324</v>
      </c>
      <c r="N3178" s="14" t="s">
        <v>1237</v>
      </c>
      <c r="O3178" s="14" t="s">
        <v>1220</v>
      </c>
    </row>
    <row r="3179" spans="1:15" x14ac:dyDescent="0.25">
      <c r="A3179" s="14">
        <v>2387</v>
      </c>
      <c r="B3179" s="14" t="s">
        <v>767</v>
      </c>
      <c r="C3179" s="14" t="s">
        <v>767</v>
      </c>
      <c r="D3179" s="14" t="s">
        <v>7048</v>
      </c>
      <c r="E3179" s="16">
        <v>70</v>
      </c>
      <c r="F3179" s="14" t="s">
        <v>1321</v>
      </c>
      <c r="G3179" s="17">
        <v>1400</v>
      </c>
      <c r="H3179" s="14" t="s">
        <v>1322</v>
      </c>
      <c r="I3179" s="14" t="s">
        <v>1256</v>
      </c>
      <c r="J3179" s="14" t="s">
        <v>1242</v>
      </c>
      <c r="K3179" s="14" t="s">
        <v>1257</v>
      </c>
      <c r="L3179" s="14" t="s">
        <v>7050</v>
      </c>
      <c r="M3179" s="14" t="s">
        <v>1324</v>
      </c>
      <c r="N3179" s="14" t="s">
        <v>1237</v>
      </c>
      <c r="O3179" s="14" t="s">
        <v>1220</v>
      </c>
    </row>
    <row r="3180" spans="1:15" x14ac:dyDescent="0.25">
      <c r="A3180" s="14" t="s">
        <v>7051</v>
      </c>
      <c r="B3180" s="14" t="s">
        <v>7052</v>
      </c>
      <c r="C3180" s="14" t="s">
        <v>7052</v>
      </c>
      <c r="D3180" s="14" t="s">
        <v>7048</v>
      </c>
      <c r="E3180" s="15"/>
      <c r="F3180" s="14" t="s">
        <v>1321</v>
      </c>
      <c r="G3180" s="15"/>
      <c r="H3180" s="14" t="s">
        <v>1322</v>
      </c>
      <c r="I3180" s="14" t="s">
        <v>1262</v>
      </c>
      <c r="J3180" s="14" t="s">
        <v>1262</v>
      </c>
      <c r="K3180" s="14"/>
      <c r="L3180" s="14" t="s">
        <v>7050</v>
      </c>
      <c r="M3180" s="14" t="s">
        <v>1324</v>
      </c>
      <c r="N3180" s="14" t="s">
        <v>1219</v>
      </c>
      <c r="O3180" s="14" t="s">
        <v>1220</v>
      </c>
    </row>
    <row r="3181" spans="1:15" x14ac:dyDescent="0.25">
      <c r="A3181" s="14">
        <v>4502</v>
      </c>
      <c r="B3181" s="14" t="s">
        <v>768</v>
      </c>
      <c r="C3181" s="14" t="s">
        <v>768</v>
      </c>
      <c r="D3181" s="14" t="s">
        <v>7048</v>
      </c>
      <c r="E3181" s="16">
        <v>40</v>
      </c>
      <c r="F3181" s="14" t="s">
        <v>1321</v>
      </c>
      <c r="G3181" s="16">
        <v>440</v>
      </c>
      <c r="H3181" s="14" t="s">
        <v>1322</v>
      </c>
      <c r="I3181" s="14" t="s">
        <v>1256</v>
      </c>
      <c r="J3181" s="14" t="s">
        <v>1242</v>
      </c>
      <c r="K3181" s="14" t="s">
        <v>1257</v>
      </c>
      <c r="L3181" s="14" t="s">
        <v>7053</v>
      </c>
      <c r="M3181" s="14" t="s">
        <v>1324</v>
      </c>
      <c r="N3181" s="14" t="s">
        <v>1237</v>
      </c>
      <c r="O3181" s="14" t="s">
        <v>1220</v>
      </c>
    </row>
    <row r="3182" spans="1:15" x14ac:dyDescent="0.25">
      <c r="A3182" s="14">
        <v>4498</v>
      </c>
      <c r="B3182" s="14" t="s">
        <v>759</v>
      </c>
      <c r="C3182" s="14" t="s">
        <v>7054</v>
      </c>
      <c r="D3182" s="14" t="s">
        <v>7048</v>
      </c>
      <c r="E3182" s="16">
        <v>120</v>
      </c>
      <c r="F3182" s="14" t="s">
        <v>1321</v>
      </c>
      <c r="G3182" s="16">
        <v>600</v>
      </c>
      <c r="H3182" s="14" t="s">
        <v>1322</v>
      </c>
      <c r="I3182" s="14" t="s">
        <v>1256</v>
      </c>
      <c r="J3182" s="14" t="s">
        <v>1296</v>
      </c>
      <c r="K3182" s="14" t="s">
        <v>1257</v>
      </c>
      <c r="L3182" s="14" t="s">
        <v>7055</v>
      </c>
      <c r="M3182" s="14" t="s">
        <v>1324</v>
      </c>
      <c r="N3182" s="14" t="s">
        <v>1237</v>
      </c>
      <c r="O3182" s="14" t="s">
        <v>1220</v>
      </c>
    </row>
    <row r="3183" spans="1:15" x14ac:dyDescent="0.25">
      <c r="A3183" s="14" t="s">
        <v>7056</v>
      </c>
      <c r="B3183" s="14" t="s">
        <v>7057</v>
      </c>
      <c r="C3183" s="14" t="s">
        <v>7058</v>
      </c>
      <c r="D3183" s="14" t="s">
        <v>7048</v>
      </c>
      <c r="E3183" s="15"/>
      <c r="F3183" s="14" t="s">
        <v>1321</v>
      </c>
      <c r="G3183" s="15"/>
      <c r="H3183" s="14" t="s">
        <v>1322</v>
      </c>
      <c r="I3183" s="14" t="s">
        <v>1262</v>
      </c>
      <c r="J3183" s="14" t="s">
        <v>1262</v>
      </c>
      <c r="K3183" s="14"/>
      <c r="L3183" s="14" t="s">
        <v>7055</v>
      </c>
      <c r="M3183" s="14" t="s">
        <v>1324</v>
      </c>
      <c r="N3183" s="14" t="s">
        <v>1219</v>
      </c>
      <c r="O3183" s="14" t="s">
        <v>1220</v>
      </c>
    </row>
    <row r="3184" spans="1:15" x14ac:dyDescent="0.25">
      <c r="A3184" s="14">
        <v>2553</v>
      </c>
      <c r="B3184" s="14" t="s">
        <v>760</v>
      </c>
      <c r="C3184" s="14" t="s">
        <v>7059</v>
      </c>
      <c r="D3184" s="14" t="s">
        <v>7048</v>
      </c>
      <c r="E3184" s="16">
        <v>200</v>
      </c>
      <c r="F3184" s="14" t="s">
        <v>1321</v>
      </c>
      <c r="G3184" s="17">
        <v>3400</v>
      </c>
      <c r="H3184" s="14" t="s">
        <v>1322</v>
      </c>
      <c r="I3184" s="14" t="s">
        <v>1256</v>
      </c>
      <c r="J3184" s="14" t="s">
        <v>1233</v>
      </c>
      <c r="K3184" s="14" t="s">
        <v>1257</v>
      </c>
      <c r="L3184" s="14" t="s">
        <v>7060</v>
      </c>
      <c r="M3184" s="14" t="s">
        <v>1324</v>
      </c>
      <c r="N3184" s="14" t="s">
        <v>1237</v>
      </c>
      <c r="O3184" s="14" t="s">
        <v>1220</v>
      </c>
    </row>
    <row r="3185" spans="1:15" x14ac:dyDescent="0.25">
      <c r="A3185" s="14" t="s">
        <v>7061</v>
      </c>
      <c r="B3185" s="14" t="s">
        <v>7062</v>
      </c>
      <c r="C3185" s="14" t="s">
        <v>7063</v>
      </c>
      <c r="D3185" s="14" t="s">
        <v>7048</v>
      </c>
      <c r="E3185" s="15"/>
      <c r="F3185" s="14" t="s">
        <v>1321</v>
      </c>
      <c r="G3185" s="15"/>
      <c r="H3185" s="14" t="s">
        <v>1322</v>
      </c>
      <c r="I3185" s="14" t="s">
        <v>1262</v>
      </c>
      <c r="J3185" s="14" t="s">
        <v>1262</v>
      </c>
      <c r="K3185" s="14"/>
      <c r="L3185" s="14" t="s">
        <v>7060</v>
      </c>
      <c r="M3185" s="14" t="s">
        <v>1324</v>
      </c>
      <c r="N3185" s="14" t="s">
        <v>1219</v>
      </c>
      <c r="O3185" s="14" t="s">
        <v>1220</v>
      </c>
    </row>
    <row r="3186" spans="1:15" x14ac:dyDescent="0.25">
      <c r="A3186" s="14">
        <v>2552</v>
      </c>
      <c r="B3186" s="14" t="s">
        <v>761</v>
      </c>
      <c r="C3186" s="14" t="s">
        <v>7064</v>
      </c>
      <c r="D3186" s="14" t="s">
        <v>7048</v>
      </c>
      <c r="E3186" s="16">
        <v>300</v>
      </c>
      <c r="F3186" s="14" t="s">
        <v>1321</v>
      </c>
      <c r="G3186" s="17">
        <v>19200</v>
      </c>
      <c r="H3186" s="14" t="s">
        <v>1322</v>
      </c>
      <c r="I3186" s="14" t="s">
        <v>1256</v>
      </c>
      <c r="J3186" s="14" t="s">
        <v>1233</v>
      </c>
      <c r="K3186" s="14" t="s">
        <v>1257</v>
      </c>
      <c r="L3186" s="14" t="s">
        <v>7065</v>
      </c>
      <c r="M3186" s="14" t="s">
        <v>1324</v>
      </c>
      <c r="N3186" s="14" t="s">
        <v>1237</v>
      </c>
      <c r="O3186" s="14" t="s">
        <v>1220</v>
      </c>
    </row>
    <row r="3187" spans="1:15" x14ac:dyDescent="0.25">
      <c r="A3187" s="14" t="s">
        <v>7066</v>
      </c>
      <c r="B3187" s="14" t="s">
        <v>7067</v>
      </c>
      <c r="C3187" s="14" t="s">
        <v>7068</v>
      </c>
      <c r="D3187" s="14" t="s">
        <v>7048</v>
      </c>
      <c r="E3187" s="15"/>
      <c r="F3187" s="14" t="s">
        <v>1321</v>
      </c>
      <c r="G3187" s="15"/>
      <c r="H3187" s="14" t="s">
        <v>1322</v>
      </c>
      <c r="I3187" s="14" t="s">
        <v>1262</v>
      </c>
      <c r="J3187" s="14" t="s">
        <v>1262</v>
      </c>
      <c r="K3187" s="14"/>
      <c r="L3187" s="14" t="s">
        <v>7065</v>
      </c>
      <c r="M3187" s="14" t="s">
        <v>1324</v>
      </c>
      <c r="N3187" s="14" t="s">
        <v>1219</v>
      </c>
      <c r="O3187" s="14" t="s">
        <v>1220</v>
      </c>
    </row>
    <row r="3188" spans="1:15" x14ac:dyDescent="0.25">
      <c r="A3188" s="14">
        <v>2386</v>
      </c>
      <c r="B3188" s="14" t="s">
        <v>769</v>
      </c>
      <c r="C3188" s="14" t="s">
        <v>769</v>
      </c>
      <c r="D3188" s="14" t="s">
        <v>7048</v>
      </c>
      <c r="E3188" s="16">
        <v>70</v>
      </c>
      <c r="F3188" s="14" t="s">
        <v>1321</v>
      </c>
      <c r="G3188" s="16">
        <v>910</v>
      </c>
      <c r="H3188" s="14" t="s">
        <v>1322</v>
      </c>
      <c r="I3188" s="14" t="s">
        <v>1256</v>
      </c>
      <c r="J3188" s="14" t="s">
        <v>1242</v>
      </c>
      <c r="K3188" s="14" t="s">
        <v>1257</v>
      </c>
      <c r="L3188" s="14" t="s">
        <v>7069</v>
      </c>
      <c r="M3188" s="14" t="s">
        <v>1324</v>
      </c>
      <c r="N3188" s="14" t="s">
        <v>1237</v>
      </c>
      <c r="O3188" s="14" t="s">
        <v>1220</v>
      </c>
    </row>
    <row r="3189" spans="1:15" x14ac:dyDescent="0.25">
      <c r="A3189" s="14" t="s">
        <v>7070</v>
      </c>
      <c r="B3189" s="14" t="s">
        <v>7071</v>
      </c>
      <c r="C3189" s="14" t="s">
        <v>7071</v>
      </c>
      <c r="D3189" s="14" t="s">
        <v>7048</v>
      </c>
      <c r="E3189" s="15"/>
      <c r="F3189" s="14" t="s">
        <v>1321</v>
      </c>
      <c r="G3189" s="15"/>
      <c r="H3189" s="14" t="s">
        <v>1322</v>
      </c>
      <c r="I3189" s="14" t="s">
        <v>1262</v>
      </c>
      <c r="J3189" s="14" t="s">
        <v>1262</v>
      </c>
      <c r="K3189" s="14" t="s">
        <v>1257</v>
      </c>
      <c r="L3189" s="14" t="s">
        <v>7069</v>
      </c>
      <c r="M3189" s="14" t="s">
        <v>1324</v>
      </c>
      <c r="N3189" s="14" t="s">
        <v>1219</v>
      </c>
      <c r="O3189" s="14" t="s">
        <v>1220</v>
      </c>
    </row>
    <row r="3190" spans="1:15" x14ac:dyDescent="0.25">
      <c r="A3190" s="14">
        <v>2556</v>
      </c>
      <c r="B3190" s="14" t="s">
        <v>770</v>
      </c>
      <c r="C3190" s="14" t="s">
        <v>770</v>
      </c>
      <c r="D3190" s="14" t="s">
        <v>7048</v>
      </c>
      <c r="E3190" s="16">
        <v>120</v>
      </c>
      <c r="F3190" s="14" t="s">
        <v>1321</v>
      </c>
      <c r="G3190" s="17">
        <v>1800</v>
      </c>
      <c r="H3190" s="14" t="s">
        <v>1322</v>
      </c>
      <c r="I3190" s="14" t="s">
        <v>1256</v>
      </c>
      <c r="J3190" s="14" t="s">
        <v>1242</v>
      </c>
      <c r="K3190" s="14" t="s">
        <v>1257</v>
      </c>
      <c r="L3190" s="14" t="s">
        <v>7072</v>
      </c>
      <c r="M3190" s="14" t="s">
        <v>1324</v>
      </c>
      <c r="N3190" s="14" t="s">
        <v>1237</v>
      </c>
      <c r="O3190" s="14" t="s">
        <v>1220</v>
      </c>
    </row>
    <row r="3191" spans="1:15" x14ac:dyDescent="0.25">
      <c r="A3191" s="14" t="s">
        <v>7073</v>
      </c>
      <c r="B3191" s="14" t="s">
        <v>7074</v>
      </c>
      <c r="C3191" s="14" t="s">
        <v>7074</v>
      </c>
      <c r="D3191" s="14" t="s">
        <v>7048</v>
      </c>
      <c r="E3191" s="15"/>
      <c r="F3191" s="14" t="s">
        <v>1321</v>
      </c>
      <c r="G3191" s="15"/>
      <c r="H3191" s="14" t="s">
        <v>1322</v>
      </c>
      <c r="I3191" s="14" t="s">
        <v>1262</v>
      </c>
      <c r="J3191" s="14" t="s">
        <v>1262</v>
      </c>
      <c r="K3191" s="14"/>
      <c r="L3191" s="14" t="s">
        <v>7072</v>
      </c>
      <c r="M3191" s="14" t="s">
        <v>1324</v>
      </c>
      <c r="N3191" s="14" t="s">
        <v>1219</v>
      </c>
      <c r="O3191" s="14" t="s">
        <v>1220</v>
      </c>
    </row>
    <row r="3192" spans="1:15" x14ac:dyDescent="0.25">
      <c r="A3192" s="14">
        <v>4501</v>
      </c>
      <c r="B3192" s="14" t="s">
        <v>771</v>
      </c>
      <c r="C3192" s="14" t="s">
        <v>771</v>
      </c>
      <c r="D3192" s="14" t="s">
        <v>7048</v>
      </c>
      <c r="E3192" s="16">
        <v>40</v>
      </c>
      <c r="F3192" s="14" t="s">
        <v>1321</v>
      </c>
      <c r="G3192" s="16">
        <v>400</v>
      </c>
      <c r="H3192" s="14" t="s">
        <v>1322</v>
      </c>
      <c r="I3192" s="14" t="s">
        <v>1256</v>
      </c>
      <c r="J3192" s="14" t="s">
        <v>1296</v>
      </c>
      <c r="K3192" s="14" t="s">
        <v>1257</v>
      </c>
      <c r="L3192" s="14" t="s">
        <v>7075</v>
      </c>
      <c r="M3192" s="14" t="s">
        <v>1324</v>
      </c>
      <c r="N3192" s="14" t="s">
        <v>1237</v>
      </c>
      <c r="O3192" s="14" t="s">
        <v>1220</v>
      </c>
    </row>
    <row r="3193" spans="1:15" x14ac:dyDescent="0.25">
      <c r="A3193" s="14">
        <v>4499</v>
      </c>
      <c r="B3193" s="14" t="s">
        <v>762</v>
      </c>
      <c r="C3193" s="14" t="s">
        <v>7076</v>
      </c>
      <c r="D3193" s="14" t="s">
        <v>7048</v>
      </c>
      <c r="E3193" s="16">
        <v>70</v>
      </c>
      <c r="F3193" s="14" t="s">
        <v>1321</v>
      </c>
      <c r="G3193" s="16">
        <v>630</v>
      </c>
      <c r="H3193" s="14" t="s">
        <v>1322</v>
      </c>
      <c r="I3193" s="14" t="s">
        <v>1256</v>
      </c>
      <c r="J3193" s="14" t="s">
        <v>1296</v>
      </c>
      <c r="K3193" s="14" t="s">
        <v>1257</v>
      </c>
      <c r="L3193" s="14" t="s">
        <v>7077</v>
      </c>
      <c r="M3193" s="14" t="s">
        <v>1324</v>
      </c>
      <c r="N3193" s="14" t="s">
        <v>1237</v>
      </c>
      <c r="O3193" s="14" t="s">
        <v>1220</v>
      </c>
    </row>
    <row r="3194" spans="1:15" x14ac:dyDescent="0.25">
      <c r="A3194" s="14">
        <v>2555</v>
      </c>
      <c r="B3194" s="14" t="s">
        <v>763</v>
      </c>
      <c r="C3194" s="14" t="s">
        <v>7078</v>
      </c>
      <c r="D3194" s="14" t="s">
        <v>7048</v>
      </c>
      <c r="E3194" s="16">
        <v>120</v>
      </c>
      <c r="F3194" s="14" t="s">
        <v>1321</v>
      </c>
      <c r="G3194" s="17">
        <v>1440</v>
      </c>
      <c r="H3194" s="14" t="s">
        <v>1322</v>
      </c>
      <c r="I3194" s="14" t="s">
        <v>1256</v>
      </c>
      <c r="J3194" s="14" t="s">
        <v>1242</v>
      </c>
      <c r="K3194" s="14" t="s">
        <v>1257</v>
      </c>
      <c r="L3194" s="14" t="s">
        <v>7079</v>
      </c>
      <c r="M3194" s="14" t="s">
        <v>1324</v>
      </c>
      <c r="N3194" s="14" t="s">
        <v>1237</v>
      </c>
      <c r="O3194" s="14" t="s">
        <v>1220</v>
      </c>
    </row>
    <row r="3195" spans="1:15" x14ac:dyDescent="0.25">
      <c r="A3195" s="14" t="s">
        <v>7080</v>
      </c>
      <c r="B3195" s="14" t="s">
        <v>7081</v>
      </c>
      <c r="C3195" s="14" t="s">
        <v>7082</v>
      </c>
      <c r="D3195" s="14" t="s">
        <v>7048</v>
      </c>
      <c r="E3195" s="15"/>
      <c r="F3195" s="14" t="s">
        <v>1321</v>
      </c>
      <c r="G3195" s="15"/>
      <c r="H3195" s="14" t="s">
        <v>1322</v>
      </c>
      <c r="I3195" s="14" t="s">
        <v>1262</v>
      </c>
      <c r="J3195" s="14" t="s">
        <v>1262</v>
      </c>
      <c r="K3195" s="14"/>
      <c r="L3195" s="14" t="s">
        <v>7079</v>
      </c>
      <c r="M3195" s="14" t="s">
        <v>1324</v>
      </c>
      <c r="N3195" s="14" t="s">
        <v>1219</v>
      </c>
      <c r="O3195" s="14" t="s">
        <v>1220</v>
      </c>
    </row>
    <row r="3196" spans="1:15" x14ac:dyDescent="0.25">
      <c r="A3196" s="14">
        <v>2554</v>
      </c>
      <c r="B3196" s="14" t="s">
        <v>764</v>
      </c>
      <c r="C3196" s="14" t="s">
        <v>7083</v>
      </c>
      <c r="D3196" s="14" t="s">
        <v>7048</v>
      </c>
      <c r="E3196" s="16">
        <v>250</v>
      </c>
      <c r="F3196" s="14" t="s">
        <v>1321</v>
      </c>
      <c r="G3196" s="17">
        <v>5750</v>
      </c>
      <c r="H3196" s="14" t="s">
        <v>1322</v>
      </c>
      <c r="I3196" s="14" t="s">
        <v>1256</v>
      </c>
      <c r="J3196" s="14" t="s">
        <v>1233</v>
      </c>
      <c r="K3196" s="14" t="s">
        <v>1257</v>
      </c>
      <c r="L3196" s="14" t="s">
        <v>7084</v>
      </c>
      <c r="M3196" s="14" t="s">
        <v>1324</v>
      </c>
      <c r="N3196" s="14" t="s">
        <v>1237</v>
      </c>
      <c r="O3196" s="14" t="s">
        <v>1220</v>
      </c>
    </row>
    <row r="3197" spans="1:15" x14ac:dyDescent="0.25">
      <c r="A3197" s="14" t="s">
        <v>7085</v>
      </c>
      <c r="B3197" s="14" t="s">
        <v>7086</v>
      </c>
      <c r="C3197" s="14" t="s">
        <v>7087</v>
      </c>
      <c r="D3197" s="14" t="s">
        <v>7048</v>
      </c>
      <c r="E3197" s="15"/>
      <c r="F3197" s="14" t="s">
        <v>1321</v>
      </c>
      <c r="G3197" s="15"/>
      <c r="H3197" s="14" t="s">
        <v>1322</v>
      </c>
      <c r="I3197" s="14" t="s">
        <v>1262</v>
      </c>
      <c r="J3197" s="14" t="s">
        <v>1262</v>
      </c>
      <c r="K3197" s="14"/>
      <c r="L3197" s="14" t="s">
        <v>7084</v>
      </c>
      <c r="M3197" s="14" t="s">
        <v>1324</v>
      </c>
      <c r="N3197" s="14" t="s">
        <v>1219</v>
      </c>
      <c r="O3197" s="14" t="s">
        <v>1220</v>
      </c>
    </row>
    <row r="3198" spans="1:15" x14ac:dyDescent="0.25">
      <c r="A3198" s="14">
        <v>4500</v>
      </c>
      <c r="B3198" s="14" t="s">
        <v>765</v>
      </c>
      <c r="C3198" s="14" t="s">
        <v>7088</v>
      </c>
      <c r="D3198" s="14" t="s">
        <v>7048</v>
      </c>
      <c r="E3198" s="16">
        <v>45</v>
      </c>
      <c r="F3198" s="14" t="s">
        <v>1321</v>
      </c>
      <c r="G3198" s="16">
        <v>225</v>
      </c>
      <c r="H3198" s="14" t="s">
        <v>1322</v>
      </c>
      <c r="I3198" s="14" t="s">
        <v>1256</v>
      </c>
      <c r="J3198" s="14" t="s">
        <v>1296</v>
      </c>
      <c r="K3198" s="14" t="s">
        <v>1257</v>
      </c>
      <c r="L3198" s="14" t="s">
        <v>7089</v>
      </c>
      <c r="M3198" s="14" t="s">
        <v>1324</v>
      </c>
      <c r="N3198" s="14" t="s">
        <v>1237</v>
      </c>
      <c r="O3198" s="14" t="s">
        <v>1220</v>
      </c>
    </row>
    <row r="3199" spans="1:15" x14ac:dyDescent="0.25">
      <c r="A3199" s="14">
        <v>2551</v>
      </c>
      <c r="B3199" s="14" t="s">
        <v>758</v>
      </c>
      <c r="C3199" s="14" t="s">
        <v>7090</v>
      </c>
      <c r="D3199" s="14" t="s">
        <v>7048</v>
      </c>
      <c r="E3199" s="16">
        <v>500</v>
      </c>
      <c r="F3199" s="14" t="s">
        <v>1321</v>
      </c>
      <c r="G3199" s="17">
        <v>5500</v>
      </c>
      <c r="H3199" s="14" t="s">
        <v>1322</v>
      </c>
      <c r="I3199" s="14" t="s">
        <v>1256</v>
      </c>
      <c r="J3199" s="14" t="s">
        <v>1242</v>
      </c>
      <c r="K3199" s="14" t="s">
        <v>1257</v>
      </c>
      <c r="L3199" s="14" t="s">
        <v>7091</v>
      </c>
      <c r="M3199" s="14" t="s">
        <v>1324</v>
      </c>
      <c r="N3199" s="14" t="s">
        <v>1237</v>
      </c>
      <c r="O3199" s="14" t="s">
        <v>1220</v>
      </c>
    </row>
    <row r="3200" spans="1:15" x14ac:dyDescent="0.25">
      <c r="A3200" s="14" t="s">
        <v>7092</v>
      </c>
      <c r="B3200" s="14" t="s">
        <v>7093</v>
      </c>
      <c r="C3200" s="14" t="s">
        <v>7094</v>
      </c>
      <c r="D3200" s="14" t="s">
        <v>7048</v>
      </c>
      <c r="E3200" s="15"/>
      <c r="F3200" s="14" t="s">
        <v>1321</v>
      </c>
      <c r="G3200" s="15"/>
      <c r="H3200" s="14" t="s">
        <v>1322</v>
      </c>
      <c r="I3200" s="14" t="s">
        <v>1262</v>
      </c>
      <c r="J3200" s="14" t="s">
        <v>1262</v>
      </c>
      <c r="K3200" s="14"/>
      <c r="L3200" s="14" t="s">
        <v>7091</v>
      </c>
      <c r="M3200" s="14" t="s">
        <v>1324</v>
      </c>
      <c r="N3200" s="14" t="s">
        <v>1219</v>
      </c>
      <c r="O3200" s="14" t="s">
        <v>1220</v>
      </c>
    </row>
    <row r="3201" spans="1:15" x14ac:dyDescent="0.25">
      <c r="A3201" s="14" t="s">
        <v>7095</v>
      </c>
      <c r="B3201" s="14" t="s">
        <v>7096</v>
      </c>
      <c r="C3201" s="14" t="s">
        <v>7096</v>
      </c>
      <c r="D3201" s="14" t="s">
        <v>1349</v>
      </c>
      <c r="E3201" s="15"/>
      <c r="F3201" s="14" t="s">
        <v>1350</v>
      </c>
      <c r="G3201" s="15"/>
      <c r="H3201" s="14" t="s">
        <v>1380</v>
      </c>
      <c r="I3201" s="14" t="s">
        <v>1360</v>
      </c>
      <c r="J3201" s="14" t="s">
        <v>1360</v>
      </c>
      <c r="K3201" s="14" t="s">
        <v>1257</v>
      </c>
      <c r="L3201" s="14" t="s">
        <v>7075</v>
      </c>
      <c r="M3201" s="14" t="s">
        <v>1324</v>
      </c>
      <c r="N3201" s="14" t="s">
        <v>1219</v>
      </c>
      <c r="O3201" s="14" t="s">
        <v>1220</v>
      </c>
    </row>
    <row r="3202" spans="1:15" x14ac:dyDescent="0.25">
      <c r="A3202" s="14" t="s">
        <v>7097</v>
      </c>
      <c r="B3202" s="14" t="s">
        <v>7098</v>
      </c>
      <c r="C3202" s="14" t="s">
        <v>7098</v>
      </c>
      <c r="D3202" s="14" t="s">
        <v>1349</v>
      </c>
      <c r="E3202" s="15"/>
      <c r="F3202" s="14"/>
      <c r="G3202" s="15"/>
      <c r="H3202" s="14" t="s">
        <v>1380</v>
      </c>
      <c r="I3202" s="14" t="s">
        <v>1360</v>
      </c>
      <c r="J3202" s="14" t="s">
        <v>1360</v>
      </c>
      <c r="K3202" s="14"/>
      <c r="L3202" s="14"/>
      <c r="M3202" s="14" t="s">
        <v>1324</v>
      </c>
      <c r="N3202" s="14" t="s">
        <v>1219</v>
      </c>
      <c r="O3202" s="14" t="s">
        <v>1220</v>
      </c>
    </row>
    <row r="3203" spans="1:15" x14ac:dyDescent="0.25">
      <c r="A3203" s="14" t="s">
        <v>7099</v>
      </c>
      <c r="B3203" s="14" t="s">
        <v>7100</v>
      </c>
      <c r="C3203" s="14" t="s">
        <v>7100</v>
      </c>
      <c r="D3203" s="14" t="s">
        <v>1349</v>
      </c>
      <c r="E3203" s="15"/>
      <c r="F3203" s="14"/>
      <c r="G3203" s="15"/>
      <c r="H3203" s="14" t="s">
        <v>1380</v>
      </c>
      <c r="I3203" s="14" t="s">
        <v>1360</v>
      </c>
      <c r="J3203" s="14" t="s">
        <v>1360</v>
      </c>
      <c r="K3203" s="14"/>
      <c r="L3203" s="14"/>
      <c r="M3203" s="14" t="s">
        <v>1324</v>
      </c>
      <c r="N3203" s="14" t="s">
        <v>1219</v>
      </c>
      <c r="O3203" s="14" t="s">
        <v>1220</v>
      </c>
    </row>
    <row r="3204" spans="1:15" x14ac:dyDescent="0.25">
      <c r="A3204" s="14" t="s">
        <v>7101</v>
      </c>
      <c r="B3204" s="14" t="s">
        <v>7102</v>
      </c>
      <c r="C3204" s="14" t="s">
        <v>7102</v>
      </c>
      <c r="D3204" s="14" t="s">
        <v>7048</v>
      </c>
      <c r="E3204" s="15"/>
      <c r="F3204" s="14" t="s">
        <v>1350</v>
      </c>
      <c r="G3204" s="15"/>
      <c r="H3204" s="14" t="s">
        <v>1380</v>
      </c>
      <c r="I3204" s="14" t="s">
        <v>1360</v>
      </c>
      <c r="J3204" s="14" t="s">
        <v>1385</v>
      </c>
      <c r="K3204" s="14" t="s">
        <v>1257</v>
      </c>
      <c r="L3204" s="14" t="s">
        <v>7075</v>
      </c>
      <c r="M3204" s="14" t="s">
        <v>1324</v>
      </c>
      <c r="N3204" s="14" t="s">
        <v>1219</v>
      </c>
      <c r="O3204" s="14" t="s">
        <v>1220</v>
      </c>
    </row>
    <row r="3205" spans="1:15" x14ac:dyDescent="0.25">
      <c r="A3205" s="14" t="s">
        <v>7103</v>
      </c>
      <c r="B3205" s="14" t="s">
        <v>7104</v>
      </c>
      <c r="C3205" s="14" t="s">
        <v>7104</v>
      </c>
      <c r="D3205" s="14" t="s">
        <v>1349</v>
      </c>
      <c r="E3205" s="15"/>
      <c r="F3205" s="14"/>
      <c r="G3205" s="15"/>
      <c r="H3205" s="14" t="s">
        <v>1380</v>
      </c>
      <c r="I3205" s="14" t="s">
        <v>1360</v>
      </c>
      <c r="J3205" s="14" t="s">
        <v>1360</v>
      </c>
      <c r="K3205" s="14"/>
      <c r="L3205" s="14"/>
      <c r="M3205" s="14" t="s">
        <v>1324</v>
      </c>
      <c r="N3205" s="14" t="s">
        <v>1219</v>
      </c>
      <c r="O3205" s="14" t="s">
        <v>1220</v>
      </c>
    </row>
    <row r="3206" spans="1:15" x14ac:dyDescent="0.25">
      <c r="A3206" s="14" t="s">
        <v>7105</v>
      </c>
      <c r="B3206" s="14" t="s">
        <v>7106</v>
      </c>
      <c r="C3206" s="14" t="s">
        <v>7106</v>
      </c>
      <c r="D3206" s="14" t="s">
        <v>1349</v>
      </c>
      <c r="E3206" s="15"/>
      <c r="F3206" s="14"/>
      <c r="G3206" s="15"/>
      <c r="H3206" s="14" t="s">
        <v>1380</v>
      </c>
      <c r="I3206" s="14" t="s">
        <v>1360</v>
      </c>
      <c r="J3206" s="14" t="s">
        <v>1360</v>
      </c>
      <c r="K3206" s="14"/>
      <c r="L3206" s="14"/>
      <c r="M3206" s="14" t="s">
        <v>1324</v>
      </c>
      <c r="N3206" s="14" t="s">
        <v>1219</v>
      </c>
      <c r="O3206" s="14" t="s">
        <v>1220</v>
      </c>
    </row>
    <row r="3207" spans="1:15" x14ac:dyDescent="0.25">
      <c r="A3207" s="14" t="s">
        <v>7107</v>
      </c>
      <c r="B3207" s="14" t="s">
        <v>7108</v>
      </c>
      <c r="C3207" s="14" t="s">
        <v>7108</v>
      </c>
      <c r="D3207" s="14" t="s">
        <v>1349</v>
      </c>
      <c r="E3207" s="15"/>
      <c r="F3207" s="14"/>
      <c r="G3207" s="15"/>
      <c r="H3207" s="14" t="s">
        <v>1380</v>
      </c>
      <c r="I3207" s="14" t="s">
        <v>1360</v>
      </c>
      <c r="J3207" s="14" t="s">
        <v>1360</v>
      </c>
      <c r="K3207" s="14"/>
      <c r="L3207" s="14"/>
      <c r="M3207" s="14" t="s">
        <v>1324</v>
      </c>
      <c r="N3207" s="14" t="s">
        <v>1219</v>
      </c>
      <c r="O3207" s="14" t="s">
        <v>1220</v>
      </c>
    </row>
    <row r="3208" spans="1:15" x14ac:dyDescent="0.25">
      <c r="A3208" s="14" t="s">
        <v>7109</v>
      </c>
      <c r="B3208" s="14" t="s">
        <v>7110</v>
      </c>
      <c r="C3208" s="14" t="s">
        <v>7110</v>
      </c>
      <c r="D3208" s="14" t="s">
        <v>1349</v>
      </c>
      <c r="E3208" s="15"/>
      <c r="F3208" s="14"/>
      <c r="G3208" s="15"/>
      <c r="H3208" s="14" t="s">
        <v>1380</v>
      </c>
      <c r="I3208" s="14" t="s">
        <v>1360</v>
      </c>
      <c r="J3208" s="14" t="s">
        <v>1360</v>
      </c>
      <c r="K3208" s="14"/>
      <c r="L3208" s="14"/>
      <c r="M3208" s="14" t="s">
        <v>1324</v>
      </c>
      <c r="N3208" s="14" t="s">
        <v>1219</v>
      </c>
      <c r="O3208" s="14" t="s">
        <v>1220</v>
      </c>
    </row>
    <row r="3209" spans="1:15" x14ac:dyDescent="0.25">
      <c r="A3209" s="14" t="s">
        <v>7111</v>
      </c>
      <c r="B3209" s="14" t="s">
        <v>7112</v>
      </c>
      <c r="C3209" s="14" t="s">
        <v>7112</v>
      </c>
      <c r="D3209" s="14" t="s">
        <v>1349</v>
      </c>
      <c r="E3209" s="15"/>
      <c r="F3209" s="14" t="s">
        <v>1350</v>
      </c>
      <c r="G3209" s="15"/>
      <c r="H3209" s="14" t="s">
        <v>1380</v>
      </c>
      <c r="I3209" s="14" t="s">
        <v>1360</v>
      </c>
      <c r="J3209" s="14" t="s">
        <v>1360</v>
      </c>
      <c r="K3209" s="14" t="s">
        <v>1257</v>
      </c>
      <c r="L3209" s="14" t="s">
        <v>7075</v>
      </c>
      <c r="M3209" s="14" t="s">
        <v>1324</v>
      </c>
      <c r="N3209" s="14" t="s">
        <v>1219</v>
      </c>
      <c r="O3209" s="14" t="s">
        <v>1220</v>
      </c>
    </row>
    <row r="3210" spans="1:15" x14ac:dyDescent="0.25">
      <c r="A3210" s="14" t="s">
        <v>7113</v>
      </c>
      <c r="B3210" s="14" t="s">
        <v>7114</v>
      </c>
      <c r="C3210" s="14" t="s">
        <v>7114</v>
      </c>
      <c r="D3210" s="14" t="s">
        <v>1349</v>
      </c>
      <c r="E3210" s="15"/>
      <c r="F3210" s="14"/>
      <c r="G3210" s="15"/>
      <c r="H3210" s="14" t="s">
        <v>1380</v>
      </c>
      <c r="I3210" s="14" t="s">
        <v>1360</v>
      </c>
      <c r="J3210" s="14" t="s">
        <v>1360</v>
      </c>
      <c r="K3210" s="14"/>
      <c r="L3210" s="14"/>
      <c r="M3210" s="14" t="s">
        <v>1324</v>
      </c>
      <c r="N3210" s="14" t="s">
        <v>1219</v>
      </c>
      <c r="O3210" s="14" t="s">
        <v>1220</v>
      </c>
    </row>
    <row r="3211" spans="1:15" x14ac:dyDescent="0.25">
      <c r="A3211" s="14" t="s">
        <v>7115</v>
      </c>
      <c r="B3211" s="14" t="s">
        <v>7116</v>
      </c>
      <c r="C3211" s="14" t="s">
        <v>7116</v>
      </c>
      <c r="D3211" s="14" t="s">
        <v>1349</v>
      </c>
      <c r="E3211" s="15"/>
      <c r="F3211" s="14"/>
      <c r="G3211" s="15"/>
      <c r="H3211" s="14" t="s">
        <v>1380</v>
      </c>
      <c r="I3211" s="14" t="s">
        <v>1360</v>
      </c>
      <c r="J3211" s="14" t="s">
        <v>1360</v>
      </c>
      <c r="K3211" s="14"/>
      <c r="L3211" s="14"/>
      <c r="M3211" s="14" t="s">
        <v>1324</v>
      </c>
      <c r="N3211" s="14" t="s">
        <v>1219</v>
      </c>
      <c r="O3211" s="14" t="s">
        <v>1220</v>
      </c>
    </row>
    <row r="3212" spans="1:15" x14ac:dyDescent="0.25">
      <c r="A3212" s="14" t="s">
        <v>7117</v>
      </c>
      <c r="B3212" s="14" t="s">
        <v>7118</v>
      </c>
      <c r="C3212" s="14" t="s">
        <v>7118</v>
      </c>
      <c r="D3212" s="14" t="s">
        <v>1349</v>
      </c>
      <c r="E3212" s="15"/>
      <c r="F3212" s="14"/>
      <c r="G3212" s="15"/>
      <c r="H3212" s="14" t="s">
        <v>1380</v>
      </c>
      <c r="I3212" s="14" t="s">
        <v>1360</v>
      </c>
      <c r="J3212" s="14" t="s">
        <v>1360</v>
      </c>
      <c r="K3212" s="14"/>
      <c r="L3212" s="14"/>
      <c r="M3212" s="14" t="s">
        <v>1324</v>
      </c>
      <c r="N3212" s="14" t="s">
        <v>1219</v>
      </c>
      <c r="O3212" s="14" t="s">
        <v>1220</v>
      </c>
    </row>
    <row r="3213" spans="1:15" x14ac:dyDescent="0.25">
      <c r="A3213" s="14">
        <v>25310</v>
      </c>
      <c r="B3213" s="14" t="s">
        <v>7119</v>
      </c>
      <c r="C3213" s="14" t="s">
        <v>7119</v>
      </c>
      <c r="D3213" s="14" t="s">
        <v>1222</v>
      </c>
      <c r="E3213" s="15"/>
      <c r="F3213" s="14"/>
      <c r="G3213" s="15"/>
      <c r="H3213" s="14" t="s">
        <v>1223</v>
      </c>
      <c r="I3213" s="14"/>
      <c r="J3213" s="14"/>
      <c r="K3213" s="14"/>
      <c r="L3213" s="14"/>
      <c r="M3213" s="14"/>
      <c r="N3213" s="14" t="s">
        <v>1219</v>
      </c>
      <c r="O3213" s="14" t="s">
        <v>1220</v>
      </c>
    </row>
    <row r="3214" spans="1:15" x14ac:dyDescent="0.25">
      <c r="A3214" s="14">
        <v>25203</v>
      </c>
      <c r="B3214" s="14" t="s">
        <v>7120</v>
      </c>
      <c r="C3214" s="14" t="s">
        <v>7120</v>
      </c>
      <c r="D3214" s="14" t="s">
        <v>1222</v>
      </c>
      <c r="E3214" s="15"/>
      <c r="F3214" s="14"/>
      <c r="G3214" s="15"/>
      <c r="H3214" s="14" t="s">
        <v>1223</v>
      </c>
      <c r="I3214" s="14"/>
      <c r="J3214" s="14"/>
      <c r="K3214" s="14"/>
      <c r="L3214" s="14"/>
      <c r="M3214" s="14"/>
      <c r="N3214" s="14" t="s">
        <v>1219</v>
      </c>
      <c r="O3214" s="14" t="s">
        <v>1220</v>
      </c>
    </row>
    <row r="3215" spans="1:15" x14ac:dyDescent="0.25">
      <c r="A3215" s="14">
        <v>3708</v>
      </c>
      <c r="B3215" s="14" t="s">
        <v>7121</v>
      </c>
      <c r="C3215" s="14" t="s">
        <v>7121</v>
      </c>
      <c r="D3215" s="14" t="s">
        <v>1349</v>
      </c>
      <c r="E3215" s="15"/>
      <c r="F3215" s="14"/>
      <c r="G3215" s="15"/>
      <c r="H3215" s="14" t="s">
        <v>2154</v>
      </c>
      <c r="I3215" s="14" t="s">
        <v>1360</v>
      </c>
      <c r="J3215" s="14" t="s">
        <v>1360</v>
      </c>
      <c r="K3215" s="14"/>
      <c r="L3215" s="14"/>
      <c r="M3215" s="14" t="s">
        <v>2156</v>
      </c>
      <c r="N3215" s="14" t="s">
        <v>1219</v>
      </c>
      <c r="O3215" s="14" t="s">
        <v>1220</v>
      </c>
    </row>
    <row r="3216" spans="1:15" x14ac:dyDescent="0.25">
      <c r="A3216" s="14">
        <v>3712</v>
      </c>
      <c r="B3216" s="14" t="s">
        <v>7122</v>
      </c>
      <c r="C3216" s="14" t="s">
        <v>7122</v>
      </c>
      <c r="D3216" s="14" t="s">
        <v>1349</v>
      </c>
      <c r="E3216" s="15"/>
      <c r="F3216" s="14"/>
      <c r="G3216" s="15"/>
      <c r="H3216" s="14" t="s">
        <v>2154</v>
      </c>
      <c r="I3216" s="14" t="s">
        <v>1360</v>
      </c>
      <c r="J3216" s="14" t="s">
        <v>1360</v>
      </c>
      <c r="K3216" s="14"/>
      <c r="L3216" s="14"/>
      <c r="M3216" s="14" t="s">
        <v>2156</v>
      </c>
      <c r="N3216" s="14" t="s">
        <v>1219</v>
      </c>
      <c r="O3216" s="14" t="s">
        <v>1220</v>
      </c>
    </row>
    <row r="3217" spans="1:15" x14ac:dyDescent="0.25">
      <c r="A3217" s="14">
        <v>3713</v>
      </c>
      <c r="B3217" s="14" t="s">
        <v>7123</v>
      </c>
      <c r="C3217" s="14" t="s">
        <v>7123</v>
      </c>
      <c r="D3217" s="14" t="s">
        <v>7124</v>
      </c>
      <c r="E3217" s="15"/>
      <c r="F3217" s="14" t="s">
        <v>1350</v>
      </c>
      <c r="G3217" s="15"/>
      <c r="H3217" s="14" t="s">
        <v>2154</v>
      </c>
      <c r="I3217" s="14" t="s">
        <v>1360</v>
      </c>
      <c r="J3217" s="14" t="s">
        <v>1385</v>
      </c>
      <c r="K3217" s="14" t="s">
        <v>1257</v>
      </c>
      <c r="L3217" s="14" t="s">
        <v>7075</v>
      </c>
      <c r="M3217" s="14" t="s">
        <v>2156</v>
      </c>
      <c r="N3217" s="14" t="s">
        <v>1219</v>
      </c>
      <c r="O3217" s="14" t="s">
        <v>1220</v>
      </c>
    </row>
    <row r="3218" spans="1:15" x14ac:dyDescent="0.25">
      <c r="A3218" s="14">
        <v>3714</v>
      </c>
      <c r="B3218" s="14" t="s">
        <v>7125</v>
      </c>
      <c r="C3218" s="14" t="s">
        <v>7125</v>
      </c>
      <c r="D3218" s="14" t="s">
        <v>7124</v>
      </c>
      <c r="E3218" s="15"/>
      <c r="F3218" s="14" t="s">
        <v>1350</v>
      </c>
      <c r="G3218" s="15"/>
      <c r="H3218" s="14" t="s">
        <v>2154</v>
      </c>
      <c r="I3218" s="14" t="s">
        <v>1351</v>
      </c>
      <c r="J3218" s="14" t="s">
        <v>1385</v>
      </c>
      <c r="K3218" s="14" t="s">
        <v>1257</v>
      </c>
      <c r="L3218" s="14" t="s">
        <v>7075</v>
      </c>
      <c r="M3218" s="14" t="s">
        <v>2156</v>
      </c>
      <c r="N3218" s="14" t="s">
        <v>1219</v>
      </c>
      <c r="O3218" s="14" t="s">
        <v>1220</v>
      </c>
    </row>
    <row r="3219" spans="1:15" x14ac:dyDescent="0.25">
      <c r="A3219" s="14">
        <v>3707</v>
      </c>
      <c r="B3219" s="14" t="s">
        <v>7126</v>
      </c>
      <c r="C3219" s="14" t="s">
        <v>7126</v>
      </c>
      <c r="D3219" s="14" t="s">
        <v>1349</v>
      </c>
      <c r="E3219" s="15"/>
      <c r="F3219" s="14"/>
      <c r="G3219" s="15"/>
      <c r="H3219" s="14" t="s">
        <v>2154</v>
      </c>
      <c r="I3219" s="14" t="s">
        <v>1360</v>
      </c>
      <c r="J3219" s="14" t="s">
        <v>1360</v>
      </c>
      <c r="K3219" s="14"/>
      <c r="L3219" s="14"/>
      <c r="M3219" s="14" t="s">
        <v>2156</v>
      </c>
      <c r="N3219" s="14" t="s">
        <v>1219</v>
      </c>
      <c r="O3219" s="14" t="s">
        <v>1220</v>
      </c>
    </row>
    <row r="3220" spans="1:15" x14ac:dyDescent="0.25">
      <c r="A3220" s="14">
        <v>3715</v>
      </c>
      <c r="B3220" s="14" t="s">
        <v>7127</v>
      </c>
      <c r="C3220" s="14" t="s">
        <v>7127</v>
      </c>
      <c r="D3220" s="14" t="s">
        <v>1349</v>
      </c>
      <c r="E3220" s="15"/>
      <c r="F3220" s="14"/>
      <c r="G3220" s="15"/>
      <c r="H3220" s="14" t="s">
        <v>2154</v>
      </c>
      <c r="I3220" s="14" t="s">
        <v>1360</v>
      </c>
      <c r="J3220" s="14" t="s">
        <v>1360</v>
      </c>
      <c r="K3220" s="14"/>
      <c r="L3220" s="14"/>
      <c r="M3220" s="14" t="s">
        <v>2156</v>
      </c>
      <c r="N3220" s="14" t="s">
        <v>1219</v>
      </c>
      <c r="O3220" s="14" t="s">
        <v>1220</v>
      </c>
    </row>
    <row r="3221" spans="1:15" x14ac:dyDescent="0.25">
      <c r="A3221" s="14">
        <v>3709</v>
      </c>
      <c r="B3221" s="14" t="s">
        <v>7128</v>
      </c>
      <c r="C3221" s="14" t="s">
        <v>7128</v>
      </c>
      <c r="D3221" s="14" t="s">
        <v>1349</v>
      </c>
      <c r="E3221" s="15"/>
      <c r="F3221" s="14"/>
      <c r="G3221" s="15"/>
      <c r="H3221" s="14" t="s">
        <v>2154</v>
      </c>
      <c r="I3221" s="14" t="s">
        <v>1360</v>
      </c>
      <c r="J3221" s="14" t="s">
        <v>1360</v>
      </c>
      <c r="K3221" s="14"/>
      <c r="L3221" s="14"/>
      <c r="M3221" s="14" t="s">
        <v>2156</v>
      </c>
      <c r="N3221" s="14" t="s">
        <v>1219</v>
      </c>
      <c r="O3221" s="14" t="s">
        <v>1220</v>
      </c>
    </row>
    <row r="3222" spans="1:15" x14ac:dyDescent="0.25">
      <c r="A3222" s="14">
        <v>3711</v>
      </c>
      <c r="B3222" s="14" t="s">
        <v>7129</v>
      </c>
      <c r="C3222" s="14" t="s">
        <v>7129</v>
      </c>
      <c r="D3222" s="14" t="s">
        <v>1349</v>
      </c>
      <c r="E3222" s="15"/>
      <c r="F3222" s="14"/>
      <c r="G3222" s="15"/>
      <c r="H3222" s="14" t="s">
        <v>2154</v>
      </c>
      <c r="I3222" s="14" t="s">
        <v>1360</v>
      </c>
      <c r="J3222" s="14" t="s">
        <v>1360</v>
      </c>
      <c r="K3222" s="14"/>
      <c r="L3222" s="14"/>
      <c r="M3222" s="14" t="s">
        <v>2156</v>
      </c>
      <c r="N3222" s="14" t="s">
        <v>1219</v>
      </c>
      <c r="O3222" s="14" t="s">
        <v>1220</v>
      </c>
    </row>
    <row r="3223" spans="1:15" x14ac:dyDescent="0.25">
      <c r="A3223" s="14">
        <v>3710</v>
      </c>
      <c r="B3223" s="14" t="s">
        <v>7130</v>
      </c>
      <c r="C3223" s="14" t="s">
        <v>7130</v>
      </c>
      <c r="D3223" s="14" t="s">
        <v>1349</v>
      </c>
      <c r="E3223" s="15"/>
      <c r="F3223" s="14"/>
      <c r="G3223" s="15"/>
      <c r="H3223" s="14" t="s">
        <v>2154</v>
      </c>
      <c r="I3223" s="14" t="s">
        <v>1360</v>
      </c>
      <c r="J3223" s="14" t="s">
        <v>1360</v>
      </c>
      <c r="K3223" s="14"/>
      <c r="L3223" s="14"/>
      <c r="M3223" s="14" t="s">
        <v>2156</v>
      </c>
      <c r="N3223" s="14" t="s">
        <v>1219</v>
      </c>
      <c r="O3223" s="14" t="s">
        <v>1220</v>
      </c>
    </row>
    <row r="3224" spans="1:15" x14ac:dyDescent="0.25">
      <c r="A3224" s="14">
        <v>3723</v>
      </c>
      <c r="B3224" s="14" t="s">
        <v>7131</v>
      </c>
      <c r="C3224" s="14" t="s">
        <v>7131</v>
      </c>
      <c r="D3224" s="14" t="s">
        <v>1349</v>
      </c>
      <c r="E3224" s="15"/>
      <c r="F3224" s="14"/>
      <c r="G3224" s="15"/>
      <c r="H3224" s="14" t="s">
        <v>2154</v>
      </c>
      <c r="I3224" s="14" t="s">
        <v>1360</v>
      </c>
      <c r="J3224" s="14" t="s">
        <v>1360</v>
      </c>
      <c r="K3224" s="14"/>
      <c r="L3224" s="14"/>
      <c r="M3224" s="14" t="s">
        <v>2156</v>
      </c>
      <c r="N3224" s="14" t="s">
        <v>1219</v>
      </c>
      <c r="O3224" s="14" t="s">
        <v>1220</v>
      </c>
    </row>
    <row r="3225" spans="1:15" x14ac:dyDescent="0.25">
      <c r="A3225" s="14" t="s">
        <v>7132</v>
      </c>
      <c r="B3225" s="14" t="s">
        <v>7133</v>
      </c>
      <c r="C3225" s="14" t="s">
        <v>7133</v>
      </c>
      <c r="D3225" s="14" t="s">
        <v>1222</v>
      </c>
      <c r="E3225" s="15"/>
      <c r="F3225" s="14"/>
      <c r="G3225" s="15"/>
      <c r="H3225" s="14" t="s">
        <v>1223</v>
      </c>
      <c r="I3225" s="14"/>
      <c r="J3225" s="14"/>
      <c r="K3225" s="14"/>
      <c r="L3225" s="14"/>
      <c r="M3225" s="14"/>
      <c r="N3225" s="14" t="s">
        <v>1219</v>
      </c>
      <c r="O3225" s="14" t="s">
        <v>1220</v>
      </c>
    </row>
    <row r="3226" spans="1:15" x14ac:dyDescent="0.25">
      <c r="A3226" s="14" t="s">
        <v>7134</v>
      </c>
      <c r="B3226" s="14" t="s">
        <v>7135</v>
      </c>
      <c r="C3226" s="14" t="s">
        <v>7135</v>
      </c>
      <c r="D3226" s="14" t="s">
        <v>1222</v>
      </c>
      <c r="E3226" s="15"/>
      <c r="F3226" s="14"/>
      <c r="G3226" s="15"/>
      <c r="H3226" s="14" t="s">
        <v>1223</v>
      </c>
      <c r="I3226" s="14"/>
      <c r="J3226" s="14"/>
      <c r="K3226" s="14"/>
      <c r="L3226" s="14"/>
      <c r="M3226" s="14"/>
      <c r="N3226" s="14" t="s">
        <v>1219</v>
      </c>
      <c r="O3226" s="14" t="s">
        <v>1220</v>
      </c>
    </row>
    <row r="3227" spans="1:15" x14ac:dyDescent="0.25">
      <c r="A3227" s="14">
        <v>1504</v>
      </c>
      <c r="B3227" s="14" t="s">
        <v>7136</v>
      </c>
      <c r="C3227" s="14" t="s">
        <v>7136</v>
      </c>
      <c r="D3227" s="14" t="s">
        <v>1349</v>
      </c>
      <c r="E3227" s="15"/>
      <c r="F3227" s="14"/>
      <c r="G3227" s="15"/>
      <c r="H3227" s="14" t="s">
        <v>1255</v>
      </c>
      <c r="I3227" s="14" t="s">
        <v>1360</v>
      </c>
      <c r="J3227" s="14" t="s">
        <v>1360</v>
      </c>
      <c r="K3227" s="14"/>
      <c r="L3227" s="14"/>
      <c r="M3227" s="14" t="s">
        <v>1259</v>
      </c>
      <c r="N3227" s="14" t="s">
        <v>1219</v>
      </c>
      <c r="O3227" s="14" t="s">
        <v>1220</v>
      </c>
    </row>
    <row r="3228" spans="1:15" x14ac:dyDescent="0.25">
      <c r="A3228" s="14" t="s">
        <v>7137</v>
      </c>
      <c r="B3228" s="14" t="s">
        <v>7138</v>
      </c>
      <c r="C3228" s="14" t="s">
        <v>7138</v>
      </c>
      <c r="D3228" s="14" t="s">
        <v>1222</v>
      </c>
      <c r="E3228" s="15"/>
      <c r="F3228" s="14"/>
      <c r="G3228" s="15"/>
      <c r="H3228" s="14" t="s">
        <v>1223</v>
      </c>
      <c r="I3228" s="14"/>
      <c r="J3228" s="14"/>
      <c r="K3228" s="14"/>
      <c r="L3228" s="14"/>
      <c r="M3228" s="14"/>
      <c r="N3228" s="14" t="s">
        <v>1219</v>
      </c>
      <c r="O3228" s="14" t="s">
        <v>1220</v>
      </c>
    </row>
    <row r="3229" spans="1:15" x14ac:dyDescent="0.25">
      <c r="A3229" s="14" t="s">
        <v>7139</v>
      </c>
      <c r="B3229" s="14" t="s">
        <v>7140</v>
      </c>
      <c r="C3229" s="14" t="s">
        <v>7140</v>
      </c>
      <c r="D3229" s="14" t="s">
        <v>1222</v>
      </c>
      <c r="E3229" s="15"/>
      <c r="F3229" s="14"/>
      <c r="G3229" s="15"/>
      <c r="H3229" s="14" t="s">
        <v>1223</v>
      </c>
      <c r="I3229" s="14"/>
      <c r="J3229" s="14"/>
      <c r="K3229" s="14"/>
      <c r="L3229" s="14"/>
      <c r="M3229" s="14"/>
      <c r="N3229" s="14" t="s">
        <v>1219</v>
      </c>
      <c r="O3229" s="14" t="s">
        <v>1220</v>
      </c>
    </row>
    <row r="3230" spans="1:15" x14ac:dyDescent="0.25">
      <c r="A3230" s="14">
        <v>3619</v>
      </c>
      <c r="B3230" s="14" t="s">
        <v>554</v>
      </c>
      <c r="C3230" s="14" t="s">
        <v>554</v>
      </c>
      <c r="D3230" s="14" t="s">
        <v>1216</v>
      </c>
      <c r="E3230" s="16">
        <v>60</v>
      </c>
      <c r="F3230" s="14" t="s">
        <v>1255</v>
      </c>
      <c r="G3230" s="16">
        <v>600</v>
      </c>
      <c r="H3230" s="14" t="s">
        <v>1255</v>
      </c>
      <c r="I3230" s="14" t="s">
        <v>1256</v>
      </c>
      <c r="J3230" s="14" t="s">
        <v>1233</v>
      </c>
      <c r="K3230" s="14" t="s">
        <v>1257</v>
      </c>
      <c r="L3230" s="14" t="s">
        <v>7141</v>
      </c>
      <c r="M3230" s="14" t="s">
        <v>1218</v>
      </c>
      <c r="N3230" s="14" t="s">
        <v>1237</v>
      </c>
      <c r="O3230" s="14" t="s">
        <v>1220</v>
      </c>
    </row>
    <row r="3231" spans="1:15" x14ac:dyDescent="0.25">
      <c r="A3231" s="14" t="s">
        <v>7142</v>
      </c>
      <c r="B3231" s="14" t="s">
        <v>7143</v>
      </c>
      <c r="C3231" s="14" t="s">
        <v>7143</v>
      </c>
      <c r="D3231" s="14" t="s">
        <v>1216</v>
      </c>
      <c r="E3231" s="15"/>
      <c r="F3231" s="14" t="s">
        <v>1255</v>
      </c>
      <c r="G3231" s="15"/>
      <c r="H3231" s="14" t="s">
        <v>1255</v>
      </c>
      <c r="I3231" s="14" t="s">
        <v>1262</v>
      </c>
      <c r="J3231" s="14" t="s">
        <v>1262</v>
      </c>
      <c r="K3231" s="14"/>
      <c r="L3231" s="14" t="s">
        <v>7141</v>
      </c>
      <c r="M3231" s="14" t="s">
        <v>1218</v>
      </c>
      <c r="N3231" s="14" t="s">
        <v>1219</v>
      </c>
      <c r="O3231" s="14" t="s">
        <v>1220</v>
      </c>
    </row>
    <row r="3232" spans="1:15" x14ac:dyDescent="0.25">
      <c r="A3232" s="14">
        <v>3620</v>
      </c>
      <c r="B3232" s="14" t="s">
        <v>555</v>
      </c>
      <c r="C3232" s="14" t="s">
        <v>555</v>
      </c>
      <c r="D3232" s="14" t="s">
        <v>1216</v>
      </c>
      <c r="E3232" s="16">
        <v>50</v>
      </c>
      <c r="F3232" s="14" t="s">
        <v>1255</v>
      </c>
      <c r="G3232" s="16">
        <v>500</v>
      </c>
      <c r="H3232" s="14" t="s">
        <v>1255</v>
      </c>
      <c r="I3232" s="14" t="s">
        <v>1256</v>
      </c>
      <c r="J3232" s="14" t="s">
        <v>1233</v>
      </c>
      <c r="K3232" s="14" t="s">
        <v>1257</v>
      </c>
      <c r="L3232" s="14" t="s">
        <v>7144</v>
      </c>
      <c r="M3232" s="14" t="s">
        <v>1218</v>
      </c>
      <c r="N3232" s="14" t="s">
        <v>1237</v>
      </c>
      <c r="O3232" s="14" t="s">
        <v>1220</v>
      </c>
    </row>
    <row r="3233" spans="1:15" x14ac:dyDescent="0.25">
      <c r="A3233" s="14" t="s">
        <v>7145</v>
      </c>
      <c r="B3233" s="14" t="s">
        <v>7146</v>
      </c>
      <c r="C3233" s="14" t="s">
        <v>7146</v>
      </c>
      <c r="D3233" s="14" t="s">
        <v>1216</v>
      </c>
      <c r="E3233" s="15"/>
      <c r="F3233" s="14" t="s">
        <v>1255</v>
      </c>
      <c r="G3233" s="15"/>
      <c r="H3233" s="14" t="s">
        <v>1255</v>
      </c>
      <c r="I3233" s="14" t="s">
        <v>1262</v>
      </c>
      <c r="J3233" s="14" t="s">
        <v>1262</v>
      </c>
      <c r="K3233" s="14"/>
      <c r="L3233" s="14" t="s">
        <v>7144</v>
      </c>
      <c r="M3233" s="14" t="s">
        <v>1218</v>
      </c>
      <c r="N3233" s="14" t="s">
        <v>1219</v>
      </c>
      <c r="O3233" s="14" t="s">
        <v>1220</v>
      </c>
    </row>
    <row r="3234" spans="1:15" x14ac:dyDescent="0.25">
      <c r="A3234" s="14">
        <v>3621</v>
      </c>
      <c r="B3234" s="14" t="s">
        <v>556</v>
      </c>
      <c r="C3234" s="14" t="s">
        <v>556</v>
      </c>
      <c r="D3234" s="14" t="s">
        <v>1216</v>
      </c>
      <c r="E3234" s="16">
        <v>30</v>
      </c>
      <c r="F3234" s="14" t="s">
        <v>1255</v>
      </c>
      <c r="G3234" s="16">
        <v>150</v>
      </c>
      <c r="H3234" s="14" t="s">
        <v>1255</v>
      </c>
      <c r="I3234" s="14" t="s">
        <v>1256</v>
      </c>
      <c r="J3234" s="14" t="s">
        <v>1233</v>
      </c>
      <c r="K3234" s="14" t="s">
        <v>1257</v>
      </c>
      <c r="L3234" s="14" t="s">
        <v>7147</v>
      </c>
      <c r="M3234" s="14" t="s">
        <v>1218</v>
      </c>
      <c r="N3234" s="14" t="s">
        <v>1237</v>
      </c>
      <c r="O3234" s="14" t="s">
        <v>1220</v>
      </c>
    </row>
    <row r="3235" spans="1:15" x14ac:dyDescent="0.25">
      <c r="A3235" s="14" t="s">
        <v>7148</v>
      </c>
      <c r="B3235" s="14" t="s">
        <v>7149</v>
      </c>
      <c r="C3235" s="14" t="s">
        <v>7149</v>
      </c>
      <c r="D3235" s="14" t="s">
        <v>7025</v>
      </c>
      <c r="E3235" s="15"/>
      <c r="F3235" s="14" t="s">
        <v>1255</v>
      </c>
      <c r="G3235" s="15"/>
      <c r="H3235" s="14" t="s">
        <v>1255</v>
      </c>
      <c r="I3235" s="14" t="s">
        <v>1262</v>
      </c>
      <c r="J3235" s="14" t="s">
        <v>1262</v>
      </c>
      <c r="K3235" s="14"/>
      <c r="L3235" s="14" t="s">
        <v>7147</v>
      </c>
      <c r="M3235" s="14" t="s">
        <v>1218</v>
      </c>
      <c r="N3235" s="14" t="s">
        <v>1219</v>
      </c>
      <c r="O3235" s="14" t="s">
        <v>1220</v>
      </c>
    </row>
    <row r="3236" spans="1:15" x14ac:dyDescent="0.25">
      <c r="A3236" s="14">
        <v>3622</v>
      </c>
      <c r="B3236" s="14" t="s">
        <v>557</v>
      </c>
      <c r="C3236" s="14" t="s">
        <v>557</v>
      </c>
      <c r="D3236" s="14" t="s">
        <v>1216</v>
      </c>
      <c r="E3236" s="16">
        <v>15</v>
      </c>
      <c r="F3236" s="14" t="s">
        <v>1255</v>
      </c>
      <c r="G3236" s="16">
        <v>150</v>
      </c>
      <c r="H3236" s="14" t="s">
        <v>1255</v>
      </c>
      <c r="I3236" s="14" t="s">
        <v>1256</v>
      </c>
      <c r="J3236" s="14" t="s">
        <v>1233</v>
      </c>
      <c r="K3236" s="14" t="s">
        <v>1257</v>
      </c>
      <c r="L3236" s="14" t="s">
        <v>7150</v>
      </c>
      <c r="M3236" s="14" t="s">
        <v>1218</v>
      </c>
      <c r="N3236" s="14" t="s">
        <v>1237</v>
      </c>
      <c r="O3236" s="14" t="s">
        <v>1220</v>
      </c>
    </row>
    <row r="3237" spans="1:15" x14ac:dyDescent="0.25">
      <c r="A3237" s="14">
        <v>3623</v>
      </c>
      <c r="B3237" s="14" t="s">
        <v>558</v>
      </c>
      <c r="C3237" s="14" t="s">
        <v>558</v>
      </c>
      <c r="D3237" s="14" t="s">
        <v>1216</v>
      </c>
      <c r="E3237" s="16">
        <v>10</v>
      </c>
      <c r="F3237" s="14" t="s">
        <v>1255</v>
      </c>
      <c r="G3237" s="16">
        <v>40</v>
      </c>
      <c r="H3237" s="14" t="s">
        <v>1255</v>
      </c>
      <c r="I3237" s="14" t="s">
        <v>1256</v>
      </c>
      <c r="J3237" s="14" t="s">
        <v>1242</v>
      </c>
      <c r="K3237" s="14" t="s">
        <v>1257</v>
      </c>
      <c r="L3237" s="14" t="s">
        <v>7151</v>
      </c>
      <c r="M3237" s="14" t="s">
        <v>1218</v>
      </c>
      <c r="N3237" s="14" t="s">
        <v>1237</v>
      </c>
      <c r="O3237" s="14" t="s">
        <v>1220</v>
      </c>
    </row>
    <row r="3238" spans="1:15" x14ac:dyDescent="0.25">
      <c r="A3238" s="14">
        <v>3624</v>
      </c>
      <c r="B3238" s="14" t="s">
        <v>559</v>
      </c>
      <c r="C3238" s="14" t="s">
        <v>559</v>
      </c>
      <c r="D3238" s="14" t="s">
        <v>1216</v>
      </c>
      <c r="E3238" s="16">
        <v>6</v>
      </c>
      <c r="F3238" s="14" t="s">
        <v>1255</v>
      </c>
      <c r="G3238" s="16">
        <v>30</v>
      </c>
      <c r="H3238" s="14" t="s">
        <v>1255</v>
      </c>
      <c r="I3238" s="14" t="s">
        <v>1256</v>
      </c>
      <c r="J3238" s="14" t="s">
        <v>1296</v>
      </c>
      <c r="K3238" s="14" t="s">
        <v>1257</v>
      </c>
      <c r="L3238" s="14" t="s">
        <v>7152</v>
      </c>
      <c r="M3238" s="14" t="s">
        <v>1218</v>
      </c>
      <c r="N3238" s="14" t="s">
        <v>1237</v>
      </c>
      <c r="O3238" s="14" t="s">
        <v>1220</v>
      </c>
    </row>
    <row r="3239" spans="1:15" x14ac:dyDescent="0.25">
      <c r="A3239" s="14">
        <v>3903</v>
      </c>
      <c r="B3239" s="14" t="s">
        <v>560</v>
      </c>
      <c r="C3239" s="14" t="s">
        <v>560</v>
      </c>
      <c r="D3239" s="14" t="s">
        <v>1216</v>
      </c>
      <c r="E3239" s="16">
        <v>60</v>
      </c>
      <c r="F3239" s="14" t="s">
        <v>1255</v>
      </c>
      <c r="G3239" s="16">
        <v>350</v>
      </c>
      <c r="H3239" s="14" t="s">
        <v>1255</v>
      </c>
      <c r="I3239" s="14" t="s">
        <v>1256</v>
      </c>
      <c r="J3239" s="14" t="s">
        <v>1233</v>
      </c>
      <c r="K3239" s="14" t="s">
        <v>1257</v>
      </c>
      <c r="L3239" s="14" t="s">
        <v>7153</v>
      </c>
      <c r="M3239" s="14" t="s">
        <v>1218</v>
      </c>
      <c r="N3239" s="14" t="s">
        <v>1237</v>
      </c>
      <c r="O3239" s="14" t="s">
        <v>1220</v>
      </c>
    </row>
    <row r="3240" spans="1:15" x14ac:dyDescent="0.25">
      <c r="A3240" s="14">
        <v>3904</v>
      </c>
      <c r="B3240" s="14" t="s">
        <v>561</v>
      </c>
      <c r="C3240" s="14" t="s">
        <v>561</v>
      </c>
      <c r="D3240" s="14" t="s">
        <v>1216</v>
      </c>
      <c r="E3240" s="16">
        <v>50</v>
      </c>
      <c r="F3240" s="14" t="s">
        <v>1255</v>
      </c>
      <c r="G3240" s="16">
        <v>500</v>
      </c>
      <c r="H3240" s="14" t="s">
        <v>1255</v>
      </c>
      <c r="I3240" s="14" t="s">
        <v>1256</v>
      </c>
      <c r="J3240" s="14" t="s">
        <v>1242</v>
      </c>
      <c r="K3240" s="14" t="s">
        <v>1257</v>
      </c>
      <c r="L3240" s="14" t="s">
        <v>7154</v>
      </c>
      <c r="M3240" s="14" t="s">
        <v>1218</v>
      </c>
      <c r="N3240" s="14" t="s">
        <v>1237</v>
      </c>
      <c r="O3240" s="14" t="s">
        <v>1220</v>
      </c>
    </row>
    <row r="3241" spans="1:15" x14ac:dyDescent="0.25">
      <c r="A3241" s="14">
        <v>3905</v>
      </c>
      <c r="B3241" s="14" t="s">
        <v>562</v>
      </c>
      <c r="C3241" s="14" t="s">
        <v>562</v>
      </c>
      <c r="D3241" s="14" t="s">
        <v>1216</v>
      </c>
      <c r="E3241" s="16">
        <v>30</v>
      </c>
      <c r="F3241" s="14" t="s">
        <v>1255</v>
      </c>
      <c r="G3241" s="16">
        <v>150</v>
      </c>
      <c r="H3241" s="14" t="s">
        <v>1255</v>
      </c>
      <c r="I3241" s="14" t="s">
        <v>1256</v>
      </c>
      <c r="J3241" s="14" t="s">
        <v>1242</v>
      </c>
      <c r="K3241" s="14" t="s">
        <v>1257</v>
      </c>
      <c r="L3241" s="14" t="s">
        <v>7155</v>
      </c>
      <c r="M3241" s="14" t="s">
        <v>1218</v>
      </c>
      <c r="N3241" s="14" t="s">
        <v>1237</v>
      </c>
      <c r="O3241" s="14" t="s">
        <v>1220</v>
      </c>
    </row>
    <row r="3242" spans="1:15" x14ac:dyDescent="0.25">
      <c r="A3242" s="14" t="s">
        <v>7156</v>
      </c>
      <c r="B3242" s="14" t="s">
        <v>7157</v>
      </c>
      <c r="C3242" s="14" t="s">
        <v>7157</v>
      </c>
      <c r="D3242" s="14" t="s">
        <v>1283</v>
      </c>
      <c r="E3242" s="15"/>
      <c r="F3242" s="14" t="s">
        <v>1255</v>
      </c>
      <c r="G3242" s="15"/>
      <c r="H3242" s="14" t="s">
        <v>1255</v>
      </c>
      <c r="I3242" s="14" t="s">
        <v>1217</v>
      </c>
      <c r="J3242" s="14" t="s">
        <v>1242</v>
      </c>
      <c r="K3242" s="14"/>
      <c r="L3242" s="14" t="s">
        <v>7158</v>
      </c>
      <c r="M3242" s="14" t="s">
        <v>1218</v>
      </c>
      <c r="N3242" s="14" t="s">
        <v>1219</v>
      </c>
      <c r="O3242" s="14" t="s">
        <v>1220</v>
      </c>
    </row>
    <row r="3243" spans="1:15" x14ac:dyDescent="0.25">
      <c r="A3243" s="14" t="s">
        <v>7159</v>
      </c>
      <c r="B3243" s="14" t="s">
        <v>7160</v>
      </c>
      <c r="C3243" s="14" t="s">
        <v>7160</v>
      </c>
      <c r="D3243" s="14" t="s">
        <v>1283</v>
      </c>
      <c r="E3243" s="15"/>
      <c r="F3243" s="14" t="s">
        <v>1255</v>
      </c>
      <c r="G3243" s="15"/>
      <c r="H3243" s="14" t="s">
        <v>1255</v>
      </c>
      <c r="I3243" s="14" t="s">
        <v>1217</v>
      </c>
      <c r="J3243" s="14" t="s">
        <v>1296</v>
      </c>
      <c r="K3243" s="14"/>
      <c r="L3243" s="14" t="s">
        <v>7158</v>
      </c>
      <c r="M3243" s="14" t="s">
        <v>1218</v>
      </c>
      <c r="N3243" s="14" t="s">
        <v>1219</v>
      </c>
      <c r="O3243" s="14" t="s">
        <v>1220</v>
      </c>
    </row>
    <row r="3244" spans="1:15" x14ac:dyDescent="0.25">
      <c r="A3244" s="14" t="s">
        <v>7161</v>
      </c>
      <c r="B3244" s="14" t="s">
        <v>7162</v>
      </c>
      <c r="C3244" s="14" t="s">
        <v>7162</v>
      </c>
      <c r="D3244" s="14" t="s">
        <v>1283</v>
      </c>
      <c r="E3244" s="15"/>
      <c r="F3244" s="14" t="s">
        <v>1255</v>
      </c>
      <c r="G3244" s="15"/>
      <c r="H3244" s="14" t="s">
        <v>1255</v>
      </c>
      <c r="I3244" s="14" t="s">
        <v>1217</v>
      </c>
      <c r="J3244" s="14" t="s">
        <v>1296</v>
      </c>
      <c r="K3244" s="14"/>
      <c r="L3244" s="14" t="s">
        <v>7158</v>
      </c>
      <c r="M3244" s="14" t="s">
        <v>1218</v>
      </c>
      <c r="N3244" s="14" t="s">
        <v>1219</v>
      </c>
      <c r="O3244" s="14" t="s">
        <v>1220</v>
      </c>
    </row>
    <row r="3245" spans="1:15" x14ac:dyDescent="0.25">
      <c r="A3245" s="14" t="s">
        <v>7163</v>
      </c>
      <c r="B3245" s="14" t="s">
        <v>7164</v>
      </c>
      <c r="C3245" s="14" t="s">
        <v>7164</v>
      </c>
      <c r="D3245" s="14" t="s">
        <v>1283</v>
      </c>
      <c r="E3245" s="15"/>
      <c r="F3245" s="14" t="s">
        <v>1255</v>
      </c>
      <c r="G3245" s="15"/>
      <c r="H3245" s="14" t="s">
        <v>1255</v>
      </c>
      <c r="I3245" s="14" t="s">
        <v>1217</v>
      </c>
      <c r="J3245" s="14" t="s">
        <v>1296</v>
      </c>
      <c r="K3245" s="14"/>
      <c r="L3245" s="14" t="s">
        <v>7158</v>
      </c>
      <c r="M3245" s="14" t="s">
        <v>1218</v>
      </c>
      <c r="N3245" s="14" t="s">
        <v>1219</v>
      </c>
      <c r="O3245" s="14" t="s">
        <v>1220</v>
      </c>
    </row>
    <row r="3246" spans="1:15" x14ac:dyDescent="0.25">
      <c r="A3246" s="14" t="s">
        <v>7165</v>
      </c>
      <c r="B3246" s="14" t="s">
        <v>7166</v>
      </c>
      <c r="C3246" s="14" t="s">
        <v>7166</v>
      </c>
      <c r="D3246" s="14" t="s">
        <v>1283</v>
      </c>
      <c r="E3246" s="15"/>
      <c r="F3246" s="14" t="s">
        <v>1255</v>
      </c>
      <c r="G3246" s="15"/>
      <c r="H3246" s="14" t="s">
        <v>1255</v>
      </c>
      <c r="I3246" s="14" t="s">
        <v>1217</v>
      </c>
      <c r="J3246" s="14" t="s">
        <v>1296</v>
      </c>
      <c r="K3246" s="14"/>
      <c r="L3246" s="14" t="s">
        <v>7158</v>
      </c>
      <c r="M3246" s="14" t="s">
        <v>1218</v>
      </c>
      <c r="N3246" s="14" t="s">
        <v>1219</v>
      </c>
      <c r="O3246" s="14" t="s">
        <v>1220</v>
      </c>
    </row>
    <row r="3247" spans="1:15" x14ac:dyDescent="0.25">
      <c r="A3247" s="14" t="s">
        <v>7167</v>
      </c>
      <c r="B3247" s="14" t="s">
        <v>7168</v>
      </c>
      <c r="C3247" s="14" t="s">
        <v>7168</v>
      </c>
      <c r="D3247" s="14" t="s">
        <v>1283</v>
      </c>
      <c r="E3247" s="15"/>
      <c r="F3247" s="14" t="s">
        <v>1255</v>
      </c>
      <c r="G3247" s="15"/>
      <c r="H3247" s="14" t="s">
        <v>1255</v>
      </c>
      <c r="I3247" s="14" t="s">
        <v>1217</v>
      </c>
      <c r="J3247" s="14" t="s">
        <v>1233</v>
      </c>
      <c r="K3247" s="14"/>
      <c r="L3247" s="14"/>
      <c r="M3247" s="14" t="s">
        <v>1218</v>
      </c>
      <c r="N3247" s="14" t="s">
        <v>1219</v>
      </c>
      <c r="O3247" s="14" t="s">
        <v>1220</v>
      </c>
    </row>
    <row r="3248" spans="1:15" x14ac:dyDescent="0.25">
      <c r="A3248" s="14" t="s">
        <v>7169</v>
      </c>
      <c r="B3248" s="14" t="s">
        <v>7170</v>
      </c>
      <c r="C3248" s="14" t="s">
        <v>7170</v>
      </c>
      <c r="D3248" s="14" t="s">
        <v>1283</v>
      </c>
      <c r="E3248" s="15"/>
      <c r="F3248" s="14" t="s">
        <v>1255</v>
      </c>
      <c r="G3248" s="15"/>
      <c r="H3248" s="14" t="s">
        <v>1255</v>
      </c>
      <c r="I3248" s="14" t="s">
        <v>1217</v>
      </c>
      <c r="J3248" s="14" t="s">
        <v>1233</v>
      </c>
      <c r="K3248" s="14"/>
      <c r="L3248" s="14"/>
      <c r="M3248" s="14" t="s">
        <v>1218</v>
      </c>
      <c r="N3248" s="14" t="s">
        <v>1219</v>
      </c>
      <c r="O3248" s="14" t="s">
        <v>1220</v>
      </c>
    </row>
    <row r="3249" spans="1:15" x14ac:dyDescent="0.25">
      <c r="A3249" s="14" t="s">
        <v>7171</v>
      </c>
      <c r="B3249" s="14" t="s">
        <v>7172</v>
      </c>
      <c r="C3249" s="14" t="s">
        <v>7172</v>
      </c>
      <c r="D3249" s="14" t="s">
        <v>1283</v>
      </c>
      <c r="E3249" s="15"/>
      <c r="F3249" s="14" t="s">
        <v>1255</v>
      </c>
      <c r="G3249" s="15"/>
      <c r="H3249" s="14" t="s">
        <v>1255</v>
      </c>
      <c r="I3249" s="14" t="s">
        <v>1217</v>
      </c>
      <c r="J3249" s="14" t="s">
        <v>1233</v>
      </c>
      <c r="K3249" s="14"/>
      <c r="L3249" s="14"/>
      <c r="M3249" s="14" t="s">
        <v>1218</v>
      </c>
      <c r="N3249" s="14" t="s">
        <v>1219</v>
      </c>
      <c r="O3249" s="14" t="s">
        <v>1220</v>
      </c>
    </row>
    <row r="3250" spans="1:15" x14ac:dyDescent="0.25">
      <c r="A3250" s="14" t="s">
        <v>7173</v>
      </c>
      <c r="B3250" s="14" t="s">
        <v>7174</v>
      </c>
      <c r="C3250" s="14" t="s">
        <v>7174</v>
      </c>
      <c r="D3250" s="14" t="s">
        <v>1283</v>
      </c>
      <c r="E3250" s="15"/>
      <c r="F3250" s="14" t="s">
        <v>1255</v>
      </c>
      <c r="G3250" s="15"/>
      <c r="H3250" s="14" t="s">
        <v>1255</v>
      </c>
      <c r="I3250" s="14" t="s">
        <v>1217</v>
      </c>
      <c r="J3250" s="14" t="s">
        <v>1233</v>
      </c>
      <c r="K3250" s="14"/>
      <c r="L3250" s="14"/>
      <c r="M3250" s="14" t="s">
        <v>1218</v>
      </c>
      <c r="N3250" s="14" t="s">
        <v>1219</v>
      </c>
      <c r="O3250" s="14" t="s">
        <v>1220</v>
      </c>
    </row>
    <row r="3251" spans="1:15" x14ac:dyDescent="0.25">
      <c r="A3251" s="14" t="s">
        <v>7175</v>
      </c>
      <c r="B3251" s="14" t="s">
        <v>7176</v>
      </c>
      <c r="C3251" s="14" t="s">
        <v>7176</v>
      </c>
      <c r="D3251" s="14" t="s">
        <v>1283</v>
      </c>
      <c r="E3251" s="15"/>
      <c r="F3251" s="14" t="s">
        <v>1255</v>
      </c>
      <c r="G3251" s="15"/>
      <c r="H3251" s="14" t="s">
        <v>1255</v>
      </c>
      <c r="I3251" s="14" t="s">
        <v>1217</v>
      </c>
      <c r="J3251" s="14" t="s">
        <v>1242</v>
      </c>
      <c r="K3251" s="14"/>
      <c r="L3251" s="14"/>
      <c r="M3251" s="14" t="s">
        <v>1218</v>
      </c>
      <c r="N3251" s="14" t="s">
        <v>1219</v>
      </c>
      <c r="O3251" s="14" t="s">
        <v>1220</v>
      </c>
    </row>
    <row r="3252" spans="1:15" x14ac:dyDescent="0.25">
      <c r="A3252" s="14" t="s">
        <v>7177</v>
      </c>
      <c r="B3252" s="14" t="s">
        <v>7178</v>
      </c>
      <c r="C3252" s="14" t="s">
        <v>7178</v>
      </c>
      <c r="D3252" s="14" t="s">
        <v>1283</v>
      </c>
      <c r="E3252" s="15"/>
      <c r="F3252" s="14" t="s">
        <v>1255</v>
      </c>
      <c r="G3252" s="15"/>
      <c r="H3252" s="14" t="s">
        <v>1255</v>
      </c>
      <c r="I3252" s="14" t="s">
        <v>1217</v>
      </c>
      <c r="J3252" s="14" t="s">
        <v>1296</v>
      </c>
      <c r="K3252" s="14"/>
      <c r="L3252" s="14"/>
      <c r="M3252" s="14" t="s">
        <v>1218</v>
      </c>
      <c r="N3252" s="14" t="s">
        <v>1219</v>
      </c>
      <c r="O3252" s="14" t="s">
        <v>1220</v>
      </c>
    </row>
    <row r="3253" spans="1:15" x14ac:dyDescent="0.25">
      <c r="A3253" s="14">
        <v>3638</v>
      </c>
      <c r="B3253" s="14" t="s">
        <v>563</v>
      </c>
      <c r="C3253" s="14" t="s">
        <v>563</v>
      </c>
      <c r="D3253" s="14" t="s">
        <v>1216</v>
      </c>
      <c r="E3253" s="16">
        <v>60</v>
      </c>
      <c r="F3253" s="14" t="s">
        <v>1255</v>
      </c>
      <c r="G3253" s="16">
        <v>300</v>
      </c>
      <c r="H3253" s="14" t="s">
        <v>1255</v>
      </c>
      <c r="I3253" s="14" t="s">
        <v>1256</v>
      </c>
      <c r="J3253" s="14" t="s">
        <v>1242</v>
      </c>
      <c r="K3253" s="14" t="s">
        <v>1257</v>
      </c>
      <c r="L3253" s="14" t="s">
        <v>7179</v>
      </c>
      <c r="M3253" s="14" t="s">
        <v>1548</v>
      </c>
      <c r="N3253" s="14" t="s">
        <v>1237</v>
      </c>
      <c r="O3253" s="14" t="s">
        <v>1220</v>
      </c>
    </row>
    <row r="3254" spans="1:15" x14ac:dyDescent="0.25">
      <c r="A3254" s="14" t="s">
        <v>7180</v>
      </c>
      <c r="B3254" s="14" t="s">
        <v>7181</v>
      </c>
      <c r="C3254" s="14" t="s">
        <v>7181</v>
      </c>
      <c r="D3254" s="14" t="s">
        <v>7025</v>
      </c>
      <c r="E3254" s="15"/>
      <c r="F3254" s="14" t="s">
        <v>1255</v>
      </c>
      <c r="G3254" s="15"/>
      <c r="H3254" s="14" t="s">
        <v>1255</v>
      </c>
      <c r="I3254" s="14" t="s">
        <v>1262</v>
      </c>
      <c r="J3254" s="14" t="s">
        <v>1262</v>
      </c>
      <c r="K3254" s="14"/>
      <c r="L3254" s="14" t="s">
        <v>7179</v>
      </c>
      <c r="M3254" s="14" t="s">
        <v>1548</v>
      </c>
      <c r="N3254" s="14" t="s">
        <v>1219</v>
      </c>
      <c r="O3254" s="14" t="s">
        <v>1220</v>
      </c>
    </row>
    <row r="3255" spans="1:15" x14ac:dyDescent="0.25">
      <c r="A3255" s="14">
        <v>3639</v>
      </c>
      <c r="B3255" s="14" t="s">
        <v>564</v>
      </c>
      <c r="C3255" s="14" t="s">
        <v>564</v>
      </c>
      <c r="D3255" s="14" t="s">
        <v>1216</v>
      </c>
      <c r="E3255" s="16">
        <v>50</v>
      </c>
      <c r="F3255" s="14" t="s">
        <v>1255</v>
      </c>
      <c r="G3255" s="16">
        <v>500</v>
      </c>
      <c r="H3255" s="14" t="s">
        <v>1255</v>
      </c>
      <c r="I3255" s="14" t="s">
        <v>1256</v>
      </c>
      <c r="J3255" s="14" t="s">
        <v>1242</v>
      </c>
      <c r="K3255" s="14" t="s">
        <v>1257</v>
      </c>
      <c r="L3255" s="14" t="s">
        <v>7182</v>
      </c>
      <c r="M3255" s="14" t="s">
        <v>1548</v>
      </c>
      <c r="N3255" s="14" t="s">
        <v>1237</v>
      </c>
      <c r="O3255" s="14" t="s">
        <v>1220</v>
      </c>
    </row>
    <row r="3256" spans="1:15" x14ac:dyDescent="0.25">
      <c r="A3256" s="14">
        <v>3834</v>
      </c>
      <c r="B3256" s="14" t="s">
        <v>565</v>
      </c>
      <c r="C3256" s="14" t="s">
        <v>565</v>
      </c>
      <c r="D3256" s="14" t="s">
        <v>1216</v>
      </c>
      <c r="E3256" s="16">
        <v>45</v>
      </c>
      <c r="F3256" s="14" t="s">
        <v>1255</v>
      </c>
      <c r="G3256" s="16">
        <v>450</v>
      </c>
      <c r="H3256" s="14" t="s">
        <v>1255</v>
      </c>
      <c r="I3256" s="14" t="s">
        <v>1256</v>
      </c>
      <c r="J3256" s="14" t="s">
        <v>1233</v>
      </c>
      <c r="K3256" s="14" t="s">
        <v>1257</v>
      </c>
      <c r="L3256" s="14" t="s">
        <v>7183</v>
      </c>
      <c r="M3256" s="14" t="s">
        <v>1548</v>
      </c>
      <c r="N3256" s="14" t="s">
        <v>1237</v>
      </c>
      <c r="O3256" s="14" t="s">
        <v>1220</v>
      </c>
    </row>
    <row r="3257" spans="1:15" x14ac:dyDescent="0.25">
      <c r="A3257" s="14" t="s">
        <v>7184</v>
      </c>
      <c r="B3257" s="14" t="s">
        <v>7185</v>
      </c>
      <c r="C3257" s="14" t="s">
        <v>7185</v>
      </c>
      <c r="D3257" s="14" t="s">
        <v>1283</v>
      </c>
      <c r="E3257" s="15"/>
      <c r="F3257" s="14" t="s">
        <v>1255</v>
      </c>
      <c r="G3257" s="15"/>
      <c r="H3257" s="14" t="s">
        <v>1255</v>
      </c>
      <c r="I3257" s="14" t="s">
        <v>1217</v>
      </c>
      <c r="J3257" s="14" t="s">
        <v>1242</v>
      </c>
      <c r="K3257" s="14"/>
      <c r="L3257" s="14"/>
      <c r="M3257" s="14" t="s">
        <v>1548</v>
      </c>
      <c r="N3257" s="14" t="s">
        <v>1219</v>
      </c>
      <c r="O3257" s="14" t="s">
        <v>1220</v>
      </c>
    </row>
    <row r="3258" spans="1:15" x14ac:dyDescent="0.25">
      <c r="A3258" s="14" t="s">
        <v>7186</v>
      </c>
      <c r="B3258" s="14" t="s">
        <v>7187</v>
      </c>
      <c r="C3258" s="14" t="s">
        <v>7187</v>
      </c>
      <c r="D3258" s="14" t="s">
        <v>1283</v>
      </c>
      <c r="E3258" s="15"/>
      <c r="F3258" s="14" t="s">
        <v>1255</v>
      </c>
      <c r="G3258" s="15"/>
      <c r="H3258" s="14" t="s">
        <v>1255</v>
      </c>
      <c r="I3258" s="14" t="s">
        <v>1217</v>
      </c>
      <c r="J3258" s="14" t="s">
        <v>1242</v>
      </c>
      <c r="K3258" s="14"/>
      <c r="L3258" s="14"/>
      <c r="M3258" s="14" t="s">
        <v>1548</v>
      </c>
      <c r="N3258" s="14" t="s">
        <v>1219</v>
      </c>
      <c r="O3258" s="14" t="s">
        <v>1220</v>
      </c>
    </row>
    <row r="3259" spans="1:15" x14ac:dyDescent="0.25">
      <c r="A3259" s="14" t="s">
        <v>7188</v>
      </c>
      <c r="B3259" s="14" t="s">
        <v>7189</v>
      </c>
      <c r="C3259" s="14" t="s">
        <v>7189</v>
      </c>
      <c r="D3259" s="14" t="s">
        <v>1283</v>
      </c>
      <c r="E3259" s="15"/>
      <c r="F3259" s="14" t="s">
        <v>1255</v>
      </c>
      <c r="G3259" s="15"/>
      <c r="H3259" s="14" t="s">
        <v>1255</v>
      </c>
      <c r="I3259" s="14" t="s">
        <v>1217</v>
      </c>
      <c r="J3259" s="14" t="s">
        <v>1233</v>
      </c>
      <c r="K3259" s="14"/>
      <c r="L3259" s="14"/>
      <c r="M3259" s="14" t="s">
        <v>1548</v>
      </c>
      <c r="N3259" s="14" t="s">
        <v>1219</v>
      </c>
      <c r="O3259" s="14" t="s">
        <v>1220</v>
      </c>
    </row>
    <row r="3260" spans="1:15" x14ac:dyDescent="0.25">
      <c r="A3260" s="14" t="s">
        <v>7190</v>
      </c>
      <c r="B3260" s="14" t="s">
        <v>7191</v>
      </c>
      <c r="C3260" s="14" t="s">
        <v>7191</v>
      </c>
      <c r="D3260" s="14" t="s">
        <v>1283</v>
      </c>
      <c r="E3260" s="15"/>
      <c r="F3260" s="14" t="s">
        <v>1255</v>
      </c>
      <c r="G3260" s="15"/>
      <c r="H3260" s="14" t="s">
        <v>1255</v>
      </c>
      <c r="I3260" s="14" t="s">
        <v>1217</v>
      </c>
      <c r="J3260" s="14" t="s">
        <v>1233</v>
      </c>
      <c r="K3260" s="14"/>
      <c r="L3260" s="14"/>
      <c r="M3260" s="14" t="s">
        <v>1548</v>
      </c>
      <c r="N3260" s="14" t="s">
        <v>1219</v>
      </c>
      <c r="O3260" s="14" t="s">
        <v>1220</v>
      </c>
    </row>
    <row r="3261" spans="1:15" x14ac:dyDescent="0.25">
      <c r="A3261" s="14">
        <v>3640</v>
      </c>
      <c r="B3261" s="14" t="s">
        <v>566</v>
      </c>
      <c r="C3261" s="14" t="s">
        <v>566</v>
      </c>
      <c r="D3261" s="14" t="s">
        <v>1216</v>
      </c>
      <c r="E3261" s="16">
        <v>55</v>
      </c>
      <c r="F3261" s="14" t="s">
        <v>1255</v>
      </c>
      <c r="G3261" s="16">
        <v>600</v>
      </c>
      <c r="H3261" s="14" t="s">
        <v>1255</v>
      </c>
      <c r="I3261" s="14" t="s">
        <v>1256</v>
      </c>
      <c r="J3261" s="14" t="s">
        <v>1233</v>
      </c>
      <c r="K3261" s="14" t="s">
        <v>1257</v>
      </c>
      <c r="L3261" s="14" t="s">
        <v>7192</v>
      </c>
      <c r="M3261" s="14" t="s">
        <v>1548</v>
      </c>
      <c r="N3261" s="14" t="s">
        <v>1237</v>
      </c>
      <c r="O3261" s="14" t="s">
        <v>1220</v>
      </c>
    </row>
    <row r="3262" spans="1:15" x14ac:dyDescent="0.25">
      <c r="A3262" s="14">
        <v>3857</v>
      </c>
      <c r="B3262" s="14" t="s">
        <v>567</v>
      </c>
      <c r="C3262" s="14" t="s">
        <v>567</v>
      </c>
      <c r="D3262" s="14" t="s">
        <v>1216</v>
      </c>
      <c r="E3262" s="16">
        <v>50</v>
      </c>
      <c r="F3262" s="14" t="s">
        <v>1255</v>
      </c>
      <c r="G3262" s="16">
        <v>500</v>
      </c>
      <c r="H3262" s="14" t="s">
        <v>1255</v>
      </c>
      <c r="I3262" s="14" t="s">
        <v>1256</v>
      </c>
      <c r="J3262" s="14" t="s">
        <v>1242</v>
      </c>
      <c r="K3262" s="14" t="s">
        <v>1257</v>
      </c>
      <c r="L3262" s="14" t="s">
        <v>7193</v>
      </c>
      <c r="M3262" s="14" t="s">
        <v>1548</v>
      </c>
      <c r="N3262" s="14" t="s">
        <v>1237</v>
      </c>
      <c r="O3262" s="14" t="s">
        <v>1220</v>
      </c>
    </row>
    <row r="3263" spans="1:15" x14ac:dyDescent="0.25">
      <c r="A3263" s="14">
        <v>3641</v>
      </c>
      <c r="B3263" s="14" t="s">
        <v>568</v>
      </c>
      <c r="C3263" s="14" t="s">
        <v>568</v>
      </c>
      <c r="D3263" s="14" t="s">
        <v>1216</v>
      </c>
      <c r="E3263" s="16">
        <v>40</v>
      </c>
      <c r="F3263" s="14" t="s">
        <v>1255</v>
      </c>
      <c r="G3263" s="16">
        <v>500</v>
      </c>
      <c r="H3263" s="14" t="s">
        <v>1255</v>
      </c>
      <c r="I3263" s="14" t="s">
        <v>1256</v>
      </c>
      <c r="J3263" s="14" t="s">
        <v>1233</v>
      </c>
      <c r="K3263" s="14" t="s">
        <v>1257</v>
      </c>
      <c r="L3263" s="14" t="s">
        <v>7194</v>
      </c>
      <c r="M3263" s="14" t="s">
        <v>1548</v>
      </c>
      <c r="N3263" s="14" t="s">
        <v>1237</v>
      </c>
      <c r="O3263" s="14" t="s">
        <v>1220</v>
      </c>
    </row>
    <row r="3264" spans="1:15" x14ac:dyDescent="0.25">
      <c r="A3264" s="14" t="s">
        <v>7195</v>
      </c>
      <c r="B3264" s="14" t="s">
        <v>7196</v>
      </c>
      <c r="C3264" s="14" t="s">
        <v>7196</v>
      </c>
      <c r="D3264" s="14" t="s">
        <v>1216</v>
      </c>
      <c r="E3264" s="15"/>
      <c r="F3264" s="14" t="s">
        <v>1255</v>
      </c>
      <c r="G3264" s="15"/>
      <c r="H3264" s="14" t="s">
        <v>1255</v>
      </c>
      <c r="I3264" s="14" t="s">
        <v>1262</v>
      </c>
      <c r="J3264" s="14" t="s">
        <v>1262</v>
      </c>
      <c r="K3264" s="14"/>
      <c r="L3264" s="14" t="s">
        <v>7194</v>
      </c>
      <c r="M3264" s="14" t="s">
        <v>1548</v>
      </c>
      <c r="N3264" s="14" t="s">
        <v>1219</v>
      </c>
      <c r="O3264" s="14" t="s">
        <v>1220</v>
      </c>
    </row>
    <row r="3265" spans="1:15" x14ac:dyDescent="0.25">
      <c r="A3265" s="14" t="s">
        <v>7197</v>
      </c>
      <c r="B3265" s="14" t="s">
        <v>7198</v>
      </c>
      <c r="C3265" s="14" t="s">
        <v>7198</v>
      </c>
      <c r="D3265" s="14" t="s">
        <v>1283</v>
      </c>
      <c r="E3265" s="15"/>
      <c r="F3265" s="14" t="s">
        <v>1255</v>
      </c>
      <c r="G3265" s="15"/>
      <c r="H3265" s="14" t="s">
        <v>1255</v>
      </c>
      <c r="I3265" s="14" t="s">
        <v>1217</v>
      </c>
      <c r="J3265" s="14" t="s">
        <v>1233</v>
      </c>
      <c r="K3265" s="14"/>
      <c r="L3265" s="14"/>
      <c r="M3265" s="14" t="s">
        <v>1548</v>
      </c>
      <c r="N3265" s="14" t="s">
        <v>1219</v>
      </c>
      <c r="O3265" s="14" t="s">
        <v>1220</v>
      </c>
    </row>
    <row r="3266" spans="1:15" x14ac:dyDescent="0.25">
      <c r="A3266" s="14" t="s">
        <v>7199</v>
      </c>
      <c r="B3266" s="14" t="s">
        <v>7200</v>
      </c>
      <c r="C3266" s="14" t="s">
        <v>7200</v>
      </c>
      <c r="D3266" s="14" t="s">
        <v>1283</v>
      </c>
      <c r="E3266" s="15"/>
      <c r="F3266" s="14" t="s">
        <v>1255</v>
      </c>
      <c r="G3266" s="15"/>
      <c r="H3266" s="14" t="s">
        <v>1255</v>
      </c>
      <c r="I3266" s="14" t="s">
        <v>1217</v>
      </c>
      <c r="J3266" s="14" t="s">
        <v>1233</v>
      </c>
      <c r="K3266" s="14"/>
      <c r="L3266" s="14"/>
      <c r="M3266" s="14" t="s">
        <v>1548</v>
      </c>
      <c r="N3266" s="14" t="s">
        <v>1219</v>
      </c>
      <c r="O3266" s="14" t="s">
        <v>1220</v>
      </c>
    </row>
    <row r="3267" spans="1:15" x14ac:dyDescent="0.25">
      <c r="A3267" s="14" t="s">
        <v>7201</v>
      </c>
      <c r="B3267" s="14" t="s">
        <v>7202</v>
      </c>
      <c r="C3267" s="14" t="s">
        <v>7202</v>
      </c>
      <c r="D3267" s="14" t="s">
        <v>1283</v>
      </c>
      <c r="E3267" s="15"/>
      <c r="F3267" s="14" t="s">
        <v>1255</v>
      </c>
      <c r="G3267" s="15"/>
      <c r="H3267" s="14" t="s">
        <v>1255</v>
      </c>
      <c r="I3267" s="14" t="s">
        <v>1217</v>
      </c>
      <c r="J3267" s="14" t="s">
        <v>1233</v>
      </c>
      <c r="K3267" s="14"/>
      <c r="L3267" s="14"/>
      <c r="M3267" s="14" t="s">
        <v>1548</v>
      </c>
      <c r="N3267" s="14" t="s">
        <v>1219</v>
      </c>
      <c r="O3267" s="14" t="s">
        <v>1220</v>
      </c>
    </row>
    <row r="3268" spans="1:15" x14ac:dyDescent="0.25">
      <c r="A3268" s="14" t="s">
        <v>7203</v>
      </c>
      <c r="B3268" s="14" t="s">
        <v>7204</v>
      </c>
      <c r="C3268" s="14" t="s">
        <v>7204</v>
      </c>
      <c r="D3268" s="14" t="s">
        <v>1283</v>
      </c>
      <c r="E3268" s="15"/>
      <c r="F3268" s="14" t="s">
        <v>1255</v>
      </c>
      <c r="G3268" s="15"/>
      <c r="H3268" s="14" t="s">
        <v>1255</v>
      </c>
      <c r="I3268" s="14" t="s">
        <v>1217</v>
      </c>
      <c r="J3268" s="14" t="s">
        <v>1233</v>
      </c>
      <c r="K3268" s="14"/>
      <c r="L3268" s="14"/>
      <c r="M3268" s="14" t="s">
        <v>1548</v>
      </c>
      <c r="N3268" s="14" t="s">
        <v>1219</v>
      </c>
      <c r="O3268" s="14" t="s">
        <v>1220</v>
      </c>
    </row>
    <row r="3269" spans="1:15" x14ac:dyDescent="0.25">
      <c r="A3269" s="14">
        <v>4341</v>
      </c>
      <c r="B3269" s="14" t="s">
        <v>7205</v>
      </c>
      <c r="C3269" s="14" t="s">
        <v>7205</v>
      </c>
      <c r="D3269" s="14" t="s">
        <v>1349</v>
      </c>
      <c r="E3269" s="15"/>
      <c r="F3269" s="14"/>
      <c r="G3269" s="15"/>
      <c r="H3269" s="14" t="s">
        <v>1255</v>
      </c>
      <c r="I3269" s="14" t="s">
        <v>1360</v>
      </c>
      <c r="J3269" s="14" t="s">
        <v>1360</v>
      </c>
      <c r="K3269" s="14"/>
      <c r="L3269" s="14"/>
      <c r="M3269" s="14" t="s">
        <v>1218</v>
      </c>
      <c r="N3269" s="14" t="s">
        <v>1219</v>
      </c>
      <c r="O3269" s="14" t="s">
        <v>1220</v>
      </c>
    </row>
    <row r="3270" spans="1:15" x14ac:dyDescent="0.25">
      <c r="A3270" s="14">
        <v>4347</v>
      </c>
      <c r="B3270" s="14" t="s">
        <v>7206</v>
      </c>
      <c r="C3270" s="14" t="s">
        <v>7206</v>
      </c>
      <c r="D3270" s="14" t="s">
        <v>1349</v>
      </c>
      <c r="E3270" s="15"/>
      <c r="F3270" s="14"/>
      <c r="G3270" s="15"/>
      <c r="H3270" s="14" t="s">
        <v>1255</v>
      </c>
      <c r="I3270" s="14" t="s">
        <v>1360</v>
      </c>
      <c r="J3270" s="14" t="s">
        <v>1360</v>
      </c>
      <c r="K3270" s="14"/>
      <c r="L3270" s="14"/>
      <c r="M3270" s="14" t="s">
        <v>1218</v>
      </c>
      <c r="N3270" s="14" t="s">
        <v>1219</v>
      </c>
      <c r="O3270" s="14" t="s">
        <v>1220</v>
      </c>
    </row>
    <row r="3271" spans="1:15" x14ac:dyDescent="0.25">
      <c r="A3271" s="14">
        <v>4344</v>
      </c>
      <c r="B3271" s="14" t="s">
        <v>7207</v>
      </c>
      <c r="C3271" s="14" t="s">
        <v>7207</v>
      </c>
      <c r="D3271" s="14" t="s">
        <v>1349</v>
      </c>
      <c r="E3271" s="15"/>
      <c r="F3271" s="14"/>
      <c r="G3271" s="15"/>
      <c r="H3271" s="14" t="s">
        <v>1255</v>
      </c>
      <c r="I3271" s="14" t="s">
        <v>1360</v>
      </c>
      <c r="J3271" s="14" t="s">
        <v>1360</v>
      </c>
      <c r="K3271" s="14"/>
      <c r="L3271" s="14"/>
      <c r="M3271" s="14" t="s">
        <v>1218</v>
      </c>
      <c r="N3271" s="14" t="s">
        <v>1219</v>
      </c>
      <c r="O3271" s="14" t="s">
        <v>1220</v>
      </c>
    </row>
    <row r="3272" spans="1:15" x14ac:dyDescent="0.25">
      <c r="A3272" s="14">
        <v>4342</v>
      </c>
      <c r="B3272" s="14" t="s">
        <v>7208</v>
      </c>
      <c r="C3272" s="14" t="s">
        <v>7208</v>
      </c>
      <c r="D3272" s="14" t="s">
        <v>1349</v>
      </c>
      <c r="E3272" s="15"/>
      <c r="F3272" s="14"/>
      <c r="G3272" s="15"/>
      <c r="H3272" s="14" t="s">
        <v>1255</v>
      </c>
      <c r="I3272" s="14" t="s">
        <v>1360</v>
      </c>
      <c r="J3272" s="14" t="s">
        <v>1360</v>
      </c>
      <c r="K3272" s="14"/>
      <c r="L3272" s="14"/>
      <c r="M3272" s="14" t="s">
        <v>1218</v>
      </c>
      <c r="N3272" s="14" t="s">
        <v>1219</v>
      </c>
      <c r="O3272" s="14" t="s">
        <v>1220</v>
      </c>
    </row>
    <row r="3273" spans="1:15" x14ac:dyDescent="0.25">
      <c r="A3273" s="14">
        <v>4348</v>
      </c>
      <c r="B3273" s="14" t="s">
        <v>7209</v>
      </c>
      <c r="C3273" s="14" t="s">
        <v>7209</v>
      </c>
      <c r="D3273" s="14" t="s">
        <v>1349</v>
      </c>
      <c r="E3273" s="15"/>
      <c r="F3273" s="14"/>
      <c r="G3273" s="15"/>
      <c r="H3273" s="14" t="s">
        <v>1255</v>
      </c>
      <c r="I3273" s="14" t="s">
        <v>1360</v>
      </c>
      <c r="J3273" s="14" t="s">
        <v>1360</v>
      </c>
      <c r="K3273" s="14"/>
      <c r="L3273" s="14"/>
      <c r="M3273" s="14" t="s">
        <v>1218</v>
      </c>
      <c r="N3273" s="14" t="s">
        <v>1219</v>
      </c>
      <c r="O3273" s="14" t="s">
        <v>1220</v>
      </c>
    </row>
    <row r="3274" spans="1:15" x14ac:dyDescent="0.25">
      <c r="A3274" s="14">
        <v>4345</v>
      </c>
      <c r="B3274" s="14" t="s">
        <v>7210</v>
      </c>
      <c r="C3274" s="14" t="s">
        <v>7210</v>
      </c>
      <c r="D3274" s="14" t="s">
        <v>1349</v>
      </c>
      <c r="E3274" s="15"/>
      <c r="F3274" s="14"/>
      <c r="G3274" s="15"/>
      <c r="H3274" s="14" t="s">
        <v>1255</v>
      </c>
      <c r="I3274" s="14" t="s">
        <v>1360</v>
      </c>
      <c r="J3274" s="14" t="s">
        <v>1360</v>
      </c>
      <c r="K3274" s="14"/>
      <c r="L3274" s="14"/>
      <c r="M3274" s="14" t="s">
        <v>1218</v>
      </c>
      <c r="N3274" s="14" t="s">
        <v>1219</v>
      </c>
      <c r="O3274" s="14" t="s">
        <v>1220</v>
      </c>
    </row>
    <row r="3275" spans="1:15" x14ac:dyDescent="0.25">
      <c r="A3275" s="14">
        <v>4343</v>
      </c>
      <c r="B3275" s="14" t="s">
        <v>7211</v>
      </c>
      <c r="C3275" s="14" t="s">
        <v>7211</v>
      </c>
      <c r="D3275" s="14" t="s">
        <v>1349</v>
      </c>
      <c r="E3275" s="15"/>
      <c r="F3275" s="14" t="s">
        <v>1350</v>
      </c>
      <c r="G3275" s="15"/>
      <c r="H3275" s="14" t="s">
        <v>1255</v>
      </c>
      <c r="I3275" s="14" t="s">
        <v>1360</v>
      </c>
      <c r="J3275" s="14" t="s">
        <v>1360</v>
      </c>
      <c r="K3275" s="14" t="s">
        <v>1257</v>
      </c>
      <c r="L3275" s="14" t="s">
        <v>7194</v>
      </c>
      <c r="M3275" s="14" t="s">
        <v>1218</v>
      </c>
      <c r="N3275" s="14" t="s">
        <v>1219</v>
      </c>
      <c r="O3275" s="14" t="s">
        <v>1220</v>
      </c>
    </row>
    <row r="3276" spans="1:15" x14ac:dyDescent="0.25">
      <c r="A3276" s="14">
        <v>4349</v>
      </c>
      <c r="B3276" s="14" t="s">
        <v>7212</v>
      </c>
      <c r="C3276" s="14" t="s">
        <v>7212</v>
      </c>
      <c r="D3276" s="14" t="s">
        <v>1349</v>
      </c>
      <c r="E3276" s="15"/>
      <c r="F3276" s="14"/>
      <c r="G3276" s="15"/>
      <c r="H3276" s="14" t="s">
        <v>1255</v>
      </c>
      <c r="I3276" s="14" t="s">
        <v>1360</v>
      </c>
      <c r="J3276" s="14" t="s">
        <v>1360</v>
      </c>
      <c r="K3276" s="14"/>
      <c r="L3276" s="14"/>
      <c r="M3276" s="14" t="s">
        <v>1218</v>
      </c>
      <c r="N3276" s="14" t="s">
        <v>1219</v>
      </c>
      <c r="O3276" s="14" t="s">
        <v>1220</v>
      </c>
    </row>
    <row r="3277" spans="1:15" x14ac:dyDescent="0.25">
      <c r="A3277" s="14">
        <v>4346</v>
      </c>
      <c r="B3277" s="14" t="s">
        <v>7213</v>
      </c>
      <c r="C3277" s="14" t="s">
        <v>7213</v>
      </c>
      <c r="D3277" s="14" t="s">
        <v>1349</v>
      </c>
      <c r="E3277" s="15"/>
      <c r="F3277" s="14"/>
      <c r="G3277" s="15"/>
      <c r="H3277" s="14" t="s">
        <v>1255</v>
      </c>
      <c r="I3277" s="14" t="s">
        <v>1360</v>
      </c>
      <c r="J3277" s="14" t="s">
        <v>1360</v>
      </c>
      <c r="K3277" s="14"/>
      <c r="L3277" s="14"/>
      <c r="M3277" s="14" t="s">
        <v>1218</v>
      </c>
      <c r="N3277" s="14" t="s">
        <v>1219</v>
      </c>
      <c r="O3277" s="14" t="s">
        <v>1220</v>
      </c>
    </row>
    <row r="3278" spans="1:15" x14ac:dyDescent="0.25">
      <c r="A3278" s="14" t="s">
        <v>7214</v>
      </c>
      <c r="B3278" s="14" t="s">
        <v>7215</v>
      </c>
      <c r="C3278" s="14" t="s">
        <v>7215</v>
      </c>
      <c r="D3278" s="14" t="s">
        <v>1283</v>
      </c>
      <c r="E3278" s="15"/>
      <c r="F3278" s="14" t="s">
        <v>1255</v>
      </c>
      <c r="G3278" s="15"/>
      <c r="H3278" s="14" t="s">
        <v>1255</v>
      </c>
      <c r="I3278" s="14" t="s">
        <v>1217</v>
      </c>
      <c r="J3278" s="14" t="s">
        <v>1296</v>
      </c>
      <c r="K3278" s="14"/>
      <c r="L3278" s="14"/>
      <c r="M3278" s="14" t="s">
        <v>1218</v>
      </c>
      <c r="N3278" s="14" t="s">
        <v>1219</v>
      </c>
      <c r="O3278" s="14" t="s">
        <v>1220</v>
      </c>
    </row>
    <row r="3279" spans="1:15" x14ac:dyDescent="0.25">
      <c r="A3279" s="14" t="s">
        <v>7216</v>
      </c>
      <c r="B3279" s="14" t="s">
        <v>7217</v>
      </c>
      <c r="C3279" s="14" t="s">
        <v>7217</v>
      </c>
      <c r="D3279" s="14" t="s">
        <v>7218</v>
      </c>
      <c r="E3279" s="15"/>
      <c r="F3279" s="14" t="s">
        <v>3271</v>
      </c>
      <c r="G3279" s="15"/>
      <c r="H3279" s="14" t="s">
        <v>7218</v>
      </c>
      <c r="I3279" s="14" t="s">
        <v>1262</v>
      </c>
      <c r="J3279" s="14" t="s">
        <v>1262</v>
      </c>
      <c r="K3279" s="14"/>
      <c r="L3279" s="14" t="s">
        <v>7219</v>
      </c>
      <c r="M3279" s="14" t="s">
        <v>4504</v>
      </c>
      <c r="N3279" s="14" t="s">
        <v>1219</v>
      </c>
      <c r="O3279" s="14" t="s">
        <v>1220</v>
      </c>
    </row>
    <row r="3280" spans="1:15" x14ac:dyDescent="0.25">
      <c r="A3280" s="14" t="s">
        <v>7220</v>
      </c>
      <c r="B3280" s="14" t="s">
        <v>7221</v>
      </c>
      <c r="C3280" s="14" t="s">
        <v>7221</v>
      </c>
      <c r="D3280" s="14" t="s">
        <v>7218</v>
      </c>
      <c r="E3280" s="15"/>
      <c r="F3280" s="14" t="s">
        <v>3271</v>
      </c>
      <c r="G3280" s="15"/>
      <c r="H3280" s="14" t="s">
        <v>7218</v>
      </c>
      <c r="I3280" s="14" t="s">
        <v>1262</v>
      </c>
      <c r="J3280" s="14" t="s">
        <v>1262</v>
      </c>
      <c r="K3280" s="14"/>
      <c r="L3280" s="14" t="s">
        <v>7222</v>
      </c>
      <c r="M3280" s="14" t="s">
        <v>4504</v>
      </c>
      <c r="N3280" s="14" t="s">
        <v>1219</v>
      </c>
      <c r="O3280" s="14" t="s">
        <v>1220</v>
      </c>
    </row>
    <row r="3281" spans="1:15" x14ac:dyDescent="0.25">
      <c r="A3281" s="14">
        <v>1536</v>
      </c>
      <c r="B3281" s="14" t="s">
        <v>1046</v>
      </c>
      <c r="C3281" s="14" t="s">
        <v>7223</v>
      </c>
      <c r="D3281" s="14" t="s">
        <v>7224</v>
      </c>
      <c r="E3281" s="16">
        <v>50</v>
      </c>
      <c r="F3281" s="14" t="s">
        <v>3271</v>
      </c>
      <c r="G3281" s="16">
        <v>250</v>
      </c>
      <c r="H3281" s="14" t="s">
        <v>7218</v>
      </c>
      <c r="I3281" s="14" t="s">
        <v>1351</v>
      </c>
      <c r="J3281" s="14" t="s">
        <v>1385</v>
      </c>
      <c r="K3281" s="14" t="s">
        <v>1257</v>
      </c>
      <c r="L3281" s="14" t="s">
        <v>7225</v>
      </c>
      <c r="M3281" s="14" t="s">
        <v>4504</v>
      </c>
      <c r="N3281" s="14" t="s">
        <v>1219</v>
      </c>
      <c r="O3281" s="14" t="s">
        <v>1220</v>
      </c>
    </row>
    <row r="3282" spans="1:15" x14ac:dyDescent="0.25">
      <c r="A3282" s="14">
        <v>1535</v>
      </c>
      <c r="B3282" s="14" t="s">
        <v>1047</v>
      </c>
      <c r="C3282" s="14" t="s">
        <v>7226</v>
      </c>
      <c r="D3282" s="14" t="s">
        <v>7224</v>
      </c>
      <c r="E3282" s="16">
        <v>50</v>
      </c>
      <c r="F3282" s="14" t="s">
        <v>3271</v>
      </c>
      <c r="G3282" s="16">
        <v>500</v>
      </c>
      <c r="H3282" s="14" t="s">
        <v>7218</v>
      </c>
      <c r="I3282" s="14" t="s">
        <v>1351</v>
      </c>
      <c r="J3282" s="14" t="s">
        <v>1385</v>
      </c>
      <c r="K3282" s="14" t="s">
        <v>1257</v>
      </c>
      <c r="L3282" s="14" t="s">
        <v>7227</v>
      </c>
      <c r="M3282" s="14" t="s">
        <v>4504</v>
      </c>
      <c r="N3282" s="14" t="s">
        <v>1219</v>
      </c>
      <c r="O3282" s="14" t="s">
        <v>1220</v>
      </c>
    </row>
    <row r="3283" spans="1:15" x14ac:dyDescent="0.25">
      <c r="A3283" s="14">
        <v>1708</v>
      </c>
      <c r="B3283" s="14" t="s">
        <v>1048</v>
      </c>
      <c r="C3283" s="14" t="s">
        <v>7228</v>
      </c>
      <c r="D3283" s="14" t="s">
        <v>7224</v>
      </c>
      <c r="E3283" s="16">
        <v>50</v>
      </c>
      <c r="F3283" s="14" t="s">
        <v>3271</v>
      </c>
      <c r="G3283" s="16">
        <v>500</v>
      </c>
      <c r="H3283" s="14" t="s">
        <v>7218</v>
      </c>
      <c r="I3283" s="14" t="s">
        <v>1256</v>
      </c>
      <c r="J3283" s="14" t="s">
        <v>1233</v>
      </c>
      <c r="K3283" s="14" t="s">
        <v>1257</v>
      </c>
      <c r="L3283" s="14" t="s">
        <v>7229</v>
      </c>
      <c r="M3283" s="14" t="s">
        <v>3330</v>
      </c>
      <c r="N3283" s="14" t="s">
        <v>1237</v>
      </c>
      <c r="O3283" s="14" t="s">
        <v>1220</v>
      </c>
    </row>
    <row r="3284" spans="1:15" x14ac:dyDescent="0.25">
      <c r="A3284" s="14" t="s">
        <v>7230</v>
      </c>
      <c r="B3284" s="14" t="s">
        <v>7231</v>
      </c>
      <c r="C3284" s="14" t="s">
        <v>7232</v>
      </c>
      <c r="D3284" s="14" t="s">
        <v>7218</v>
      </c>
      <c r="E3284" s="15"/>
      <c r="F3284" s="14" t="s">
        <v>3271</v>
      </c>
      <c r="G3284" s="15"/>
      <c r="H3284" s="14" t="s">
        <v>7218</v>
      </c>
      <c r="I3284" s="14" t="s">
        <v>1262</v>
      </c>
      <c r="J3284" s="14" t="s">
        <v>1262</v>
      </c>
      <c r="K3284" s="14"/>
      <c r="L3284" s="14" t="s">
        <v>7229</v>
      </c>
      <c r="M3284" s="14" t="s">
        <v>4504</v>
      </c>
      <c r="N3284" s="14" t="s">
        <v>1219</v>
      </c>
      <c r="O3284" s="14" t="s">
        <v>1220</v>
      </c>
    </row>
    <row r="3285" spans="1:15" x14ac:dyDescent="0.25">
      <c r="A3285" s="14">
        <v>1534</v>
      </c>
      <c r="B3285" s="14" t="s">
        <v>1045</v>
      </c>
      <c r="C3285" s="14" t="s">
        <v>7233</v>
      </c>
      <c r="D3285" s="14" t="s">
        <v>7224</v>
      </c>
      <c r="E3285" s="16">
        <v>50</v>
      </c>
      <c r="F3285" s="14" t="s">
        <v>3271</v>
      </c>
      <c r="G3285" s="16">
        <v>500</v>
      </c>
      <c r="H3285" s="14" t="s">
        <v>7218</v>
      </c>
      <c r="I3285" s="14" t="s">
        <v>1256</v>
      </c>
      <c r="J3285" s="14" t="s">
        <v>1233</v>
      </c>
      <c r="K3285" s="14" t="s">
        <v>1257</v>
      </c>
      <c r="L3285" s="14" t="s">
        <v>7234</v>
      </c>
      <c r="M3285" s="14" t="s">
        <v>3330</v>
      </c>
      <c r="N3285" s="14" t="s">
        <v>1237</v>
      </c>
      <c r="O3285" s="14" t="s">
        <v>1220</v>
      </c>
    </row>
    <row r="3286" spans="1:15" x14ac:dyDescent="0.25">
      <c r="A3286" s="14">
        <v>5091</v>
      </c>
      <c r="B3286" s="14" t="s">
        <v>1076</v>
      </c>
      <c r="C3286" s="14" t="s">
        <v>7235</v>
      </c>
      <c r="D3286" s="14" t="s">
        <v>7224</v>
      </c>
      <c r="E3286" s="16">
        <v>50</v>
      </c>
      <c r="F3286" s="14" t="s">
        <v>3271</v>
      </c>
      <c r="G3286" s="16">
        <v>500</v>
      </c>
      <c r="H3286" s="14" t="s">
        <v>7218</v>
      </c>
      <c r="I3286" s="14" t="s">
        <v>1232</v>
      </c>
      <c r="J3286" s="14" t="s">
        <v>1242</v>
      </c>
      <c r="K3286" s="14" t="s">
        <v>3791</v>
      </c>
      <c r="L3286" s="14" t="s">
        <v>7236</v>
      </c>
      <c r="M3286" s="14" t="s">
        <v>3330</v>
      </c>
      <c r="N3286" s="14" t="s">
        <v>1237</v>
      </c>
      <c r="O3286" s="14" t="s">
        <v>1220</v>
      </c>
    </row>
    <row r="3287" spans="1:15" x14ac:dyDescent="0.25">
      <c r="A3287" s="14">
        <v>5092</v>
      </c>
      <c r="B3287" s="14" t="s">
        <v>1077</v>
      </c>
      <c r="C3287" s="14" t="s">
        <v>7237</v>
      </c>
      <c r="D3287" s="14" t="s">
        <v>7224</v>
      </c>
      <c r="E3287" s="16">
        <v>50</v>
      </c>
      <c r="F3287" s="14" t="s">
        <v>3271</v>
      </c>
      <c r="G3287" s="16">
        <v>500</v>
      </c>
      <c r="H3287" s="14" t="s">
        <v>7218</v>
      </c>
      <c r="I3287" s="14" t="s">
        <v>1232</v>
      </c>
      <c r="J3287" s="14" t="s">
        <v>1242</v>
      </c>
      <c r="K3287" s="14" t="s">
        <v>3791</v>
      </c>
      <c r="L3287" s="14" t="s">
        <v>7238</v>
      </c>
      <c r="M3287" s="14" t="s">
        <v>3330</v>
      </c>
      <c r="N3287" s="14" t="s">
        <v>1237</v>
      </c>
      <c r="O3287" s="14" t="s">
        <v>1220</v>
      </c>
    </row>
    <row r="3288" spans="1:15" x14ac:dyDescent="0.25">
      <c r="A3288" s="14">
        <v>1709</v>
      </c>
      <c r="B3288" s="14" t="s">
        <v>1049</v>
      </c>
      <c r="C3288" s="14" t="s">
        <v>7239</v>
      </c>
      <c r="D3288" s="14" t="s">
        <v>7224</v>
      </c>
      <c r="E3288" s="16">
        <v>50</v>
      </c>
      <c r="F3288" s="14" t="s">
        <v>3271</v>
      </c>
      <c r="G3288" s="16">
        <v>500</v>
      </c>
      <c r="H3288" s="14" t="s">
        <v>7218</v>
      </c>
      <c r="I3288" s="14" t="s">
        <v>1256</v>
      </c>
      <c r="J3288" s="14" t="s">
        <v>1242</v>
      </c>
      <c r="K3288" s="14" t="s">
        <v>1257</v>
      </c>
      <c r="L3288" s="14" t="s">
        <v>7219</v>
      </c>
      <c r="M3288" s="14" t="s">
        <v>3330</v>
      </c>
      <c r="N3288" s="14" t="s">
        <v>1237</v>
      </c>
      <c r="O3288" s="14" t="s">
        <v>1220</v>
      </c>
    </row>
    <row r="3289" spans="1:15" x14ac:dyDescent="0.25">
      <c r="A3289" s="14">
        <v>1710</v>
      </c>
      <c r="B3289" s="14" t="s">
        <v>1050</v>
      </c>
      <c r="C3289" s="14" t="s">
        <v>7240</v>
      </c>
      <c r="D3289" s="14" t="s">
        <v>7224</v>
      </c>
      <c r="E3289" s="16">
        <v>50</v>
      </c>
      <c r="F3289" s="14" t="s">
        <v>3271</v>
      </c>
      <c r="G3289" s="16">
        <v>250</v>
      </c>
      <c r="H3289" s="14" t="s">
        <v>7218</v>
      </c>
      <c r="I3289" s="14" t="s">
        <v>1256</v>
      </c>
      <c r="J3289" s="14" t="s">
        <v>1296</v>
      </c>
      <c r="K3289" s="14" t="s">
        <v>1257</v>
      </c>
      <c r="L3289" s="14" t="s">
        <v>7222</v>
      </c>
      <c r="M3289" s="14" t="s">
        <v>3330</v>
      </c>
      <c r="N3289" s="14" t="s">
        <v>1237</v>
      </c>
      <c r="O3289" s="14" t="s">
        <v>1220</v>
      </c>
    </row>
    <row r="3290" spans="1:15" x14ac:dyDescent="0.25">
      <c r="A3290" s="14">
        <v>5095</v>
      </c>
      <c r="B3290" s="14" t="s">
        <v>1078</v>
      </c>
      <c r="C3290" s="14" t="s">
        <v>7241</v>
      </c>
      <c r="D3290" s="14" t="s">
        <v>7224</v>
      </c>
      <c r="E3290" s="16">
        <v>50</v>
      </c>
      <c r="F3290" s="14" t="s">
        <v>3271</v>
      </c>
      <c r="G3290" s="16">
        <v>500</v>
      </c>
      <c r="H3290" s="14" t="s">
        <v>7218</v>
      </c>
      <c r="I3290" s="14" t="s">
        <v>1232</v>
      </c>
      <c r="J3290" s="14" t="s">
        <v>1242</v>
      </c>
      <c r="K3290" s="14" t="s">
        <v>3791</v>
      </c>
      <c r="L3290" s="14" t="s">
        <v>7242</v>
      </c>
      <c r="M3290" s="14" t="s">
        <v>3330</v>
      </c>
      <c r="N3290" s="14" t="s">
        <v>1237</v>
      </c>
      <c r="O3290" s="14" t="s">
        <v>1220</v>
      </c>
    </row>
    <row r="3291" spans="1:15" x14ac:dyDescent="0.25">
      <c r="A3291" s="14">
        <v>5096</v>
      </c>
      <c r="B3291" s="14" t="s">
        <v>1079</v>
      </c>
      <c r="C3291" s="14" t="s">
        <v>7243</v>
      </c>
      <c r="D3291" s="14" t="s">
        <v>7224</v>
      </c>
      <c r="E3291" s="16">
        <v>50</v>
      </c>
      <c r="F3291" s="14" t="s">
        <v>3271</v>
      </c>
      <c r="G3291" s="16">
        <v>500</v>
      </c>
      <c r="H3291" s="14" t="s">
        <v>7218</v>
      </c>
      <c r="I3291" s="14" t="s">
        <v>1232</v>
      </c>
      <c r="J3291" s="14" t="s">
        <v>1296</v>
      </c>
      <c r="K3291" s="14" t="s">
        <v>3791</v>
      </c>
      <c r="L3291" s="14" t="s">
        <v>7244</v>
      </c>
      <c r="M3291" s="14" t="s">
        <v>3330</v>
      </c>
      <c r="N3291" s="14" t="s">
        <v>1237</v>
      </c>
      <c r="O3291" s="14" t="s">
        <v>1220</v>
      </c>
    </row>
    <row r="3292" spans="1:15" x14ac:dyDescent="0.25">
      <c r="A3292" s="14">
        <v>5097</v>
      </c>
      <c r="B3292" s="14" t="s">
        <v>1080</v>
      </c>
      <c r="C3292" s="14" t="s">
        <v>7245</v>
      </c>
      <c r="D3292" s="14" t="s">
        <v>7224</v>
      </c>
      <c r="E3292" s="16">
        <v>50</v>
      </c>
      <c r="F3292" s="14" t="s">
        <v>3271</v>
      </c>
      <c r="G3292" s="16">
        <v>500</v>
      </c>
      <c r="H3292" s="14" t="s">
        <v>7218</v>
      </c>
      <c r="I3292" s="14" t="s">
        <v>1232</v>
      </c>
      <c r="J3292" s="14" t="s">
        <v>1296</v>
      </c>
      <c r="K3292" s="14" t="s">
        <v>3791</v>
      </c>
      <c r="L3292" s="14" t="s">
        <v>7246</v>
      </c>
      <c r="M3292" s="14" t="s">
        <v>3330</v>
      </c>
      <c r="N3292" s="14" t="s">
        <v>1237</v>
      </c>
      <c r="O3292" s="14" t="s">
        <v>1220</v>
      </c>
    </row>
    <row r="3293" spans="1:15" x14ac:dyDescent="0.25">
      <c r="A3293" s="14">
        <v>6160</v>
      </c>
      <c r="B3293" s="14" t="s">
        <v>7247</v>
      </c>
      <c r="C3293" s="14" t="s">
        <v>7247</v>
      </c>
      <c r="D3293" s="14" t="s">
        <v>3278</v>
      </c>
      <c r="E3293" s="16">
        <v>400</v>
      </c>
      <c r="F3293" s="14"/>
      <c r="G3293" s="16">
        <v>400</v>
      </c>
      <c r="H3293" s="14" t="s">
        <v>3810</v>
      </c>
      <c r="I3293" s="14"/>
      <c r="J3293" s="14"/>
      <c r="K3293" s="14"/>
      <c r="L3293" s="14" t="s">
        <v>7248</v>
      </c>
      <c r="M3293" s="14"/>
      <c r="N3293" s="14" t="s">
        <v>1219</v>
      </c>
      <c r="O3293" s="14" t="s">
        <v>1220</v>
      </c>
    </row>
    <row r="3294" spans="1:15" x14ac:dyDescent="0.25">
      <c r="A3294" s="14">
        <v>6161</v>
      </c>
      <c r="B3294" s="14" t="s">
        <v>7249</v>
      </c>
      <c r="C3294" s="14" t="s">
        <v>7249</v>
      </c>
      <c r="D3294" s="14" t="s">
        <v>3278</v>
      </c>
      <c r="E3294" s="16">
        <v>350</v>
      </c>
      <c r="F3294" s="14"/>
      <c r="G3294" s="16">
        <v>350</v>
      </c>
      <c r="H3294" s="14" t="s">
        <v>3810</v>
      </c>
      <c r="I3294" s="14"/>
      <c r="J3294" s="14"/>
      <c r="K3294" s="14"/>
      <c r="L3294" s="14" t="s">
        <v>7250</v>
      </c>
      <c r="M3294" s="14"/>
      <c r="N3294" s="14" t="s">
        <v>1219</v>
      </c>
      <c r="O3294" s="14" t="s">
        <v>1220</v>
      </c>
    </row>
    <row r="3295" spans="1:15" x14ac:dyDescent="0.25">
      <c r="A3295" s="14">
        <v>6162</v>
      </c>
      <c r="B3295" s="14" t="s">
        <v>7251</v>
      </c>
      <c r="C3295" s="14" t="s">
        <v>7251</v>
      </c>
      <c r="D3295" s="14" t="s">
        <v>3278</v>
      </c>
      <c r="E3295" s="16">
        <v>250</v>
      </c>
      <c r="F3295" s="14"/>
      <c r="G3295" s="16">
        <v>250</v>
      </c>
      <c r="H3295" s="14" t="s">
        <v>3810</v>
      </c>
      <c r="I3295" s="14"/>
      <c r="J3295" s="14"/>
      <c r="K3295" s="14"/>
      <c r="L3295" s="14" t="s">
        <v>7252</v>
      </c>
      <c r="M3295" s="14"/>
      <c r="N3295" s="14" t="s">
        <v>1219</v>
      </c>
      <c r="O3295" s="14" t="s">
        <v>1220</v>
      </c>
    </row>
    <row r="3296" spans="1:15" x14ac:dyDescent="0.25">
      <c r="A3296" s="14">
        <v>6163</v>
      </c>
      <c r="B3296" s="14" t="s">
        <v>7253</v>
      </c>
      <c r="C3296" s="14" t="s">
        <v>7253</v>
      </c>
      <c r="D3296" s="14" t="s">
        <v>3278</v>
      </c>
      <c r="E3296" s="16">
        <v>200</v>
      </c>
      <c r="F3296" s="14"/>
      <c r="G3296" s="16">
        <v>200</v>
      </c>
      <c r="H3296" s="14" t="s">
        <v>3810</v>
      </c>
      <c r="I3296" s="14"/>
      <c r="J3296" s="14"/>
      <c r="K3296" s="14"/>
      <c r="L3296" s="14" t="s">
        <v>7254</v>
      </c>
      <c r="M3296" s="14"/>
      <c r="N3296" s="14" t="s">
        <v>1219</v>
      </c>
      <c r="O3296" s="14" t="s">
        <v>1220</v>
      </c>
    </row>
    <row r="3297" spans="1:15" x14ac:dyDescent="0.25">
      <c r="A3297" s="14">
        <v>6164</v>
      </c>
      <c r="B3297" s="14" t="s">
        <v>7255</v>
      </c>
      <c r="C3297" s="14" t="s">
        <v>7255</v>
      </c>
      <c r="D3297" s="14" t="s">
        <v>3278</v>
      </c>
      <c r="E3297" s="16">
        <v>150</v>
      </c>
      <c r="F3297" s="14"/>
      <c r="G3297" s="16">
        <v>150</v>
      </c>
      <c r="H3297" s="14" t="s">
        <v>3810</v>
      </c>
      <c r="I3297" s="14"/>
      <c r="J3297" s="14"/>
      <c r="K3297" s="14"/>
      <c r="L3297" s="14" t="s">
        <v>7256</v>
      </c>
      <c r="M3297" s="14"/>
      <c r="N3297" s="14" t="s">
        <v>1219</v>
      </c>
      <c r="O3297" s="14" t="s">
        <v>1220</v>
      </c>
    </row>
    <row r="3298" spans="1:15" x14ac:dyDescent="0.25">
      <c r="A3298" s="14">
        <v>6165</v>
      </c>
      <c r="B3298" s="14" t="s">
        <v>7257</v>
      </c>
      <c r="C3298" s="14" t="s">
        <v>7257</v>
      </c>
      <c r="D3298" s="14" t="s">
        <v>3278</v>
      </c>
      <c r="E3298" s="16">
        <v>150</v>
      </c>
      <c r="F3298" s="14"/>
      <c r="G3298" s="16">
        <v>150</v>
      </c>
      <c r="H3298" s="14" t="s">
        <v>3810</v>
      </c>
      <c r="I3298" s="14"/>
      <c r="J3298" s="14"/>
      <c r="K3298" s="14"/>
      <c r="L3298" s="14" t="s">
        <v>7258</v>
      </c>
      <c r="M3298" s="14"/>
      <c r="N3298" s="14" t="s">
        <v>1219</v>
      </c>
      <c r="O3298" s="14" t="s">
        <v>1220</v>
      </c>
    </row>
    <row r="3299" spans="1:15" x14ac:dyDescent="0.25">
      <c r="A3299" s="14">
        <v>6166</v>
      </c>
      <c r="B3299" s="14" t="s">
        <v>7259</v>
      </c>
      <c r="C3299" s="14" t="s">
        <v>7259</v>
      </c>
      <c r="D3299" s="14" t="s">
        <v>3278</v>
      </c>
      <c r="E3299" s="16">
        <v>100</v>
      </c>
      <c r="F3299" s="14"/>
      <c r="G3299" s="16">
        <v>100</v>
      </c>
      <c r="H3299" s="14" t="s">
        <v>3810</v>
      </c>
      <c r="I3299" s="14"/>
      <c r="J3299" s="14"/>
      <c r="K3299" s="14"/>
      <c r="L3299" s="14" t="s">
        <v>7260</v>
      </c>
      <c r="M3299" s="14"/>
      <c r="N3299" s="14" t="s">
        <v>1219</v>
      </c>
      <c r="O3299" s="14" t="s">
        <v>1220</v>
      </c>
    </row>
    <row r="3300" spans="1:15" x14ac:dyDescent="0.25">
      <c r="A3300" s="14">
        <v>6167</v>
      </c>
      <c r="B3300" s="14" t="s">
        <v>7261</v>
      </c>
      <c r="C3300" s="14" t="s">
        <v>7261</v>
      </c>
      <c r="D3300" s="14" t="s">
        <v>3278</v>
      </c>
      <c r="E3300" s="16">
        <v>100</v>
      </c>
      <c r="F3300" s="14"/>
      <c r="G3300" s="16">
        <v>100</v>
      </c>
      <c r="H3300" s="14" t="s">
        <v>3810</v>
      </c>
      <c r="I3300" s="14"/>
      <c r="J3300" s="14"/>
      <c r="K3300" s="14"/>
      <c r="L3300" s="14" t="s">
        <v>7262</v>
      </c>
      <c r="M3300" s="14"/>
      <c r="N3300" s="14" t="s">
        <v>1219</v>
      </c>
      <c r="O3300" s="14" t="s">
        <v>1220</v>
      </c>
    </row>
    <row r="3301" spans="1:15" x14ac:dyDescent="0.25">
      <c r="A3301" s="14">
        <v>6168</v>
      </c>
      <c r="B3301" s="14" t="s">
        <v>7263</v>
      </c>
      <c r="C3301" s="14" t="s">
        <v>7263</v>
      </c>
      <c r="D3301" s="14" t="s">
        <v>3278</v>
      </c>
      <c r="E3301" s="16">
        <v>100</v>
      </c>
      <c r="F3301" s="14"/>
      <c r="G3301" s="16">
        <v>100</v>
      </c>
      <c r="H3301" s="14" t="s">
        <v>3810</v>
      </c>
      <c r="I3301" s="14"/>
      <c r="J3301" s="14"/>
      <c r="K3301" s="14"/>
      <c r="L3301" s="14" t="s">
        <v>7264</v>
      </c>
      <c r="M3301" s="14"/>
      <c r="N3301" s="14" t="s">
        <v>1219</v>
      </c>
      <c r="O3301" s="14" t="s">
        <v>1220</v>
      </c>
    </row>
    <row r="3302" spans="1:15" x14ac:dyDescent="0.25">
      <c r="A3302" s="14">
        <v>1560</v>
      </c>
      <c r="B3302" s="14" t="s">
        <v>857</v>
      </c>
      <c r="C3302" s="14" t="s">
        <v>857</v>
      </c>
      <c r="D3302" s="14" t="s">
        <v>3808</v>
      </c>
      <c r="E3302" s="16">
        <v>60</v>
      </c>
      <c r="F3302" s="14" t="s">
        <v>3809</v>
      </c>
      <c r="G3302" s="16">
        <v>400</v>
      </c>
      <c r="H3302" s="14" t="s">
        <v>3810</v>
      </c>
      <c r="I3302" s="14" t="s">
        <v>1256</v>
      </c>
      <c r="J3302" s="14" t="s">
        <v>1242</v>
      </c>
      <c r="K3302" s="14" t="s">
        <v>7265</v>
      </c>
      <c r="L3302" s="14" t="s">
        <v>7248</v>
      </c>
      <c r="M3302" s="14" t="s">
        <v>7266</v>
      </c>
      <c r="N3302" s="14" t="s">
        <v>1237</v>
      </c>
      <c r="O3302" s="14" t="s">
        <v>1220</v>
      </c>
    </row>
    <row r="3303" spans="1:15" x14ac:dyDescent="0.25">
      <c r="A3303" s="14">
        <v>1561</v>
      </c>
      <c r="B3303" s="14" t="s">
        <v>858</v>
      </c>
      <c r="C3303" s="14" t="s">
        <v>858</v>
      </c>
      <c r="D3303" s="14" t="s">
        <v>3808</v>
      </c>
      <c r="E3303" s="16">
        <v>50</v>
      </c>
      <c r="F3303" s="14" t="s">
        <v>3809</v>
      </c>
      <c r="G3303" s="16">
        <v>350</v>
      </c>
      <c r="H3303" s="14" t="s">
        <v>3810</v>
      </c>
      <c r="I3303" s="14" t="s">
        <v>1256</v>
      </c>
      <c r="J3303" s="14" t="s">
        <v>1233</v>
      </c>
      <c r="K3303" s="14" t="s">
        <v>7265</v>
      </c>
      <c r="L3303" s="14" t="s">
        <v>7250</v>
      </c>
      <c r="M3303" s="14" t="s">
        <v>7266</v>
      </c>
      <c r="N3303" s="14" t="s">
        <v>1237</v>
      </c>
      <c r="O3303" s="14" t="s">
        <v>1220</v>
      </c>
    </row>
    <row r="3304" spans="1:15" x14ac:dyDescent="0.25">
      <c r="A3304" s="14">
        <v>1562</v>
      </c>
      <c r="B3304" s="14" t="s">
        <v>859</v>
      </c>
      <c r="C3304" s="14" t="s">
        <v>859</v>
      </c>
      <c r="D3304" s="14" t="s">
        <v>3808</v>
      </c>
      <c r="E3304" s="16">
        <v>40</v>
      </c>
      <c r="F3304" s="14" t="s">
        <v>3809</v>
      </c>
      <c r="G3304" s="16">
        <v>250</v>
      </c>
      <c r="H3304" s="14" t="s">
        <v>3810</v>
      </c>
      <c r="I3304" s="14" t="s">
        <v>1256</v>
      </c>
      <c r="J3304" s="14" t="s">
        <v>1233</v>
      </c>
      <c r="K3304" s="14" t="s">
        <v>7265</v>
      </c>
      <c r="L3304" s="14" t="s">
        <v>7252</v>
      </c>
      <c r="M3304" s="14" t="s">
        <v>7266</v>
      </c>
      <c r="N3304" s="14" t="s">
        <v>1237</v>
      </c>
      <c r="O3304" s="14" t="s">
        <v>1220</v>
      </c>
    </row>
    <row r="3305" spans="1:15" x14ac:dyDescent="0.25">
      <c r="A3305" s="14">
        <v>1563</v>
      </c>
      <c r="B3305" s="14" t="s">
        <v>860</v>
      </c>
      <c r="C3305" s="14" t="s">
        <v>860</v>
      </c>
      <c r="D3305" s="14" t="s">
        <v>3808</v>
      </c>
      <c r="E3305" s="16">
        <v>40</v>
      </c>
      <c r="F3305" s="14" t="s">
        <v>3809</v>
      </c>
      <c r="G3305" s="16">
        <v>200</v>
      </c>
      <c r="H3305" s="14" t="s">
        <v>3810</v>
      </c>
      <c r="I3305" s="14" t="s">
        <v>1256</v>
      </c>
      <c r="J3305" s="14" t="s">
        <v>1233</v>
      </c>
      <c r="K3305" s="14" t="s">
        <v>7265</v>
      </c>
      <c r="L3305" s="14" t="s">
        <v>7254</v>
      </c>
      <c r="M3305" s="14" t="s">
        <v>7266</v>
      </c>
      <c r="N3305" s="14" t="s">
        <v>1237</v>
      </c>
      <c r="O3305" s="14" t="s">
        <v>1220</v>
      </c>
    </row>
    <row r="3306" spans="1:15" x14ac:dyDescent="0.25">
      <c r="A3306" s="14">
        <v>1564</v>
      </c>
      <c r="B3306" s="14" t="s">
        <v>861</v>
      </c>
      <c r="C3306" s="14" t="s">
        <v>861</v>
      </c>
      <c r="D3306" s="14" t="s">
        <v>3808</v>
      </c>
      <c r="E3306" s="16">
        <v>30</v>
      </c>
      <c r="F3306" s="14" t="s">
        <v>3809</v>
      </c>
      <c r="G3306" s="16">
        <v>150</v>
      </c>
      <c r="H3306" s="14" t="s">
        <v>3810</v>
      </c>
      <c r="I3306" s="14" t="s">
        <v>1256</v>
      </c>
      <c r="J3306" s="14" t="s">
        <v>1233</v>
      </c>
      <c r="K3306" s="14" t="s">
        <v>7265</v>
      </c>
      <c r="L3306" s="14" t="s">
        <v>7256</v>
      </c>
      <c r="M3306" s="14" t="s">
        <v>7266</v>
      </c>
      <c r="N3306" s="14" t="s">
        <v>1237</v>
      </c>
      <c r="O3306" s="14" t="s">
        <v>1220</v>
      </c>
    </row>
    <row r="3307" spans="1:15" x14ac:dyDescent="0.25">
      <c r="A3307" s="14">
        <v>1565</v>
      </c>
      <c r="B3307" s="14" t="s">
        <v>862</v>
      </c>
      <c r="C3307" s="14" t="s">
        <v>862</v>
      </c>
      <c r="D3307" s="14" t="s">
        <v>3808</v>
      </c>
      <c r="E3307" s="16">
        <v>30</v>
      </c>
      <c r="F3307" s="14" t="s">
        <v>3809</v>
      </c>
      <c r="G3307" s="16">
        <v>150</v>
      </c>
      <c r="H3307" s="14" t="s">
        <v>3810</v>
      </c>
      <c r="I3307" s="14" t="s">
        <v>1256</v>
      </c>
      <c r="J3307" s="14" t="s">
        <v>1242</v>
      </c>
      <c r="K3307" s="14" t="s">
        <v>7265</v>
      </c>
      <c r="L3307" s="14" t="s">
        <v>7258</v>
      </c>
      <c r="M3307" s="14" t="s">
        <v>7266</v>
      </c>
      <c r="N3307" s="14" t="s">
        <v>1237</v>
      </c>
      <c r="O3307" s="14" t="s">
        <v>1220</v>
      </c>
    </row>
    <row r="3308" spans="1:15" x14ac:dyDescent="0.25">
      <c r="A3308" s="14">
        <v>1566</v>
      </c>
      <c r="B3308" s="14" t="s">
        <v>863</v>
      </c>
      <c r="C3308" s="14" t="s">
        <v>863</v>
      </c>
      <c r="D3308" s="14" t="s">
        <v>3808</v>
      </c>
      <c r="E3308" s="16">
        <v>22</v>
      </c>
      <c r="F3308" s="14" t="s">
        <v>3809</v>
      </c>
      <c r="G3308" s="16">
        <v>100</v>
      </c>
      <c r="H3308" s="14" t="s">
        <v>3810</v>
      </c>
      <c r="I3308" s="14" t="s">
        <v>1256</v>
      </c>
      <c r="J3308" s="14" t="s">
        <v>1233</v>
      </c>
      <c r="K3308" s="14" t="s">
        <v>7265</v>
      </c>
      <c r="L3308" s="14" t="s">
        <v>7260</v>
      </c>
      <c r="M3308" s="14" t="s">
        <v>7266</v>
      </c>
      <c r="N3308" s="14" t="s">
        <v>1237</v>
      </c>
      <c r="O3308" s="14" t="s">
        <v>1220</v>
      </c>
    </row>
    <row r="3309" spans="1:15" x14ac:dyDescent="0.25">
      <c r="A3309" s="14">
        <v>1567</v>
      </c>
      <c r="B3309" s="14" t="s">
        <v>864</v>
      </c>
      <c r="C3309" s="14" t="s">
        <v>864</v>
      </c>
      <c r="D3309" s="14" t="s">
        <v>3808</v>
      </c>
      <c r="E3309" s="16">
        <v>22</v>
      </c>
      <c r="F3309" s="14" t="s">
        <v>3809</v>
      </c>
      <c r="G3309" s="16">
        <v>100</v>
      </c>
      <c r="H3309" s="14" t="s">
        <v>3810</v>
      </c>
      <c r="I3309" s="14" t="s">
        <v>1256</v>
      </c>
      <c r="J3309" s="14" t="s">
        <v>1242</v>
      </c>
      <c r="K3309" s="14" t="s">
        <v>7265</v>
      </c>
      <c r="L3309" s="14" t="s">
        <v>7262</v>
      </c>
      <c r="M3309" s="14" t="s">
        <v>7266</v>
      </c>
      <c r="N3309" s="14" t="s">
        <v>1237</v>
      </c>
      <c r="O3309" s="14" t="s">
        <v>1220</v>
      </c>
    </row>
    <row r="3310" spans="1:15" x14ac:dyDescent="0.25">
      <c r="A3310" s="14">
        <v>1568</v>
      </c>
      <c r="B3310" s="14" t="s">
        <v>865</v>
      </c>
      <c r="C3310" s="14" t="s">
        <v>865</v>
      </c>
      <c r="D3310" s="14" t="s">
        <v>3808</v>
      </c>
      <c r="E3310" s="16">
        <v>22</v>
      </c>
      <c r="F3310" s="14" t="s">
        <v>3809</v>
      </c>
      <c r="G3310" s="16">
        <v>100</v>
      </c>
      <c r="H3310" s="14" t="s">
        <v>3810</v>
      </c>
      <c r="I3310" s="14" t="s">
        <v>1256</v>
      </c>
      <c r="J3310" s="14" t="s">
        <v>1242</v>
      </c>
      <c r="K3310" s="14" t="s">
        <v>7265</v>
      </c>
      <c r="L3310" s="14" t="s">
        <v>7264</v>
      </c>
      <c r="M3310" s="14" t="s">
        <v>7266</v>
      </c>
      <c r="N3310" s="14" t="s">
        <v>1237</v>
      </c>
      <c r="O3310" s="14" t="s">
        <v>1220</v>
      </c>
    </row>
    <row r="3311" spans="1:15" x14ac:dyDescent="0.25">
      <c r="A3311" s="14">
        <v>3840</v>
      </c>
      <c r="B3311" s="14" t="s">
        <v>7267</v>
      </c>
      <c r="C3311" s="14" t="s">
        <v>7267</v>
      </c>
      <c r="D3311" s="14" t="s">
        <v>1349</v>
      </c>
      <c r="E3311" s="15"/>
      <c r="F3311" s="14"/>
      <c r="G3311" s="15"/>
      <c r="H3311" s="14" t="s">
        <v>4562</v>
      </c>
      <c r="I3311" s="14" t="s">
        <v>1360</v>
      </c>
      <c r="J3311" s="14" t="s">
        <v>1360</v>
      </c>
      <c r="K3311" s="14"/>
      <c r="L3311" s="14"/>
      <c r="M3311" s="14" t="s">
        <v>3330</v>
      </c>
      <c r="N3311" s="14" t="s">
        <v>1219</v>
      </c>
      <c r="O3311" s="14" t="s">
        <v>1220</v>
      </c>
    </row>
    <row r="3312" spans="1:15" x14ac:dyDescent="0.25">
      <c r="A3312" s="14">
        <v>3845</v>
      </c>
      <c r="B3312" s="14" t="s">
        <v>7268</v>
      </c>
      <c r="C3312" s="14" t="s">
        <v>7268</v>
      </c>
      <c r="D3312" s="14" t="s">
        <v>1349</v>
      </c>
      <c r="E3312" s="15"/>
      <c r="F3312" s="14"/>
      <c r="G3312" s="15"/>
      <c r="H3312" s="14" t="s">
        <v>4562</v>
      </c>
      <c r="I3312" s="14" t="s">
        <v>1360</v>
      </c>
      <c r="J3312" s="14" t="s">
        <v>1360</v>
      </c>
      <c r="K3312" s="14"/>
      <c r="L3312" s="14"/>
      <c r="M3312" s="14" t="s">
        <v>3330</v>
      </c>
      <c r="N3312" s="14" t="s">
        <v>1219</v>
      </c>
      <c r="O3312" s="14" t="s">
        <v>1220</v>
      </c>
    </row>
    <row r="3313" spans="1:15" x14ac:dyDescent="0.25">
      <c r="A3313" s="14">
        <v>3846</v>
      </c>
      <c r="B3313" s="14" t="s">
        <v>7269</v>
      </c>
      <c r="C3313" s="14" t="s">
        <v>7270</v>
      </c>
      <c r="D3313" s="14" t="s">
        <v>1349</v>
      </c>
      <c r="E3313" s="15"/>
      <c r="F3313" s="14"/>
      <c r="G3313" s="15"/>
      <c r="H3313" s="14" t="s">
        <v>4562</v>
      </c>
      <c r="I3313" s="14" t="s">
        <v>1360</v>
      </c>
      <c r="J3313" s="14" t="s">
        <v>1360</v>
      </c>
      <c r="K3313" s="14"/>
      <c r="L3313" s="14"/>
      <c r="M3313" s="14" t="s">
        <v>3330</v>
      </c>
      <c r="N3313" s="14" t="s">
        <v>1219</v>
      </c>
      <c r="O3313" s="14" t="s">
        <v>1220</v>
      </c>
    </row>
    <row r="3314" spans="1:15" x14ac:dyDescent="0.25">
      <c r="A3314" s="14">
        <v>3847</v>
      </c>
      <c r="B3314" s="14" t="s">
        <v>7271</v>
      </c>
      <c r="C3314" s="14" t="s">
        <v>7272</v>
      </c>
      <c r="D3314" s="14" t="s">
        <v>1349</v>
      </c>
      <c r="E3314" s="15"/>
      <c r="F3314" s="14"/>
      <c r="G3314" s="15"/>
      <c r="H3314" s="14" t="s">
        <v>4562</v>
      </c>
      <c r="I3314" s="14" t="s">
        <v>1360</v>
      </c>
      <c r="J3314" s="14" t="s">
        <v>1360</v>
      </c>
      <c r="K3314" s="14"/>
      <c r="L3314" s="14"/>
      <c r="M3314" s="14" t="s">
        <v>3330</v>
      </c>
      <c r="N3314" s="14" t="s">
        <v>1219</v>
      </c>
      <c r="O3314" s="14" t="s">
        <v>1220</v>
      </c>
    </row>
    <row r="3315" spans="1:15" x14ac:dyDescent="0.25">
      <c r="A3315" s="14">
        <v>1580</v>
      </c>
      <c r="B3315" s="14" t="s">
        <v>7273</v>
      </c>
      <c r="C3315" s="14" t="s">
        <v>1175</v>
      </c>
      <c r="D3315" s="14" t="s">
        <v>7274</v>
      </c>
      <c r="E3315" s="16">
        <v>60</v>
      </c>
      <c r="F3315" s="14" t="s">
        <v>3809</v>
      </c>
      <c r="G3315" s="16">
        <v>60</v>
      </c>
      <c r="H3315" s="14" t="s">
        <v>3810</v>
      </c>
      <c r="I3315" s="14" t="s">
        <v>1232</v>
      </c>
      <c r="J3315" s="14" t="s">
        <v>1296</v>
      </c>
      <c r="K3315" s="14" t="s">
        <v>7275</v>
      </c>
      <c r="L3315" s="14" t="s">
        <v>7276</v>
      </c>
      <c r="M3315" s="14" t="s">
        <v>3330</v>
      </c>
      <c r="N3315" s="14" t="s">
        <v>1237</v>
      </c>
      <c r="O3315" s="14" t="s">
        <v>1220</v>
      </c>
    </row>
    <row r="3316" spans="1:15" x14ac:dyDescent="0.25">
      <c r="A3316" s="14">
        <v>1581</v>
      </c>
      <c r="B3316" s="14" t="s">
        <v>7277</v>
      </c>
      <c r="C3316" s="14" t="s">
        <v>1176</v>
      </c>
      <c r="D3316" s="14" t="s">
        <v>7274</v>
      </c>
      <c r="E3316" s="16">
        <v>54</v>
      </c>
      <c r="F3316" s="14" t="s">
        <v>3809</v>
      </c>
      <c r="G3316" s="16">
        <v>54</v>
      </c>
      <c r="H3316" s="14" t="s">
        <v>3810</v>
      </c>
      <c r="I3316" s="14" t="s">
        <v>1232</v>
      </c>
      <c r="J3316" s="14" t="s">
        <v>1296</v>
      </c>
      <c r="K3316" s="14" t="s">
        <v>7275</v>
      </c>
      <c r="L3316" s="14" t="s">
        <v>7278</v>
      </c>
      <c r="M3316" s="14" t="s">
        <v>3330</v>
      </c>
      <c r="N3316" s="14" t="s">
        <v>1237</v>
      </c>
      <c r="O3316" s="14" t="s">
        <v>1220</v>
      </c>
    </row>
    <row r="3317" spans="1:15" x14ac:dyDescent="0.25">
      <c r="A3317" s="14">
        <v>1582</v>
      </c>
      <c r="B3317" s="14" t="s">
        <v>7279</v>
      </c>
      <c r="C3317" s="14" t="s">
        <v>1177</v>
      </c>
      <c r="D3317" s="14" t="s">
        <v>7274</v>
      </c>
      <c r="E3317" s="16">
        <v>36</v>
      </c>
      <c r="F3317" s="14" t="s">
        <v>3809</v>
      </c>
      <c r="G3317" s="16">
        <v>36</v>
      </c>
      <c r="H3317" s="14" t="s">
        <v>3810</v>
      </c>
      <c r="I3317" s="14" t="s">
        <v>1232</v>
      </c>
      <c r="J3317" s="14" t="s">
        <v>1296</v>
      </c>
      <c r="K3317" s="14" t="s">
        <v>7275</v>
      </c>
      <c r="L3317" s="14" t="s">
        <v>7280</v>
      </c>
      <c r="M3317" s="14" t="s">
        <v>3330</v>
      </c>
      <c r="N3317" s="14" t="s">
        <v>1237</v>
      </c>
      <c r="O3317" s="14" t="s">
        <v>1220</v>
      </c>
    </row>
    <row r="3318" spans="1:15" x14ac:dyDescent="0.25">
      <c r="A3318" s="14">
        <v>1600</v>
      </c>
      <c r="B3318" s="14" t="s">
        <v>1143</v>
      </c>
      <c r="C3318" s="14" t="s">
        <v>1143</v>
      </c>
      <c r="D3318" s="14" t="s">
        <v>7281</v>
      </c>
      <c r="E3318" s="16">
        <v>28</v>
      </c>
      <c r="F3318" s="14" t="s">
        <v>3809</v>
      </c>
      <c r="G3318" s="16">
        <v>100</v>
      </c>
      <c r="H3318" s="14" t="s">
        <v>3810</v>
      </c>
      <c r="I3318" s="14" t="s">
        <v>1232</v>
      </c>
      <c r="J3318" s="14" t="s">
        <v>1242</v>
      </c>
      <c r="K3318" s="14" t="s">
        <v>7282</v>
      </c>
      <c r="L3318" s="14" t="s">
        <v>7283</v>
      </c>
      <c r="M3318" s="14" t="s">
        <v>7266</v>
      </c>
      <c r="N3318" s="14" t="s">
        <v>1237</v>
      </c>
      <c r="O3318" s="14" t="s">
        <v>1220</v>
      </c>
    </row>
    <row r="3319" spans="1:15" x14ac:dyDescent="0.25">
      <c r="A3319" s="14">
        <v>3855</v>
      </c>
      <c r="B3319" s="14" t="s">
        <v>7284</v>
      </c>
      <c r="C3319" s="14" t="s">
        <v>7284</v>
      </c>
      <c r="D3319" s="14" t="s">
        <v>1349</v>
      </c>
      <c r="E3319" s="15"/>
      <c r="F3319" s="14"/>
      <c r="G3319" s="15"/>
      <c r="H3319" s="14" t="s">
        <v>4562</v>
      </c>
      <c r="I3319" s="14" t="s">
        <v>1360</v>
      </c>
      <c r="J3319" s="14" t="s">
        <v>1360</v>
      </c>
      <c r="K3319" s="14"/>
      <c r="L3319" s="14"/>
      <c r="M3319" s="14" t="s">
        <v>6316</v>
      </c>
      <c r="N3319" s="14" t="s">
        <v>1219</v>
      </c>
      <c r="O3319" s="14" t="s">
        <v>1220</v>
      </c>
    </row>
    <row r="3320" spans="1:15" x14ac:dyDescent="0.25">
      <c r="A3320" s="14">
        <v>6150</v>
      </c>
      <c r="B3320" s="14" t="s">
        <v>7285</v>
      </c>
      <c r="C3320" s="14" t="s">
        <v>7285</v>
      </c>
      <c r="D3320" s="14" t="s">
        <v>3278</v>
      </c>
      <c r="E3320" s="17">
        <v>1000</v>
      </c>
      <c r="F3320" s="14"/>
      <c r="G3320" s="17">
        <v>1000</v>
      </c>
      <c r="H3320" s="14" t="s">
        <v>3810</v>
      </c>
      <c r="I3320" s="14"/>
      <c r="J3320" s="14"/>
      <c r="K3320" s="14"/>
      <c r="L3320" s="14" t="s">
        <v>7286</v>
      </c>
      <c r="M3320" s="14"/>
      <c r="N3320" s="14" t="s">
        <v>1219</v>
      </c>
      <c r="O3320" s="14" t="s">
        <v>1220</v>
      </c>
    </row>
    <row r="3321" spans="1:15" x14ac:dyDescent="0.25">
      <c r="A3321" s="14">
        <v>6151</v>
      </c>
      <c r="B3321" s="14" t="s">
        <v>7287</v>
      </c>
      <c r="C3321" s="14" t="s">
        <v>7287</v>
      </c>
      <c r="D3321" s="14" t="s">
        <v>3278</v>
      </c>
      <c r="E3321" s="16">
        <v>740</v>
      </c>
      <c r="F3321" s="14"/>
      <c r="G3321" s="16">
        <v>740</v>
      </c>
      <c r="H3321" s="14" t="s">
        <v>3810</v>
      </c>
      <c r="I3321" s="14"/>
      <c r="J3321" s="14"/>
      <c r="K3321" s="14"/>
      <c r="L3321" s="14" t="s">
        <v>7288</v>
      </c>
      <c r="M3321" s="14"/>
      <c r="N3321" s="14" t="s">
        <v>1219</v>
      </c>
      <c r="O3321" s="14" t="s">
        <v>1220</v>
      </c>
    </row>
    <row r="3322" spans="1:15" x14ac:dyDescent="0.25">
      <c r="A3322" s="14">
        <v>6152</v>
      </c>
      <c r="B3322" s="14" t="s">
        <v>7289</v>
      </c>
      <c r="C3322" s="14" t="s">
        <v>7289</v>
      </c>
      <c r="D3322" s="14" t="s">
        <v>3278</v>
      </c>
      <c r="E3322" s="16">
        <v>500</v>
      </c>
      <c r="F3322" s="14"/>
      <c r="G3322" s="16">
        <v>500</v>
      </c>
      <c r="H3322" s="14" t="s">
        <v>3810</v>
      </c>
      <c r="I3322" s="14"/>
      <c r="J3322" s="14"/>
      <c r="K3322" s="14"/>
      <c r="L3322" s="14" t="s">
        <v>7290</v>
      </c>
      <c r="M3322" s="14"/>
      <c r="N3322" s="14" t="s">
        <v>1219</v>
      </c>
      <c r="O3322" s="14" t="s">
        <v>1220</v>
      </c>
    </row>
    <row r="3323" spans="1:15" x14ac:dyDescent="0.25">
      <c r="A3323" s="14">
        <v>6153</v>
      </c>
      <c r="B3323" s="14" t="s">
        <v>7291</v>
      </c>
      <c r="C3323" s="14" t="s">
        <v>7291</v>
      </c>
      <c r="D3323" s="14" t="s">
        <v>3278</v>
      </c>
      <c r="E3323" s="16">
        <v>400</v>
      </c>
      <c r="F3323" s="14"/>
      <c r="G3323" s="16">
        <v>400</v>
      </c>
      <c r="H3323" s="14" t="s">
        <v>3810</v>
      </c>
      <c r="I3323" s="14"/>
      <c r="J3323" s="14"/>
      <c r="K3323" s="14"/>
      <c r="L3323" s="14" t="s">
        <v>7292</v>
      </c>
      <c r="M3323" s="14"/>
      <c r="N3323" s="14" t="s">
        <v>1219</v>
      </c>
      <c r="O3323" s="14" t="s">
        <v>1220</v>
      </c>
    </row>
    <row r="3324" spans="1:15" x14ac:dyDescent="0.25">
      <c r="A3324" s="14">
        <v>6154</v>
      </c>
      <c r="B3324" s="14" t="s">
        <v>7293</v>
      </c>
      <c r="C3324" s="14" t="s">
        <v>7293</v>
      </c>
      <c r="D3324" s="14" t="s">
        <v>3278</v>
      </c>
      <c r="E3324" s="16">
        <v>340</v>
      </c>
      <c r="F3324" s="14"/>
      <c r="G3324" s="16">
        <v>340</v>
      </c>
      <c r="H3324" s="14" t="s">
        <v>3810</v>
      </c>
      <c r="I3324" s="14"/>
      <c r="J3324" s="14"/>
      <c r="K3324" s="14"/>
      <c r="L3324" s="14" t="s">
        <v>7294</v>
      </c>
      <c r="M3324" s="14"/>
      <c r="N3324" s="14" t="s">
        <v>1219</v>
      </c>
      <c r="O3324" s="14" t="s">
        <v>1220</v>
      </c>
    </row>
    <row r="3325" spans="1:15" x14ac:dyDescent="0.25">
      <c r="A3325" s="14">
        <v>6155</v>
      </c>
      <c r="B3325" s="14" t="s">
        <v>7295</v>
      </c>
      <c r="C3325" s="14" t="s">
        <v>7295</v>
      </c>
      <c r="D3325" s="14" t="s">
        <v>3278</v>
      </c>
      <c r="E3325" s="16">
        <v>260</v>
      </c>
      <c r="F3325" s="14"/>
      <c r="G3325" s="16">
        <v>260</v>
      </c>
      <c r="H3325" s="14" t="s">
        <v>3810</v>
      </c>
      <c r="I3325" s="14"/>
      <c r="J3325" s="14"/>
      <c r="K3325" s="14"/>
      <c r="L3325" s="14" t="s">
        <v>7296</v>
      </c>
      <c r="M3325" s="14"/>
      <c r="N3325" s="14" t="s">
        <v>1219</v>
      </c>
      <c r="O3325" s="14" t="s">
        <v>1220</v>
      </c>
    </row>
    <row r="3326" spans="1:15" x14ac:dyDescent="0.25">
      <c r="A3326" s="14">
        <v>6156</v>
      </c>
      <c r="B3326" s="14" t="s">
        <v>7297</v>
      </c>
      <c r="C3326" s="14" t="s">
        <v>7297</v>
      </c>
      <c r="D3326" s="14" t="s">
        <v>3278</v>
      </c>
      <c r="E3326" s="16">
        <v>220</v>
      </c>
      <c r="F3326" s="14"/>
      <c r="G3326" s="16">
        <v>220</v>
      </c>
      <c r="H3326" s="14" t="s">
        <v>3810</v>
      </c>
      <c r="I3326" s="14"/>
      <c r="J3326" s="14"/>
      <c r="K3326" s="14"/>
      <c r="L3326" s="14" t="s">
        <v>7298</v>
      </c>
      <c r="M3326" s="14"/>
      <c r="N3326" s="14" t="s">
        <v>1219</v>
      </c>
      <c r="O3326" s="14" t="s">
        <v>1220</v>
      </c>
    </row>
    <row r="3327" spans="1:15" x14ac:dyDescent="0.25">
      <c r="A3327" s="14">
        <v>6157</v>
      </c>
      <c r="B3327" s="14" t="s">
        <v>7299</v>
      </c>
      <c r="C3327" s="14" t="s">
        <v>7299</v>
      </c>
      <c r="D3327" s="14" t="s">
        <v>3278</v>
      </c>
      <c r="E3327" s="16">
        <v>200</v>
      </c>
      <c r="F3327" s="14"/>
      <c r="G3327" s="16">
        <v>200</v>
      </c>
      <c r="H3327" s="14" t="s">
        <v>3810</v>
      </c>
      <c r="I3327" s="14"/>
      <c r="J3327" s="14"/>
      <c r="K3327" s="14"/>
      <c r="L3327" s="14" t="s">
        <v>7300</v>
      </c>
      <c r="M3327" s="14"/>
      <c r="N3327" s="14" t="s">
        <v>1219</v>
      </c>
      <c r="O3327" s="14" t="s">
        <v>1220</v>
      </c>
    </row>
    <row r="3328" spans="1:15" x14ac:dyDescent="0.25">
      <c r="A3328" s="14">
        <v>6158</v>
      </c>
      <c r="B3328" s="14" t="s">
        <v>7301</v>
      </c>
      <c r="C3328" s="14" t="s">
        <v>7301</v>
      </c>
      <c r="D3328" s="14" t="s">
        <v>3278</v>
      </c>
      <c r="E3328" s="16">
        <v>160</v>
      </c>
      <c r="F3328" s="14"/>
      <c r="G3328" s="16">
        <v>160</v>
      </c>
      <c r="H3328" s="14" t="s">
        <v>3810</v>
      </c>
      <c r="I3328" s="14"/>
      <c r="J3328" s="14"/>
      <c r="K3328" s="14"/>
      <c r="L3328" s="14" t="s">
        <v>7302</v>
      </c>
      <c r="M3328" s="14"/>
      <c r="N3328" s="14" t="s">
        <v>1219</v>
      </c>
      <c r="O3328" s="14" t="s">
        <v>1220</v>
      </c>
    </row>
    <row r="3329" spans="1:15" x14ac:dyDescent="0.25">
      <c r="A3329" s="14">
        <v>1550</v>
      </c>
      <c r="B3329" s="14" t="s">
        <v>866</v>
      </c>
      <c r="C3329" s="14" t="s">
        <v>866</v>
      </c>
      <c r="D3329" s="14" t="s">
        <v>3808</v>
      </c>
      <c r="E3329" s="16">
        <v>45</v>
      </c>
      <c r="F3329" s="14" t="s">
        <v>3809</v>
      </c>
      <c r="G3329" s="17">
        <v>1000</v>
      </c>
      <c r="H3329" s="14" t="s">
        <v>3810</v>
      </c>
      <c r="I3329" s="14" t="s">
        <v>1256</v>
      </c>
      <c r="J3329" s="14" t="s">
        <v>1242</v>
      </c>
      <c r="K3329" s="14" t="s">
        <v>7265</v>
      </c>
      <c r="L3329" s="14" t="s">
        <v>7286</v>
      </c>
      <c r="M3329" s="14" t="s">
        <v>3813</v>
      </c>
      <c r="N3329" s="14" t="s">
        <v>1237</v>
      </c>
      <c r="O3329" s="14" t="s">
        <v>1220</v>
      </c>
    </row>
    <row r="3330" spans="1:15" x14ac:dyDescent="0.25">
      <c r="A3330" s="14">
        <v>1551</v>
      </c>
      <c r="B3330" s="14" t="s">
        <v>867</v>
      </c>
      <c r="C3330" s="14" t="s">
        <v>867</v>
      </c>
      <c r="D3330" s="14" t="s">
        <v>3808</v>
      </c>
      <c r="E3330" s="16">
        <v>30</v>
      </c>
      <c r="F3330" s="14" t="s">
        <v>3809</v>
      </c>
      <c r="G3330" s="16">
        <v>740</v>
      </c>
      <c r="H3330" s="14" t="s">
        <v>3810</v>
      </c>
      <c r="I3330" s="14" t="s">
        <v>1256</v>
      </c>
      <c r="J3330" s="14" t="s">
        <v>1233</v>
      </c>
      <c r="K3330" s="14" t="s">
        <v>7265</v>
      </c>
      <c r="L3330" s="14" t="s">
        <v>7288</v>
      </c>
      <c r="M3330" s="14" t="s">
        <v>3813</v>
      </c>
      <c r="N3330" s="14" t="s">
        <v>1237</v>
      </c>
      <c r="O3330" s="14" t="s">
        <v>1220</v>
      </c>
    </row>
    <row r="3331" spans="1:15" x14ac:dyDescent="0.25">
      <c r="A3331" s="14">
        <v>1552</v>
      </c>
      <c r="B3331" s="14" t="s">
        <v>868</v>
      </c>
      <c r="C3331" s="14" t="s">
        <v>868</v>
      </c>
      <c r="D3331" s="14" t="s">
        <v>3808</v>
      </c>
      <c r="E3331" s="16">
        <v>25</v>
      </c>
      <c r="F3331" s="14" t="s">
        <v>3809</v>
      </c>
      <c r="G3331" s="16">
        <v>500</v>
      </c>
      <c r="H3331" s="14" t="s">
        <v>3810</v>
      </c>
      <c r="I3331" s="14" t="s">
        <v>1256</v>
      </c>
      <c r="J3331" s="14" t="s">
        <v>1233</v>
      </c>
      <c r="K3331" s="14" t="s">
        <v>7265</v>
      </c>
      <c r="L3331" s="14" t="s">
        <v>7290</v>
      </c>
      <c r="M3331" s="14" t="s">
        <v>3813</v>
      </c>
      <c r="N3331" s="14" t="s">
        <v>1237</v>
      </c>
      <c r="O3331" s="14" t="s">
        <v>1220</v>
      </c>
    </row>
    <row r="3332" spans="1:15" x14ac:dyDescent="0.25">
      <c r="A3332" s="14">
        <v>1553</v>
      </c>
      <c r="B3332" s="14" t="s">
        <v>869</v>
      </c>
      <c r="C3332" s="14" t="s">
        <v>869</v>
      </c>
      <c r="D3332" s="14" t="s">
        <v>3808</v>
      </c>
      <c r="E3332" s="16">
        <v>22</v>
      </c>
      <c r="F3332" s="14" t="s">
        <v>3809</v>
      </c>
      <c r="G3332" s="16">
        <v>400</v>
      </c>
      <c r="H3332" s="14" t="s">
        <v>3810</v>
      </c>
      <c r="I3332" s="14" t="s">
        <v>1256</v>
      </c>
      <c r="J3332" s="14" t="s">
        <v>1242</v>
      </c>
      <c r="K3332" s="14" t="s">
        <v>7265</v>
      </c>
      <c r="L3332" s="14" t="s">
        <v>7292</v>
      </c>
      <c r="M3332" s="14" t="s">
        <v>3813</v>
      </c>
      <c r="N3332" s="14" t="s">
        <v>1237</v>
      </c>
      <c r="O3332" s="14" t="s">
        <v>1220</v>
      </c>
    </row>
    <row r="3333" spans="1:15" x14ac:dyDescent="0.25">
      <c r="A3333" s="14">
        <v>1554</v>
      </c>
      <c r="B3333" s="14" t="s">
        <v>870</v>
      </c>
      <c r="C3333" s="14" t="s">
        <v>870</v>
      </c>
      <c r="D3333" s="14" t="s">
        <v>3808</v>
      </c>
      <c r="E3333" s="16">
        <v>18</v>
      </c>
      <c r="F3333" s="14" t="s">
        <v>3809</v>
      </c>
      <c r="G3333" s="16">
        <v>340</v>
      </c>
      <c r="H3333" s="14" t="s">
        <v>3810</v>
      </c>
      <c r="I3333" s="14" t="s">
        <v>1256</v>
      </c>
      <c r="J3333" s="14" t="s">
        <v>1233</v>
      </c>
      <c r="K3333" s="14" t="s">
        <v>7265</v>
      </c>
      <c r="L3333" s="14" t="s">
        <v>7294</v>
      </c>
      <c r="M3333" s="14" t="s">
        <v>3813</v>
      </c>
      <c r="N3333" s="14" t="s">
        <v>1237</v>
      </c>
      <c r="O3333" s="14" t="s">
        <v>1220</v>
      </c>
    </row>
    <row r="3334" spans="1:15" x14ac:dyDescent="0.25">
      <c r="A3334" s="14">
        <v>1555</v>
      </c>
      <c r="B3334" s="14" t="s">
        <v>871</v>
      </c>
      <c r="C3334" s="14" t="s">
        <v>871</v>
      </c>
      <c r="D3334" s="14" t="s">
        <v>3808</v>
      </c>
      <c r="E3334" s="16">
        <v>16</v>
      </c>
      <c r="F3334" s="14" t="s">
        <v>3809</v>
      </c>
      <c r="G3334" s="16">
        <v>260</v>
      </c>
      <c r="H3334" s="14" t="s">
        <v>3810</v>
      </c>
      <c r="I3334" s="14" t="s">
        <v>1256</v>
      </c>
      <c r="J3334" s="14" t="s">
        <v>1242</v>
      </c>
      <c r="K3334" s="14" t="s">
        <v>7265</v>
      </c>
      <c r="L3334" s="14" t="s">
        <v>7296</v>
      </c>
      <c r="M3334" s="14" t="s">
        <v>3813</v>
      </c>
      <c r="N3334" s="14" t="s">
        <v>1237</v>
      </c>
      <c r="O3334" s="14" t="s">
        <v>1220</v>
      </c>
    </row>
    <row r="3335" spans="1:15" x14ac:dyDescent="0.25">
      <c r="A3335" s="14">
        <v>1556</v>
      </c>
      <c r="B3335" s="14" t="s">
        <v>872</v>
      </c>
      <c r="C3335" s="14" t="s">
        <v>872</v>
      </c>
      <c r="D3335" s="14" t="s">
        <v>3808</v>
      </c>
      <c r="E3335" s="16">
        <v>15</v>
      </c>
      <c r="F3335" s="14" t="s">
        <v>3809</v>
      </c>
      <c r="G3335" s="16">
        <v>220</v>
      </c>
      <c r="H3335" s="14" t="s">
        <v>3810</v>
      </c>
      <c r="I3335" s="14" t="s">
        <v>1256</v>
      </c>
      <c r="J3335" s="14" t="s">
        <v>1242</v>
      </c>
      <c r="K3335" s="14" t="s">
        <v>7265</v>
      </c>
      <c r="L3335" s="14" t="s">
        <v>7298</v>
      </c>
      <c r="M3335" s="14" t="s">
        <v>3813</v>
      </c>
      <c r="N3335" s="14" t="s">
        <v>1237</v>
      </c>
      <c r="O3335" s="14" t="s">
        <v>1220</v>
      </c>
    </row>
    <row r="3336" spans="1:15" x14ac:dyDescent="0.25">
      <c r="A3336" s="14">
        <v>1557</v>
      </c>
      <c r="B3336" s="14" t="s">
        <v>873</v>
      </c>
      <c r="C3336" s="14" t="s">
        <v>873</v>
      </c>
      <c r="D3336" s="14" t="s">
        <v>3808</v>
      </c>
      <c r="E3336" s="16">
        <v>14</v>
      </c>
      <c r="F3336" s="14" t="s">
        <v>3809</v>
      </c>
      <c r="G3336" s="16">
        <v>200</v>
      </c>
      <c r="H3336" s="14" t="s">
        <v>3810</v>
      </c>
      <c r="I3336" s="14" t="s">
        <v>1256</v>
      </c>
      <c r="J3336" s="14" t="s">
        <v>1296</v>
      </c>
      <c r="K3336" s="14" t="s">
        <v>7265</v>
      </c>
      <c r="L3336" s="14" t="s">
        <v>7300</v>
      </c>
      <c r="M3336" s="14" t="s">
        <v>3813</v>
      </c>
      <c r="N3336" s="14" t="s">
        <v>1237</v>
      </c>
      <c r="O3336" s="14" t="s">
        <v>1220</v>
      </c>
    </row>
    <row r="3337" spans="1:15" x14ac:dyDescent="0.25">
      <c r="A3337" s="14">
        <v>1558</v>
      </c>
      <c r="B3337" s="14" t="s">
        <v>874</v>
      </c>
      <c r="C3337" s="14" t="s">
        <v>874</v>
      </c>
      <c r="D3337" s="14" t="s">
        <v>3808</v>
      </c>
      <c r="E3337" s="16">
        <v>10</v>
      </c>
      <c r="F3337" s="14" t="s">
        <v>3809</v>
      </c>
      <c r="G3337" s="16">
        <v>160</v>
      </c>
      <c r="H3337" s="14" t="s">
        <v>3810</v>
      </c>
      <c r="I3337" s="14" t="s">
        <v>1256</v>
      </c>
      <c r="J3337" s="14" t="s">
        <v>1242</v>
      </c>
      <c r="K3337" s="14" t="s">
        <v>7265</v>
      </c>
      <c r="L3337" s="14" t="s">
        <v>7302</v>
      </c>
      <c r="M3337" s="14" t="s">
        <v>3813</v>
      </c>
      <c r="N3337" s="14" t="s">
        <v>1237</v>
      </c>
      <c r="O3337" s="14" t="s">
        <v>1220</v>
      </c>
    </row>
    <row r="3338" spans="1:15" x14ac:dyDescent="0.25">
      <c r="A3338" s="14">
        <v>1569</v>
      </c>
      <c r="B3338" s="14" t="s">
        <v>1104</v>
      </c>
      <c r="C3338" s="14" t="s">
        <v>1104</v>
      </c>
      <c r="D3338" s="14" t="s">
        <v>3808</v>
      </c>
      <c r="E3338" s="16">
        <v>14</v>
      </c>
      <c r="F3338" s="14" t="s">
        <v>3809</v>
      </c>
      <c r="G3338" s="16">
        <v>14</v>
      </c>
      <c r="H3338" s="14" t="s">
        <v>3810</v>
      </c>
      <c r="I3338" s="14" t="s">
        <v>1232</v>
      </c>
      <c r="J3338" s="14" t="s">
        <v>1296</v>
      </c>
      <c r="K3338" s="14" t="s">
        <v>3811</v>
      </c>
      <c r="L3338" s="14" t="s">
        <v>7303</v>
      </c>
      <c r="M3338" s="14" t="s">
        <v>3813</v>
      </c>
      <c r="N3338" s="14" t="s">
        <v>1237</v>
      </c>
      <c r="O3338" s="14" t="s">
        <v>1220</v>
      </c>
    </row>
    <row r="3339" spans="1:15" x14ac:dyDescent="0.25">
      <c r="A3339" s="14">
        <v>6170</v>
      </c>
      <c r="B3339" s="14" t="s">
        <v>7304</v>
      </c>
      <c r="C3339" s="14" t="s">
        <v>7304</v>
      </c>
      <c r="D3339" s="14" t="s">
        <v>3278</v>
      </c>
      <c r="E3339" s="16">
        <v>30</v>
      </c>
      <c r="F3339" s="14"/>
      <c r="G3339" s="16">
        <v>30</v>
      </c>
      <c r="H3339" s="14" t="s">
        <v>3810</v>
      </c>
      <c r="I3339" s="14"/>
      <c r="J3339" s="14"/>
      <c r="K3339" s="14"/>
      <c r="L3339" s="14" t="s">
        <v>7305</v>
      </c>
      <c r="M3339" s="14"/>
      <c r="N3339" s="14" t="s">
        <v>1219</v>
      </c>
      <c r="O3339" s="14" t="s">
        <v>1220</v>
      </c>
    </row>
    <row r="3340" spans="1:15" x14ac:dyDescent="0.25">
      <c r="A3340" s="14">
        <v>2686</v>
      </c>
      <c r="B3340" s="14" t="s">
        <v>772</v>
      </c>
      <c r="C3340" s="14" t="s">
        <v>7306</v>
      </c>
      <c r="D3340" s="14" t="s">
        <v>7307</v>
      </c>
      <c r="E3340" s="16">
        <v>300</v>
      </c>
      <c r="F3340" s="14" t="s">
        <v>1321</v>
      </c>
      <c r="G3340" s="17">
        <v>9600</v>
      </c>
      <c r="H3340" s="14" t="s">
        <v>1322</v>
      </c>
      <c r="I3340" s="14" t="s">
        <v>1256</v>
      </c>
      <c r="J3340" s="14" t="s">
        <v>1233</v>
      </c>
      <c r="K3340" s="14" t="s">
        <v>1257</v>
      </c>
      <c r="L3340" s="14" t="s">
        <v>7308</v>
      </c>
      <c r="M3340" s="14" t="s">
        <v>1324</v>
      </c>
      <c r="N3340" s="14" t="s">
        <v>1237</v>
      </c>
      <c r="O3340" s="14" t="s">
        <v>1220</v>
      </c>
    </row>
    <row r="3341" spans="1:15" x14ac:dyDescent="0.25">
      <c r="A3341" s="14" t="s">
        <v>7309</v>
      </c>
      <c r="B3341" s="14" t="s">
        <v>7310</v>
      </c>
      <c r="C3341" s="14" t="s">
        <v>7311</v>
      </c>
      <c r="D3341" s="14" t="s">
        <v>7307</v>
      </c>
      <c r="E3341" s="15"/>
      <c r="F3341" s="14" t="s">
        <v>1321</v>
      </c>
      <c r="G3341" s="15"/>
      <c r="H3341" s="14" t="s">
        <v>1322</v>
      </c>
      <c r="I3341" s="14" t="s">
        <v>1262</v>
      </c>
      <c r="J3341" s="14" t="s">
        <v>1262</v>
      </c>
      <c r="K3341" s="14"/>
      <c r="L3341" s="14" t="s">
        <v>7308</v>
      </c>
      <c r="M3341" s="14" t="s">
        <v>1324</v>
      </c>
      <c r="N3341" s="14" t="s">
        <v>1219</v>
      </c>
      <c r="O3341" s="14" t="s">
        <v>1220</v>
      </c>
    </row>
    <row r="3342" spans="1:15" x14ac:dyDescent="0.25">
      <c r="A3342" s="14">
        <v>2687</v>
      </c>
      <c r="B3342" s="14" t="s">
        <v>773</v>
      </c>
      <c r="C3342" s="14" t="s">
        <v>7312</v>
      </c>
      <c r="D3342" s="14" t="s">
        <v>7307</v>
      </c>
      <c r="E3342" s="16">
        <v>300</v>
      </c>
      <c r="F3342" s="14" t="s">
        <v>1321</v>
      </c>
      <c r="G3342" s="17">
        <v>8700</v>
      </c>
      <c r="H3342" s="14" t="s">
        <v>1322</v>
      </c>
      <c r="I3342" s="14" t="s">
        <v>1256</v>
      </c>
      <c r="J3342" s="14" t="s">
        <v>1242</v>
      </c>
      <c r="K3342" s="14" t="s">
        <v>1257</v>
      </c>
      <c r="L3342" s="14" t="s">
        <v>7313</v>
      </c>
      <c r="M3342" s="14" t="s">
        <v>1324</v>
      </c>
      <c r="N3342" s="14" t="s">
        <v>1237</v>
      </c>
      <c r="O3342" s="14" t="s">
        <v>1220</v>
      </c>
    </row>
    <row r="3343" spans="1:15" x14ac:dyDescent="0.25">
      <c r="A3343" s="14" t="s">
        <v>7314</v>
      </c>
      <c r="B3343" s="14" t="s">
        <v>7315</v>
      </c>
      <c r="C3343" s="14" t="s">
        <v>7316</v>
      </c>
      <c r="D3343" s="14" t="s">
        <v>7307</v>
      </c>
      <c r="E3343" s="15"/>
      <c r="F3343" s="14" t="s">
        <v>1321</v>
      </c>
      <c r="G3343" s="15"/>
      <c r="H3343" s="14" t="s">
        <v>1322</v>
      </c>
      <c r="I3343" s="14" t="s">
        <v>1262</v>
      </c>
      <c r="J3343" s="14" t="s">
        <v>1262</v>
      </c>
      <c r="K3343" s="14"/>
      <c r="L3343" s="14" t="s">
        <v>7313</v>
      </c>
      <c r="M3343" s="14" t="s">
        <v>1324</v>
      </c>
      <c r="N3343" s="14" t="s">
        <v>1219</v>
      </c>
      <c r="O3343" s="14" t="s">
        <v>1220</v>
      </c>
    </row>
    <row r="3344" spans="1:15" x14ac:dyDescent="0.25">
      <c r="A3344" s="14">
        <v>2688</v>
      </c>
      <c r="B3344" s="14" t="s">
        <v>774</v>
      </c>
      <c r="C3344" s="14" t="s">
        <v>7317</v>
      </c>
      <c r="D3344" s="14" t="s">
        <v>7307</v>
      </c>
      <c r="E3344" s="16">
        <v>300</v>
      </c>
      <c r="F3344" s="14" t="s">
        <v>1321</v>
      </c>
      <c r="G3344" s="17">
        <v>11700</v>
      </c>
      <c r="H3344" s="14" t="s">
        <v>1322</v>
      </c>
      <c r="I3344" s="14" t="s">
        <v>1256</v>
      </c>
      <c r="J3344" s="14" t="s">
        <v>1242</v>
      </c>
      <c r="K3344" s="14" t="s">
        <v>1257</v>
      </c>
      <c r="L3344" s="14" t="s">
        <v>7318</v>
      </c>
      <c r="M3344" s="14" t="s">
        <v>1324</v>
      </c>
      <c r="N3344" s="14" t="s">
        <v>1237</v>
      </c>
      <c r="O3344" s="14" t="s">
        <v>1220</v>
      </c>
    </row>
    <row r="3345" spans="1:15" x14ac:dyDescent="0.25">
      <c r="A3345" s="14" t="s">
        <v>7319</v>
      </c>
      <c r="B3345" s="14" t="s">
        <v>7320</v>
      </c>
      <c r="C3345" s="14" t="s">
        <v>7321</v>
      </c>
      <c r="D3345" s="14" t="s">
        <v>7307</v>
      </c>
      <c r="E3345" s="15"/>
      <c r="F3345" s="14" t="s">
        <v>1321</v>
      </c>
      <c r="G3345" s="15"/>
      <c r="H3345" s="14" t="s">
        <v>1322</v>
      </c>
      <c r="I3345" s="14" t="s">
        <v>1262</v>
      </c>
      <c r="J3345" s="14" t="s">
        <v>1262</v>
      </c>
      <c r="K3345" s="14"/>
      <c r="L3345" s="14" t="s">
        <v>7318</v>
      </c>
      <c r="M3345" s="14" t="s">
        <v>1324</v>
      </c>
      <c r="N3345" s="14" t="s">
        <v>1219</v>
      </c>
      <c r="O3345" s="14" t="s">
        <v>1220</v>
      </c>
    </row>
    <row r="3346" spans="1:15" x14ac:dyDescent="0.25">
      <c r="A3346" s="14" t="s">
        <v>7322</v>
      </c>
      <c r="B3346" s="14" t="s">
        <v>7323</v>
      </c>
      <c r="C3346" s="14" t="s">
        <v>7324</v>
      </c>
      <c r="D3346" s="14" t="s">
        <v>7307</v>
      </c>
      <c r="E3346" s="15"/>
      <c r="F3346" s="14" t="s">
        <v>1321</v>
      </c>
      <c r="G3346" s="15"/>
      <c r="H3346" s="14" t="s">
        <v>1322</v>
      </c>
      <c r="I3346" s="14" t="s">
        <v>1262</v>
      </c>
      <c r="J3346" s="14" t="s">
        <v>1262</v>
      </c>
      <c r="K3346" s="14"/>
      <c r="L3346" s="14" t="s">
        <v>7325</v>
      </c>
      <c r="M3346" s="14" t="s">
        <v>1324</v>
      </c>
      <c r="N3346" s="14" t="s">
        <v>1219</v>
      </c>
      <c r="O3346" s="14" t="s">
        <v>1220</v>
      </c>
    </row>
    <row r="3347" spans="1:15" x14ac:dyDescent="0.25">
      <c r="A3347" s="14">
        <v>2689</v>
      </c>
      <c r="B3347" s="14" t="s">
        <v>775</v>
      </c>
      <c r="C3347" s="14" t="s">
        <v>7326</v>
      </c>
      <c r="D3347" s="14" t="s">
        <v>7307</v>
      </c>
      <c r="E3347" s="16">
        <v>300</v>
      </c>
      <c r="F3347" s="14" t="s">
        <v>1321</v>
      </c>
      <c r="G3347" s="17">
        <v>12600</v>
      </c>
      <c r="H3347" s="14" t="s">
        <v>1322</v>
      </c>
      <c r="I3347" s="14" t="s">
        <v>1256</v>
      </c>
      <c r="J3347" s="14" t="s">
        <v>1233</v>
      </c>
      <c r="K3347" s="14" t="s">
        <v>1257</v>
      </c>
      <c r="L3347" s="14" t="s">
        <v>7325</v>
      </c>
      <c r="M3347" s="14" t="s">
        <v>1324</v>
      </c>
      <c r="N3347" s="14" t="s">
        <v>1237</v>
      </c>
      <c r="O3347" s="14" t="s">
        <v>1220</v>
      </c>
    </row>
    <row r="3348" spans="1:15" x14ac:dyDescent="0.25">
      <c r="A3348" s="14">
        <v>2690</v>
      </c>
      <c r="B3348" s="14" t="s">
        <v>776</v>
      </c>
      <c r="C3348" s="14" t="s">
        <v>7327</v>
      </c>
      <c r="D3348" s="14" t="s">
        <v>7307</v>
      </c>
      <c r="E3348" s="16">
        <v>200</v>
      </c>
      <c r="F3348" s="14" t="s">
        <v>1321</v>
      </c>
      <c r="G3348" s="17">
        <v>7800</v>
      </c>
      <c r="H3348" s="14" t="s">
        <v>1322</v>
      </c>
      <c r="I3348" s="14" t="s">
        <v>1256</v>
      </c>
      <c r="J3348" s="14" t="s">
        <v>1233</v>
      </c>
      <c r="K3348" s="14" t="s">
        <v>1257</v>
      </c>
      <c r="L3348" s="14" t="s">
        <v>7328</v>
      </c>
      <c r="M3348" s="14" t="s">
        <v>1324</v>
      </c>
      <c r="N3348" s="14" t="s">
        <v>1237</v>
      </c>
      <c r="O3348" s="14" t="s">
        <v>1220</v>
      </c>
    </row>
    <row r="3349" spans="1:15" x14ac:dyDescent="0.25">
      <c r="A3349" s="14" t="s">
        <v>7329</v>
      </c>
      <c r="B3349" s="14" t="s">
        <v>7330</v>
      </c>
      <c r="C3349" s="14" t="s">
        <v>7331</v>
      </c>
      <c r="D3349" s="14" t="s">
        <v>7307</v>
      </c>
      <c r="E3349" s="15"/>
      <c r="F3349" s="14" t="s">
        <v>1321</v>
      </c>
      <c r="G3349" s="15"/>
      <c r="H3349" s="14" t="s">
        <v>1322</v>
      </c>
      <c r="I3349" s="14" t="s">
        <v>1262</v>
      </c>
      <c r="J3349" s="14" t="s">
        <v>1262</v>
      </c>
      <c r="K3349" s="14"/>
      <c r="L3349" s="14" t="s">
        <v>7328</v>
      </c>
      <c r="M3349" s="14" t="s">
        <v>1324</v>
      </c>
      <c r="N3349" s="14" t="s">
        <v>1219</v>
      </c>
      <c r="O3349" s="14" t="s">
        <v>1220</v>
      </c>
    </row>
    <row r="3350" spans="1:15" x14ac:dyDescent="0.25">
      <c r="A3350" s="14">
        <v>2691</v>
      </c>
      <c r="B3350" s="14" t="s">
        <v>777</v>
      </c>
      <c r="C3350" s="14" t="s">
        <v>7332</v>
      </c>
      <c r="D3350" s="14" t="s">
        <v>7307</v>
      </c>
      <c r="E3350" s="16">
        <v>200</v>
      </c>
      <c r="F3350" s="14" t="s">
        <v>1321</v>
      </c>
      <c r="G3350" s="17">
        <v>13800</v>
      </c>
      <c r="H3350" s="14" t="s">
        <v>1322</v>
      </c>
      <c r="I3350" s="14" t="s">
        <v>1256</v>
      </c>
      <c r="J3350" s="14" t="s">
        <v>1233</v>
      </c>
      <c r="K3350" s="14" t="s">
        <v>1257</v>
      </c>
      <c r="L3350" s="14" t="s">
        <v>7333</v>
      </c>
      <c r="M3350" s="14" t="s">
        <v>1324</v>
      </c>
      <c r="N3350" s="14" t="s">
        <v>1237</v>
      </c>
      <c r="O3350" s="14" t="s">
        <v>1220</v>
      </c>
    </row>
    <row r="3351" spans="1:15" x14ac:dyDescent="0.25">
      <c r="A3351" s="14" t="s">
        <v>7334</v>
      </c>
      <c r="B3351" s="14" t="s">
        <v>7335</v>
      </c>
      <c r="C3351" s="14" t="s">
        <v>7336</v>
      </c>
      <c r="D3351" s="14" t="s">
        <v>7307</v>
      </c>
      <c r="E3351" s="15"/>
      <c r="F3351" s="14" t="s">
        <v>1321</v>
      </c>
      <c r="G3351" s="15"/>
      <c r="H3351" s="14" t="s">
        <v>1322</v>
      </c>
      <c r="I3351" s="14" t="s">
        <v>1262</v>
      </c>
      <c r="J3351" s="14" t="s">
        <v>1262</v>
      </c>
      <c r="K3351" s="14"/>
      <c r="L3351" s="14" t="s">
        <v>7333</v>
      </c>
      <c r="M3351" s="14" t="s">
        <v>1324</v>
      </c>
      <c r="N3351" s="14" t="s">
        <v>1219</v>
      </c>
      <c r="O3351" s="14" t="s">
        <v>1220</v>
      </c>
    </row>
    <row r="3352" spans="1:15" x14ac:dyDescent="0.25">
      <c r="A3352" s="14">
        <v>2693</v>
      </c>
      <c r="B3352" s="14" t="s">
        <v>783</v>
      </c>
      <c r="C3352" s="14" t="s">
        <v>7337</v>
      </c>
      <c r="D3352" s="14" t="s">
        <v>7307</v>
      </c>
      <c r="E3352" s="16">
        <v>350</v>
      </c>
      <c r="F3352" s="14" t="s">
        <v>1321</v>
      </c>
      <c r="G3352" s="17">
        <v>17500</v>
      </c>
      <c r="H3352" s="14" t="s">
        <v>1322</v>
      </c>
      <c r="I3352" s="14" t="s">
        <v>1256</v>
      </c>
      <c r="J3352" s="14" t="s">
        <v>1233</v>
      </c>
      <c r="K3352" s="14" t="s">
        <v>1257</v>
      </c>
      <c r="L3352" s="14" t="s">
        <v>7338</v>
      </c>
      <c r="M3352" s="14" t="s">
        <v>1324</v>
      </c>
      <c r="N3352" s="14" t="s">
        <v>1237</v>
      </c>
      <c r="O3352" s="14" t="s">
        <v>1220</v>
      </c>
    </row>
    <row r="3353" spans="1:15" x14ac:dyDescent="0.25">
      <c r="A3353" s="14" t="s">
        <v>7339</v>
      </c>
      <c r="B3353" s="14" t="s">
        <v>7340</v>
      </c>
      <c r="C3353" s="14" t="s">
        <v>7341</v>
      </c>
      <c r="D3353" s="14" t="s">
        <v>7307</v>
      </c>
      <c r="E3353" s="15"/>
      <c r="F3353" s="14" t="s">
        <v>1321</v>
      </c>
      <c r="G3353" s="15"/>
      <c r="H3353" s="14" t="s">
        <v>1322</v>
      </c>
      <c r="I3353" s="14" t="s">
        <v>1262</v>
      </c>
      <c r="J3353" s="14" t="s">
        <v>1262</v>
      </c>
      <c r="K3353" s="14"/>
      <c r="L3353" s="14" t="s">
        <v>7338</v>
      </c>
      <c r="M3353" s="14" t="s">
        <v>1324</v>
      </c>
      <c r="N3353" s="14" t="s">
        <v>1219</v>
      </c>
      <c r="O3353" s="14" t="s">
        <v>1220</v>
      </c>
    </row>
    <row r="3354" spans="1:15" x14ac:dyDescent="0.25">
      <c r="A3354" s="14">
        <v>2694</v>
      </c>
      <c r="B3354" s="14" t="s">
        <v>784</v>
      </c>
      <c r="C3354" s="14" t="s">
        <v>7342</v>
      </c>
      <c r="D3354" s="14" t="s">
        <v>7307</v>
      </c>
      <c r="E3354" s="16">
        <v>350</v>
      </c>
      <c r="F3354" s="14" t="s">
        <v>1321</v>
      </c>
      <c r="G3354" s="17">
        <v>9100</v>
      </c>
      <c r="H3354" s="14" t="s">
        <v>1322</v>
      </c>
      <c r="I3354" s="14" t="s">
        <v>1256</v>
      </c>
      <c r="J3354" s="14" t="s">
        <v>1242</v>
      </c>
      <c r="K3354" s="14" t="s">
        <v>1257</v>
      </c>
      <c r="L3354" s="14" t="s">
        <v>7343</v>
      </c>
      <c r="M3354" s="14" t="s">
        <v>1324</v>
      </c>
      <c r="N3354" s="14" t="s">
        <v>1237</v>
      </c>
      <c r="O3354" s="14" t="s">
        <v>1220</v>
      </c>
    </row>
    <row r="3355" spans="1:15" x14ac:dyDescent="0.25">
      <c r="A3355" s="14" t="s">
        <v>7344</v>
      </c>
      <c r="B3355" s="14" t="s">
        <v>7345</v>
      </c>
      <c r="C3355" s="14" t="s">
        <v>7346</v>
      </c>
      <c r="D3355" s="14" t="s">
        <v>7307</v>
      </c>
      <c r="E3355" s="15"/>
      <c r="F3355" s="14" t="s">
        <v>1321</v>
      </c>
      <c r="G3355" s="15"/>
      <c r="H3355" s="14" t="s">
        <v>1322</v>
      </c>
      <c r="I3355" s="14" t="s">
        <v>1262</v>
      </c>
      <c r="J3355" s="14" t="s">
        <v>1262</v>
      </c>
      <c r="K3355" s="14"/>
      <c r="L3355" s="14" t="s">
        <v>7343</v>
      </c>
      <c r="M3355" s="14" t="s">
        <v>1324</v>
      </c>
      <c r="N3355" s="14" t="s">
        <v>1219</v>
      </c>
      <c r="O3355" s="14" t="s">
        <v>1220</v>
      </c>
    </row>
    <row r="3356" spans="1:15" x14ac:dyDescent="0.25">
      <c r="A3356" s="14">
        <v>2695</v>
      </c>
      <c r="B3356" s="14" t="s">
        <v>785</v>
      </c>
      <c r="C3356" s="14" t="s">
        <v>7347</v>
      </c>
      <c r="D3356" s="14" t="s">
        <v>7307</v>
      </c>
      <c r="E3356" s="16">
        <v>300</v>
      </c>
      <c r="F3356" s="14" t="s">
        <v>1321</v>
      </c>
      <c r="G3356" s="17">
        <v>9900</v>
      </c>
      <c r="H3356" s="14" t="s">
        <v>1322</v>
      </c>
      <c r="I3356" s="14" t="s">
        <v>1256</v>
      </c>
      <c r="J3356" s="14" t="s">
        <v>1242</v>
      </c>
      <c r="K3356" s="14" t="s">
        <v>1257</v>
      </c>
      <c r="L3356" s="14" t="s">
        <v>7348</v>
      </c>
      <c r="M3356" s="14" t="s">
        <v>1324</v>
      </c>
      <c r="N3356" s="14" t="s">
        <v>1237</v>
      </c>
      <c r="O3356" s="14" t="s">
        <v>1220</v>
      </c>
    </row>
    <row r="3357" spans="1:15" x14ac:dyDescent="0.25">
      <c r="A3357" s="14" t="s">
        <v>7349</v>
      </c>
      <c r="B3357" s="14" t="s">
        <v>7350</v>
      </c>
      <c r="C3357" s="14" t="s">
        <v>7351</v>
      </c>
      <c r="D3357" s="14" t="s">
        <v>7307</v>
      </c>
      <c r="E3357" s="15"/>
      <c r="F3357" s="14" t="s">
        <v>1321</v>
      </c>
      <c r="G3357" s="15"/>
      <c r="H3357" s="14" t="s">
        <v>1322</v>
      </c>
      <c r="I3357" s="14" t="s">
        <v>1262</v>
      </c>
      <c r="J3357" s="14" t="s">
        <v>1262</v>
      </c>
      <c r="K3357" s="14"/>
      <c r="L3357" s="14" t="s">
        <v>7348</v>
      </c>
      <c r="M3357" s="14" t="s">
        <v>1324</v>
      </c>
      <c r="N3357" s="14" t="s">
        <v>1219</v>
      </c>
      <c r="O3357" s="14" t="s">
        <v>1220</v>
      </c>
    </row>
    <row r="3358" spans="1:15" x14ac:dyDescent="0.25">
      <c r="A3358" s="14">
        <v>2696</v>
      </c>
      <c r="B3358" s="14" t="s">
        <v>786</v>
      </c>
      <c r="C3358" s="14" t="s">
        <v>7352</v>
      </c>
      <c r="D3358" s="14" t="s">
        <v>7307</v>
      </c>
      <c r="E3358" s="16">
        <v>250</v>
      </c>
      <c r="F3358" s="14" t="s">
        <v>1321</v>
      </c>
      <c r="G3358" s="17">
        <v>13500</v>
      </c>
      <c r="H3358" s="14" t="s">
        <v>1322</v>
      </c>
      <c r="I3358" s="14" t="s">
        <v>1256</v>
      </c>
      <c r="J3358" s="14" t="s">
        <v>1233</v>
      </c>
      <c r="K3358" s="14" t="s">
        <v>1257</v>
      </c>
      <c r="L3358" s="14" t="s">
        <v>7353</v>
      </c>
      <c r="M3358" s="14" t="s">
        <v>1324</v>
      </c>
      <c r="N3358" s="14" t="s">
        <v>1237</v>
      </c>
      <c r="O3358" s="14" t="s">
        <v>1220</v>
      </c>
    </row>
    <row r="3359" spans="1:15" x14ac:dyDescent="0.25">
      <c r="A3359" s="14" t="s">
        <v>7354</v>
      </c>
      <c r="B3359" s="14" t="s">
        <v>7355</v>
      </c>
      <c r="C3359" s="14" t="s">
        <v>7356</v>
      </c>
      <c r="D3359" s="14" t="s">
        <v>7307</v>
      </c>
      <c r="E3359" s="15"/>
      <c r="F3359" s="14" t="s">
        <v>1321</v>
      </c>
      <c r="G3359" s="15"/>
      <c r="H3359" s="14" t="s">
        <v>1322</v>
      </c>
      <c r="I3359" s="14" t="s">
        <v>1262</v>
      </c>
      <c r="J3359" s="14" t="s">
        <v>1262</v>
      </c>
      <c r="K3359" s="14"/>
      <c r="L3359" s="14" t="s">
        <v>7353</v>
      </c>
      <c r="M3359" s="14" t="s">
        <v>1324</v>
      </c>
      <c r="N3359" s="14" t="s">
        <v>1219</v>
      </c>
      <c r="O3359" s="14" t="s">
        <v>1220</v>
      </c>
    </row>
    <row r="3360" spans="1:15" x14ac:dyDescent="0.25">
      <c r="A3360" s="14">
        <v>2697</v>
      </c>
      <c r="B3360" s="14" t="s">
        <v>787</v>
      </c>
      <c r="C3360" s="14" t="s">
        <v>7357</v>
      </c>
      <c r="D3360" s="14" t="s">
        <v>7307</v>
      </c>
      <c r="E3360" s="16">
        <v>250</v>
      </c>
      <c r="F3360" s="14" t="s">
        <v>1321</v>
      </c>
      <c r="G3360" s="17">
        <v>15250</v>
      </c>
      <c r="H3360" s="14" t="s">
        <v>1322</v>
      </c>
      <c r="I3360" s="14" t="s">
        <v>1256</v>
      </c>
      <c r="J3360" s="14" t="s">
        <v>1233</v>
      </c>
      <c r="K3360" s="14" t="s">
        <v>1257</v>
      </c>
      <c r="L3360" s="14" t="s">
        <v>7358</v>
      </c>
      <c r="M3360" s="14" t="s">
        <v>1324</v>
      </c>
      <c r="N3360" s="14" t="s">
        <v>1237</v>
      </c>
      <c r="O3360" s="14" t="s">
        <v>1220</v>
      </c>
    </row>
    <row r="3361" spans="1:15" x14ac:dyDescent="0.25">
      <c r="A3361" s="14" t="s">
        <v>7359</v>
      </c>
      <c r="B3361" s="14" t="s">
        <v>7360</v>
      </c>
      <c r="C3361" s="14" t="s">
        <v>7361</v>
      </c>
      <c r="D3361" s="14" t="s">
        <v>7307</v>
      </c>
      <c r="E3361" s="15"/>
      <c r="F3361" s="14" t="s">
        <v>1321</v>
      </c>
      <c r="G3361" s="15"/>
      <c r="H3361" s="14" t="s">
        <v>1322</v>
      </c>
      <c r="I3361" s="14" t="s">
        <v>1262</v>
      </c>
      <c r="J3361" s="14" t="s">
        <v>1262</v>
      </c>
      <c r="K3361" s="14"/>
      <c r="L3361" s="14" t="s">
        <v>7358</v>
      </c>
      <c r="M3361" s="14" t="s">
        <v>1324</v>
      </c>
      <c r="N3361" s="14" t="s">
        <v>1219</v>
      </c>
      <c r="O3361" s="14" t="s">
        <v>1220</v>
      </c>
    </row>
    <row r="3362" spans="1:15" x14ac:dyDescent="0.25">
      <c r="A3362" s="14">
        <v>2698</v>
      </c>
      <c r="B3362" s="14" t="s">
        <v>788</v>
      </c>
      <c r="C3362" s="14" t="s">
        <v>7362</v>
      </c>
      <c r="D3362" s="14" t="s">
        <v>7307</v>
      </c>
      <c r="E3362" s="16">
        <v>200</v>
      </c>
      <c r="F3362" s="14" t="s">
        <v>1321</v>
      </c>
      <c r="G3362" s="17">
        <v>7000</v>
      </c>
      <c r="H3362" s="14" t="s">
        <v>1322</v>
      </c>
      <c r="I3362" s="14" t="s">
        <v>1256</v>
      </c>
      <c r="J3362" s="14" t="s">
        <v>1233</v>
      </c>
      <c r="K3362" s="14" t="s">
        <v>1257</v>
      </c>
      <c r="L3362" s="14" t="s">
        <v>7363</v>
      </c>
      <c r="M3362" s="14" t="s">
        <v>1324</v>
      </c>
      <c r="N3362" s="14" t="s">
        <v>1237</v>
      </c>
      <c r="O3362" s="14" t="s">
        <v>1220</v>
      </c>
    </row>
    <row r="3363" spans="1:15" x14ac:dyDescent="0.25">
      <c r="A3363" s="14" t="s">
        <v>7364</v>
      </c>
      <c r="B3363" s="14" t="s">
        <v>7365</v>
      </c>
      <c r="C3363" s="14" t="s">
        <v>7366</v>
      </c>
      <c r="D3363" s="14" t="s">
        <v>7307</v>
      </c>
      <c r="E3363" s="15"/>
      <c r="F3363" s="14" t="s">
        <v>1321</v>
      </c>
      <c r="G3363" s="15"/>
      <c r="H3363" s="14" t="s">
        <v>1322</v>
      </c>
      <c r="I3363" s="14" t="s">
        <v>1262</v>
      </c>
      <c r="J3363" s="14" t="s">
        <v>1262</v>
      </c>
      <c r="K3363" s="14"/>
      <c r="L3363" s="14" t="s">
        <v>7363</v>
      </c>
      <c r="M3363" s="14" t="s">
        <v>1324</v>
      </c>
      <c r="N3363" s="14" t="s">
        <v>1219</v>
      </c>
      <c r="O3363" s="14" t="s">
        <v>1220</v>
      </c>
    </row>
    <row r="3364" spans="1:15" x14ac:dyDescent="0.25">
      <c r="A3364" s="14">
        <v>4555</v>
      </c>
      <c r="B3364" s="14" t="s">
        <v>780</v>
      </c>
      <c r="C3364" s="14" t="s">
        <v>7367</v>
      </c>
      <c r="D3364" s="14" t="s">
        <v>7307</v>
      </c>
      <c r="E3364" s="16">
        <v>100</v>
      </c>
      <c r="F3364" s="14" t="s">
        <v>1321</v>
      </c>
      <c r="G3364" s="17">
        <v>2200</v>
      </c>
      <c r="H3364" s="14" t="s">
        <v>1322</v>
      </c>
      <c r="I3364" s="14" t="s">
        <v>1256</v>
      </c>
      <c r="J3364" s="14" t="s">
        <v>1242</v>
      </c>
      <c r="K3364" s="14" t="s">
        <v>1257</v>
      </c>
      <c r="L3364" s="14" t="s">
        <v>7368</v>
      </c>
      <c r="M3364" s="14" t="s">
        <v>1324</v>
      </c>
      <c r="N3364" s="14" t="s">
        <v>1237</v>
      </c>
      <c r="O3364" s="14" t="s">
        <v>1220</v>
      </c>
    </row>
    <row r="3365" spans="1:15" x14ac:dyDescent="0.25">
      <c r="A3365" s="14">
        <v>4556</v>
      </c>
      <c r="B3365" s="14" t="s">
        <v>781</v>
      </c>
      <c r="C3365" s="14" t="s">
        <v>7369</v>
      </c>
      <c r="D3365" s="14" t="s">
        <v>7307</v>
      </c>
      <c r="E3365" s="16">
        <v>80</v>
      </c>
      <c r="F3365" s="14" t="s">
        <v>1321</v>
      </c>
      <c r="G3365" s="17">
        <v>1920</v>
      </c>
      <c r="H3365" s="14" t="s">
        <v>1322</v>
      </c>
      <c r="I3365" s="14" t="s">
        <v>1256</v>
      </c>
      <c r="J3365" s="14" t="s">
        <v>1242</v>
      </c>
      <c r="K3365" s="14" t="s">
        <v>1257</v>
      </c>
      <c r="L3365" s="14" t="s">
        <v>7370</v>
      </c>
      <c r="M3365" s="14" t="s">
        <v>1324</v>
      </c>
      <c r="N3365" s="14" t="s">
        <v>1237</v>
      </c>
      <c r="O3365" s="14" t="s">
        <v>1220</v>
      </c>
    </row>
    <row r="3366" spans="1:15" x14ac:dyDescent="0.25">
      <c r="A3366" s="14" t="s">
        <v>7371</v>
      </c>
      <c r="B3366" s="14" t="s">
        <v>7372</v>
      </c>
      <c r="C3366" s="14" t="s">
        <v>7373</v>
      </c>
      <c r="D3366" s="14" t="s">
        <v>7307</v>
      </c>
      <c r="E3366" s="15"/>
      <c r="F3366" s="14" t="s">
        <v>1321</v>
      </c>
      <c r="G3366" s="15"/>
      <c r="H3366" s="14" t="s">
        <v>1322</v>
      </c>
      <c r="I3366" s="14" t="s">
        <v>1262</v>
      </c>
      <c r="J3366" s="14" t="s">
        <v>1262</v>
      </c>
      <c r="K3366" s="14"/>
      <c r="L3366" s="14" t="s">
        <v>7370</v>
      </c>
      <c r="M3366" s="14" t="s">
        <v>1324</v>
      </c>
      <c r="N3366" s="14" t="s">
        <v>1219</v>
      </c>
      <c r="O3366" s="14" t="s">
        <v>1220</v>
      </c>
    </row>
    <row r="3367" spans="1:15" x14ac:dyDescent="0.25">
      <c r="A3367" s="14">
        <v>4557</v>
      </c>
      <c r="B3367" s="14" t="s">
        <v>782</v>
      </c>
      <c r="C3367" s="14" t="s">
        <v>7374</v>
      </c>
      <c r="D3367" s="14" t="s">
        <v>7307</v>
      </c>
      <c r="E3367" s="16">
        <v>70</v>
      </c>
      <c r="F3367" s="14" t="s">
        <v>1321</v>
      </c>
      <c r="G3367" s="16">
        <v>630</v>
      </c>
      <c r="H3367" s="14" t="s">
        <v>1322</v>
      </c>
      <c r="I3367" s="14" t="s">
        <v>1256</v>
      </c>
      <c r="J3367" s="14" t="s">
        <v>1296</v>
      </c>
      <c r="K3367" s="14" t="s">
        <v>1257</v>
      </c>
      <c r="L3367" s="14" t="s">
        <v>7375</v>
      </c>
      <c r="M3367" s="14" t="s">
        <v>1324</v>
      </c>
      <c r="N3367" s="14" t="s">
        <v>1237</v>
      </c>
      <c r="O3367" s="14" t="s">
        <v>1220</v>
      </c>
    </row>
    <row r="3368" spans="1:15" x14ac:dyDescent="0.25">
      <c r="A3368" s="14">
        <v>4559</v>
      </c>
      <c r="B3368" s="14" t="s">
        <v>791</v>
      </c>
      <c r="C3368" s="14" t="s">
        <v>7376</v>
      </c>
      <c r="D3368" s="14" t="s">
        <v>7307</v>
      </c>
      <c r="E3368" s="16">
        <v>100</v>
      </c>
      <c r="F3368" s="14" t="s">
        <v>1321</v>
      </c>
      <c r="G3368" s="17">
        <v>2500</v>
      </c>
      <c r="H3368" s="14" t="s">
        <v>1322</v>
      </c>
      <c r="I3368" s="14" t="s">
        <v>1256</v>
      </c>
      <c r="J3368" s="14" t="s">
        <v>1242</v>
      </c>
      <c r="K3368" s="14" t="s">
        <v>1257</v>
      </c>
      <c r="L3368" s="14" t="s">
        <v>7377</v>
      </c>
      <c r="M3368" s="14" t="s">
        <v>1324</v>
      </c>
      <c r="N3368" s="14" t="s">
        <v>1237</v>
      </c>
      <c r="O3368" s="14" t="s">
        <v>1220</v>
      </c>
    </row>
    <row r="3369" spans="1:15" x14ac:dyDescent="0.25">
      <c r="A3369" s="14" t="s">
        <v>7378</v>
      </c>
      <c r="B3369" s="14" t="s">
        <v>7379</v>
      </c>
      <c r="C3369" s="14" t="s">
        <v>7380</v>
      </c>
      <c r="D3369" s="14" t="s">
        <v>7307</v>
      </c>
      <c r="E3369" s="16">
        <v>100</v>
      </c>
      <c r="F3369" s="14" t="s">
        <v>1321</v>
      </c>
      <c r="G3369" s="17">
        <v>2500</v>
      </c>
      <c r="H3369" s="14" t="s">
        <v>1322</v>
      </c>
      <c r="I3369" s="14" t="s">
        <v>1262</v>
      </c>
      <c r="J3369" s="14" t="s">
        <v>1262</v>
      </c>
      <c r="K3369" s="14" t="s">
        <v>1257</v>
      </c>
      <c r="L3369" s="14" t="s">
        <v>7377</v>
      </c>
      <c r="M3369" s="14" t="s">
        <v>1324</v>
      </c>
      <c r="N3369" s="14" t="s">
        <v>1219</v>
      </c>
      <c r="O3369" s="14" t="s">
        <v>1220</v>
      </c>
    </row>
    <row r="3370" spans="1:15" x14ac:dyDescent="0.25">
      <c r="A3370" s="14">
        <v>4560</v>
      </c>
      <c r="B3370" s="14" t="s">
        <v>792</v>
      </c>
      <c r="C3370" s="14" t="s">
        <v>7381</v>
      </c>
      <c r="D3370" s="14" t="s">
        <v>7307</v>
      </c>
      <c r="E3370" s="16">
        <v>80</v>
      </c>
      <c r="F3370" s="14" t="s">
        <v>1321</v>
      </c>
      <c r="G3370" s="17">
        <v>3600</v>
      </c>
      <c r="H3370" s="14" t="s">
        <v>1322</v>
      </c>
      <c r="I3370" s="14" t="s">
        <v>1256</v>
      </c>
      <c r="J3370" s="14" t="s">
        <v>1233</v>
      </c>
      <c r="K3370" s="14" t="s">
        <v>1257</v>
      </c>
      <c r="L3370" s="14" t="s">
        <v>7382</v>
      </c>
      <c r="M3370" s="14" t="s">
        <v>1324</v>
      </c>
      <c r="N3370" s="14" t="s">
        <v>1237</v>
      </c>
      <c r="O3370" s="14" t="s">
        <v>1220</v>
      </c>
    </row>
    <row r="3371" spans="1:15" x14ac:dyDescent="0.25">
      <c r="A3371" s="14" t="s">
        <v>7383</v>
      </c>
      <c r="B3371" s="14" t="s">
        <v>7384</v>
      </c>
      <c r="C3371" s="14" t="s">
        <v>7385</v>
      </c>
      <c r="D3371" s="14" t="s">
        <v>7307</v>
      </c>
      <c r="E3371" s="15"/>
      <c r="F3371" s="14" t="s">
        <v>1321</v>
      </c>
      <c r="G3371" s="15"/>
      <c r="H3371" s="14" t="s">
        <v>1322</v>
      </c>
      <c r="I3371" s="14" t="s">
        <v>1262</v>
      </c>
      <c r="J3371" s="14" t="s">
        <v>1262</v>
      </c>
      <c r="K3371" s="14"/>
      <c r="L3371" s="14" t="s">
        <v>7382</v>
      </c>
      <c r="M3371" s="14" t="s">
        <v>1324</v>
      </c>
      <c r="N3371" s="14" t="s">
        <v>1219</v>
      </c>
      <c r="O3371" s="14" t="s">
        <v>1220</v>
      </c>
    </row>
    <row r="3372" spans="1:15" x14ac:dyDescent="0.25">
      <c r="A3372" s="14">
        <v>4561</v>
      </c>
      <c r="B3372" s="14" t="s">
        <v>793</v>
      </c>
      <c r="C3372" s="14" t="s">
        <v>7386</v>
      </c>
      <c r="D3372" s="14" t="s">
        <v>7307</v>
      </c>
      <c r="E3372" s="16">
        <v>80</v>
      </c>
      <c r="F3372" s="14" t="s">
        <v>1321</v>
      </c>
      <c r="G3372" s="17">
        <v>1120</v>
      </c>
      <c r="H3372" s="14" t="s">
        <v>1322</v>
      </c>
      <c r="I3372" s="14" t="s">
        <v>1256</v>
      </c>
      <c r="J3372" s="14" t="s">
        <v>1296</v>
      </c>
      <c r="K3372" s="14" t="s">
        <v>1257</v>
      </c>
      <c r="L3372" s="14" t="s">
        <v>7387</v>
      </c>
      <c r="M3372" s="14" t="s">
        <v>1324</v>
      </c>
      <c r="N3372" s="14" t="s">
        <v>1237</v>
      </c>
      <c r="O3372" s="14" t="s">
        <v>1220</v>
      </c>
    </row>
    <row r="3373" spans="1:15" x14ac:dyDescent="0.25">
      <c r="A3373" s="14">
        <v>2692</v>
      </c>
      <c r="B3373" s="14" t="s">
        <v>778</v>
      </c>
      <c r="C3373" s="14" t="s">
        <v>7388</v>
      </c>
      <c r="D3373" s="14" t="s">
        <v>7307</v>
      </c>
      <c r="E3373" s="16">
        <v>150</v>
      </c>
      <c r="F3373" s="14" t="s">
        <v>1321</v>
      </c>
      <c r="G3373" s="17">
        <v>11400</v>
      </c>
      <c r="H3373" s="14" t="s">
        <v>1322</v>
      </c>
      <c r="I3373" s="14" t="s">
        <v>1256</v>
      </c>
      <c r="J3373" s="14" t="s">
        <v>1233</v>
      </c>
      <c r="K3373" s="14" t="s">
        <v>1257</v>
      </c>
      <c r="L3373" s="14" t="s">
        <v>7389</v>
      </c>
      <c r="M3373" s="14" t="s">
        <v>1324</v>
      </c>
      <c r="N3373" s="14" t="s">
        <v>1237</v>
      </c>
      <c r="O3373" s="14" t="s">
        <v>1220</v>
      </c>
    </row>
    <row r="3374" spans="1:15" x14ac:dyDescent="0.25">
      <c r="A3374" s="14" t="s">
        <v>7390</v>
      </c>
      <c r="B3374" s="14" t="s">
        <v>7391</v>
      </c>
      <c r="C3374" s="14" t="s">
        <v>7392</v>
      </c>
      <c r="D3374" s="14" t="s">
        <v>7307</v>
      </c>
      <c r="E3374" s="15"/>
      <c r="F3374" s="14" t="s">
        <v>1321</v>
      </c>
      <c r="G3374" s="15"/>
      <c r="H3374" s="14" t="s">
        <v>1322</v>
      </c>
      <c r="I3374" s="14" t="s">
        <v>1262</v>
      </c>
      <c r="J3374" s="14" t="s">
        <v>1262</v>
      </c>
      <c r="K3374" s="14"/>
      <c r="L3374" s="14" t="s">
        <v>7389</v>
      </c>
      <c r="M3374" s="14" t="s">
        <v>1324</v>
      </c>
      <c r="N3374" s="14" t="s">
        <v>1219</v>
      </c>
      <c r="O3374" s="14" t="s">
        <v>1220</v>
      </c>
    </row>
    <row r="3375" spans="1:15" x14ac:dyDescent="0.25">
      <c r="A3375" s="14">
        <v>4554</v>
      </c>
      <c r="B3375" s="14" t="s">
        <v>779</v>
      </c>
      <c r="C3375" s="14" t="s">
        <v>7393</v>
      </c>
      <c r="D3375" s="14" t="s">
        <v>7307</v>
      </c>
      <c r="E3375" s="16">
        <v>120</v>
      </c>
      <c r="F3375" s="14" t="s">
        <v>1321</v>
      </c>
      <c r="G3375" s="17">
        <v>2880</v>
      </c>
      <c r="H3375" s="14" t="s">
        <v>1322</v>
      </c>
      <c r="I3375" s="14" t="s">
        <v>1256</v>
      </c>
      <c r="J3375" s="14" t="s">
        <v>1242</v>
      </c>
      <c r="K3375" s="14" t="s">
        <v>1257</v>
      </c>
      <c r="L3375" s="14" t="s">
        <v>7394</v>
      </c>
      <c r="M3375" s="14" t="s">
        <v>1324</v>
      </c>
      <c r="N3375" s="14" t="s">
        <v>1237</v>
      </c>
      <c r="O3375" s="14" t="s">
        <v>1220</v>
      </c>
    </row>
    <row r="3376" spans="1:15" x14ac:dyDescent="0.25">
      <c r="A3376" s="14" t="s">
        <v>7395</v>
      </c>
      <c r="B3376" s="14" t="s">
        <v>7396</v>
      </c>
      <c r="C3376" s="14" t="s">
        <v>7397</v>
      </c>
      <c r="D3376" s="14" t="s">
        <v>7307</v>
      </c>
      <c r="E3376" s="15"/>
      <c r="F3376" s="14" t="s">
        <v>1321</v>
      </c>
      <c r="G3376" s="15"/>
      <c r="H3376" s="14" t="s">
        <v>1322</v>
      </c>
      <c r="I3376" s="14" t="s">
        <v>1262</v>
      </c>
      <c r="J3376" s="14" t="s">
        <v>1262</v>
      </c>
      <c r="K3376" s="14" t="s">
        <v>1257</v>
      </c>
      <c r="L3376" s="14" t="s">
        <v>7394</v>
      </c>
      <c r="M3376" s="14" t="s">
        <v>1324</v>
      </c>
      <c r="N3376" s="14" t="s">
        <v>1219</v>
      </c>
      <c r="O3376" s="14" t="s">
        <v>1220</v>
      </c>
    </row>
    <row r="3377" spans="1:15" x14ac:dyDescent="0.25">
      <c r="A3377" s="14">
        <v>2699</v>
      </c>
      <c r="B3377" s="14" t="s">
        <v>789</v>
      </c>
      <c r="C3377" s="14" t="s">
        <v>7398</v>
      </c>
      <c r="D3377" s="14" t="s">
        <v>7307</v>
      </c>
      <c r="E3377" s="16">
        <v>150</v>
      </c>
      <c r="F3377" s="14" t="s">
        <v>1321</v>
      </c>
      <c r="G3377" s="17">
        <v>12600</v>
      </c>
      <c r="H3377" s="14" t="s">
        <v>1322</v>
      </c>
      <c r="I3377" s="14" t="s">
        <v>1256</v>
      </c>
      <c r="J3377" s="14" t="s">
        <v>1233</v>
      </c>
      <c r="K3377" s="14" t="s">
        <v>1257</v>
      </c>
      <c r="L3377" s="14" t="s">
        <v>7399</v>
      </c>
      <c r="M3377" s="14" t="s">
        <v>1324</v>
      </c>
      <c r="N3377" s="14" t="s">
        <v>1237</v>
      </c>
      <c r="O3377" s="14" t="s">
        <v>1220</v>
      </c>
    </row>
    <row r="3378" spans="1:15" x14ac:dyDescent="0.25">
      <c r="A3378" s="14" t="s">
        <v>7400</v>
      </c>
      <c r="B3378" s="14" t="s">
        <v>7401</v>
      </c>
      <c r="C3378" s="14" t="s">
        <v>7402</v>
      </c>
      <c r="D3378" s="14" t="s">
        <v>7307</v>
      </c>
      <c r="E3378" s="15"/>
      <c r="F3378" s="14" t="s">
        <v>1321</v>
      </c>
      <c r="G3378" s="15"/>
      <c r="H3378" s="14" t="s">
        <v>1322</v>
      </c>
      <c r="I3378" s="14" t="s">
        <v>1262</v>
      </c>
      <c r="J3378" s="14" t="s">
        <v>1262</v>
      </c>
      <c r="K3378" s="14"/>
      <c r="L3378" s="14" t="s">
        <v>7399</v>
      </c>
      <c r="M3378" s="14" t="s">
        <v>1324</v>
      </c>
      <c r="N3378" s="14" t="s">
        <v>1219</v>
      </c>
      <c r="O3378" s="14" t="s">
        <v>1220</v>
      </c>
    </row>
    <row r="3379" spans="1:15" x14ac:dyDescent="0.25">
      <c r="A3379" s="14">
        <v>4558</v>
      </c>
      <c r="B3379" s="14" t="s">
        <v>790</v>
      </c>
      <c r="C3379" s="14" t="s">
        <v>7403</v>
      </c>
      <c r="D3379" s="14" t="s">
        <v>7307</v>
      </c>
      <c r="E3379" s="16">
        <v>120</v>
      </c>
      <c r="F3379" s="14" t="s">
        <v>1321</v>
      </c>
      <c r="G3379" s="17">
        <v>3240</v>
      </c>
      <c r="H3379" s="14" t="s">
        <v>1322</v>
      </c>
      <c r="I3379" s="14" t="s">
        <v>1256</v>
      </c>
      <c r="J3379" s="14" t="s">
        <v>1242</v>
      </c>
      <c r="K3379" s="14" t="s">
        <v>1257</v>
      </c>
      <c r="L3379" s="14" t="s">
        <v>7404</v>
      </c>
      <c r="M3379" s="14" t="s">
        <v>1324</v>
      </c>
      <c r="N3379" s="14" t="s">
        <v>1237</v>
      </c>
      <c r="O3379" s="14" t="s">
        <v>1220</v>
      </c>
    </row>
    <row r="3380" spans="1:15" x14ac:dyDescent="0.25">
      <c r="A3380" s="14" t="s">
        <v>7405</v>
      </c>
      <c r="B3380" s="14" t="s">
        <v>7406</v>
      </c>
      <c r="C3380" s="14" t="s">
        <v>7407</v>
      </c>
      <c r="D3380" s="14" t="s">
        <v>7307</v>
      </c>
      <c r="E3380" s="15"/>
      <c r="F3380" s="14" t="s">
        <v>1321</v>
      </c>
      <c r="G3380" s="15"/>
      <c r="H3380" s="14" t="s">
        <v>1322</v>
      </c>
      <c r="I3380" s="14" t="s">
        <v>1262</v>
      </c>
      <c r="J3380" s="14" t="s">
        <v>1262</v>
      </c>
      <c r="K3380" s="14"/>
      <c r="L3380" s="14" t="s">
        <v>7404</v>
      </c>
      <c r="M3380" s="14" t="s">
        <v>1324</v>
      </c>
      <c r="N3380" s="14" t="s">
        <v>1219</v>
      </c>
      <c r="O3380" s="14" t="s">
        <v>1220</v>
      </c>
    </row>
    <row r="3381" spans="1:15" x14ac:dyDescent="0.25">
      <c r="A3381" s="14">
        <v>2389</v>
      </c>
      <c r="B3381" s="14" t="s">
        <v>794</v>
      </c>
      <c r="C3381" s="14" t="s">
        <v>794</v>
      </c>
      <c r="D3381" s="14" t="s">
        <v>7408</v>
      </c>
      <c r="E3381" s="16">
        <v>200</v>
      </c>
      <c r="F3381" s="14" t="s">
        <v>1321</v>
      </c>
      <c r="G3381" s="17">
        <v>8800</v>
      </c>
      <c r="H3381" s="14" t="s">
        <v>1322</v>
      </c>
      <c r="I3381" s="14" t="s">
        <v>1256</v>
      </c>
      <c r="J3381" s="14" t="s">
        <v>1242</v>
      </c>
      <c r="K3381" s="14" t="s">
        <v>1257</v>
      </c>
      <c r="L3381" s="14" t="s">
        <v>7409</v>
      </c>
      <c r="M3381" s="14" t="s">
        <v>1324</v>
      </c>
      <c r="N3381" s="14" t="s">
        <v>1237</v>
      </c>
      <c r="O3381" s="14" t="s">
        <v>1220</v>
      </c>
    </row>
    <row r="3382" spans="1:15" x14ac:dyDescent="0.25">
      <c r="A3382" s="14" t="s">
        <v>7410</v>
      </c>
      <c r="B3382" s="14" t="s">
        <v>7411</v>
      </c>
      <c r="C3382" s="14" t="s">
        <v>7411</v>
      </c>
      <c r="D3382" s="14" t="s">
        <v>3160</v>
      </c>
      <c r="E3382" s="15"/>
      <c r="F3382" s="14" t="s">
        <v>1321</v>
      </c>
      <c r="G3382" s="15"/>
      <c r="H3382" s="14" t="s">
        <v>1322</v>
      </c>
      <c r="I3382" s="14" t="s">
        <v>1262</v>
      </c>
      <c r="J3382" s="14" t="s">
        <v>1262</v>
      </c>
      <c r="K3382" s="14"/>
      <c r="L3382" s="14" t="s">
        <v>7409</v>
      </c>
      <c r="M3382" s="14" t="s">
        <v>1324</v>
      </c>
      <c r="N3382" s="14" t="s">
        <v>1219</v>
      </c>
      <c r="O3382" s="14" t="s">
        <v>1220</v>
      </c>
    </row>
    <row r="3383" spans="1:15" x14ac:dyDescent="0.25">
      <c r="A3383" s="14" t="s">
        <v>7412</v>
      </c>
      <c r="B3383" s="14" t="s">
        <v>7413</v>
      </c>
      <c r="C3383" s="14" t="s">
        <v>7413</v>
      </c>
      <c r="D3383" s="14" t="s">
        <v>1349</v>
      </c>
      <c r="E3383" s="15"/>
      <c r="F3383" s="14"/>
      <c r="G3383" s="15"/>
      <c r="H3383" s="14" t="s">
        <v>1380</v>
      </c>
      <c r="I3383" s="14" t="s">
        <v>1360</v>
      </c>
      <c r="J3383" s="14" t="s">
        <v>1360</v>
      </c>
      <c r="K3383" s="14"/>
      <c r="L3383" s="14"/>
      <c r="M3383" s="14" t="s">
        <v>1324</v>
      </c>
      <c r="N3383" s="14" t="s">
        <v>1219</v>
      </c>
      <c r="O3383" s="14" t="s">
        <v>1220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320F-4B13-4945-903E-CABFC5C68BC0}">
  <sheetPr codeName="Лист4"/>
  <dimension ref="A1:K5"/>
  <sheetViews>
    <sheetView workbookViewId="0">
      <selection activeCell="G29" sqref="G29"/>
    </sheetView>
  </sheetViews>
  <sheetFormatPr defaultRowHeight="15" x14ac:dyDescent="0.25"/>
  <cols>
    <col min="7" max="7" width="12.28515625" customWidth="1"/>
    <col min="9" max="9" width="11.85546875" customWidth="1"/>
    <col min="11" max="11" width="13" customWidth="1"/>
  </cols>
  <sheetData>
    <row r="1" spans="1:11" x14ac:dyDescent="0.25">
      <c r="A1" t="s">
        <v>7422</v>
      </c>
      <c r="G1" t="s">
        <v>7430</v>
      </c>
      <c r="I1" t="s">
        <v>7431</v>
      </c>
      <c r="K1" t="s">
        <v>7433</v>
      </c>
    </row>
    <row r="2" spans="1:11" x14ac:dyDescent="0.25">
      <c r="A2" t="s">
        <v>7423</v>
      </c>
      <c r="K2" t="s">
        <v>7434</v>
      </c>
    </row>
    <row r="3" spans="1:11" x14ac:dyDescent="0.25">
      <c r="A3" t="s">
        <v>7424</v>
      </c>
      <c r="K3" t="s">
        <v>7435</v>
      </c>
    </row>
    <row r="4" spans="1:11" x14ac:dyDescent="0.25">
      <c r="K4" t="s">
        <v>7436</v>
      </c>
    </row>
    <row r="5" spans="1:11" x14ac:dyDescent="0.25">
      <c r="K5" t="s">
        <v>7437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FE5845-A3A3-489F-BF0A-F573833C96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НМ</vt:lpstr>
      <vt:lpstr>Заявки</vt:lpstr>
      <vt:lpstr>ООО ЮжКомплекс15 № 32598</vt:lpstr>
      <vt:lpstr>Список</vt:lpstr>
      <vt:lpstr>ВСП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Бузина Людмила Юрьевна</dc:creator>
  <cp:lastModifiedBy>Киселёв Алексей Александрович</cp:lastModifiedBy>
  <dcterms:created xsi:type="dcterms:W3CDTF">2015-06-05T18:19:34Z</dcterms:created>
  <dcterms:modified xsi:type="dcterms:W3CDTF">2023-10-26T09:11:56Z</dcterms:modified>
</cp:coreProperties>
</file>