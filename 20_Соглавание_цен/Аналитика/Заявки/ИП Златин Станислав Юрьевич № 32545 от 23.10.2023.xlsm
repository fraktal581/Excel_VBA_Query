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zhigulskiy\Desktop\СЕБЕСТОИМОСТЬ\Аналитика\Заявки\"/>
    </mc:Choice>
  </mc:AlternateContent>
  <xr:revisionPtr revIDLastSave="0" documentId="13_ncr:1_{98086F1B-72D7-4CD1-948D-91B06045B1DB}" xr6:coauthVersionLast="47" xr6:coauthVersionMax="47" xr10:uidLastSave="{00000000-0000-0000-0000-000000000000}"/>
  <bookViews>
    <workbookView xWindow="-120" yWindow="-120" windowWidth="28110" windowHeight="16440" xr2:uid="{9E97C287-F3E0-494B-8DC7-D31C2C6BD47C}"/>
  </bookViews>
  <sheets>
    <sheet name="Форма_счет" sheetId="1" r:id="rId1"/>
  </sheets>
  <definedNames>
    <definedName name="ExternalData_1" localSheetId="0" hidden="1">Форма_счет!$B$5:$F$51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7" i="1" l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6" i="1"/>
  <c r="H51" i="1" l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E34BE9-35F0-45C4-896D-A3F30DF08843}" keepAlive="1" name="Запрос — col_list" description="Соединение с запросом &quot;col_list&quot; в книге." type="5" refreshedVersion="0" background="1">
    <dbPr connection="Provider=Microsoft.Mashup.OleDb.1;Data Source=$Workbook$;Location=col_list;Extended Properties=&quot;&quot;" command="SELECT * FROM [col_list]"/>
  </connection>
  <connection id="2" xr16:uid="{288672B5-1306-4B4A-8DA3-1FE76339F2EB}" keepAlive="1" name="Запрос — Входящие_файлы(СЧЕТА)" description="Соединение с запросом &quot;Входящие_файлы(СЧЕТА)&quot; в книге." type="5" refreshedVersion="7" background="1" saveData="1">
    <dbPr connection="Provider=Microsoft.Mashup.OleDb.1;Data Source=$Workbook$;Location=Входящие_файлы(СЧЕТА);Extended Properties=&quot;&quot;" command="SELECT * FROM [Входящие_файлы(СЧЕТА)]"/>
  </connection>
  <connection id="3" xr16:uid="{C6171263-D334-420E-A550-9BEF5995B97F}" keepAlive="1" name="Запрос — Преобразовать файл" description="Соединение с запросом &quot;Преобразовать файл&quot; в книге." type="5" refreshedVersion="0" background="1">
    <dbPr connection="Provider=Microsoft.Mashup.OleDb.1;Data Source=$Workbook$;Location=&quot;Преобразовать файл&quot;;Extended Properties=&quot;&quot;" command="SELECT * FROM [Преобразовать файл]"/>
  </connection>
  <connection id="4" xr16:uid="{D37925F4-64F5-409A-AF0B-C6B558C91CFE}" keepAlive="1" name="Запрос — Пример файла" description="Соединение с запросом &quot;Пример файла&quot; в книге." type="5" refreshedVersion="0" background="1">
    <dbPr connection="Provider=Microsoft.Mashup.OleDb.1;Data Source=$Workbook$;Location=&quot;Пример файла&quot;;Extended Properties=&quot;&quot;" command="SELECT * FROM [Пример файла]"/>
  </connection>
</connections>
</file>

<file path=xl/sharedStrings.xml><?xml version="1.0" encoding="utf-8"?>
<sst xmlns="http://schemas.openxmlformats.org/spreadsheetml/2006/main" count="65" uniqueCount="61">
  <si>
    <t>Наименование конкурента</t>
  </si>
  <si>
    <t>Valfex</t>
  </si>
  <si>
    <t>Дата документа</t>
  </si>
  <si>
    <t>Наименование клиента</t>
  </si>
  <si>
    <t>ИП Златин Станислав Юрьевич</t>
  </si>
  <si>
    <t>Номер документа</t>
  </si>
  <si>
    <t>Артикул</t>
  </si>
  <si>
    <t>Товары (работы, услуги)</t>
  </si>
  <si>
    <t>Количество</t>
  </si>
  <si>
    <t>Цена</t>
  </si>
  <si>
    <t>Сумма</t>
  </si>
  <si>
    <t>Цена конкурента</t>
  </si>
  <si>
    <t>Сумма по конкуренту</t>
  </si>
  <si>
    <t>Уголок  45* 25 (AQUALINK 300/30)</t>
  </si>
  <si>
    <t>Уголок  90* 25 (AQUALINK 240/30)</t>
  </si>
  <si>
    <t>Тройник  20 (AQUALINK 300/30)</t>
  </si>
  <si>
    <t>Тройник  25 (AQUALINK 160/20)</t>
  </si>
  <si>
    <t>Муфта  20 (AQUALINK 600/50)</t>
  </si>
  <si>
    <t>Муфта  25 (AQUALINK 400/40)</t>
  </si>
  <si>
    <t>Тройник  переходной  25-20-25 (AQUALINK 180/20)</t>
  </si>
  <si>
    <t>Муфта комбинированнaя  32 х1 М (AQUALINK 60/10)</t>
  </si>
  <si>
    <t>Муфта комбинированнaя  под ключ  32 х1 1/4 M (AQUALINK 30/5)</t>
  </si>
  <si>
    <t>Муфта с накидной гайкой  25х3/4 (AQUALINK 150/10)</t>
  </si>
  <si>
    <t>Фильтр муфта-муфта  25 (AQUALINK 50/10)</t>
  </si>
  <si>
    <t>Фильтр муфта-муфта  32 (AQUALINK 40/10)</t>
  </si>
  <si>
    <t>Шаровой кран  ЭКО  20 (AQUALINK 60/10)</t>
  </si>
  <si>
    <t>Шаровой кран  ЭКО  25 (AQUALINK  50/5)</t>
  </si>
  <si>
    <t>Обвод  (С Тип)  20 (AQUALINK 250/25)</t>
  </si>
  <si>
    <t>Обвод  (С Тип)  25 (AQUALINK 150/15)</t>
  </si>
  <si>
    <t>Кран шаровой FF 3/4  гайка-гайка ручка (AQUALINK 100/10)</t>
  </si>
  <si>
    <t>Кран шаровой FF 1 гайка-гайка ручка (AQUALINK 60/10)</t>
  </si>
  <si>
    <t>Кран шаровой FF 2 гайка-гайка ручка (AQUALINK 12/2)</t>
  </si>
  <si>
    <t>Кран шаровой FM 1 гайка-штуцер ручка (AQUALINK 60/10)</t>
  </si>
  <si>
    <t>Кран шаровой FF 3/4 B гайка-гайка бабочка (AQUALINK  100/10)</t>
  </si>
  <si>
    <t>Кран шаровой FF 1 B гайка-гайка бабочка (AQUALINK 60/10)</t>
  </si>
  <si>
    <t>Кран шаровой FM 3/4 B гайка-штуцер бабочка (AQUALINK 100/10)</t>
  </si>
  <si>
    <t>Кран шаровой со сгоном прямой FM 1/2 U B гайка-штуцер бабочка (AQUALINK 100/10)</t>
  </si>
  <si>
    <t>Кран шаровой со сгоном прямой FM 3/4 U B гайка-штуцер бабочка (AQUALINK  60/5)</t>
  </si>
  <si>
    <t>Кран шаровой со сгоном прямой FM 1 U B гайка-штуцер бабочка (AQUALINK 30/5)</t>
  </si>
  <si>
    <t>Труба PERT  16*2 - 200 м (AQUALINK 200м)</t>
  </si>
  <si>
    <t>Труба PE-Xb EVOH 16х2.0 - 200 м (AQUALINK 200 м)</t>
  </si>
  <si>
    <t>Радиатор алюминиевый 500/80 8 секций (AQUALINK)</t>
  </si>
  <si>
    <t>Запорный клапан для радиатора угловой  FM 1/2" (AQUALINK 100/10)</t>
  </si>
  <si>
    <t>Комплект для монтажа радиатора 1/2, 13 элементов (3 кронштейна) (AQUALINK  40/1)</t>
  </si>
  <si>
    <t>Комплект: хомут с гайкой, шпилька-шуруп, дюбель пластиковый  1 1/4  (40-45) (AQUALINK  170)</t>
  </si>
  <si>
    <t>Подмотка для труб  блистер 50м (Рекорд  150/1)</t>
  </si>
  <si>
    <t>Лён чёсаный пакет 100 г (40/5)</t>
  </si>
  <si>
    <t>Лён чёсаный пакет 200 г (20/2)</t>
  </si>
  <si>
    <t>Коллекторная группа из нержавеющей стали с регулирующими клапанами и расходомерами, автоматич. воздухоотводчиками и дренаж. клапанами 1", 3х3/4" (евроконус) (AQUALINK 1/1)</t>
  </si>
  <si>
    <t>Коллекторная группа из нержавеющей стали с регулирующими клапанами и расходомерами, автоматич. воздухоотводчиками и дренаж. клапанами 1", 4х3/4" (евроконус) (AQUALINK 1/1)</t>
  </si>
  <si>
    <t>Коллекторная группа из нержавеющей стали с регулирующими и настроечными клапанами, автоматич. воздухоотводчиками и дренаж. клапанами 1", 2х3/4" (евроконус) (AQUALINK 1/1)</t>
  </si>
  <si>
    <t>Группа безопасности котла 1″ компакт (AQUALINK 12/1)</t>
  </si>
  <si>
    <t>Подводка гибкая для воды "Гигант" с латунной гайкой 1" вн-вн 100 см (AQUALINE 30/1)</t>
  </si>
  <si>
    <t>Подводка гибкая для воды "Гигант" с латунной гайкой 1" вн-вн 120 см (AQUALINE 20/1)</t>
  </si>
  <si>
    <t>Подводка гибкая для воды "Гигант" с латунной гайкой 1" вн-вн 150 см (AQUALINE 20/1)</t>
  </si>
  <si>
    <t>C:\Users\zhigulskiy\Desktop\СЕБЕСТОИМОСТЬ\Аналитика\Для подгрузки.xlsm</t>
  </si>
  <si>
    <t>Максимальная себестоимость</t>
  </si>
  <si>
    <t>Наценка на цену СантехСтандарт</t>
  </si>
  <si>
    <t>Наценка на цену Конкурента</t>
  </si>
  <si>
    <t>Наценка на счет СантехСтандарт</t>
  </si>
  <si>
    <t>Наценка на счет от конкурента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</si>
</sst>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(* #,##0.00_);_(* \(#,##0.00\);_(* &quot;-&quot;??_);_(@_)"/>
    <numFmt numFmtId="165" formatCode="#,##0.00\ _₽"/>
    <numFmt numFmtId="166" formatCode="_-* #,##0.0_-;\-* #,##0.0_-;_-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">
    <xf numFmtId="0" fontId="0" fillId="0" borderId="0" xfId="0"/>
    <xf numFmtId="165" fontId="0" fillId="0" borderId="0" xfId="0" applyNumberFormat="1" applyAlignment="1">
      <alignment horizontal="right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165" fontId="0" fillId="0" borderId="0" xfId="0" applyNumberFormat="1" applyAlignment="1">
      <alignment horizontal="center" vertical="center" wrapText="1"/>
    </xf>
    <xf numFmtId="166" fontId="0" fillId="0" borderId="0" xfId="1" applyNumberFormat="1" applyFont="1" applyAlignment="1">
      <alignment horizontal="right" vertical="center"/>
    </xf>
    <xf numFmtId="0" fontId="0" fillId="2" borderId="6" xfId="0" applyFill="1" applyBorder="1" applyAlignment="1">
      <alignment horizontal="center" vertical="center" wrapText="1"/>
    </xf>
    <xf numFmtId="9" fontId="0" fillId="0" borderId="6" xfId="2" applyFont="1" applyBorder="1" applyAlignment="1">
      <alignment horizontal="center" vertical="center" wrapText="1"/>
    </xf>
    <xf numFmtId="9" fontId="0" fillId="0" borderId="0" xfId="2" applyFont="1" applyAlignment="1">
      <alignment horizontal="right" vertical="center"/>
    </xf>
    <xf numFmtId="14" fontId="0" fillId="0" borderId="4" xfId="0" applyNumberFormat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</cellXfs>
  <cellStyles count="3">
    <cellStyle name="Обычный" xfId="0" builtinId="0"/>
    <cellStyle name="Процентный" xfId="2" builtinId="5"/>
    <cellStyle name="Финансовый" xfId="1" builtinId="3"/>
  </cellStyles>
  <dxfs count="12"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numFmt numFmtId="166" formatCode="_-* #,##0.0_-;\-* #,##0.0_-;_-* &quot;-&quot;??_-;_-@_-"/>
      <alignment horizontal="right" vertical="center" textRotation="0" wrapText="0" indent="0" justifyLastLine="0" shrinkToFit="0" readingOrder="0"/>
    </dxf>
    <dxf>
      <numFmt numFmtId="166" formatCode="_-* #,##0.0_-;\-* #,##0.0_-;_-* &quot;-&quot;??_-;_-@_-"/>
      <alignment horizontal="right" vertical="center" textRotation="0" wrapText="0" indent="0" justifyLastLine="0" shrinkToFit="0" readingOrder="0"/>
    </dxf>
    <dxf>
      <numFmt numFmtId="166" formatCode="_-* #,##0.0_-;\-* #,##0.0_-;_-* &quot;-&quot;??_-;_-@_-"/>
      <alignment horizontal="right" vertical="center" textRotation="0" wrapText="0" indent="0" justifyLastLine="0" shrinkToFit="0" readingOrder="0"/>
    </dxf>
    <dxf>
      <numFmt numFmtId="166" formatCode="_-* #,##0.0_-;\-* #,##0.0_-;_-* &quot;-&quot;??_-;_-@_-"/>
      <alignment horizontal="right" vertical="center" textRotation="0" wrapText="0" indent="0" justifyLastLine="0" shrinkToFit="0" readingOrder="0"/>
    </dxf>
    <dxf>
      <numFmt numFmtId="166" formatCode="_-* #,##0.0_-;\-* #,##0.0_-;_-* &quot;-&quot;??_-;_-@_-"/>
      <alignment horizontal="right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fill>
        <patternFill>
          <bgColor theme="7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Стиль таблицы 1" pivot="0" count="2" xr9:uid="{3C49D0F6-AB1C-4291-A9CA-94A54C6BEB1F}">
      <tableStyleElement type="wholeTable" dxfId="11"/>
      <tableStyleElement type="headerRow" dxfId="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preserveFormatting="0" connectionId="2" xr16:uid="{22A0FF82-2665-4C86-A404-94EF5D8B99B0}" autoFormatId="16" applyNumberFormats="0" applyBorderFormats="0" applyFontFormats="0" applyPatternFormats="0" applyAlignmentFormats="0" applyWidthHeightFormats="0">
  <queryTableRefresh nextId="28" unboundColumnsRight="5">
    <queryTableFields count="10">
      <queryTableField id="13" name="Артикул" tableColumnId="13"/>
      <queryTableField id="14" name="Товары (работы, услуги)" tableColumnId="14"/>
      <queryTableField id="15" name="Количество" tableColumnId="15"/>
      <queryTableField id="16" name="Цена" tableColumnId="16"/>
      <queryTableField id="17" name="Сумма" tableColumnId="17"/>
      <queryTableField id="22" dataBound="0" tableColumnId="1"/>
      <queryTableField id="23" dataBound="0" tableColumnId="2"/>
      <queryTableField id="25" dataBound="0" tableColumnId="3"/>
      <queryTableField id="26" dataBound="0" tableColumnId="4"/>
      <queryTableField id="27" dataBound="0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1A413D8-D21F-4D6A-BFEC-3C5978ACB089}" name="Входящие_файлы_СЧЕТА" displayName="Входящие_файлы_СЧЕТА" ref="B5:K51" tableType="queryTable" totalsRowShown="0" headerRowDxfId="9">
  <autoFilter ref="B5:K51" xr:uid="{B832FD5B-F0C5-4BC4-BF31-2FDA64A05B9F}"/>
  <tableColumns count="10">
    <tableColumn id="13" xr3:uid="{50EB817A-1BA1-4FDD-A284-7327E3CCF833}" uniqueName="13" name="Артикул" queryTableFieldId="13" dataDxfId="8"/>
    <tableColumn id="14" xr3:uid="{D456DB07-9D69-45E6-8739-82652ABC8CFD}" uniqueName="14" name="Товары (работы, услуги)" queryTableFieldId="14"/>
    <tableColumn id="15" xr3:uid="{CDED2406-1B2D-4EEB-A195-1BC846EBFFEB}" uniqueName="15" name="Количество" queryTableFieldId="15" dataDxfId="7"/>
    <tableColumn id="16" xr3:uid="{30B3606D-156D-4250-871F-AF45D465BA08}" uniqueName="16" name="Цена" queryTableFieldId="16" dataDxfId="6" dataCellStyle="Финансовый"/>
    <tableColumn id="17" xr3:uid="{F76D52E4-A65A-4E06-80C7-8FCE4A318477}" uniqueName="17" name="Сумма" queryTableFieldId="17" dataDxfId="5" dataCellStyle="Финансовый"/>
    <tableColumn id="1" xr3:uid="{C5F5E0BB-42EF-46BC-A692-ADFEF4B6367C}" uniqueName="1" name="Цена конкурента" queryTableFieldId="22" dataDxfId="4" dataCellStyle="Финансовый"/>
    <tableColumn id="2" xr3:uid="{C2985775-655F-4B1A-8352-2E1121C01532}" uniqueName="2" name="Сумма по конкуренту" queryTableFieldId="23" dataDxfId="3" dataCellStyle="Финансовый">
      <calculatedColumnFormula>Входящие_файлы_СЧЕТА[[#This Row],[Цена конкурента]]*Входящие_файлы_СЧЕТА[[#This Row],[Количество]]</calculatedColumnFormula>
    </tableColumn>
    <tableColumn id="3" xr3:uid="{A45E62F2-484C-4593-910F-A98C591E7ED5}" uniqueName="3" name="Максимальная себестоимость" queryTableFieldId="25" dataDxfId="2" dataCellStyle="Финансовый"/>
    <tableColumn id="4" xr3:uid="{46A7E038-C617-43EF-B3EC-422F70EA4E75}" uniqueName="4" name="Наценка на цену СантехСтандарт" queryTableFieldId="26" dataDxfId="1" dataCellStyle="Процентный">
      <calculatedColumnFormula>IFERROR(Входящие_файлы_СЧЕТА[[#This Row],[Цена]]/Входящие_файлы_СЧЕТА[[#This Row],[Максимальная себестоимость]]-1,"")</calculatedColumnFormula>
    </tableColumn>
    <tableColumn id="5" xr3:uid="{1E0F2CF9-8C5A-446F-8B72-C0EBFC61B924}" uniqueName="5" name="Наценка на цену Конкурента" queryTableFieldId="27" dataDxfId="0" dataCellStyle="Процентный">
      <calculatedColumnFormula>IFERROR(Входящие_файлы_СЧЕТА[[#This Row],[Цена конкурента]]/Входящие_файлы_СЧЕТА[[#This Row],[Максимальная себестоимость]]-1,"")</calculatedColumnFormula>
    </tableColumn>
  </tableColumns>
  <tableStyleInfo name="Стиль таблицы 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8CE3B-E94D-460F-B86E-F8304EBA89ED}">
  <sheetPr codeName="Лист2"/>
  <dimension ref="B1:O51"/>
  <sheetViews>
    <sheetView tabSelected="1" workbookViewId="0">
      <selection activeCell="L11" sqref="L11"/>
    </sheetView>
  </sheetViews>
  <sheetFormatPr defaultColWidth="9.85546875" defaultRowHeight="15" x14ac:dyDescent="0.25"/>
  <cols>
    <col min="1" max="1" width="2.28515625" customWidth="1"/>
    <col min="2" max="2" width="13.140625" bestFit="1" customWidth="1"/>
    <col min="3" max="3" width="81.140625" bestFit="1" customWidth="1"/>
    <col min="4" max="4" width="16.140625" bestFit="1" customWidth="1"/>
    <col min="5" max="5" width="10.28515625" style="1" bestFit="1" customWidth="1"/>
    <col min="6" max="6" width="11.5703125" style="1" bestFit="1" customWidth="1"/>
    <col min="7" max="8" width="16.140625" bestFit="1" customWidth="1"/>
    <col min="9" max="14" width="16.7109375" customWidth="1"/>
    <col min="15" max="15" width="16.7109375" hidden="1" customWidth="1"/>
    <col min="16" max="17" width="16.7109375" customWidth="1"/>
  </cols>
  <sheetData>
    <row r="1" spans="2:15" ht="12.75" customHeight="1" thickBot="1" x14ac:dyDescent="0.3">
      <c r="O1" t="s">
        <v>55</v>
      </c>
    </row>
    <row r="2" spans="2:15" ht="42.75" customHeight="1" thickBot="1" x14ac:dyDescent="0.3">
      <c r="B2" s="2" t="s">
        <v>0</v>
      </c>
      <c r="C2" s="3" t="s">
        <v>1</v>
      </c>
      <c r="D2" s="4" t="s">
        <v>2</v>
      </c>
      <c r="E2" s="12">
        <v>45222</v>
      </c>
      <c r="F2" s="13"/>
      <c r="J2" s="9" t="s">
        <v>59</v>
      </c>
      <c r="K2" s="9" t="s">
        <v>60</v>
      </c>
    </row>
    <row r="3" spans="2:15" ht="33" customHeight="1" thickBot="1" x14ac:dyDescent="0.3">
      <c r="B3" s="2" t="s">
        <v>3</v>
      </c>
      <c r="C3" s="5" t="s">
        <v>4</v>
      </c>
      <c r="D3" s="2" t="s">
        <v>5</v>
      </c>
      <c r="E3" s="14">
        <v>32545</v>
      </c>
      <c r="F3" s="15"/>
      <c r="J3" s="10">
        <v>0.18413888043416551</v>
      </c>
      <c r="K3" s="10">
        <v>8.9831120362748346E-2</v>
      </c>
    </row>
    <row r="5" spans="2:15" s="6" customFormat="1" ht="30" x14ac:dyDescent="0.25">
      <c r="B5" s="6" t="s">
        <v>6</v>
      </c>
      <c r="C5" s="6" t="s">
        <v>7</v>
      </c>
      <c r="D5" s="6" t="s">
        <v>8</v>
      </c>
      <c r="E5" s="7" t="s">
        <v>9</v>
      </c>
      <c r="F5" s="7" t="s">
        <v>10</v>
      </c>
      <c r="G5" s="6" t="s">
        <v>11</v>
      </c>
      <c r="H5" s="6" t="s">
        <v>12</v>
      </c>
      <c r="I5" s="6" t="s">
        <v>56</v>
      </c>
      <c r="J5" s="6" t="s">
        <v>57</v>
      </c>
      <c r="K5" s="6" t="s">
        <v>58</v>
      </c>
    </row>
    <row r="6" spans="2:15" x14ac:dyDescent="0.25">
      <c r="B6">
        <v>3460</v>
      </c>
      <c r="C6" t="s">
        <v>13</v>
      </c>
      <c r="D6">
        <v>120</v>
      </c>
      <c r="E6" s="8">
        <v>6.85</v>
      </c>
      <c r="F6" s="8">
        <v>822.17</v>
      </c>
      <c r="G6" s="8">
        <v>0</v>
      </c>
      <c r="H6" s="8">
        <f>Входящие_файлы_СЧЕТА[[#This Row],[Цена конкурента]]*Входящие_файлы_СЧЕТА[[#This Row],[Количество]]</f>
        <v>0</v>
      </c>
      <c r="I6" s="8">
        <v>0</v>
      </c>
      <c r="J6" s="11" t="str">
        <f>IFERROR(Входящие_файлы_СЧЕТА[[#This Row],[Цена]]/Входящие_файлы_СЧЕТА[[#This Row],[Максимальная себестоимость]]-1,"")</f>
        <v/>
      </c>
      <c r="K6" s="11" t="str">
        <f>IFERROR(Входящие_файлы_СЧЕТА[[#This Row],[Цена конкурента]]/Входящие_файлы_СЧЕТА[[#This Row],[Максимальная себестоимость]]-1,"")</f>
        <v/>
      </c>
    </row>
    <row r="7" spans="2:15" x14ac:dyDescent="0.25">
      <c r="B7">
        <v>3469</v>
      </c>
      <c r="C7" t="s">
        <v>14</v>
      </c>
      <c r="D7">
        <v>240</v>
      </c>
      <c r="E7" s="8">
        <v>5.81</v>
      </c>
      <c r="F7" s="8">
        <v>1393.99</v>
      </c>
      <c r="G7" s="8">
        <v>0</v>
      </c>
      <c r="H7" s="8">
        <f>Входящие_файлы_СЧЕТА[[#This Row],[Цена конкурента]]*Входящие_файлы_СЧЕТА[[#This Row],[Количество]]</f>
        <v>0</v>
      </c>
      <c r="I7" s="8">
        <v>0</v>
      </c>
      <c r="J7" s="11" t="str">
        <f>IFERROR(Входящие_файлы_СЧЕТА[[#This Row],[Цена]]/Входящие_файлы_СЧЕТА[[#This Row],[Максимальная себестоимость]]-1,"")</f>
        <v/>
      </c>
      <c r="K7" s="11" t="str">
        <f>IFERROR(Входящие_файлы_СЧЕТА[[#This Row],[Цена конкурента]]/Входящие_файлы_СЧЕТА[[#This Row],[Максимальная себестоимость]]-1,"")</f>
        <v/>
      </c>
    </row>
    <row r="8" spans="2:15" x14ac:dyDescent="0.25">
      <c r="B8">
        <v>3477</v>
      </c>
      <c r="C8" t="s">
        <v>15</v>
      </c>
      <c r="D8">
        <v>150</v>
      </c>
      <c r="E8" s="8">
        <v>5.22</v>
      </c>
      <c r="F8" s="8">
        <v>782.32</v>
      </c>
      <c r="G8" s="8">
        <v>4.9000000000000004</v>
      </c>
      <c r="H8" s="8">
        <f>Входящие_файлы_СЧЕТА[[#This Row],[Цена конкурента]]*Входящие_файлы_СЧЕТА[[#This Row],[Количество]]</f>
        <v>735</v>
      </c>
      <c r="I8" s="8">
        <v>4.2299300715439641</v>
      </c>
      <c r="J8" s="11">
        <f>IFERROR(Входящие_файлы_СЧЕТА[[#This Row],[Цена]]/Входящие_файлы_СЧЕТА[[#This Row],[Максимальная себестоимость]]-1,"")</f>
        <v>0.23406295416478384</v>
      </c>
      <c r="K8" s="11">
        <f>IFERROR(Входящие_файлы_СЧЕТА[[#This Row],[Цена конкурента]]/Входящие_файлы_СЧЕТА[[#This Row],[Максимальная себестоимость]]-1,"")</f>
        <v>0.15841158532709598</v>
      </c>
    </row>
    <row r="9" spans="2:15" x14ac:dyDescent="0.25">
      <c r="B9">
        <v>3478</v>
      </c>
      <c r="C9" t="s">
        <v>16</v>
      </c>
      <c r="D9">
        <v>100</v>
      </c>
      <c r="E9" s="8">
        <v>9.5399999999999991</v>
      </c>
      <c r="F9" s="8">
        <v>953.61</v>
      </c>
      <c r="G9" s="8">
        <v>0</v>
      </c>
      <c r="H9" s="8">
        <f>Входящие_файлы_СЧЕТА[[#This Row],[Цена конкурента]]*Входящие_файлы_СЧЕТА[[#This Row],[Количество]]</f>
        <v>0</v>
      </c>
      <c r="I9" s="8">
        <v>0</v>
      </c>
      <c r="J9" s="11" t="str">
        <f>IFERROR(Входящие_файлы_СЧЕТА[[#This Row],[Цена]]/Входящие_файлы_СЧЕТА[[#This Row],[Максимальная себестоимость]]-1,"")</f>
        <v/>
      </c>
      <c r="K9" s="11" t="str">
        <f>IFERROR(Входящие_файлы_СЧЕТА[[#This Row],[Цена конкурента]]/Входящие_файлы_СЧЕТА[[#This Row],[Максимальная себестоимость]]-1,"")</f>
        <v/>
      </c>
    </row>
    <row r="10" spans="2:15" x14ac:dyDescent="0.25">
      <c r="B10">
        <v>3486</v>
      </c>
      <c r="C10" t="s">
        <v>17</v>
      </c>
      <c r="D10">
        <v>100</v>
      </c>
      <c r="E10" s="8">
        <v>2.31</v>
      </c>
      <c r="F10" s="8">
        <v>230.85</v>
      </c>
      <c r="G10" s="8">
        <v>0</v>
      </c>
      <c r="H10" s="8">
        <f>Входящие_файлы_СЧЕТА[[#This Row],[Цена конкурента]]*Входящие_файлы_СЧЕТА[[#This Row],[Количество]]</f>
        <v>0</v>
      </c>
      <c r="I10" s="8">
        <v>0</v>
      </c>
      <c r="J10" s="11" t="str">
        <f>IFERROR(Входящие_файлы_СЧЕТА[[#This Row],[Цена]]/Входящие_файлы_СЧЕТА[[#This Row],[Максимальная себестоимость]]-1,"")</f>
        <v/>
      </c>
      <c r="K10" s="11" t="str">
        <f>IFERROR(Входящие_файлы_СЧЕТА[[#This Row],[Цена конкурента]]/Входящие_файлы_СЧЕТА[[#This Row],[Максимальная себестоимость]]-1,"")</f>
        <v/>
      </c>
    </row>
    <row r="11" spans="2:15" x14ac:dyDescent="0.25">
      <c r="B11">
        <v>3487</v>
      </c>
      <c r="C11" t="s">
        <v>18</v>
      </c>
      <c r="D11">
        <v>80</v>
      </c>
      <c r="E11" s="8">
        <v>4.0199999999999996</v>
      </c>
      <c r="F11" s="8">
        <v>321.94</v>
      </c>
      <c r="G11" s="8">
        <v>3.88</v>
      </c>
      <c r="H11" s="8">
        <f>Входящие_файлы_СЧЕТА[[#This Row],[Цена конкурента]]*Входящие_файлы_СЧЕТА[[#This Row],[Количество]]</f>
        <v>310.39999999999998</v>
      </c>
      <c r="I11" s="8">
        <v>3.4335287587204903</v>
      </c>
      <c r="J11" s="11">
        <f>IFERROR(Входящие_файлы_СЧЕТА[[#This Row],[Цена]]/Входящие_файлы_СЧЕТА[[#This Row],[Максимальная себестоимость]]-1,"")</f>
        <v>0.17080714404677311</v>
      </c>
      <c r="K11" s="11">
        <f>IFERROR(Входящие_файлы_СЧЕТА[[#This Row],[Цена конкурента]]/Входящие_файлы_СЧЕТА[[#This Row],[Максимальная себестоимость]]-1,"")</f>
        <v>0.13003276589589063</v>
      </c>
    </row>
    <row r="12" spans="2:15" x14ac:dyDescent="0.25">
      <c r="B12">
        <v>3497</v>
      </c>
      <c r="C12" t="s">
        <v>19</v>
      </c>
      <c r="D12">
        <v>90</v>
      </c>
      <c r="E12" s="8">
        <v>8.9499999999999993</v>
      </c>
      <c r="F12" s="8">
        <v>805.36</v>
      </c>
      <c r="G12" s="8">
        <v>8.73</v>
      </c>
      <c r="H12" s="8">
        <f>Входящие_файлы_СЧЕТА[[#This Row],[Цена конкурента]]*Входящие_файлы_СЧЕТА[[#This Row],[Количество]]</f>
        <v>785.7</v>
      </c>
      <c r="I12" s="8">
        <v>6.7976840447999987</v>
      </c>
      <c r="J12" s="11">
        <f>IFERROR(Входящие_файлы_СЧЕТА[[#This Row],[Цена]]/Входящие_файлы_СЧЕТА[[#This Row],[Максимальная себестоимость]]-1,"")</f>
        <v>0.31662488886144247</v>
      </c>
      <c r="K12" s="11">
        <f>IFERROR(Входящие_файлы_СЧЕТА[[#This Row],[Цена конкурента]]/Входящие_файлы_СЧЕТА[[#This Row],[Максимальная себестоимость]]-1,"")</f>
        <v>0.28426092511289336</v>
      </c>
    </row>
    <row r="13" spans="2:15" x14ac:dyDescent="0.25">
      <c r="B13">
        <v>3497</v>
      </c>
      <c r="C13" t="s">
        <v>19</v>
      </c>
      <c r="D13">
        <v>10</v>
      </c>
      <c r="E13" s="8">
        <v>12.59</v>
      </c>
      <c r="F13" s="8">
        <v>125.92</v>
      </c>
      <c r="G13" s="8">
        <v>8.73</v>
      </c>
      <c r="H13" s="8">
        <f>Входящие_файлы_СЧЕТА[[#This Row],[Цена конкурента]]*Входящие_файлы_СЧЕТА[[#This Row],[Количество]]</f>
        <v>87.300000000000011</v>
      </c>
      <c r="I13" s="8">
        <v>6.7976840447999987</v>
      </c>
      <c r="J13" s="11">
        <f>IFERROR(Входящие_файлы_СЧЕТА[[#This Row],[Цена]]/Входящие_файлы_СЧЕТА[[#This Row],[Максимальная себестоимость]]-1,"")</f>
        <v>0.85210137997380575</v>
      </c>
      <c r="K13" s="11">
        <f>IFERROR(Входящие_файлы_СЧЕТА[[#This Row],[Цена конкурента]]/Входящие_файлы_СЧЕТА[[#This Row],[Максимальная себестоимость]]-1,"")</f>
        <v>0.28426092511289336</v>
      </c>
    </row>
    <row r="14" spans="2:15" x14ac:dyDescent="0.25">
      <c r="B14">
        <v>3590</v>
      </c>
      <c r="C14" t="s">
        <v>20</v>
      </c>
      <c r="D14">
        <v>60</v>
      </c>
      <c r="E14" s="8">
        <v>107.42</v>
      </c>
      <c r="F14" s="8">
        <v>6444.99</v>
      </c>
      <c r="G14" s="8">
        <v>106.65</v>
      </c>
      <c r="H14" s="8">
        <f>Входящие_файлы_СЧЕТА[[#This Row],[Цена конкурента]]*Входящие_файлы_СЧЕТА[[#This Row],[Количество]]</f>
        <v>6399</v>
      </c>
      <c r="I14" s="8">
        <v>88.369892582399999</v>
      </c>
      <c r="J14" s="11">
        <f>IFERROR(Входящие_файлы_СЧЕТА[[#This Row],[Цена]]/Входящие_файлы_СЧЕТА[[#This Row],[Максимальная себестоимость]]-1,"")</f>
        <v>0.21557237268153107</v>
      </c>
      <c r="K14" s="11">
        <f>IFERROR(Входящие_файлы_СЧЕТА[[#This Row],[Цена конкурента]]/Входящие_файлы_СЧЕТА[[#This Row],[Максимальная себестоимость]]-1,"")</f>
        <v>0.20685899782615236</v>
      </c>
    </row>
    <row r="15" spans="2:15" x14ac:dyDescent="0.25">
      <c r="B15">
        <v>3781</v>
      </c>
      <c r="C15" t="s">
        <v>21</v>
      </c>
      <c r="D15">
        <v>15</v>
      </c>
      <c r="E15" s="8">
        <v>220.5</v>
      </c>
      <c r="F15" s="8">
        <v>3307.48</v>
      </c>
      <c r="G15" s="8">
        <v>219.53</v>
      </c>
      <c r="H15" s="8">
        <f>Входящие_файлы_СЧЕТА[[#This Row],[Цена конкурента]]*Входящие_файлы_СЧЕТА[[#This Row],[Количество]]</f>
        <v>3292.95</v>
      </c>
      <c r="I15" s="8">
        <v>180.76160904192</v>
      </c>
      <c r="J15" s="11">
        <f>IFERROR(Входящие_файлы_СЧЕТА[[#This Row],[Цена]]/Входящие_файлы_СЧЕТА[[#This Row],[Максимальная себестоимость]]-1,"")</f>
        <v>0.21983866579138689</v>
      </c>
      <c r="K15" s="11">
        <f>IFERROR(Входящие_файлы_СЧЕТА[[#This Row],[Цена конкурента]]/Входящие_файлы_СЧЕТА[[#This Row],[Максимальная себестоимость]]-1,"")</f>
        <v>0.2144724820915338</v>
      </c>
    </row>
    <row r="16" spans="2:15" x14ac:dyDescent="0.25">
      <c r="B16">
        <v>3605</v>
      </c>
      <c r="C16" t="s">
        <v>22</v>
      </c>
      <c r="D16">
        <v>20</v>
      </c>
      <c r="E16" s="8">
        <v>93.41</v>
      </c>
      <c r="F16" s="8">
        <v>1868.23</v>
      </c>
      <c r="G16" s="8">
        <v>0</v>
      </c>
      <c r="H16" s="8">
        <f>Входящие_файлы_СЧЕТА[[#This Row],[Цена конкурента]]*Входящие_файлы_СЧЕТА[[#This Row],[Количество]]</f>
        <v>0</v>
      </c>
      <c r="I16" s="8">
        <v>0</v>
      </c>
      <c r="J16" s="11" t="str">
        <f>IFERROR(Входящие_файлы_СЧЕТА[[#This Row],[Цена]]/Входящие_файлы_СЧЕТА[[#This Row],[Максимальная себестоимость]]-1,"")</f>
        <v/>
      </c>
      <c r="K16" s="11" t="str">
        <f>IFERROR(Входящие_файлы_СЧЕТА[[#This Row],[Цена конкурента]]/Входящие_файлы_СЧЕТА[[#This Row],[Максимальная себестоимость]]-1,"")</f>
        <v/>
      </c>
    </row>
    <row r="17" spans="2:11" x14ac:dyDescent="0.25">
      <c r="B17">
        <v>3614</v>
      </c>
      <c r="C17" t="s">
        <v>23</v>
      </c>
      <c r="D17">
        <v>20</v>
      </c>
      <c r="E17" s="8">
        <v>111.66</v>
      </c>
      <c r="F17" s="8">
        <v>2233.2600000000002</v>
      </c>
      <c r="G17" s="8">
        <v>109.82</v>
      </c>
      <c r="H17" s="8">
        <f>Входящие_файлы_СЧЕТА[[#This Row],[Цена конкурента]]*Входящие_файлы_СЧЕТА[[#This Row],[Количество]]</f>
        <v>2196.3999999999996</v>
      </c>
      <c r="I17" s="8">
        <v>91.256816639999982</v>
      </c>
      <c r="J17" s="11">
        <f>IFERROR(Входящие_файлы_СЧЕТА[[#This Row],[Цена]]/Входящие_файлы_СЧЕТА[[#This Row],[Максимальная себестоимость]]-1,"")</f>
        <v>0.22357982791015774</v>
      </c>
      <c r="K17" s="11">
        <f>IFERROR(Входящие_файлы_СЧЕТА[[#This Row],[Цена конкурента]]/Входящие_файлы_СЧЕТА[[#This Row],[Максимальная себестоимость]]-1,"")</f>
        <v>0.20341695057400599</v>
      </c>
    </row>
    <row r="18" spans="2:11" x14ac:dyDescent="0.25">
      <c r="B18">
        <v>3615</v>
      </c>
      <c r="C18" t="s">
        <v>24</v>
      </c>
      <c r="D18">
        <v>3</v>
      </c>
      <c r="E18" s="8">
        <v>123.69</v>
      </c>
      <c r="F18" s="8">
        <v>371.06</v>
      </c>
      <c r="G18" s="8">
        <v>117.95</v>
      </c>
      <c r="H18" s="8">
        <f>Входящие_файлы_СЧЕТА[[#This Row],[Цена конкурента]]*Входящие_файлы_СЧЕТА[[#This Row],[Количество]]</f>
        <v>353.85</v>
      </c>
      <c r="I18" s="8">
        <v>97.294602240000003</v>
      </c>
      <c r="J18" s="11">
        <f>IFERROR(Входящие_файлы_СЧЕТА[[#This Row],[Цена]]/Входящие_файлы_СЧЕТА[[#This Row],[Максимальная себестоимость]]-1,"")</f>
        <v>0.27129354714755438</v>
      </c>
      <c r="K18" s="11">
        <f>IFERROR(Входящие_файлы_СЧЕТА[[#This Row],[Цена конкурента]]/Входящие_файлы_СЧЕТА[[#This Row],[Максимальная себестоимость]]-1,"")</f>
        <v>0.21229746855893006</v>
      </c>
    </row>
    <row r="19" spans="2:11" x14ac:dyDescent="0.25">
      <c r="B19">
        <v>3903</v>
      </c>
      <c r="C19" t="s">
        <v>25</v>
      </c>
      <c r="D19">
        <v>60</v>
      </c>
      <c r="E19" s="8">
        <v>47.08</v>
      </c>
      <c r="F19" s="8">
        <v>2824.58</v>
      </c>
      <c r="G19" s="8">
        <v>45.3</v>
      </c>
      <c r="H19" s="8">
        <f>Входящие_файлы_СЧЕТА[[#This Row],[Цена конкурента]]*Входящие_файлы_СЧЕТА[[#This Row],[Количество]]</f>
        <v>2718</v>
      </c>
      <c r="I19" s="8">
        <v>37.655081164800002</v>
      </c>
      <c r="J19" s="11">
        <f>IFERROR(Входящие_файлы_СЧЕТА[[#This Row],[Цена]]/Входящие_файлы_СЧЕТА[[#This Row],[Максимальная себестоимость]]-1,"")</f>
        <v>0.25029607010940169</v>
      </c>
      <c r="K19" s="11">
        <f>IFERROR(Входящие_файлы_СЧЕТА[[#This Row],[Цена конкурента]]/Входящие_файлы_СЧЕТА[[#This Row],[Максимальная себестоимость]]-1,"")</f>
        <v>0.20302489328708373</v>
      </c>
    </row>
    <row r="20" spans="2:11" x14ac:dyDescent="0.25">
      <c r="B20">
        <v>3904</v>
      </c>
      <c r="C20" t="s">
        <v>26</v>
      </c>
      <c r="D20">
        <v>50</v>
      </c>
      <c r="E20" s="8">
        <v>55.87</v>
      </c>
      <c r="F20" s="8">
        <v>2793.57</v>
      </c>
      <c r="G20" s="8">
        <v>55.2</v>
      </c>
      <c r="H20" s="8">
        <f>Входящие_файлы_СЧЕТА[[#This Row],[Цена конкурента]]*Входящие_файлы_СЧЕТА[[#This Row],[Количество]]</f>
        <v>2760</v>
      </c>
      <c r="I20" s="8">
        <v>44.669262950399997</v>
      </c>
      <c r="J20" s="11">
        <f>IFERROR(Входящие_файлы_СЧЕТА[[#This Row],[Цена]]/Входящие_файлы_СЧЕТА[[#This Row],[Максимальная себестоимость]]-1,"")</f>
        <v>0.25074819483896826</v>
      </c>
      <c r="K20" s="11">
        <f>IFERROR(Входящие_файлы_СЧЕТА[[#This Row],[Цена конкурента]]/Входящие_файлы_СЧЕТА[[#This Row],[Максимальная себестоимость]]-1,"")</f>
        <v>0.23574906667462048</v>
      </c>
    </row>
    <row r="21" spans="2:11" x14ac:dyDescent="0.25">
      <c r="B21">
        <v>3694</v>
      </c>
      <c r="C21" t="s">
        <v>27</v>
      </c>
      <c r="D21">
        <v>50</v>
      </c>
      <c r="E21" s="8">
        <v>11.17</v>
      </c>
      <c r="F21" s="8">
        <v>558.6</v>
      </c>
      <c r="G21" s="8">
        <v>0</v>
      </c>
      <c r="H21" s="8">
        <f>Входящие_файлы_СЧЕТА[[#This Row],[Цена конкурента]]*Входящие_файлы_СЧЕТА[[#This Row],[Количество]]</f>
        <v>0</v>
      </c>
      <c r="I21" s="8">
        <v>0</v>
      </c>
      <c r="J21" s="11" t="str">
        <f>IFERROR(Входящие_файлы_СЧЕТА[[#This Row],[Цена]]/Входящие_файлы_СЧЕТА[[#This Row],[Максимальная себестоимость]]-1,"")</f>
        <v/>
      </c>
      <c r="K21" s="11" t="str">
        <f>IFERROR(Входящие_файлы_СЧЕТА[[#This Row],[Цена конкурента]]/Входящие_файлы_СЧЕТА[[#This Row],[Максимальная себестоимость]]-1,"")</f>
        <v/>
      </c>
    </row>
    <row r="22" spans="2:11" x14ac:dyDescent="0.25">
      <c r="B22">
        <v>3695</v>
      </c>
      <c r="C22" t="s">
        <v>28</v>
      </c>
      <c r="D22">
        <v>60</v>
      </c>
      <c r="E22" s="8">
        <v>17.36</v>
      </c>
      <c r="F22" s="8">
        <v>1041.3900000000001</v>
      </c>
      <c r="G22" s="8">
        <v>0</v>
      </c>
      <c r="H22" s="8">
        <f>Входящие_файлы_СЧЕТА[[#This Row],[Цена конкурента]]*Входящие_файлы_СЧЕТА[[#This Row],[Количество]]</f>
        <v>0</v>
      </c>
      <c r="I22" s="8">
        <v>0</v>
      </c>
      <c r="J22" s="11" t="str">
        <f>IFERROR(Входящие_файлы_СЧЕТА[[#This Row],[Цена]]/Входящие_файлы_СЧЕТА[[#This Row],[Максимальная себестоимость]]-1,"")</f>
        <v/>
      </c>
      <c r="K22" s="11" t="str">
        <f>IFERROR(Входящие_файлы_СЧЕТА[[#This Row],[Цена конкурента]]/Входящие_файлы_СЧЕТА[[#This Row],[Максимальная себестоимость]]-1,"")</f>
        <v/>
      </c>
    </row>
    <row r="23" spans="2:11" x14ac:dyDescent="0.25">
      <c r="B23">
        <v>1144</v>
      </c>
      <c r="C23" t="s">
        <v>29</v>
      </c>
      <c r="D23">
        <v>10</v>
      </c>
      <c r="E23" s="8">
        <v>256.11</v>
      </c>
      <c r="F23" s="8">
        <v>2561.0700000000002</v>
      </c>
      <c r="G23" s="8">
        <v>236.37</v>
      </c>
      <c r="H23" s="8">
        <f>Входящие_файлы_СЧЕТА[[#This Row],[Цена конкурента]]*Входящие_файлы_СЧЕТА[[#This Row],[Количество]]</f>
        <v>2363.6999999999998</v>
      </c>
      <c r="I23" s="8">
        <v>181.47936844799997</v>
      </c>
      <c r="J23" s="11">
        <f>IFERROR(Входящие_файлы_СЧЕТА[[#This Row],[Цена]]/Входящие_файлы_СЧЕТА[[#This Row],[Максимальная себестоимость]]-1,"")</f>
        <v>0.41123479870046098</v>
      </c>
      <c r="K23" s="11">
        <f>IFERROR(Входящие_файлы_СЧЕТА[[#This Row],[Цена конкурента]]/Входящие_файлы_СЧЕТА[[#This Row],[Максимальная себестоимость]]-1,"")</f>
        <v>0.30246210366181692</v>
      </c>
    </row>
    <row r="24" spans="2:11" x14ac:dyDescent="0.25">
      <c r="B24">
        <v>1145</v>
      </c>
      <c r="C24" t="s">
        <v>30</v>
      </c>
      <c r="D24">
        <v>10</v>
      </c>
      <c r="E24" s="8">
        <v>435.18</v>
      </c>
      <c r="F24" s="8">
        <v>4351.84</v>
      </c>
      <c r="G24" s="8">
        <v>401.27</v>
      </c>
      <c r="H24" s="8">
        <f>Входящие_файлы_СЧЕТА[[#This Row],[Цена конкурента]]*Входящие_файлы_СЧЕТА[[#This Row],[Количество]]</f>
        <v>4012.7</v>
      </c>
      <c r="I24" s="8">
        <v>318.53950099968</v>
      </c>
      <c r="J24" s="11">
        <f>IFERROR(Входящие_файлы_СЧЕТА[[#This Row],[Цена]]/Входящие_файлы_СЧЕТА[[#This Row],[Максимальная себестоимость]]-1,"")</f>
        <v>0.36617279374854417</v>
      </c>
      <c r="K24" s="11">
        <f>IFERROR(Входящие_файлы_СЧЕТА[[#This Row],[Цена конкурента]]/Входящие_файлы_СЧЕТА[[#This Row],[Максимальная себестоимость]]-1,"")</f>
        <v>0.2597181785639926</v>
      </c>
    </row>
    <row r="25" spans="2:11" x14ac:dyDescent="0.25">
      <c r="B25">
        <v>1148</v>
      </c>
      <c r="C25" t="s">
        <v>31</v>
      </c>
      <c r="D25">
        <v>2</v>
      </c>
      <c r="E25" s="8">
        <v>1598.38</v>
      </c>
      <c r="F25" s="8">
        <v>3196.75</v>
      </c>
      <c r="G25" s="8">
        <v>1469.25</v>
      </c>
      <c r="H25" s="8">
        <f>Входящие_файлы_СЧЕТА[[#This Row],[Цена конкурента]]*Входящие_файлы_СЧЕТА[[#This Row],[Количество]]</f>
        <v>2938.5</v>
      </c>
      <c r="I25" s="8">
        <v>1006.2598886707199</v>
      </c>
      <c r="J25" s="11">
        <f>IFERROR(Входящие_файлы_СЧЕТА[[#This Row],[Цена]]/Входящие_файлы_СЧЕТА[[#This Row],[Максимальная себестоимость]]-1,"")</f>
        <v>0.58843656394917754</v>
      </c>
      <c r="K25" s="11">
        <f>IFERROR(Входящие_файлы_СЧЕТА[[#This Row],[Цена конкурента]]/Входящие_файлы_СЧЕТА[[#This Row],[Максимальная себестоимость]]-1,"")</f>
        <v>0.46010987473712683</v>
      </c>
    </row>
    <row r="26" spans="2:11" x14ac:dyDescent="0.25">
      <c r="B26">
        <v>1151</v>
      </c>
      <c r="C26" t="s">
        <v>32</v>
      </c>
      <c r="D26">
        <v>10</v>
      </c>
      <c r="E26" s="8">
        <v>451.87</v>
      </c>
      <c r="F26" s="8">
        <v>4518.67</v>
      </c>
      <c r="G26" s="8">
        <v>417.47</v>
      </c>
      <c r="H26" s="8">
        <f>Входящие_файлы_СЧЕТА[[#This Row],[Цена конкурента]]*Входящие_файлы_СЧЕТА[[#This Row],[Количество]]</f>
        <v>4174.7000000000007</v>
      </c>
      <c r="I26" s="8">
        <v>324.76165077503998</v>
      </c>
      <c r="J26" s="11">
        <f>IFERROR(Входящие_файлы_СЧЕТА[[#This Row],[Цена]]/Входящие_файлы_СЧЕТА[[#This Row],[Максимальная себестоимость]]-1,"")</f>
        <v>0.3913896512153372</v>
      </c>
      <c r="K26" s="11">
        <f>IFERROR(Входящие_файлы_СЧЕТА[[#This Row],[Цена конкурента]]/Входящие_файлы_СЧЕТА[[#This Row],[Максимальная себестоимость]]-1,"")</f>
        <v>0.28546581470968824</v>
      </c>
    </row>
    <row r="27" spans="2:11" x14ac:dyDescent="0.25">
      <c r="B27">
        <v>1156</v>
      </c>
      <c r="C27" t="s">
        <v>33</v>
      </c>
      <c r="D27">
        <v>10</v>
      </c>
      <c r="E27" s="8">
        <v>255.58</v>
      </c>
      <c r="F27" s="8">
        <v>2555.8200000000002</v>
      </c>
      <c r="G27" s="8">
        <v>236.37</v>
      </c>
      <c r="H27" s="8">
        <f>Входящие_файлы_СЧЕТА[[#This Row],[Цена конкурента]]*Входящие_файлы_СЧЕТА[[#This Row],[Количество]]</f>
        <v>2363.6999999999998</v>
      </c>
      <c r="I27" s="8">
        <v>182.17071842303997</v>
      </c>
      <c r="J27" s="11">
        <f>IFERROR(Входящие_файлы_СЧЕТА[[#This Row],[Цена]]/Входящие_файлы_СЧЕТА[[#This Row],[Максимальная себестоимость]]-1,"")</f>
        <v>0.40296971001941029</v>
      </c>
      <c r="K27" s="11">
        <f>IFERROR(Входящие_файлы_СЧЕТА[[#This Row],[Цена конкурента]]/Входящие_файлы_СЧЕТА[[#This Row],[Максимальная себестоимость]]-1,"")</f>
        <v>0.29751917347714207</v>
      </c>
    </row>
    <row r="28" spans="2:11" x14ac:dyDescent="0.25">
      <c r="B28">
        <v>1157</v>
      </c>
      <c r="C28" t="s">
        <v>34</v>
      </c>
      <c r="D28">
        <v>10</v>
      </c>
      <c r="E28" s="8">
        <v>435.41</v>
      </c>
      <c r="F28" s="8">
        <v>4354.0600000000004</v>
      </c>
      <c r="G28" s="8">
        <v>401.27</v>
      </c>
      <c r="H28" s="8">
        <f>Входящие_файлы_СЧЕТА[[#This Row],[Цена конкурента]]*Входящие_файлы_СЧЕТА[[#This Row],[Количество]]</f>
        <v>4012.7</v>
      </c>
      <c r="I28" s="8">
        <v>315.42842611200001</v>
      </c>
      <c r="J28" s="11">
        <f>IFERROR(Входящие_файлы_СЧЕТА[[#This Row],[Цена]]/Входящие_файлы_СЧЕТА[[#This Row],[Максимальная себестоимость]]-1,"")</f>
        <v>0.38037654173057267</v>
      </c>
      <c r="K28" s="11">
        <f>IFERROR(Входящие_файлы_СЧЕТА[[#This Row],[Цена конкурента]]/Входящие_файлы_СЧЕТА[[#This Row],[Максимальная себестоимость]]-1,"")</f>
        <v>0.27214279621558268</v>
      </c>
    </row>
    <row r="29" spans="2:11" x14ac:dyDescent="0.25">
      <c r="B29">
        <v>1159</v>
      </c>
      <c r="C29" t="s">
        <v>35</v>
      </c>
      <c r="D29">
        <v>10</v>
      </c>
      <c r="E29" s="8">
        <v>262.95999999999998</v>
      </c>
      <c r="F29" s="8">
        <v>2629.58</v>
      </c>
      <c r="G29" s="8">
        <v>243.05</v>
      </c>
      <c r="H29" s="8">
        <f>Входящие_файлы_СЧЕТА[[#This Row],[Цена конкурента]]*Входящие_файлы_СЧЕТА[[#This Row],[Количество]]</f>
        <v>2430.5</v>
      </c>
      <c r="I29" s="8">
        <v>180.09666849791998</v>
      </c>
      <c r="J29" s="11">
        <f>IFERROR(Входящие_файлы_СЧЕТА[[#This Row],[Цена]]/Входящие_файлы_СЧЕТА[[#This Row],[Максимальная себестоимость]]-1,"")</f>
        <v>0.4601047437089989</v>
      </c>
      <c r="K29" s="11">
        <f>IFERROR(Входящие_файлы_СЧЕТА[[#This Row],[Цена конкурента]]/Входящие_файлы_СЧЕТА[[#This Row],[Максимальная себестоимость]]-1,"")</f>
        <v>0.34955300410127865</v>
      </c>
    </row>
    <row r="30" spans="2:11" x14ac:dyDescent="0.25">
      <c r="B30">
        <v>1167</v>
      </c>
      <c r="C30" t="s">
        <v>36</v>
      </c>
      <c r="D30">
        <v>20</v>
      </c>
      <c r="E30" s="8">
        <v>255.14</v>
      </c>
      <c r="F30" s="8">
        <v>5102.75</v>
      </c>
      <c r="G30" s="8">
        <v>235.42</v>
      </c>
      <c r="H30" s="8">
        <f>Входящие_файлы_СЧЕТА[[#This Row],[Цена конкурента]]*Входящие_файлы_СЧЕТА[[#This Row],[Количество]]</f>
        <v>4708.3999999999996</v>
      </c>
      <c r="I30" s="8">
        <v>197.72609286143998</v>
      </c>
      <c r="J30" s="11">
        <f>IFERROR(Входящие_файлы_СЧЕТА[[#This Row],[Цена]]/Входящие_файлы_СЧЕТА[[#This Row],[Максимальная себестоимость]]-1,"")</f>
        <v>0.29037091821155747</v>
      </c>
      <c r="K30" s="11">
        <f>IFERROR(Входящие_файлы_СЧЕТА[[#This Row],[Цена конкурента]]/Входящие_файлы_СЧЕТА[[#This Row],[Максимальная себестоимость]]-1,"")</f>
        <v>0.19063698975215515</v>
      </c>
    </row>
    <row r="31" spans="2:11" x14ac:dyDescent="0.25">
      <c r="B31">
        <v>1168</v>
      </c>
      <c r="C31" t="s">
        <v>37</v>
      </c>
      <c r="D31">
        <v>10</v>
      </c>
      <c r="E31" s="8">
        <v>375.07</v>
      </c>
      <c r="F31" s="8">
        <v>3750.66</v>
      </c>
      <c r="G31" s="8">
        <v>346.46</v>
      </c>
      <c r="H31" s="8">
        <f>Входящие_файлы_СЧЕТА[[#This Row],[Цена конкурента]]*Входящие_файлы_СЧЕТА[[#This Row],[Количество]]</f>
        <v>3464.6</v>
      </c>
      <c r="I31" s="8">
        <v>268.41662780927999</v>
      </c>
      <c r="J31" s="11">
        <f>IFERROR(Входящие_файлы_СЧЕТА[[#This Row],[Цена]]/Входящие_файлы_СЧЕТА[[#This Row],[Максимальная себестоимость]]-1,"")</f>
        <v>0.39734264252250862</v>
      </c>
      <c r="K31" s="11">
        <f>IFERROR(Входящие_файлы_СЧЕТА[[#This Row],[Цена конкурента]]/Входящие_файлы_СЧЕТА[[#This Row],[Максимальная себестоимость]]-1,"")</f>
        <v>0.29075461094821864</v>
      </c>
    </row>
    <row r="32" spans="2:11" x14ac:dyDescent="0.25">
      <c r="B32">
        <v>1462</v>
      </c>
      <c r="C32" t="s">
        <v>38</v>
      </c>
      <c r="D32">
        <v>10</v>
      </c>
      <c r="E32" s="8">
        <v>708.57</v>
      </c>
      <c r="F32" s="8">
        <v>7085.67</v>
      </c>
      <c r="G32" s="8">
        <v>685.2</v>
      </c>
      <c r="H32" s="8">
        <f>Входящие_файлы_СЧЕТА[[#This Row],[Цена конкурента]]*Входящие_файлы_СЧЕТА[[#This Row],[Количество]]</f>
        <v>6852</v>
      </c>
      <c r="I32" s="8">
        <v>456.63665851392</v>
      </c>
      <c r="J32" s="11">
        <f>IFERROR(Входящие_файлы_СЧЕТА[[#This Row],[Цена]]/Входящие_файлы_СЧЕТА[[#This Row],[Максимальная себестоимость]]-1,"")</f>
        <v>0.55171510387705802</v>
      </c>
      <c r="K32" s="11">
        <f>IFERROR(Входящие_файлы_СЧЕТА[[#This Row],[Цена конкурента]]/Входящие_файлы_СЧЕТА[[#This Row],[Максимальная себестоимость]]-1,"")</f>
        <v>0.50053655838740019</v>
      </c>
    </row>
    <row r="33" spans="2:11" x14ac:dyDescent="0.25">
      <c r="B33">
        <v>3937</v>
      </c>
      <c r="C33" t="s">
        <v>39</v>
      </c>
      <c r="D33">
        <v>3000</v>
      </c>
      <c r="E33" s="8">
        <v>21.64</v>
      </c>
      <c r="F33" s="8">
        <v>64911.6</v>
      </c>
      <c r="G33" s="8">
        <v>20</v>
      </c>
      <c r="H33" s="8">
        <f>Входящие_файлы_СЧЕТА[[#This Row],[Цена конкурента]]*Входящие_файлы_СЧЕТА[[#This Row],[Количество]]</f>
        <v>60000</v>
      </c>
      <c r="I33" s="8">
        <v>19.666399999999999</v>
      </c>
      <c r="J33" s="11">
        <f>IFERROR(Входящие_файлы_СЧЕТА[[#This Row],[Цена]]/Входящие_файлы_СЧЕТА[[#This Row],[Максимальная себестоимость]]-1,"")</f>
        <v>0.10035390310377101</v>
      </c>
      <c r="K33" s="11">
        <f>IFERROR(Входящие_файлы_СЧЕТА[[#This Row],[Цена конкурента]]/Входящие_файлы_СЧЕТА[[#This Row],[Максимальная себестоимость]]-1,"")</f>
        <v>1.6962941870398263E-2</v>
      </c>
    </row>
    <row r="34" spans="2:11" x14ac:dyDescent="0.25">
      <c r="B34">
        <v>1211</v>
      </c>
      <c r="C34" t="s">
        <v>40</v>
      </c>
      <c r="D34">
        <v>1000</v>
      </c>
      <c r="E34" s="8">
        <v>34.619999999999997</v>
      </c>
      <c r="F34" s="8">
        <v>34616.1</v>
      </c>
      <c r="G34" s="8">
        <v>30</v>
      </c>
      <c r="H34" s="8">
        <f>Входящие_файлы_СЧЕТА[[#This Row],[Цена конкурента]]*Входящие_файлы_СЧЕТА[[#This Row],[Количество]]</f>
        <v>30000</v>
      </c>
      <c r="I34" s="8">
        <v>30.10425</v>
      </c>
      <c r="J34" s="11">
        <f>IFERROR(Входящие_файлы_СЧЕТА[[#This Row],[Цена]]/Входящие_файлы_СЧЕТА[[#This Row],[Максимальная себестоимость]]-1,"")</f>
        <v>0.1500037370138767</v>
      </c>
      <c r="K34" s="11">
        <f>IFERROR(Входящие_файлы_СЧЕТА[[#This Row],[Цена конкурента]]/Входящие_файлы_СЧЕТА[[#This Row],[Максимальная себестоимость]]-1,"")</f>
        <v>-3.4629661924810984E-3</v>
      </c>
    </row>
    <row r="35" spans="2:11" x14ac:dyDescent="0.25">
      <c r="B35">
        <v>3062</v>
      </c>
      <c r="C35" t="s">
        <v>41</v>
      </c>
      <c r="D35">
        <v>10</v>
      </c>
      <c r="E35" s="8">
        <v>3833.66</v>
      </c>
      <c r="F35" s="8">
        <v>38336.6</v>
      </c>
      <c r="G35" s="8">
        <v>3436.8</v>
      </c>
      <c r="H35" s="8">
        <f>Входящие_файлы_СЧЕТА[[#This Row],[Цена конкурента]]*Входящие_файлы_СЧЕТА[[#This Row],[Количество]]</f>
        <v>34368</v>
      </c>
      <c r="I35" s="8">
        <v>3450.64</v>
      </c>
      <c r="J35" s="11">
        <f>IFERROR(Входящие_файлы_СЧЕТА[[#This Row],[Цена]]/Входящие_файлы_СЧЕТА[[#This Row],[Максимальная себестоимость]]-1,"")</f>
        <v>0.11099969860663528</v>
      </c>
      <c r="K35" s="11">
        <f>IFERROR(Входящие_файлы_СЧЕТА[[#This Row],[Цена конкурента]]/Входящие_файлы_СЧЕТА[[#This Row],[Максимальная себестоимость]]-1,"")</f>
        <v>-4.0108501611294534E-3</v>
      </c>
    </row>
    <row r="36" spans="2:11" x14ac:dyDescent="0.25">
      <c r="B36">
        <v>2601</v>
      </c>
      <c r="C36" t="s">
        <v>42</v>
      </c>
      <c r="D36">
        <v>10</v>
      </c>
      <c r="E36" s="8">
        <v>226.16</v>
      </c>
      <c r="F36" s="8">
        <v>2261.59</v>
      </c>
      <c r="G36" s="8">
        <v>208.95</v>
      </c>
      <c r="H36" s="8">
        <f>Входящие_файлы_СЧЕТА[[#This Row],[Цена конкурента]]*Входящие_файлы_СЧЕТА[[#This Row],[Количество]]</f>
        <v>2089.5</v>
      </c>
      <c r="I36" s="8">
        <v>172.5305860608</v>
      </c>
      <c r="J36" s="11">
        <f>IFERROR(Входящие_файлы_СЧЕТА[[#This Row],[Цена]]/Входящие_файлы_СЧЕТА[[#This Row],[Максимальная себестоимость]]-1,"")</f>
        <v>0.31084003806896554</v>
      </c>
      <c r="K36" s="11">
        <f>IFERROR(Входящие_файлы_СЧЕТА[[#This Row],[Цена конкурента]]/Входящие_файлы_СЧЕТА[[#This Row],[Максимальная себестоимость]]-1,"")</f>
        <v>0.21108960892514284</v>
      </c>
    </row>
    <row r="37" spans="2:11" x14ac:dyDescent="0.25">
      <c r="B37">
        <v>4600</v>
      </c>
      <c r="C37" t="s">
        <v>43</v>
      </c>
      <c r="D37">
        <v>40</v>
      </c>
      <c r="E37" s="8">
        <v>173.57</v>
      </c>
      <c r="F37" s="8">
        <v>6942.6</v>
      </c>
      <c r="G37" s="8">
        <v>0</v>
      </c>
      <c r="H37" s="8">
        <f>Входящие_файлы_СЧЕТА[[#This Row],[Цена конкурента]]*Входящие_файлы_СЧЕТА[[#This Row],[Количество]]</f>
        <v>0</v>
      </c>
      <c r="I37" s="8">
        <v>0</v>
      </c>
      <c r="J37" s="11" t="str">
        <f>IFERROR(Входящие_файлы_СЧЕТА[[#This Row],[Цена]]/Входящие_файлы_СЧЕТА[[#This Row],[Максимальная себестоимость]]-1,"")</f>
        <v/>
      </c>
      <c r="K37" s="11" t="str">
        <f>IFERROR(Входящие_файлы_СЧЕТА[[#This Row],[Цена конкурента]]/Входящие_файлы_СЧЕТА[[#This Row],[Максимальная себестоимость]]-1,"")</f>
        <v/>
      </c>
    </row>
    <row r="38" spans="2:11" x14ac:dyDescent="0.25">
      <c r="B38">
        <v>3727</v>
      </c>
      <c r="C38" t="s">
        <v>44</v>
      </c>
      <c r="D38">
        <v>123</v>
      </c>
      <c r="E38" s="8">
        <v>21.62</v>
      </c>
      <c r="F38" s="8">
        <v>2659.81</v>
      </c>
      <c r="G38" s="8">
        <v>0</v>
      </c>
      <c r="H38" s="8">
        <f>Входящие_файлы_СЧЕТА[[#This Row],[Цена конкурента]]*Входящие_файлы_СЧЕТА[[#This Row],[Количество]]</f>
        <v>0</v>
      </c>
      <c r="I38" s="8">
        <v>0</v>
      </c>
      <c r="J38" s="11" t="str">
        <f>IFERROR(Входящие_файлы_СЧЕТА[[#This Row],[Цена]]/Входящие_файлы_СЧЕТА[[#This Row],[Максимальная себестоимость]]-1,"")</f>
        <v/>
      </c>
      <c r="K38" s="11" t="str">
        <f>IFERROR(Входящие_файлы_СЧЕТА[[#This Row],[Цена конкурента]]/Входящие_файлы_СЧЕТА[[#This Row],[Максимальная себестоимость]]-1,"")</f>
        <v/>
      </c>
    </row>
    <row r="39" spans="2:11" x14ac:dyDescent="0.25">
      <c r="B39">
        <v>3727</v>
      </c>
      <c r="C39" t="s">
        <v>44</v>
      </c>
      <c r="D39">
        <v>47</v>
      </c>
      <c r="E39" s="8">
        <v>21.62</v>
      </c>
      <c r="F39" s="8">
        <v>1016.35</v>
      </c>
      <c r="G39" s="8">
        <v>0</v>
      </c>
      <c r="H39" s="8">
        <f>Входящие_файлы_СЧЕТА[[#This Row],[Цена конкурента]]*Входящие_файлы_СЧЕТА[[#This Row],[Количество]]</f>
        <v>0</v>
      </c>
      <c r="I39" s="8">
        <v>0</v>
      </c>
      <c r="J39" s="11" t="str">
        <f>IFERROR(Входящие_файлы_СЧЕТА[[#This Row],[Цена]]/Входящие_файлы_СЧЕТА[[#This Row],[Максимальная себестоимость]]-1,"")</f>
        <v/>
      </c>
      <c r="K39" s="11" t="str">
        <f>IFERROR(Входящие_файлы_СЧЕТА[[#This Row],[Цена конкурента]]/Входящие_файлы_СЧЕТА[[#This Row],[Максимальная себестоимость]]-1,"")</f>
        <v/>
      </c>
    </row>
    <row r="40" spans="2:11" x14ac:dyDescent="0.25">
      <c r="B40">
        <v>2354</v>
      </c>
      <c r="C40" t="s">
        <v>45</v>
      </c>
      <c r="D40">
        <v>5</v>
      </c>
      <c r="E40" s="8">
        <v>162.93</v>
      </c>
      <c r="F40" s="8">
        <v>814.64</v>
      </c>
      <c r="G40" s="8">
        <v>0</v>
      </c>
      <c r="H40" s="8">
        <f>Входящие_файлы_СЧЕТА[[#This Row],[Цена конкурента]]*Входящие_файлы_СЧЕТА[[#This Row],[Количество]]</f>
        <v>0</v>
      </c>
      <c r="I40" s="8">
        <v>0</v>
      </c>
      <c r="J40" s="11" t="str">
        <f>IFERROR(Входящие_файлы_СЧЕТА[[#This Row],[Цена]]/Входящие_файлы_СЧЕТА[[#This Row],[Максимальная себестоимость]]-1,"")</f>
        <v/>
      </c>
      <c r="K40" s="11" t="str">
        <f>IFERROR(Входящие_файлы_СЧЕТА[[#This Row],[Цена конкурента]]/Входящие_файлы_СЧЕТА[[#This Row],[Максимальная себестоимость]]-1,"")</f>
        <v/>
      </c>
    </row>
    <row r="41" spans="2:11" x14ac:dyDescent="0.25">
      <c r="B41">
        <v>2169</v>
      </c>
      <c r="C41" t="s">
        <v>46</v>
      </c>
      <c r="D41">
        <v>10</v>
      </c>
      <c r="E41" s="8">
        <v>50.64</v>
      </c>
      <c r="F41" s="8">
        <v>506.39</v>
      </c>
      <c r="G41" s="8">
        <v>0</v>
      </c>
      <c r="H41" s="8">
        <f>Входящие_файлы_СЧЕТА[[#This Row],[Цена конкурента]]*Входящие_файлы_СЧЕТА[[#This Row],[Количество]]</f>
        <v>0</v>
      </c>
      <c r="I41" s="8">
        <v>0</v>
      </c>
      <c r="J41" s="11" t="str">
        <f>IFERROR(Входящие_файлы_СЧЕТА[[#This Row],[Цена]]/Входящие_файлы_СЧЕТА[[#This Row],[Максимальная себестоимость]]-1,"")</f>
        <v/>
      </c>
      <c r="K41" s="11" t="str">
        <f>IFERROR(Входящие_файлы_СЧЕТА[[#This Row],[Цена конкурента]]/Входящие_файлы_СЧЕТА[[#This Row],[Максимальная себестоимость]]-1,"")</f>
        <v/>
      </c>
    </row>
    <row r="42" spans="2:11" x14ac:dyDescent="0.25">
      <c r="B42">
        <v>2170</v>
      </c>
      <c r="C42" t="s">
        <v>47</v>
      </c>
      <c r="D42">
        <v>1</v>
      </c>
      <c r="E42" s="8">
        <v>113.07</v>
      </c>
      <c r="F42" s="8">
        <v>113.07</v>
      </c>
      <c r="G42" s="8">
        <v>0</v>
      </c>
      <c r="H42" s="8">
        <f>Входящие_файлы_СЧЕТА[[#This Row],[Цена конкурента]]*Входящие_файлы_СЧЕТА[[#This Row],[Количество]]</f>
        <v>0</v>
      </c>
      <c r="I42" s="8">
        <v>0</v>
      </c>
      <c r="J42" s="11" t="str">
        <f>IFERROR(Входящие_файлы_СЧЕТА[[#This Row],[Цена]]/Входящие_файлы_СЧЕТА[[#This Row],[Максимальная себестоимость]]-1,"")</f>
        <v/>
      </c>
      <c r="K42" s="11" t="str">
        <f>IFERROR(Входящие_файлы_СЧЕТА[[#This Row],[Цена конкурента]]/Входящие_файлы_СЧЕТА[[#This Row],[Максимальная себестоимость]]-1,"")</f>
        <v/>
      </c>
    </row>
    <row r="43" spans="2:11" x14ac:dyDescent="0.25">
      <c r="B43">
        <v>2170</v>
      </c>
      <c r="C43" t="s">
        <v>47</v>
      </c>
      <c r="D43">
        <v>1</v>
      </c>
      <c r="E43" s="8">
        <v>113.07</v>
      </c>
      <c r="F43" s="8">
        <v>113.07</v>
      </c>
      <c r="G43" s="8">
        <v>0</v>
      </c>
      <c r="H43" s="8">
        <f>Входящие_файлы_СЧЕТА[[#This Row],[Цена конкурента]]*Входящие_файлы_СЧЕТА[[#This Row],[Количество]]</f>
        <v>0</v>
      </c>
      <c r="I43" s="8">
        <v>0</v>
      </c>
      <c r="J43" s="11" t="str">
        <f>IFERROR(Входящие_файлы_СЧЕТА[[#This Row],[Цена]]/Входящие_файлы_СЧЕТА[[#This Row],[Максимальная себестоимость]]-1,"")</f>
        <v/>
      </c>
      <c r="K43" s="11" t="str">
        <f>IFERROR(Входящие_файлы_СЧЕТА[[#This Row],[Цена конкурента]]/Входящие_файлы_СЧЕТА[[#This Row],[Максимальная себестоимость]]-1,"")</f>
        <v/>
      </c>
    </row>
    <row r="44" spans="2:11" x14ac:dyDescent="0.25">
      <c r="B44">
        <v>2701</v>
      </c>
      <c r="C44" t="s">
        <v>48</v>
      </c>
      <c r="D44">
        <v>4</v>
      </c>
      <c r="E44" s="8">
        <v>3646.62</v>
      </c>
      <c r="F44" s="8">
        <v>14586.46</v>
      </c>
      <c r="G44" s="8">
        <v>0</v>
      </c>
      <c r="H44" s="8">
        <f>Входящие_файлы_СЧЕТА[[#This Row],[Цена конкурента]]*Входящие_файлы_СЧЕТА[[#This Row],[Количество]]</f>
        <v>0</v>
      </c>
      <c r="I44" s="8">
        <v>0</v>
      </c>
      <c r="J44" s="11" t="str">
        <f>IFERROR(Входящие_файлы_СЧЕТА[[#This Row],[Цена]]/Входящие_файлы_СЧЕТА[[#This Row],[Максимальная себестоимость]]-1,"")</f>
        <v/>
      </c>
      <c r="K44" s="11" t="str">
        <f>IFERROR(Входящие_файлы_СЧЕТА[[#This Row],[Цена конкурента]]/Входящие_файлы_СЧЕТА[[#This Row],[Максимальная себестоимость]]-1,"")</f>
        <v/>
      </c>
    </row>
    <row r="45" spans="2:11" x14ac:dyDescent="0.25">
      <c r="B45">
        <v>2702</v>
      </c>
      <c r="C45" t="s">
        <v>49</v>
      </c>
      <c r="D45">
        <v>4</v>
      </c>
      <c r="E45" s="8">
        <v>4395.04</v>
      </c>
      <c r="F45" s="8">
        <v>17580.150000000001</v>
      </c>
      <c r="G45" s="8">
        <v>0</v>
      </c>
      <c r="H45" s="8">
        <f>Входящие_файлы_СЧЕТА[[#This Row],[Цена конкурента]]*Входящие_файлы_СЧЕТА[[#This Row],[Количество]]</f>
        <v>0</v>
      </c>
      <c r="I45" s="8">
        <v>0</v>
      </c>
      <c r="J45" s="11" t="str">
        <f>IFERROR(Входящие_файлы_СЧЕТА[[#This Row],[Цена]]/Входящие_файлы_СЧЕТА[[#This Row],[Максимальная себестоимость]]-1,"")</f>
        <v/>
      </c>
      <c r="K45" s="11" t="str">
        <f>IFERROR(Входящие_файлы_СЧЕТА[[#This Row],[Цена конкурента]]/Входящие_файлы_СЧЕТА[[#This Row],[Максимальная себестоимость]]-1,"")</f>
        <v/>
      </c>
    </row>
    <row r="46" spans="2:11" x14ac:dyDescent="0.25">
      <c r="B46">
        <v>2800</v>
      </c>
      <c r="C46" t="s">
        <v>50</v>
      </c>
      <c r="D46">
        <v>4</v>
      </c>
      <c r="E46" s="8">
        <v>2721.2</v>
      </c>
      <c r="F46" s="8">
        <v>10884.79</v>
      </c>
      <c r="G46" s="8">
        <v>0</v>
      </c>
      <c r="H46" s="8">
        <f>Входящие_файлы_СЧЕТА[[#This Row],[Цена конкурента]]*Входящие_файлы_СЧЕТА[[#This Row],[Количество]]</f>
        <v>0</v>
      </c>
      <c r="I46" s="8">
        <v>0</v>
      </c>
      <c r="J46" s="11" t="str">
        <f>IFERROR(Входящие_файлы_СЧЕТА[[#This Row],[Цена]]/Входящие_файлы_СЧЕТА[[#This Row],[Максимальная себестоимость]]-1,"")</f>
        <v/>
      </c>
      <c r="K46" s="11" t="str">
        <f>IFERROR(Входящие_файлы_СЧЕТА[[#This Row],[Цена конкурента]]/Входящие_файлы_СЧЕТА[[#This Row],[Максимальная себестоимость]]-1,"")</f>
        <v/>
      </c>
    </row>
    <row r="47" spans="2:11" x14ac:dyDescent="0.25">
      <c r="B47">
        <v>2745</v>
      </c>
      <c r="C47" t="s">
        <v>51</v>
      </c>
      <c r="D47">
        <v>6</v>
      </c>
      <c r="E47" s="8">
        <v>1026.8</v>
      </c>
      <c r="F47" s="8">
        <v>6160.79</v>
      </c>
      <c r="G47" s="8">
        <v>1019.19</v>
      </c>
      <c r="H47" s="8">
        <f>Входящие_файлы_СЧЕТА[[#This Row],[Цена конкурента]]*Входящие_файлы_СЧЕТА[[#This Row],[Количество]]</f>
        <v>6115.14</v>
      </c>
      <c r="I47" s="8">
        <v>810.95352072192009</v>
      </c>
      <c r="J47" s="11">
        <f>IFERROR(Входящие_файлы_СЧЕТА[[#This Row],[Цена]]/Входящие_файлы_СЧЕТА[[#This Row],[Максимальная себестоимость]]-1,"")</f>
        <v>0.26616381057934224</v>
      </c>
      <c r="K47" s="11">
        <f>IFERROR(Входящие_файлы_СЧЕТА[[#This Row],[Цена конкурента]]/Входящие_файлы_СЧЕТА[[#This Row],[Максимальная себестоимость]]-1,"")</f>
        <v>0.25677979558274244</v>
      </c>
    </row>
    <row r="48" spans="2:11" x14ac:dyDescent="0.25">
      <c r="B48">
        <v>2745</v>
      </c>
      <c r="C48" t="s">
        <v>51</v>
      </c>
      <c r="D48">
        <v>6</v>
      </c>
      <c r="E48" s="8">
        <v>1026.8</v>
      </c>
      <c r="F48" s="8">
        <v>6160.79</v>
      </c>
      <c r="G48" s="8">
        <v>1019.19</v>
      </c>
      <c r="H48" s="8">
        <f>Входящие_файлы_СЧЕТА[[#This Row],[Цена конкурента]]*Входящие_файлы_СЧЕТА[[#This Row],[Количество]]</f>
        <v>6115.14</v>
      </c>
      <c r="I48" s="8">
        <v>810.95352072192009</v>
      </c>
      <c r="J48" s="11">
        <f>IFERROR(Входящие_файлы_СЧЕТА[[#This Row],[Цена]]/Входящие_файлы_СЧЕТА[[#This Row],[Максимальная себестоимость]]-1,"")</f>
        <v>0.26616381057934224</v>
      </c>
      <c r="K48" s="11">
        <f>IFERROR(Входящие_файлы_СЧЕТА[[#This Row],[Цена конкурента]]/Входящие_файлы_СЧЕТА[[#This Row],[Максимальная себестоимость]]-1,"")</f>
        <v>0.25677979558274244</v>
      </c>
    </row>
    <row r="49" spans="2:11" x14ac:dyDescent="0.25">
      <c r="B49">
        <v>4966</v>
      </c>
      <c r="C49" t="s">
        <v>52</v>
      </c>
      <c r="D49">
        <v>2</v>
      </c>
      <c r="E49" s="8">
        <v>684.44</v>
      </c>
      <c r="F49" s="8">
        <v>1368.87</v>
      </c>
      <c r="G49" s="8">
        <v>0</v>
      </c>
      <c r="H49" s="8">
        <f>Входящие_файлы_СЧЕТА[[#This Row],[Цена конкурента]]*Входящие_файлы_СЧЕТА[[#This Row],[Количество]]</f>
        <v>0</v>
      </c>
      <c r="I49" s="8">
        <v>0</v>
      </c>
      <c r="J49" s="11" t="str">
        <f>IFERROR(Входящие_файлы_СЧЕТА[[#This Row],[Цена]]/Входящие_файлы_СЧЕТА[[#This Row],[Максимальная себестоимость]]-1,"")</f>
        <v/>
      </c>
      <c r="K49" s="11" t="str">
        <f>IFERROR(Входящие_файлы_СЧЕТА[[#This Row],[Цена конкурента]]/Входящие_файлы_СЧЕТА[[#This Row],[Максимальная себестоимость]]-1,"")</f>
        <v/>
      </c>
    </row>
    <row r="50" spans="2:11" x14ac:dyDescent="0.25">
      <c r="B50">
        <v>4967</v>
      </c>
      <c r="C50" t="s">
        <v>53</v>
      </c>
      <c r="D50">
        <v>2</v>
      </c>
      <c r="E50" s="8">
        <v>745.07</v>
      </c>
      <c r="F50" s="8">
        <v>1490.14</v>
      </c>
      <c r="G50" s="8">
        <v>0</v>
      </c>
      <c r="H50" s="8">
        <f>Входящие_файлы_СЧЕТА[[#This Row],[Цена конкурента]]*Входящие_файлы_СЧЕТА[[#This Row],[Количество]]</f>
        <v>0</v>
      </c>
      <c r="I50" s="8">
        <v>0</v>
      </c>
      <c r="J50" s="11" t="str">
        <f>IFERROR(Входящие_файлы_СЧЕТА[[#This Row],[Цена]]/Входящие_файлы_СЧЕТА[[#This Row],[Максимальная себестоимость]]-1,"")</f>
        <v/>
      </c>
      <c r="K50" s="11" t="str">
        <f>IFERROR(Входящие_файлы_СЧЕТА[[#This Row],[Цена конкурента]]/Входящие_файлы_СЧЕТА[[#This Row],[Максимальная себестоимость]]-1,"")</f>
        <v/>
      </c>
    </row>
    <row r="51" spans="2:11" x14ac:dyDescent="0.25">
      <c r="B51">
        <v>4968</v>
      </c>
      <c r="C51" t="s">
        <v>54</v>
      </c>
      <c r="D51">
        <v>2</v>
      </c>
      <c r="E51" s="8">
        <v>835.88</v>
      </c>
      <c r="F51" s="8">
        <v>1671.75</v>
      </c>
      <c r="G51" s="8">
        <v>0</v>
      </c>
      <c r="H51" s="8">
        <f>Входящие_файлы_СЧЕТА[[#This Row],[Цена конкурента]]*Входящие_файлы_СЧЕТА[[#This Row],[Количество]]</f>
        <v>0</v>
      </c>
      <c r="I51" s="8">
        <v>0</v>
      </c>
      <c r="J51" s="11" t="str">
        <f>IFERROR(Входящие_файлы_СЧЕТА[[#This Row],[Цена]]/Входящие_файлы_СЧЕТА[[#This Row],[Максимальная себестоимость]]-1,"")</f>
        <v/>
      </c>
      <c r="K51" s="11" t="str">
        <f>IFERROR(Входящие_файлы_СЧЕТА[[#This Row],[Цена конкурента]]/Входящие_файлы_СЧЕТА[[#This Row],[Максимальная себестоимость]]-1,"")</f>
        <v/>
      </c>
    </row>
  </sheetData>
  <mergeCells count="2">
    <mergeCell ref="E2:F2"/>
    <mergeCell ref="E3:F3"/>
  </mergeCells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051A299-B8F8-4C7A-916B-70541FE0D07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Форма_счет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Жигульских Евгений Олегович</dc:creator>
  <cp:lastModifiedBy>Жигульских Евгений Олегович</cp:lastModifiedBy>
  <dcterms:created xsi:type="dcterms:W3CDTF">2023-10-23T11:56:34Z</dcterms:created>
  <dcterms:modified xsi:type="dcterms:W3CDTF">2023-10-23T11:57:47Z</dcterms:modified>
</cp:coreProperties>
</file>