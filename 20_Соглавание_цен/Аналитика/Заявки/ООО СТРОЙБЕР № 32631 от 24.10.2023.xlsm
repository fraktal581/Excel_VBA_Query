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zhigulskiy\Desktop\СЕБЕСТОИМОСТЬ\Аналитика\Заявки\"/>
    </mc:Choice>
  </mc:AlternateContent>
  <xr:revisionPtr revIDLastSave="0" documentId="13_ncr:1_{699B1150-8695-4C27-9B65-516F933583A1}" xr6:coauthVersionLast="47" xr6:coauthVersionMax="47" xr10:uidLastSave="{00000000-0000-0000-0000-000000000000}"/>
  <bookViews>
    <workbookView xWindow="-120" yWindow="-120" windowWidth="28110" windowHeight="16440" xr2:uid="{1307B4D7-60D0-4F61-BF1E-82B250641ABE}"/>
  </bookViews>
  <sheets>
    <sheet name="Форма_счет" sheetId="1" r:id="rId1"/>
  </sheets>
  <definedNames>
    <definedName name="ExternalData_1" localSheetId="0" hidden="1">Форма_счет!$B$5:$F$44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7" i="1" l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6" i="1"/>
  <c r="H44" i="1" l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E4D6B2B-9766-47D9-95BC-9208BFA8141D}" keepAlive="1" name="Запрос — col_list" description="Соединение с запросом &quot;col_list&quot; в книге." type="5" refreshedVersion="0" background="1">
    <dbPr connection="Provider=Microsoft.Mashup.OleDb.1;Data Source=$Workbook$;Location=col_list;Extended Properties=&quot;&quot;" command="SELECT * FROM [col_list]"/>
  </connection>
  <connection id="2" xr16:uid="{B76F1948-3D20-4CD2-A6E7-1CB36AA35D07}" keepAlive="1" name="Запрос — Входящие_файлы(СЧЕТА)" description="Соединение с запросом &quot;Входящие_файлы(СЧЕТА)&quot; в книге." type="5" refreshedVersion="7" background="1" saveData="1">
    <dbPr connection="Provider=Microsoft.Mashup.OleDb.1;Data Source=$Workbook$;Location=Входящие_файлы(СЧЕТА);Extended Properties=&quot;&quot;" command="SELECT * FROM [Входящие_файлы(СЧЕТА)]"/>
  </connection>
  <connection id="3" xr16:uid="{8C66017E-9128-46EF-B1E7-0A1DC886BE01}" keepAlive="1" name="Запрос — Преобразовать файл" description="Соединение с запросом &quot;Преобразовать файл&quot; в книге." type="5" refreshedVersion="0" background="1">
    <dbPr connection="Provider=Microsoft.Mashup.OleDb.1;Data Source=$Workbook$;Location=&quot;Преобразовать файл&quot;;Extended Properties=&quot;&quot;" command="SELECT * FROM [Преобразовать файл]"/>
  </connection>
  <connection id="4" xr16:uid="{5CB43B76-EC6E-45F1-9A0F-45D2D196DA64}" keepAlive="1" name="Запрос — Пример файла" description="Соединение с запросом &quot;Пример файла&quot; в книге." type="5" refreshedVersion="0" background="1">
    <dbPr connection="Provider=Microsoft.Mashup.OleDb.1;Data Source=$Workbook$;Location=&quot;Пример файла&quot;;Extended Properties=&quot;&quot;" command="SELECT * FROM [Пример файла]"/>
  </connection>
</connections>
</file>

<file path=xl/sharedStrings.xml><?xml version="1.0" encoding="utf-8"?>
<sst xmlns="http://schemas.openxmlformats.org/spreadsheetml/2006/main" count="58" uniqueCount="58">
  <si>
    <t>Наименование конкурента</t>
  </si>
  <si>
    <t>Сантим</t>
  </si>
  <si>
    <t>Дата документа</t>
  </si>
  <si>
    <t>Наименование клиента</t>
  </si>
  <si>
    <t>ООО СТРОЙБЕР</t>
  </si>
  <si>
    <t>Номер документа</t>
  </si>
  <si>
    <t>Артикул</t>
  </si>
  <si>
    <t>Товары (работы, услуги)</t>
  </si>
  <si>
    <t>Количество</t>
  </si>
  <si>
    <t>Цена</t>
  </si>
  <si>
    <t>Сумма</t>
  </si>
  <si>
    <t>Цена конкурента</t>
  </si>
  <si>
    <t>Сумма по конкуренту</t>
  </si>
  <si>
    <t>Коллекторная группа из нержавеющей стали с регулирующими клапанами и расходомерами, автоматич. воздухоотводчиками и дренаж. клапанами 1", 4х3/4" (евроконус) (AQUALINK 1/1)</t>
  </si>
  <si>
    <t>Фитинг коллекторный обжимной (евроконус) для полимерных труб 3/4"х16 (AQUALINK 250/25)</t>
  </si>
  <si>
    <t>Заглушка 1/2''F (AQUALINK 500/10)</t>
  </si>
  <si>
    <t>Заглушка  3/4''F (AQUALINK 300/10)</t>
  </si>
  <si>
    <t>Заглушка  3/4''M (AQUALINK 300/10)</t>
  </si>
  <si>
    <t>Заглушка  1 1/4''M (AQUALINK 120/5)</t>
  </si>
  <si>
    <t>Переходник цанга/гайка S16х1/2 F (AQUALINK  180/10)</t>
  </si>
  <si>
    <t>Водорозетка (уголок с креплением) цанга/гайка L16х1/2 F-W (AQUALINK  100/10)</t>
  </si>
  <si>
    <t>Муфта 3/4''F x 3/4"F (AQUALINK 150/10)</t>
  </si>
  <si>
    <t>Насадка к аппарату для сварки ППР труб 40 диаметра (250/10)</t>
  </si>
  <si>
    <t>Насос циркуляционный  32-8  180  с гайками (AQUALINK  4/1)</t>
  </si>
  <si>
    <t>Ниппель  1/2"M х 1/2"M (AQUALINK 400/10)</t>
  </si>
  <si>
    <t>Ниппель  3/4''M x 3/4''M (AQUALINK 250/10)</t>
  </si>
  <si>
    <t>Ниппель 1''M x 1''M (AQUALINK 130/10)</t>
  </si>
  <si>
    <t>Ниппель 1 1/4''M x 1 1/4''M (AQUALINK 80/5)</t>
  </si>
  <si>
    <t>Ниппель переходной  3/4''M x 1''M (AQUALINK 150/10)</t>
  </si>
  <si>
    <t>Ниппель переходной  1''M x 1 1/2''M (AQUALINK 50/5)</t>
  </si>
  <si>
    <t>Термостатическая головка (жидкостная) M30x1,5 (AQUALINK 50/1)</t>
  </si>
  <si>
    <t>Тройник  1/2''F x 1/2"F x 1/2"F (AQUALINK 140/10)</t>
  </si>
  <si>
    <t>Тройник  1/2''F x 1/2"M x 1/2"M (AQUALINK 120/10)</t>
  </si>
  <si>
    <t>Тройник  1/2''M x 1/2"M x 1/2"M (AQUALINK 150/10)</t>
  </si>
  <si>
    <t>Уголок  1/2"M x 1/2"M (AQUALINK 200/10)</t>
  </si>
  <si>
    <t>Уголок  3/4''F x 3/4"M (AQUALINK 80/10)</t>
  </si>
  <si>
    <t>Удлинитель FM  3/4" - 10 (AQUALINK 250/10)</t>
  </si>
  <si>
    <t>Удлинитель FM  3/4" - 25 (AQUALINK 160/10)</t>
  </si>
  <si>
    <t>Косой фильтр FF 1/2 V гайка-гайка (AQUALINK 120/10)</t>
  </si>
  <si>
    <t>Косой фильтр FF 3/4 V гайка-гайка (AQUALINK 100/10)</t>
  </si>
  <si>
    <t>Футорка  1/2''F x 3/4"M (AQUALINK 300/10)</t>
  </si>
  <si>
    <t>Футорка  1/2''F x 1"M (AQUALINK 200/10)</t>
  </si>
  <si>
    <t>Футорка  1''F x 1 1/4"M (AQUALINK 120/5)</t>
  </si>
  <si>
    <t>Футорка  1 1/4''F x 1 1/2"M (AQUALINK 70/5)</t>
  </si>
  <si>
    <t>Подводка ПВХ для газа 1/2" вн-нар 100 см (AQUALINK 80/1)</t>
  </si>
  <si>
    <t>Шланг для душа конус имп (1/2") + имп (1/2") длина 1,5 м (50/1)</t>
  </si>
  <si>
    <t>Шланг для душа конус имп (1/2") + рус (М22) длина 1,5 м (50/1)</t>
  </si>
  <si>
    <t>Штуцер под шланг 1/2''F x 10 мм (AQUALINK 300/10)</t>
  </si>
  <si>
    <t>Штуцер под шланг 1/2''F x 12 мм (AQUALINK 300/10)</t>
  </si>
  <si>
    <t>Эксцентрик  1/2''M x 3/4"M (AQUALINK 200/10)</t>
  </si>
  <si>
    <t>Подводка ПВХ для газа 1/2" вн-вн 100 см (AQUALINK 80/1)</t>
  </si>
  <si>
    <t>Подводка ПВХ для газа 1/2" вн-вн 200 см (AQUALINK 40/1)</t>
  </si>
  <si>
    <t>C:\Users\zhigulskiy\Desktop\СЕБЕСТОИМОСТЬ\Аналитика\Для подгрузки.xlsm</t>
  </si>
  <si>
    <t>Максимальная себестоимость</t>
  </si>
  <si>
    <t>Наценка на цену СантехСтандарт</t>
  </si>
  <si>
    <t>Наценка на цену Конкурента</t>
  </si>
  <si>
    <t>Наценка на счет СантехСтандарт</t>
  </si>
  <si>
    <t>Наценка на счет от конкурента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</si>
</sst>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(* #,##0.00_);_(* \(#,##0.00\);_(* &quot;-&quot;??_);_(@_)"/>
    <numFmt numFmtId="164" formatCode="#,##0.00\ _₽"/>
    <numFmt numFmtId="165" formatCode="0.0%"/>
    <numFmt numFmtId="166" formatCode="_-* #,##0.0_-;\-* #,##0.0_-;_-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">
    <xf numFmtId="0" fontId="0" fillId="0" borderId="0" xfId="0"/>
    <xf numFmtId="164" fontId="0" fillId="0" borderId="0" xfId="0" applyNumberFormat="1" applyAlignment="1">
      <alignment horizontal="right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14" fontId="0" fillId="0" borderId="4" xfId="0" applyNumberFormat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165" fontId="0" fillId="0" borderId="0" xfId="2" applyNumberFormat="1" applyFont="1" applyAlignment="1">
      <alignment horizontal="center" vertical="center" wrapText="1"/>
    </xf>
    <xf numFmtId="166" fontId="0" fillId="0" borderId="0" xfId="1" applyNumberFormat="1" applyFont="1" applyAlignment="1">
      <alignment horizontal="right" vertical="center"/>
    </xf>
    <xf numFmtId="9" fontId="0" fillId="0" borderId="6" xfId="2" applyFont="1" applyBorder="1" applyAlignment="1">
      <alignment horizontal="center" vertical="center" wrapText="1"/>
    </xf>
    <xf numFmtId="9" fontId="0" fillId="2" borderId="6" xfId="2" applyFont="1" applyFill="1" applyBorder="1" applyAlignment="1">
      <alignment horizontal="center" vertical="center" wrapText="1"/>
    </xf>
    <xf numFmtId="9" fontId="0" fillId="0" borderId="0" xfId="2" applyFont="1" applyAlignment="1">
      <alignment horizontal="right" vertical="center"/>
    </xf>
  </cellXfs>
  <cellStyles count="3">
    <cellStyle name="Обычный" xfId="0" builtinId="0"/>
    <cellStyle name="Процентный" xfId="2" builtinId="5"/>
    <cellStyle name="Финансовый" xfId="1" builtinId="3"/>
  </cellStyles>
  <dxfs count="12"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numFmt numFmtId="166" formatCode="_-* #,##0.0_-;\-* #,##0.0_-;_-* &quot;-&quot;??_-;_-@_-"/>
      <alignment horizontal="right" vertical="center" textRotation="0" wrapText="0" indent="0" justifyLastLine="0" shrinkToFit="0" readingOrder="0"/>
    </dxf>
    <dxf>
      <numFmt numFmtId="166" formatCode="_-* #,##0.0_-;\-* #,##0.0_-;_-* &quot;-&quot;??_-;_-@_-"/>
      <alignment horizontal="right" vertical="center" textRotation="0" wrapText="0" indent="0" justifyLastLine="0" shrinkToFit="0" readingOrder="0"/>
    </dxf>
    <dxf>
      <numFmt numFmtId="166" formatCode="_-* #,##0.0_-;\-* #,##0.0_-;_-* &quot;-&quot;??_-;_-@_-"/>
      <alignment horizontal="right" vertical="center" textRotation="0" wrapText="0" indent="0" justifyLastLine="0" shrinkToFit="0" readingOrder="0"/>
    </dxf>
    <dxf>
      <numFmt numFmtId="166" formatCode="_-* #,##0.0_-;\-* #,##0.0_-;_-* &quot;-&quot;??_-;_-@_-"/>
      <alignment horizontal="right" vertical="center" textRotation="0" wrapText="0" indent="0" justifyLastLine="0" shrinkToFit="0" readingOrder="0"/>
    </dxf>
    <dxf>
      <numFmt numFmtId="166" formatCode="_-* #,##0.0_-;\-* #,##0.0_-;_-* &quot;-&quot;??_-;_-@_-"/>
      <alignment horizontal="right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Стиль таблицы 1" pivot="0" count="2" xr9:uid="{F632C741-722F-4E70-ABDF-AA48D0A8D59F}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preserveFormatting="0" connectionId="2" xr16:uid="{AF592F4C-6317-49DD-BAE2-6D770519158D}" autoFormatId="16" applyNumberFormats="0" applyBorderFormats="0" applyFontFormats="0" applyPatternFormats="0" applyAlignmentFormats="0" applyWidthHeightFormats="0">
  <queryTableRefresh nextId="28" unboundColumnsRight="5">
    <queryTableFields count="10">
      <queryTableField id="13" name="Артикул" tableColumnId="13"/>
      <queryTableField id="14" name="Товары (работы, услуги)" tableColumnId="14"/>
      <queryTableField id="15" name="Количество" tableColumnId="15"/>
      <queryTableField id="16" name="Цена" tableColumnId="16"/>
      <queryTableField id="17" name="Сумма" tableColumnId="17"/>
      <queryTableField id="22" dataBound="0" tableColumnId="1"/>
      <queryTableField id="23" dataBound="0" tableColumnId="2"/>
      <queryTableField id="25" dataBound="0" tableColumnId="3"/>
      <queryTableField id="26" dataBound="0" tableColumnId="4"/>
      <queryTableField id="27" dataBound="0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9D65E0-B5F5-4BB7-BFB0-6E737A69615F}" name="Входящие_файлы_СЧЕТА" displayName="Входящие_файлы_СЧЕТА" ref="B5:K44" tableType="queryTable" totalsRowShown="0" headerRowDxfId="9">
  <autoFilter ref="B5:K44" xr:uid="{B832FD5B-F0C5-4BC4-BF31-2FDA64A05B9F}"/>
  <tableColumns count="10">
    <tableColumn id="13" xr3:uid="{B3CA3FD0-CA9A-4850-8842-DAD52822B067}" uniqueName="13" name="Артикул" queryTableFieldId="13" dataDxfId="8"/>
    <tableColumn id="14" xr3:uid="{5F363FDA-F606-4FFA-BD07-DB7352B90BED}" uniqueName="14" name="Товары (работы, услуги)" queryTableFieldId="14"/>
    <tableColumn id="15" xr3:uid="{DE461D53-26E4-4352-84D4-8D63D78E3ECB}" uniqueName="15" name="Количество" queryTableFieldId="15" dataDxfId="7"/>
    <tableColumn id="16" xr3:uid="{49746522-9A8F-465C-B97A-1C76E8FAFE2A}" uniqueName="16" name="Цена" queryTableFieldId="16" dataDxfId="6" dataCellStyle="Финансовый"/>
    <tableColumn id="17" xr3:uid="{BE14A578-4738-4684-BFF0-65CF8DF249B1}" uniqueName="17" name="Сумма" queryTableFieldId="17" dataDxfId="5" dataCellStyle="Финансовый"/>
    <tableColumn id="1" xr3:uid="{4627B0B6-7A87-4720-B0CC-4AA503F99B4E}" uniqueName="1" name="Цена конкурента" queryTableFieldId="22" dataDxfId="4" dataCellStyle="Финансовый"/>
    <tableColumn id="2" xr3:uid="{843E7F17-A311-4E30-8BA2-68DB61333B51}" uniqueName="2" name="Сумма по конкуренту" queryTableFieldId="23" dataDxfId="3" dataCellStyle="Финансовый">
      <calculatedColumnFormula>Входящие_файлы_СЧЕТА[[#This Row],[Цена конкурента]]*Входящие_файлы_СЧЕТА[[#This Row],[Количество]]</calculatedColumnFormula>
    </tableColumn>
    <tableColumn id="3" xr3:uid="{1D9D5BC7-1E2B-4612-9BE6-6AB473413A20}" uniqueName="3" name="Максимальная себестоимость" queryTableFieldId="25" dataDxfId="2" dataCellStyle="Финансовый"/>
    <tableColumn id="4" xr3:uid="{FCE7D5C2-9F73-4303-B2D7-28513BE79BC0}" uniqueName="4" name="Наценка на цену СантехСтандарт" queryTableFieldId="26" dataDxfId="1" dataCellStyle="Процентный">
      <calculatedColumnFormula>IFERROR(Входящие_файлы_СЧЕТА[[#This Row],[Цена]]/Входящие_файлы_СЧЕТА[[#This Row],[Максимальная себестоимость]]-1,"")</calculatedColumnFormula>
    </tableColumn>
    <tableColumn id="5" xr3:uid="{6832AB97-CF85-4ABA-8101-A1126D167279}" uniqueName="5" name="Наценка на цену Конкурента" queryTableFieldId="27" dataDxfId="0" dataCellStyle="Процентный">
      <calculatedColumnFormula>IFERROR(Входящие_файлы_СЧЕТА[[#This Row],[Цена конкурента]]/Входящие_файлы_СЧЕТА[[#This Row],[Максимальная себестоимость]]-1,"")</calculatedColumnFormula>
    </tableColumn>
  </tableColumns>
  <tableStyleInfo name="Стиль таблицы 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224DE-96BB-48CB-BEF6-C2489A6358DE}">
  <sheetPr codeName="Лист2"/>
  <dimension ref="B1:O44"/>
  <sheetViews>
    <sheetView tabSelected="1" workbookViewId="0">
      <selection activeCell="J6" sqref="J6:K44"/>
    </sheetView>
  </sheetViews>
  <sheetFormatPr defaultColWidth="9.85546875" defaultRowHeight="15" x14ac:dyDescent="0.25"/>
  <cols>
    <col min="1" max="1" width="2.28515625" customWidth="1"/>
    <col min="2" max="2" width="13.140625" bestFit="1" customWidth="1"/>
    <col min="3" max="3" width="81.140625" bestFit="1" customWidth="1"/>
    <col min="4" max="4" width="16.140625" bestFit="1" customWidth="1"/>
    <col min="5" max="5" width="10.28515625" style="1" bestFit="1" customWidth="1"/>
    <col min="6" max="6" width="11.5703125" style="1" bestFit="1" customWidth="1"/>
    <col min="7" max="8" width="16.140625" bestFit="1" customWidth="1"/>
    <col min="9" max="14" width="16.7109375" customWidth="1"/>
    <col min="15" max="15" width="16.7109375" hidden="1" customWidth="1"/>
    <col min="16" max="17" width="16.7109375" customWidth="1"/>
  </cols>
  <sheetData>
    <row r="1" spans="2:15" ht="12.75" customHeight="1" thickBot="1" x14ac:dyDescent="0.3">
      <c r="O1" t="s">
        <v>52</v>
      </c>
    </row>
    <row r="2" spans="2:15" ht="42.75" customHeight="1" thickBot="1" x14ac:dyDescent="0.3">
      <c r="B2" s="2" t="s">
        <v>0</v>
      </c>
      <c r="C2" s="3" t="s">
        <v>1</v>
      </c>
      <c r="D2" s="4" t="s">
        <v>2</v>
      </c>
      <c r="E2" s="5">
        <v>45223</v>
      </c>
      <c r="F2" s="6"/>
      <c r="J2" s="15" t="s">
        <v>56</v>
      </c>
      <c r="K2" s="15" t="s">
        <v>57</v>
      </c>
    </row>
    <row r="3" spans="2:15" ht="33" customHeight="1" thickBot="1" x14ac:dyDescent="0.3">
      <c r="B3" s="2" t="s">
        <v>3</v>
      </c>
      <c r="C3" s="7" t="s">
        <v>4</v>
      </c>
      <c r="D3" s="2" t="s">
        <v>5</v>
      </c>
      <c r="E3" s="8">
        <v>32631</v>
      </c>
      <c r="F3" s="9"/>
      <c r="J3" s="14">
        <v>0.33571028071239639</v>
      </c>
      <c r="K3" s="14">
        <v>0.30519077002829131</v>
      </c>
    </row>
    <row r="5" spans="2:15" s="10" customFormat="1" ht="30" x14ac:dyDescent="0.25">
      <c r="B5" s="10" t="s">
        <v>6</v>
      </c>
      <c r="C5" s="10" t="s">
        <v>7</v>
      </c>
      <c r="D5" s="10" t="s">
        <v>8</v>
      </c>
      <c r="E5" s="11" t="s">
        <v>9</v>
      </c>
      <c r="F5" s="11" t="s">
        <v>10</v>
      </c>
      <c r="G5" s="10" t="s">
        <v>11</v>
      </c>
      <c r="H5" s="10" t="s">
        <v>12</v>
      </c>
      <c r="I5" s="10" t="s">
        <v>53</v>
      </c>
      <c r="J5" s="12" t="s">
        <v>54</v>
      </c>
      <c r="K5" s="10" t="s">
        <v>55</v>
      </c>
    </row>
    <row r="6" spans="2:15" x14ac:dyDescent="0.25">
      <c r="B6">
        <v>2702</v>
      </c>
      <c r="C6" t="s">
        <v>13</v>
      </c>
      <c r="D6">
        <v>1</v>
      </c>
      <c r="E6" s="13">
        <v>4498.1099999999997</v>
      </c>
      <c r="F6" s="13">
        <v>4498.1099999999997</v>
      </c>
      <c r="G6" s="13">
        <v>0</v>
      </c>
      <c r="H6" s="13">
        <f>Входящие_файлы_СЧЕТА[[#This Row],[Цена конкурента]]*Входящие_файлы_СЧЕТА[[#This Row],[Количество]]</f>
        <v>0</v>
      </c>
      <c r="I6" s="13">
        <v>0</v>
      </c>
      <c r="J6" s="16" t="str">
        <f>IFERROR(Входящие_файлы_СЧЕТА[[#This Row],[Цена]]/Входящие_файлы_СЧЕТА[[#This Row],[Максимальная себестоимость]]-1,"")</f>
        <v/>
      </c>
      <c r="K6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7" spans="2:15" x14ac:dyDescent="0.25">
      <c r="B7">
        <v>2720</v>
      </c>
      <c r="C7" t="s">
        <v>14</v>
      </c>
      <c r="D7">
        <v>25</v>
      </c>
      <c r="E7" s="13">
        <v>102.16</v>
      </c>
      <c r="F7" s="13">
        <v>2553.96</v>
      </c>
      <c r="G7" s="13">
        <v>0</v>
      </c>
      <c r="H7" s="13">
        <f>Входящие_файлы_СЧЕТА[[#This Row],[Цена конкурента]]*Входящие_файлы_СЧЕТА[[#This Row],[Количество]]</f>
        <v>0</v>
      </c>
      <c r="I7" s="13">
        <v>0</v>
      </c>
      <c r="J7" s="16" t="str">
        <f>IFERROR(Входящие_файлы_СЧЕТА[[#This Row],[Цена]]/Входящие_файлы_СЧЕТА[[#This Row],[Максимальная себестоимость]]-1,"")</f>
        <v/>
      </c>
      <c r="K7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8" spans="2:15" x14ac:dyDescent="0.25">
      <c r="B8">
        <v>2582</v>
      </c>
      <c r="C8" t="s">
        <v>15</v>
      </c>
      <c r="D8">
        <v>150</v>
      </c>
      <c r="E8" s="13">
        <v>25.62</v>
      </c>
      <c r="F8" s="13">
        <v>3842.67</v>
      </c>
      <c r="G8" s="13">
        <v>0</v>
      </c>
      <c r="H8" s="13">
        <f>Входящие_файлы_СЧЕТА[[#This Row],[Цена конкурента]]*Входящие_файлы_СЧЕТА[[#This Row],[Количество]]</f>
        <v>0</v>
      </c>
      <c r="I8" s="13">
        <v>0</v>
      </c>
      <c r="J8" s="16" t="str">
        <f>IFERROR(Входящие_файлы_СЧЕТА[[#This Row],[Цена]]/Входящие_файлы_СЧЕТА[[#This Row],[Максимальная себестоимость]]-1,"")</f>
        <v/>
      </c>
      <c r="K8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9" spans="2:15" x14ac:dyDescent="0.25">
      <c r="B9">
        <v>2583</v>
      </c>
      <c r="C9" t="s">
        <v>16</v>
      </c>
      <c r="D9">
        <v>100</v>
      </c>
      <c r="E9" s="13">
        <v>41.17</v>
      </c>
      <c r="F9" s="13">
        <v>4117.0200000000004</v>
      </c>
      <c r="G9" s="13">
        <v>40.340000000000003</v>
      </c>
      <c r="H9" s="13">
        <f>Входящие_файлы_СЧЕТА[[#This Row],[Цена конкурента]]*Входящие_файлы_СЧЕТА[[#This Row],[Количество]]</f>
        <v>4034.0000000000005</v>
      </c>
      <c r="I9" s="13">
        <v>35.179634728601997</v>
      </c>
      <c r="J9" s="16">
        <f>IFERROR(Входящие_файлы_СЧЕТА[[#This Row],[Цена]]/Входящие_файлы_СЧЕТА[[#This Row],[Максимальная себестоимость]]-1,"")</f>
        <v>0.17027934819708856</v>
      </c>
      <c r="K9" s="16">
        <f>IFERROR(Входящие_файлы_СЧЕТА[[#This Row],[Цена конкурента]]/Входящие_файлы_СЧЕТА[[#This Row],[Максимальная себестоимость]]-1,"")</f>
        <v>0.14668615269056473</v>
      </c>
    </row>
    <row r="10" spans="2:15" x14ac:dyDescent="0.25">
      <c r="B10">
        <v>2585</v>
      </c>
      <c r="C10" t="s">
        <v>17</v>
      </c>
      <c r="D10">
        <v>30</v>
      </c>
      <c r="E10" s="13">
        <v>40.56</v>
      </c>
      <c r="F10" s="13">
        <v>1216.7</v>
      </c>
      <c r="G10" s="13">
        <v>39.340000000000003</v>
      </c>
      <c r="H10" s="13">
        <f>Входящие_файлы_СЧЕТА[[#This Row],[Цена конкурента]]*Входящие_файлы_СЧЕТА[[#This Row],[Количество]]</f>
        <v>1180.2</v>
      </c>
      <c r="I10" s="13">
        <v>31.391058680906404</v>
      </c>
      <c r="J10" s="16">
        <f>IFERROR(Входящие_файлы_СЧЕТА[[#This Row],[Цена]]/Входящие_файлы_СЧЕТА[[#This Row],[Максимальная себестоимость]]-1,"")</f>
        <v>0.29208767414622439</v>
      </c>
      <c r="K10" s="16">
        <f>IFERROR(Входящие_файлы_СЧЕТА[[#This Row],[Цена конкурента]]/Входящие_файлы_СЧЕТА[[#This Row],[Максимальная себестоимость]]-1,"")</f>
        <v>0.25322310406588922</v>
      </c>
    </row>
    <row r="11" spans="2:15" x14ac:dyDescent="0.25">
      <c r="B11">
        <v>4526</v>
      </c>
      <c r="C11" t="s">
        <v>18</v>
      </c>
      <c r="D11">
        <v>10</v>
      </c>
      <c r="E11" s="13">
        <v>114.05</v>
      </c>
      <c r="F11" s="13">
        <v>1140.53</v>
      </c>
      <c r="G11" s="13">
        <v>0</v>
      </c>
      <c r="H11" s="13">
        <f>Входящие_файлы_СЧЕТА[[#This Row],[Цена конкурента]]*Входящие_файлы_СЧЕТА[[#This Row],[Количество]]</f>
        <v>0</v>
      </c>
      <c r="I11" s="13">
        <v>0</v>
      </c>
      <c r="J11" s="16" t="str">
        <f>IFERROR(Входящие_файлы_СЧЕТА[[#This Row],[Цена]]/Входящие_файлы_СЧЕТА[[#This Row],[Максимальная себестоимость]]-1,"")</f>
        <v/>
      </c>
      <c r="K11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12" spans="2:15" x14ac:dyDescent="0.25">
      <c r="B12">
        <v>162</v>
      </c>
      <c r="C12" t="s">
        <v>19</v>
      </c>
      <c r="D12">
        <v>50</v>
      </c>
      <c r="E12" s="13">
        <v>85.92</v>
      </c>
      <c r="F12" s="13">
        <v>4296.08</v>
      </c>
      <c r="G12" s="13">
        <v>0</v>
      </c>
      <c r="H12" s="13">
        <f>Входящие_файлы_СЧЕТА[[#This Row],[Цена конкурента]]*Входящие_файлы_СЧЕТА[[#This Row],[Количество]]</f>
        <v>0</v>
      </c>
      <c r="I12" s="13">
        <v>0</v>
      </c>
      <c r="J12" s="16" t="str">
        <f>IFERROR(Входящие_файлы_СЧЕТА[[#This Row],[Цена]]/Входящие_файлы_СЧЕТА[[#This Row],[Максимальная себестоимость]]-1,"")</f>
        <v/>
      </c>
      <c r="K12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13" spans="2:15" x14ac:dyDescent="0.25">
      <c r="B13">
        <v>286</v>
      </c>
      <c r="C13" t="s">
        <v>20</v>
      </c>
      <c r="D13">
        <v>30</v>
      </c>
      <c r="E13" s="13">
        <v>148.59</v>
      </c>
      <c r="F13" s="13">
        <v>4457.74</v>
      </c>
      <c r="G13" s="13">
        <v>147.1</v>
      </c>
      <c r="H13" s="13">
        <f>Входящие_файлы_СЧЕТА[[#This Row],[Цена конкурента]]*Входящие_файлы_СЧЕТА[[#This Row],[Количество]]</f>
        <v>4413</v>
      </c>
      <c r="I13" s="13">
        <v>98.892936612540012</v>
      </c>
      <c r="J13" s="16">
        <f>IFERROR(Входящие_файлы_СЧЕТА[[#This Row],[Цена]]/Входящие_файлы_СЧЕТА[[#This Row],[Максимальная себестоимость]]-1,"")</f>
        <v>0.5025340038406565</v>
      </c>
      <c r="K13" s="16">
        <f>IFERROR(Входящие_файлы_СЧЕТА[[#This Row],[Цена конкурента]]/Входящие_файлы_СЧЕТА[[#This Row],[Максимальная себестоимость]]-1,"")</f>
        <v>0.48746720482509298</v>
      </c>
    </row>
    <row r="14" spans="2:15" x14ac:dyDescent="0.25">
      <c r="B14">
        <v>2530</v>
      </c>
      <c r="C14" t="s">
        <v>21</v>
      </c>
      <c r="D14">
        <v>20</v>
      </c>
      <c r="E14" s="13">
        <v>63.58</v>
      </c>
      <c r="F14" s="13">
        <v>1271.69</v>
      </c>
      <c r="G14" s="13">
        <v>0</v>
      </c>
      <c r="H14" s="13">
        <f>Входящие_файлы_СЧЕТА[[#This Row],[Цена конкурента]]*Входящие_файлы_СЧЕТА[[#This Row],[Количество]]</f>
        <v>0</v>
      </c>
      <c r="I14" s="13">
        <v>0</v>
      </c>
      <c r="J14" s="16" t="str">
        <f>IFERROR(Входящие_файлы_СЧЕТА[[#This Row],[Цена]]/Входящие_файлы_СЧЕТА[[#This Row],[Максимальная себестоимость]]-1,"")</f>
        <v/>
      </c>
      <c r="K14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15" spans="2:15" x14ac:dyDescent="0.25">
      <c r="B15">
        <v>1940</v>
      </c>
      <c r="C15" t="s">
        <v>22</v>
      </c>
      <c r="D15">
        <v>10</v>
      </c>
      <c r="E15" s="13">
        <v>132.5</v>
      </c>
      <c r="F15" s="13">
        <v>1325.02</v>
      </c>
      <c r="G15" s="13">
        <v>0</v>
      </c>
      <c r="H15" s="13">
        <f>Входящие_файлы_СЧЕТА[[#This Row],[Цена конкурента]]*Входящие_файлы_СЧЕТА[[#This Row],[Количество]]</f>
        <v>0</v>
      </c>
      <c r="I15" s="13">
        <v>0</v>
      </c>
      <c r="J15" s="16" t="str">
        <f>IFERROR(Входящие_файлы_СЧЕТА[[#This Row],[Цена]]/Входящие_файлы_СЧЕТА[[#This Row],[Максимальная себестоимость]]-1,"")</f>
        <v/>
      </c>
      <c r="K15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16" spans="2:15" x14ac:dyDescent="0.25">
      <c r="B16">
        <v>4705</v>
      </c>
      <c r="C16" t="s">
        <v>23</v>
      </c>
      <c r="D16">
        <v>8</v>
      </c>
      <c r="E16" s="13">
        <v>3746.09</v>
      </c>
      <c r="F16" s="13">
        <v>29968.7</v>
      </c>
      <c r="G16" s="13">
        <v>0</v>
      </c>
      <c r="H16" s="13">
        <f>Входящие_файлы_СЧЕТА[[#This Row],[Цена конкурента]]*Входящие_файлы_СЧЕТА[[#This Row],[Количество]]</f>
        <v>0</v>
      </c>
      <c r="I16" s="13">
        <v>0</v>
      </c>
      <c r="J16" s="16" t="str">
        <f>IFERROR(Входящие_файлы_СЧЕТА[[#This Row],[Цена]]/Входящие_файлы_СЧЕТА[[#This Row],[Максимальная себестоимость]]-1,"")</f>
        <v/>
      </c>
      <c r="K16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17" spans="2:11" x14ac:dyDescent="0.25">
      <c r="B17">
        <v>2524</v>
      </c>
      <c r="C17" t="s">
        <v>24</v>
      </c>
      <c r="D17">
        <v>100</v>
      </c>
      <c r="E17" s="13">
        <v>31.1</v>
      </c>
      <c r="F17" s="13">
        <v>3110.48</v>
      </c>
      <c r="G17" s="13">
        <v>0</v>
      </c>
      <c r="H17" s="13">
        <f>Входящие_файлы_СЧЕТА[[#This Row],[Цена конкурента]]*Входящие_файлы_СЧЕТА[[#This Row],[Количество]]</f>
        <v>0</v>
      </c>
      <c r="I17" s="13">
        <v>0</v>
      </c>
      <c r="J17" s="16" t="str">
        <f>IFERROR(Входящие_файлы_СЧЕТА[[#This Row],[Цена]]/Входящие_файлы_СЧЕТА[[#This Row],[Максимальная себестоимость]]-1,"")</f>
        <v/>
      </c>
      <c r="K17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18" spans="2:11" x14ac:dyDescent="0.25">
      <c r="B18">
        <v>2525</v>
      </c>
      <c r="C18" t="s">
        <v>25</v>
      </c>
      <c r="D18">
        <v>50</v>
      </c>
      <c r="E18" s="13">
        <v>46.66</v>
      </c>
      <c r="F18" s="13">
        <v>2332.86</v>
      </c>
      <c r="G18" s="13">
        <v>0</v>
      </c>
      <c r="H18" s="13">
        <f>Входящие_файлы_СЧЕТА[[#This Row],[Цена конкурента]]*Входящие_файлы_СЧЕТА[[#This Row],[Количество]]</f>
        <v>0</v>
      </c>
      <c r="I18" s="13">
        <v>0</v>
      </c>
      <c r="J18" s="16" t="str">
        <f>IFERROR(Входящие_файлы_СЧЕТА[[#This Row],[Цена]]/Входящие_файлы_СЧЕТА[[#This Row],[Максимальная себестоимость]]-1,"")</f>
        <v/>
      </c>
      <c r="K18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19" spans="2:11" x14ac:dyDescent="0.25">
      <c r="B19">
        <v>2526</v>
      </c>
      <c r="C19" t="s">
        <v>26</v>
      </c>
      <c r="D19">
        <v>60</v>
      </c>
      <c r="E19" s="13">
        <v>86.45</v>
      </c>
      <c r="F19" s="13">
        <v>5187.16</v>
      </c>
      <c r="G19" s="13">
        <v>0</v>
      </c>
      <c r="H19" s="13">
        <f>Входящие_файлы_СЧЕТА[[#This Row],[Цена конкурента]]*Входящие_файлы_СЧЕТА[[#This Row],[Количество]]</f>
        <v>0</v>
      </c>
      <c r="I19" s="13">
        <v>0</v>
      </c>
      <c r="J19" s="16" t="str">
        <f>IFERROR(Входящие_файлы_СЧЕТА[[#This Row],[Цена]]/Входящие_файлы_СЧЕТА[[#This Row],[Максимальная себестоимость]]-1,"")</f>
        <v/>
      </c>
      <c r="K19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20" spans="2:11" x14ac:dyDescent="0.25">
      <c r="B20">
        <v>2527</v>
      </c>
      <c r="C20" t="s">
        <v>27</v>
      </c>
      <c r="D20">
        <v>10</v>
      </c>
      <c r="E20" s="13">
        <v>126.18</v>
      </c>
      <c r="F20" s="13">
        <v>1261.77</v>
      </c>
      <c r="G20" s="13">
        <v>0</v>
      </c>
      <c r="H20" s="13">
        <f>Входящие_файлы_СЧЕТА[[#This Row],[Цена конкурента]]*Входящие_файлы_СЧЕТА[[#This Row],[Количество]]</f>
        <v>0</v>
      </c>
      <c r="I20" s="13">
        <v>0</v>
      </c>
      <c r="J20" s="16" t="str">
        <f>IFERROR(Входящие_файлы_СЧЕТА[[#This Row],[Цена]]/Входящие_файлы_СЧЕТА[[#This Row],[Максимальная себестоимость]]-1,"")</f>
        <v/>
      </c>
      <c r="K20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21" spans="2:11" x14ac:dyDescent="0.25">
      <c r="B21">
        <v>2534</v>
      </c>
      <c r="C21" t="s">
        <v>28</v>
      </c>
      <c r="D21">
        <v>20</v>
      </c>
      <c r="E21" s="13">
        <v>72.73</v>
      </c>
      <c r="F21" s="13">
        <v>1454.59</v>
      </c>
      <c r="G21" s="13">
        <v>0</v>
      </c>
      <c r="H21" s="13">
        <f>Входящие_файлы_СЧЕТА[[#This Row],[Цена конкурента]]*Входящие_файлы_СЧЕТА[[#This Row],[Количество]]</f>
        <v>0</v>
      </c>
      <c r="I21" s="13">
        <v>0</v>
      </c>
      <c r="J21" s="16" t="str">
        <f>IFERROR(Входящие_файлы_СЧЕТА[[#This Row],[Цена]]/Входящие_файлы_СЧЕТА[[#This Row],[Максимальная себестоимость]]-1,"")</f>
        <v/>
      </c>
      <c r="K21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22" spans="2:11" x14ac:dyDescent="0.25">
      <c r="B22">
        <v>2363</v>
      </c>
      <c r="C22" t="s">
        <v>29</v>
      </c>
      <c r="D22">
        <v>10</v>
      </c>
      <c r="E22" s="13">
        <v>170.24</v>
      </c>
      <c r="F22" s="13">
        <v>1702.44</v>
      </c>
      <c r="G22" s="13">
        <v>0</v>
      </c>
      <c r="H22" s="13">
        <f>Входящие_файлы_СЧЕТА[[#This Row],[Цена конкурента]]*Входящие_файлы_СЧЕТА[[#This Row],[Количество]]</f>
        <v>0</v>
      </c>
      <c r="I22" s="13">
        <v>0</v>
      </c>
      <c r="J22" s="16" t="str">
        <f>IFERROR(Входящие_файлы_СЧЕТА[[#This Row],[Цена]]/Входящие_файлы_СЧЕТА[[#This Row],[Максимальная себестоимость]]-1,"")</f>
        <v/>
      </c>
      <c r="K22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23" spans="2:11" x14ac:dyDescent="0.25">
      <c r="B23">
        <v>2611</v>
      </c>
      <c r="C23" t="s">
        <v>30</v>
      </c>
      <c r="D23">
        <v>5</v>
      </c>
      <c r="E23" s="13">
        <v>243.66</v>
      </c>
      <c r="F23" s="13">
        <v>1218.29</v>
      </c>
      <c r="G23" s="13">
        <v>0</v>
      </c>
      <c r="H23" s="13">
        <f>Входящие_файлы_СЧЕТА[[#This Row],[Цена конкурента]]*Входящие_файлы_СЧЕТА[[#This Row],[Количество]]</f>
        <v>0</v>
      </c>
      <c r="I23" s="13">
        <v>0</v>
      </c>
      <c r="J23" s="16" t="str">
        <f>IFERROR(Входящие_файлы_СЧЕТА[[#This Row],[Цена]]/Входящие_файлы_СЧЕТА[[#This Row],[Максимальная себестоимость]]-1,"")</f>
        <v/>
      </c>
      <c r="K23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24" spans="2:11" x14ac:dyDescent="0.25">
      <c r="B24">
        <v>2568</v>
      </c>
      <c r="C24" t="s">
        <v>31</v>
      </c>
      <c r="D24">
        <v>10</v>
      </c>
      <c r="E24" s="13">
        <v>77.61</v>
      </c>
      <c r="F24" s="13">
        <v>776.09</v>
      </c>
      <c r="G24" s="13">
        <v>0</v>
      </c>
      <c r="H24" s="13">
        <f>Входящие_файлы_СЧЕТА[[#This Row],[Цена конкурента]]*Входящие_файлы_СЧЕТА[[#This Row],[Количество]]</f>
        <v>0</v>
      </c>
      <c r="I24" s="13">
        <v>0</v>
      </c>
      <c r="J24" s="16" t="str">
        <f>IFERROR(Входящие_файлы_СЧЕТА[[#This Row],[Цена]]/Входящие_файлы_СЧЕТА[[#This Row],[Максимальная себестоимость]]-1,"")</f>
        <v/>
      </c>
      <c r="K24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25" spans="2:11" x14ac:dyDescent="0.25">
      <c r="B25">
        <v>2380</v>
      </c>
      <c r="C25" t="s">
        <v>32</v>
      </c>
      <c r="D25">
        <v>30</v>
      </c>
      <c r="E25" s="13">
        <v>91.11</v>
      </c>
      <c r="F25" s="13">
        <v>2733.23</v>
      </c>
      <c r="G25" s="13">
        <v>0</v>
      </c>
      <c r="H25" s="13">
        <f>Входящие_файлы_СЧЕТА[[#This Row],[Цена конкурента]]*Входящие_файлы_СЧЕТА[[#This Row],[Количество]]</f>
        <v>0</v>
      </c>
      <c r="I25" s="13">
        <v>0</v>
      </c>
      <c r="J25" s="16" t="str">
        <f>IFERROR(Входящие_файлы_СЧЕТА[[#This Row],[Цена]]/Входящие_файлы_СЧЕТА[[#This Row],[Максимальная себестоимость]]-1,"")</f>
        <v/>
      </c>
      <c r="K25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26" spans="2:11" x14ac:dyDescent="0.25">
      <c r="B26">
        <v>2575</v>
      </c>
      <c r="C26" t="s">
        <v>33</v>
      </c>
      <c r="D26">
        <v>20</v>
      </c>
      <c r="E26" s="13">
        <v>83.33</v>
      </c>
      <c r="F26" s="13">
        <v>1666.63</v>
      </c>
      <c r="G26" s="13">
        <v>0</v>
      </c>
      <c r="H26" s="13">
        <f>Входящие_файлы_СЧЕТА[[#This Row],[Цена конкурента]]*Входящие_файлы_СЧЕТА[[#This Row],[Количество]]</f>
        <v>0</v>
      </c>
      <c r="I26" s="13">
        <v>0</v>
      </c>
      <c r="J26" s="16" t="str">
        <f>IFERROR(Входящие_файлы_СЧЕТА[[#This Row],[Цена]]/Входящие_файлы_СЧЕТА[[#This Row],[Максимальная себестоимость]]-1,"")</f>
        <v/>
      </c>
      <c r="K26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27" spans="2:11" x14ac:dyDescent="0.25">
      <c r="B27">
        <v>2564</v>
      </c>
      <c r="C27" t="s">
        <v>34</v>
      </c>
      <c r="D27">
        <v>10</v>
      </c>
      <c r="E27" s="13">
        <v>66.400000000000006</v>
      </c>
      <c r="F27" s="13">
        <v>664.04</v>
      </c>
      <c r="G27" s="13">
        <v>59.76</v>
      </c>
      <c r="H27" s="13">
        <f>Входящие_файлы_СЧЕТА[[#This Row],[Цена конкурента]]*Входящие_файлы_СЧЕТА[[#This Row],[Количество]]</f>
        <v>597.6</v>
      </c>
      <c r="I27" s="13">
        <v>48.710263470371999</v>
      </c>
      <c r="J27" s="16">
        <f>IFERROR(Входящие_файлы_СЧЕТА[[#This Row],[Цена]]/Входящие_файлы_СЧЕТА[[#This Row],[Максимальная себестоимость]]-1,"")</f>
        <v>0.36316240704359526</v>
      </c>
      <c r="K27" s="16">
        <f>IFERROR(Входящие_файлы_СЧЕТА[[#This Row],[Цена конкурента]]/Входящие_файлы_СЧЕТА[[#This Row],[Максимальная себестоимость]]-1,"")</f>
        <v>0.2268461663392356</v>
      </c>
    </row>
    <row r="28" spans="2:11" x14ac:dyDescent="0.25">
      <c r="B28">
        <v>2562</v>
      </c>
      <c r="C28" t="s">
        <v>35</v>
      </c>
      <c r="D28">
        <v>10</v>
      </c>
      <c r="E28" s="13">
        <v>107.81</v>
      </c>
      <c r="F28" s="13">
        <v>1078.05</v>
      </c>
      <c r="G28" s="13">
        <v>0</v>
      </c>
      <c r="H28" s="13">
        <f>Входящие_файлы_СЧЕТА[[#This Row],[Цена конкурента]]*Входящие_файлы_СЧЕТА[[#This Row],[Количество]]</f>
        <v>0</v>
      </c>
      <c r="I28" s="13">
        <v>0</v>
      </c>
      <c r="J28" s="16" t="str">
        <f>IFERROR(Входящие_файлы_СЧЕТА[[#This Row],[Цена]]/Входящие_файлы_СЧЕТА[[#This Row],[Максимальная себестоимость]]-1,"")</f>
        <v/>
      </c>
      <c r="K28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29" spans="2:11" x14ac:dyDescent="0.25">
      <c r="B29">
        <v>4539</v>
      </c>
      <c r="C29" t="s">
        <v>36</v>
      </c>
      <c r="D29">
        <v>10</v>
      </c>
      <c r="E29" s="13">
        <v>55.27</v>
      </c>
      <c r="F29" s="13">
        <v>552.71</v>
      </c>
      <c r="G29" s="13">
        <v>0</v>
      </c>
      <c r="H29" s="13">
        <f>Входящие_файлы_СЧЕТА[[#This Row],[Цена конкурента]]*Входящие_файлы_СЧЕТА[[#This Row],[Количество]]</f>
        <v>0</v>
      </c>
      <c r="I29" s="13">
        <v>0</v>
      </c>
      <c r="J29" s="16" t="str">
        <f>IFERROR(Входящие_файлы_СЧЕТА[[#This Row],[Цена]]/Входящие_файлы_СЧЕТА[[#This Row],[Максимальная себестоимость]]-1,"")</f>
        <v/>
      </c>
      <c r="K29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30" spans="2:11" x14ac:dyDescent="0.25">
      <c r="B30">
        <v>4542</v>
      </c>
      <c r="C30" t="s">
        <v>37</v>
      </c>
      <c r="D30">
        <v>10</v>
      </c>
      <c r="E30" s="13">
        <v>98.73</v>
      </c>
      <c r="F30" s="13">
        <v>987.31</v>
      </c>
      <c r="G30" s="13">
        <v>0</v>
      </c>
      <c r="H30" s="13">
        <f>Входящие_файлы_СЧЕТА[[#This Row],[Цена конкурента]]*Входящие_файлы_СЧЕТА[[#This Row],[Количество]]</f>
        <v>0</v>
      </c>
      <c r="I30" s="13">
        <v>0</v>
      </c>
      <c r="J30" s="16" t="str">
        <f>IFERROR(Входящие_файлы_СЧЕТА[[#This Row],[Цена]]/Входящие_файлы_СЧЕТА[[#This Row],[Максимальная себестоимость]]-1,"")</f>
        <v/>
      </c>
      <c r="K30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31" spans="2:11" x14ac:dyDescent="0.25">
      <c r="B31">
        <v>1324</v>
      </c>
      <c r="C31" t="s">
        <v>38</v>
      </c>
      <c r="D31">
        <v>30</v>
      </c>
      <c r="E31" s="13">
        <v>138.76</v>
      </c>
      <c r="F31" s="13">
        <v>4162.6899999999996</v>
      </c>
      <c r="G31" s="13">
        <v>0</v>
      </c>
      <c r="H31" s="13">
        <f>Входящие_файлы_СЧЕТА[[#This Row],[Цена конкурента]]*Входящие_файлы_СЧЕТА[[#This Row],[Количество]]</f>
        <v>0</v>
      </c>
      <c r="I31" s="13">
        <v>0</v>
      </c>
      <c r="J31" s="16" t="str">
        <f>IFERROR(Входящие_файлы_СЧЕТА[[#This Row],[Цена]]/Входящие_файлы_СЧЕТА[[#This Row],[Максимальная себестоимость]]-1,"")</f>
        <v/>
      </c>
      <c r="K31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32" spans="2:11" x14ac:dyDescent="0.25">
      <c r="B32">
        <v>1325</v>
      </c>
      <c r="C32" t="s">
        <v>39</v>
      </c>
      <c r="D32">
        <v>10</v>
      </c>
      <c r="E32" s="13">
        <v>215</v>
      </c>
      <c r="F32" s="13">
        <v>2149.96</v>
      </c>
      <c r="G32" s="13">
        <v>0</v>
      </c>
      <c r="H32" s="13">
        <f>Входящие_файлы_СЧЕТА[[#This Row],[Цена конкурента]]*Входящие_файлы_СЧЕТА[[#This Row],[Количество]]</f>
        <v>0</v>
      </c>
      <c r="I32" s="13">
        <v>0</v>
      </c>
      <c r="J32" s="16" t="str">
        <f>IFERROR(Входящие_файлы_СЧЕТА[[#This Row],[Цена]]/Входящие_файлы_СЧЕТА[[#This Row],[Максимальная себестоимость]]-1,"")</f>
        <v/>
      </c>
      <c r="K32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33" spans="2:11" x14ac:dyDescent="0.25">
      <c r="B33">
        <v>2552</v>
      </c>
      <c r="C33" t="s">
        <v>40</v>
      </c>
      <c r="D33">
        <v>40</v>
      </c>
      <c r="E33" s="13">
        <v>33.700000000000003</v>
      </c>
      <c r="F33" s="13">
        <v>1347.8</v>
      </c>
      <c r="G33" s="13">
        <v>0</v>
      </c>
      <c r="H33" s="13">
        <f>Входящие_файлы_СЧЕТА[[#This Row],[Цена конкурента]]*Входящие_файлы_СЧЕТА[[#This Row],[Количество]]</f>
        <v>0</v>
      </c>
      <c r="I33" s="13">
        <v>0</v>
      </c>
      <c r="J33" s="16" t="str">
        <f>IFERROR(Входящие_файлы_СЧЕТА[[#This Row],[Цена]]/Входящие_файлы_СЧЕТА[[#This Row],[Максимальная себестоимость]]-1,"")</f>
        <v/>
      </c>
      <c r="K33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34" spans="2:11" x14ac:dyDescent="0.25">
      <c r="B34">
        <v>2553</v>
      </c>
      <c r="C34" t="s">
        <v>41</v>
      </c>
      <c r="D34">
        <v>20</v>
      </c>
      <c r="E34" s="13">
        <v>82.64</v>
      </c>
      <c r="F34" s="13">
        <v>1652.83</v>
      </c>
      <c r="G34" s="13">
        <v>0</v>
      </c>
      <c r="H34" s="13">
        <f>Входящие_файлы_СЧЕТА[[#This Row],[Цена конкурента]]*Входящие_файлы_СЧЕТА[[#This Row],[Количество]]</f>
        <v>0</v>
      </c>
      <c r="I34" s="13">
        <v>0</v>
      </c>
      <c r="J34" s="16" t="str">
        <f>IFERROR(Входящие_файлы_СЧЕТА[[#This Row],[Цена]]/Входящие_файлы_СЧЕТА[[#This Row],[Максимальная себестоимость]]-1,"")</f>
        <v/>
      </c>
      <c r="K34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35" spans="2:11" x14ac:dyDescent="0.25">
      <c r="B35">
        <v>2556</v>
      </c>
      <c r="C35" t="s">
        <v>42</v>
      </c>
      <c r="D35">
        <v>20</v>
      </c>
      <c r="E35" s="13">
        <v>104.75</v>
      </c>
      <c r="F35" s="13">
        <v>2095.09</v>
      </c>
      <c r="G35" s="13">
        <v>0</v>
      </c>
      <c r="H35" s="13">
        <f>Входящие_файлы_СЧЕТА[[#This Row],[Цена конкурента]]*Входящие_файлы_СЧЕТА[[#This Row],[Количество]]</f>
        <v>0</v>
      </c>
      <c r="I35" s="13">
        <v>0</v>
      </c>
      <c r="J35" s="16" t="str">
        <f>IFERROR(Входящие_файлы_СЧЕТА[[#This Row],[Цена]]/Входящие_файлы_СЧЕТА[[#This Row],[Максимальная себестоимость]]-1,"")</f>
        <v/>
      </c>
      <c r="K35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36" spans="2:11" x14ac:dyDescent="0.25">
      <c r="B36">
        <v>2387</v>
      </c>
      <c r="C36" t="s">
        <v>43</v>
      </c>
      <c r="D36">
        <v>5</v>
      </c>
      <c r="E36" s="13">
        <v>104.68</v>
      </c>
      <c r="F36" s="13">
        <v>523.39</v>
      </c>
      <c r="G36" s="13">
        <v>0</v>
      </c>
      <c r="H36" s="13">
        <f>Входящие_файлы_СЧЕТА[[#This Row],[Цена конкурента]]*Входящие_файлы_СЧЕТА[[#This Row],[Количество]]</f>
        <v>0</v>
      </c>
      <c r="I36" s="13">
        <v>0</v>
      </c>
      <c r="J36" s="16" t="str">
        <f>IFERROR(Входящие_файлы_СЧЕТА[[#This Row],[Цена]]/Входящие_файлы_СЧЕТА[[#This Row],[Максимальная себестоимость]]-1,"")</f>
        <v/>
      </c>
      <c r="K36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37" spans="2:11" x14ac:dyDescent="0.25">
      <c r="B37">
        <v>7071</v>
      </c>
      <c r="C37" t="s">
        <v>44</v>
      </c>
      <c r="D37">
        <v>10</v>
      </c>
      <c r="E37" s="13">
        <v>147.22</v>
      </c>
      <c r="F37" s="13">
        <v>1472.17</v>
      </c>
      <c r="G37" s="13">
        <v>144.27000000000001</v>
      </c>
      <c r="H37" s="13">
        <f>Входящие_файлы_СЧЕТА[[#This Row],[Цена конкурента]]*Входящие_файлы_СЧЕТА[[#This Row],[Количество]]</f>
        <v>1442.7</v>
      </c>
      <c r="I37" s="13">
        <v>103.06174571856</v>
      </c>
      <c r="J37" s="16">
        <f>IFERROR(Входящие_файлы_СЧЕТА[[#This Row],[Цена]]/Входящие_файлы_СЧЕТА[[#This Row],[Максимальная себестоимость]]-1,"")</f>
        <v>0.42846406271854653</v>
      </c>
      <c r="K37" s="16">
        <f>IFERROR(Входящие_файлы_СЧЕТА[[#This Row],[Цена конкурента]]/Входящие_файлы_СЧЕТА[[#This Row],[Максимальная себестоимость]]-1,"")</f>
        <v>0.3998404451053168</v>
      </c>
    </row>
    <row r="38" spans="2:11" x14ac:dyDescent="0.25">
      <c r="B38">
        <v>1708</v>
      </c>
      <c r="C38" t="s">
        <v>45</v>
      </c>
      <c r="D38">
        <v>20</v>
      </c>
      <c r="E38" s="13">
        <v>113.37</v>
      </c>
      <c r="F38" s="13">
        <v>2267.37</v>
      </c>
      <c r="G38" s="13">
        <v>0</v>
      </c>
      <c r="H38" s="13">
        <f>Входящие_файлы_СЧЕТА[[#This Row],[Цена конкурента]]*Входящие_файлы_СЧЕТА[[#This Row],[Количество]]</f>
        <v>0</v>
      </c>
      <c r="I38" s="13">
        <v>0</v>
      </c>
      <c r="J38" s="16" t="str">
        <f>IFERROR(Входящие_файлы_СЧЕТА[[#This Row],[Цена]]/Входящие_файлы_СЧЕТА[[#This Row],[Максимальная себестоимость]]-1,"")</f>
        <v/>
      </c>
      <c r="K38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39" spans="2:11" x14ac:dyDescent="0.25">
      <c r="B39">
        <v>1709</v>
      </c>
      <c r="C39" t="s">
        <v>46</v>
      </c>
      <c r="D39">
        <v>10</v>
      </c>
      <c r="E39" s="13">
        <v>112.15</v>
      </c>
      <c r="F39" s="13">
        <v>1121.47</v>
      </c>
      <c r="G39" s="13">
        <v>0</v>
      </c>
      <c r="H39" s="13">
        <f>Входящие_файлы_СЧЕТА[[#This Row],[Цена конкурента]]*Входящие_файлы_СЧЕТА[[#This Row],[Количество]]</f>
        <v>0</v>
      </c>
      <c r="I39" s="13">
        <v>0</v>
      </c>
      <c r="J39" s="16" t="str">
        <f>IFERROR(Входящие_файлы_СЧЕТА[[#This Row],[Цена]]/Входящие_файлы_СЧЕТА[[#This Row],[Максимальная себестоимость]]-1,"")</f>
        <v/>
      </c>
      <c r="K39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40" spans="2:11" x14ac:dyDescent="0.25">
      <c r="B40">
        <v>2686</v>
      </c>
      <c r="C40" t="s">
        <v>47</v>
      </c>
      <c r="D40">
        <v>30</v>
      </c>
      <c r="E40" s="13">
        <v>37.659999999999997</v>
      </c>
      <c r="F40" s="13">
        <v>1129.79</v>
      </c>
      <c r="G40" s="13">
        <v>0</v>
      </c>
      <c r="H40" s="13">
        <f>Входящие_файлы_СЧЕТА[[#This Row],[Цена конкурента]]*Входящие_файлы_СЧЕТА[[#This Row],[Количество]]</f>
        <v>0</v>
      </c>
      <c r="I40" s="13">
        <v>0</v>
      </c>
      <c r="J40" s="16" t="str">
        <f>IFERROR(Входящие_файлы_СЧЕТА[[#This Row],[Цена]]/Входящие_файлы_СЧЕТА[[#This Row],[Максимальная себестоимость]]-1,"")</f>
        <v/>
      </c>
      <c r="K40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41" spans="2:11" x14ac:dyDescent="0.25">
      <c r="B41">
        <v>2687</v>
      </c>
      <c r="C41" t="s">
        <v>48</v>
      </c>
      <c r="D41">
        <v>20</v>
      </c>
      <c r="E41" s="13">
        <v>41.09</v>
      </c>
      <c r="F41" s="13">
        <v>821.87</v>
      </c>
      <c r="G41" s="13">
        <v>0</v>
      </c>
      <c r="H41" s="13">
        <f>Входящие_файлы_СЧЕТА[[#This Row],[Цена конкурента]]*Входящие_файлы_СЧЕТА[[#This Row],[Количество]]</f>
        <v>0</v>
      </c>
      <c r="I41" s="13">
        <v>0</v>
      </c>
      <c r="J41" s="16" t="str">
        <f>IFERROR(Входящие_файлы_СЧЕТА[[#This Row],[Цена]]/Входящие_файлы_СЧЕТА[[#This Row],[Максимальная себестоимость]]-1,"")</f>
        <v/>
      </c>
      <c r="K41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42" spans="2:11" x14ac:dyDescent="0.25">
      <c r="B42">
        <v>2389</v>
      </c>
      <c r="C42" t="s">
        <v>49</v>
      </c>
      <c r="D42">
        <v>10</v>
      </c>
      <c r="E42" s="13">
        <v>74.64</v>
      </c>
      <c r="F42" s="13">
        <v>746.41</v>
      </c>
      <c r="G42" s="13">
        <v>0</v>
      </c>
      <c r="H42" s="13">
        <f>Входящие_файлы_СЧЕТА[[#This Row],[Цена конкурента]]*Входящие_файлы_СЧЕТА[[#This Row],[Количество]]</f>
        <v>0</v>
      </c>
      <c r="I42" s="13">
        <v>0</v>
      </c>
      <c r="J42" s="16" t="str">
        <f>IFERROR(Входящие_файлы_СЧЕТА[[#This Row],[Цена]]/Входящие_файлы_СЧЕТА[[#This Row],[Максимальная себестоимость]]-1,"")</f>
        <v/>
      </c>
      <c r="K42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43" spans="2:11" x14ac:dyDescent="0.25">
      <c r="B43">
        <v>7057</v>
      </c>
      <c r="C43" t="s">
        <v>50</v>
      </c>
      <c r="D43">
        <v>20</v>
      </c>
      <c r="E43" s="13">
        <v>149.19999999999999</v>
      </c>
      <c r="F43" s="13">
        <v>2983.98</v>
      </c>
      <c r="G43" s="13">
        <v>0</v>
      </c>
      <c r="H43" s="13">
        <f>Входящие_файлы_СЧЕТА[[#This Row],[Цена конкурента]]*Входящие_файлы_СЧЕТА[[#This Row],[Количество]]</f>
        <v>0</v>
      </c>
      <c r="I43" s="13">
        <v>0</v>
      </c>
      <c r="J43" s="16" t="str">
        <f>IFERROR(Входящие_файлы_СЧЕТА[[#This Row],[Цена]]/Входящие_файлы_СЧЕТА[[#This Row],[Максимальная себестоимость]]-1,"")</f>
        <v/>
      </c>
      <c r="K43" s="16" t="str">
        <f>IFERROR(Входящие_файлы_СЧЕТА[[#This Row],[Цена конкурента]]/Входящие_файлы_СЧЕТА[[#This Row],[Максимальная себестоимость]]-1,"")</f>
        <v/>
      </c>
    </row>
    <row r="44" spans="2:11" x14ac:dyDescent="0.25">
      <c r="B44">
        <v>7061</v>
      </c>
      <c r="C44" t="s">
        <v>51</v>
      </c>
      <c r="D44">
        <v>2</v>
      </c>
      <c r="E44" s="13">
        <v>226.82</v>
      </c>
      <c r="F44" s="13">
        <v>453.63</v>
      </c>
      <c r="G44" s="13">
        <v>215.47</v>
      </c>
      <c r="H44" s="13">
        <f>Входящие_файлы_СЧЕТА[[#This Row],[Цена конкурента]]*Входящие_файлы_СЧЕТА[[#This Row],[Количество]]</f>
        <v>430.94</v>
      </c>
      <c r="I44" s="13">
        <v>162.63833106888001</v>
      </c>
      <c r="J44" s="16">
        <f>IFERROR(Входящие_файлы_СЧЕТА[[#This Row],[Цена]]/Входящие_файлы_СЧЕТА[[#This Row],[Максимальная себестоимость]]-1,"")</f>
        <v>0.39462818211002171</v>
      </c>
      <c r="K44" s="16">
        <f>IFERROR(Входящие_файлы_СЧЕТА[[#This Row],[Цена конкурента]]/Входящие_файлы_СЧЕТА[[#This Row],[Максимальная себестоимость]]-1,"")</f>
        <v>0.3248414354961926</v>
      </c>
    </row>
  </sheetData>
  <mergeCells count="2">
    <mergeCell ref="E2:F2"/>
    <mergeCell ref="E3:F3"/>
  </mergeCell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48E2EC2-A31E-4657-BA65-BDEDDE714F8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Форма_счет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Жигульских Евгений Олегович</dc:creator>
  <cp:lastModifiedBy>Жигульских Евгений Олегович</cp:lastModifiedBy>
  <dcterms:created xsi:type="dcterms:W3CDTF">2023-10-24T09:01:12Z</dcterms:created>
  <dcterms:modified xsi:type="dcterms:W3CDTF">2023-10-24T09:01:16Z</dcterms:modified>
</cp:coreProperties>
</file>