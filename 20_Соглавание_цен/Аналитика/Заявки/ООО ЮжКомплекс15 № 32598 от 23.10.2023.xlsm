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I:\20_Соглавание_цен\Аналитика\Заявки\"/>
    </mc:Choice>
  </mc:AlternateContent>
  <xr:revisionPtr revIDLastSave="0" documentId="13_ncr:1_{8EE0DC51-6D95-4C9B-8034-1218B824F8C6}" xr6:coauthVersionLast="47" xr6:coauthVersionMax="47" xr10:uidLastSave="{00000000-0000-0000-0000-000000000000}"/>
  <bookViews>
    <workbookView xWindow="-120" yWindow="-120" windowWidth="29040" windowHeight="15840" xr2:uid="{F8E030CD-837B-4B7A-AA64-7DA8C1FD4776}"/>
  </bookViews>
  <sheets>
    <sheet name="Форма_счет" sheetId="1" r:id="rId1"/>
  </sheets>
  <definedNames>
    <definedName name="ExternalData_1" localSheetId="0" hidden="1">Форма_счет!$B$5:$F$50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6" i="1"/>
  <c r="H50" i="1" l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2131D2-B7BE-47E7-87B4-94F6EA767DBC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5646B344-C8AC-4B0D-9DC8-F5F3DD176371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3" xr16:uid="{F5C98DAD-4688-4282-8EB3-7089AC8643F4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" xr16:uid="{3114A324-5AD4-4CFF-8CC7-D589750B2D41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<sst xmlns="http://schemas.openxmlformats.org/spreadsheetml/2006/main" count="64" uniqueCount="61">
  <si>
    <t>Наименование конкурента</t>
  </si>
  <si>
    <t>нет данных</t>
  </si>
  <si>
    <t>Дата документа</t>
  </si>
  <si>
    <t>Наименование клиента</t>
  </si>
  <si>
    <t>ООО ЮжКомплекс15</t>
  </si>
  <si>
    <t>Номер документа</t>
  </si>
  <si>
    <t>Артикул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</si>
  <si>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</si>
  <si>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</si>
  <si>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</si>
  <si>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</si>
  <si>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</si>
  <si>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</si>
  <si>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Американка прямая  2''FM (AQUALINK 12/1)</t>
  </si>
  <si>
    <t>Муфта переходная  1''F x 1 1/4"F (AQUALINK 80/5)</t>
  </si>
  <si>
    <t>Муфта переходная  1''F x 1 1/2"F (AQUALINK 50/5)</t>
  </si>
  <si>
    <t>Муфта переходная  1 1/4''F x 1 1/2"F (AQUALINK 40/5)</t>
  </si>
  <si>
    <t>Муфта переходная  1 1/4''F x 2"F (AQUALINK 40/5)</t>
  </si>
  <si>
    <t>Муфта 1 1/4''F x 1 1/4"F (AQUALINK 50/5)</t>
  </si>
  <si>
    <t>Ниппель 1 1/4''M x 1 1/4''M (AQUALINK 80/5)</t>
  </si>
  <si>
    <t>Ниппель 1 1/2''M x 1 1/2''M (AQUALINK 40/5)</t>
  </si>
  <si>
    <t>Ниппель переходной  1/2''M x 1 1/4''M (AQUALINK 100/5)</t>
  </si>
  <si>
    <t>Ниппель переходной  3/4''M x 1 1/4''M (AQUALINK 100/5)</t>
  </si>
  <si>
    <t>Ниппель переходной 1''M x 1 1/4''M (AQUALINK 80/5)</t>
  </si>
  <si>
    <t>Ниппель переходной  1''M x 2''M (AQUALINK 40/5)</t>
  </si>
  <si>
    <t>Переходник  3/8''M x 1/2"F (AQUALINK 400/10)</t>
  </si>
  <si>
    <t>Переходник  1/2''M x 1/2"F (AQUALINK  300/10)</t>
  </si>
  <si>
    <t>Переходник  3/4''M x 3/4"F (AQUALINK  200/10)</t>
  </si>
  <si>
    <t>Переходник  1''M x 1 1/4"F (AQUALINK 70/5)</t>
  </si>
  <si>
    <t>Переходник  1''M x 1 1/2"F (AQUALINK 50/5)</t>
  </si>
  <si>
    <t>Переходник  1''M x 2"F (AQUALINK 30/5)</t>
  </si>
  <si>
    <t>Переходник  1 1/4''M x 2"F (AQUALINK 30/5)</t>
  </si>
  <si>
    <t>Тройник  3/4''F x 1/2"F x 3/4"F (AQUALINK 80/10)</t>
  </si>
  <si>
    <t>Тройник  1 1/4''F x 1 1/4"F x 1 1/4"F (AQUALINK 20/5)</t>
  </si>
  <si>
    <t>Тройник  1 1/2''F x 1 1/2"F x 1 1/2"F (AQUALINK 15/5)</t>
  </si>
  <si>
    <t>Тройник  1/2''F x 1/2"F x 1/2"M (AQUALINK 120/10)</t>
  </si>
  <si>
    <t>Тройник  3/4''F x 3/4"F x 3/4"M (AQUALINK 60/10)</t>
  </si>
  <si>
    <t>Тройник  1''F x 1"F x 1"M (AQUALINK 30/5)</t>
  </si>
  <si>
    <t>Тройник  1/2''F x 1/2"M x 1/2"F (AQUALINK 120/10)</t>
  </si>
  <si>
    <t>Тройник  1/2''F x 1/2"M x 1/2"M (AQUALINK 120/10)</t>
  </si>
  <si>
    <t>Тройник  1''F x 1"M x 1"M (AQUALINK 30/10)</t>
  </si>
  <si>
    <t>Тройник  1/2''M x 1/2"F x 1/2"M (AQUALINK 100/10)</t>
  </si>
  <si>
    <t>Тройник  1/2''M x 1/2"M x 1/2"M (AQUALINK 150/10)</t>
  </si>
  <si>
    <t>Уголок  1/2''F x 3/4"F (AQUALINK 150/10)</t>
  </si>
  <si>
    <t>Уголок  1/2''F x 1/2"M (AQUALINK 180/10)</t>
  </si>
  <si>
    <t>Уголок  3/4''F x 3/4"M (AQUALINK 80/10)</t>
  </si>
  <si>
    <t>Уголок  1''F x 1"M (AQUALINK 60/10)</t>
  </si>
  <si>
    <t>Уголок  1 1/4''F x 1 1/4"M (AQUALINK 35/5)</t>
  </si>
  <si>
    <t>Уголок  1/2"M x 1/2"M (AQUALINK 200/10)</t>
  </si>
  <si>
    <t>Уголок  3/4"M x 3/4"M (AQUALINK 120/10)</t>
  </si>
  <si>
    <t>Футорка  1/2''F x 1 1/4"M (AQUALINK 120/5)</t>
  </si>
  <si>
    <t>Футорка  1''F x 1 1/4"M (AQUALINK 120/5)</t>
  </si>
  <si>
    <t>Футорка  1''F x 1 1/2"M (AQUALINK 70/5)</t>
  </si>
  <si>
    <t>Футорка  1 1/4''F x 1 1/2"M (AQUALINK 70/5)</t>
  </si>
  <si>
    <t>Футорка  1 1/2''F x 2"M (AQUALINK 40/5)</t>
  </si>
  <si>
    <t>I:\20_Соглавание_цен\Аналитика\Для подгрузки.xlsm</t>
  </si>
  <si>
    <t>Максимальная себестоимость</t>
  </si>
  <si>
    <t>Наценка на цену СантехСтандарт</t>
  </si>
  <si>
    <t>Наценка на цену Конкурента</t>
  </si>
  <si>
    <t>Наценка на счет СантехСтандарт</t>
  </si>
  <si>
    <t>Наценка на счет от конкурента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</si>
</sst>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\ _₽"/>
    <numFmt numFmtId="165" formatCode="0.0%"/>
    <numFmt numFmtId="166" formatCode="_-* #,##0.0_-;\-* #,##0.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2" applyNumberFormat="1" applyFont="1" applyAlignment="1">
      <alignment horizontal="center" vertical="center" wrapText="1"/>
    </xf>
    <xf numFmtId="166" fontId="0" fillId="0" borderId="0" xfId="1" applyNumberFormat="1" applyFont="1" applyAlignment="1">
      <alignment horizontal="right" vertical="center"/>
    </xf>
    <xf numFmtId="9" fontId="0" fillId="0" borderId="6" xfId="2" applyFont="1" applyBorder="1" applyAlignment="1">
      <alignment horizontal="center" vertical="center" wrapText="1"/>
    </xf>
    <xf numFmtId="9" fontId="0" fillId="2" borderId="6" xfId="2" applyFont="1" applyFill="1" applyBorder="1" applyAlignment="1">
      <alignment horizontal="center" vertical="center" wrapText="1"/>
    </xf>
    <xf numFmtId="9" fontId="0" fillId="0" borderId="0" xfId="2" applyFont="1" applyAlignment="1">
      <alignment horizontal="right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F28F8AA9-036C-454C-A036-8441215023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2" xr16:uid="{1C24DD90-F17B-4B10-B953-DFC47D668C0D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0F3552-0D27-412E-820C-89C2170A1458}" name="Входящие_файлы_СЧЕТА" displayName="Входящие_файлы_СЧЕТА" ref="B5:K50" tableType="queryTable" totalsRowShown="0" headerRowDxfId="9">
  <autoFilter ref="B5:K50" xr:uid="{B832FD5B-F0C5-4BC4-BF31-2FDA64A05B9F}"/>
  <tableColumns count="10">
    <tableColumn id="13" xr3:uid="{3A714CD4-FA97-4163-BA7B-5A80244D91FF}" uniqueName="13" name="Артикул" queryTableFieldId="13" dataDxfId="8"/>
    <tableColumn id="14" xr3:uid="{DCB6C015-5D1F-4502-A086-37A7BAD7ED6E}" uniqueName="14" name="Товары (работы, услуги)" queryTableFieldId="14"/>
    <tableColumn id="15" xr3:uid="{994E7123-6F51-48C9-AF8E-5483BC5C4578}" uniqueName="15" name="Количество" queryTableFieldId="15" dataDxfId="7"/>
    <tableColumn id="16" xr3:uid="{3974110A-DB70-4EBF-A1DB-45AA89159643}" uniqueName="16" name="Цена" queryTableFieldId="16" dataDxfId="6" dataCellStyle="Финансовый"/>
    <tableColumn id="17" xr3:uid="{C80BC6EA-80C5-4933-B202-4AAC2F3944F2}" uniqueName="17" name="Сумма" queryTableFieldId="17" dataDxfId="5" dataCellStyle="Финансовый"/>
    <tableColumn id="1" xr3:uid="{8DE59ADA-792A-4AD1-A3DB-7BA9D5C7A56E}" uniqueName="1" name="Цена конкурента" queryTableFieldId="22" dataDxfId="4" dataCellStyle="Финансовый"/>
    <tableColumn id="2" xr3:uid="{E939A701-2BD8-41C5-8871-96D707088C2B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27B9EC44-3200-40F7-B606-FB1C6332A6CD}" uniqueName="3" name="Максимальная себестоимость" queryTableFieldId="25" dataDxfId="2" dataCellStyle="Финансовый"/>
    <tableColumn id="4" xr3:uid="{D1A07748-6BA3-4452-85B5-2A8A85F18A00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94D9A5E0-75B0-4C9C-8620-798D80169296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A946D-98FE-4C35-884D-A1902512EBBB}">
  <sheetPr codeName="Лист2"/>
  <dimension ref="B1:O50"/>
  <sheetViews>
    <sheetView tabSelected="1" workbookViewId="0">
      <selection activeCell="J6" sqref="J6:K50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53.5703125" bestFit="1" customWidth="1"/>
    <col min="4" max="4" width="16.140625" bestFit="1" customWidth="1"/>
    <col min="5" max="5" width="10.28515625" style="1" bestFit="1" customWidth="1"/>
    <col min="6" max="6" width="11.5703125" style="1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55</v>
      </c>
    </row>
    <row r="2" spans="2:15" ht="42.75" customHeight="1" thickBot="1" x14ac:dyDescent="0.3">
      <c r="B2" s="2" t="s">
        <v>0</v>
      </c>
      <c r="C2" s="3" t="s">
        <v>1</v>
      </c>
      <c r="D2" s="4" t="s">
        <v>2</v>
      </c>
      <c r="E2" s="5">
        <v>45222</v>
      </c>
      <c r="F2" s="6"/>
      <c r="J2" s="15" t="s">
        <v>59</v>
      </c>
      <c r="K2" s="15" t="s">
        <v>60</v>
      </c>
    </row>
    <row r="3" spans="2:15" ht="33" customHeight="1" thickBot="1" x14ac:dyDescent="0.3">
      <c r="B3" s="2" t="s">
        <v>3</v>
      </c>
      <c r="C3" s="7" t="s">
        <v>4</v>
      </c>
      <c r="D3" s="2" t="s">
        <v>5</v>
      </c>
      <c r="E3" s="8">
        <v>32598</v>
      </c>
      <c r="F3" s="9"/>
      <c r="J3" s="14">
        <v>0.40128945663823612</v>
      </c>
      <c r="K3" s="14">
        <v>0.27846904692359592</v>
      </c>
    </row>
    <row r="5" spans="2:15" s="10" customFormat="1" ht="30" x14ac:dyDescent="0.25">
      <c r="B5" s="10" t="s">
        <v>6</v>
      </c>
      <c r="C5" s="10" t="s">
        <v>7</v>
      </c>
      <c r="D5" s="10" t="s">
        <v>8</v>
      </c>
      <c r="E5" s="11" t="s">
        <v>9</v>
      </c>
      <c r="F5" s="11" t="s">
        <v>10</v>
      </c>
      <c r="G5" s="10" t="s">
        <v>11</v>
      </c>
      <c r="H5" s="10" t="s">
        <v>12</v>
      </c>
      <c r="I5" s="10" t="s">
        <v>56</v>
      </c>
      <c r="J5" s="12" t="s">
        <v>57</v>
      </c>
      <c r="K5" s="10" t="s">
        <v>58</v>
      </c>
    </row>
    <row r="6" spans="2:15" x14ac:dyDescent="0.25">
      <c r="B6">
        <v>4536</v>
      </c>
      <c r="C6" t="s">
        <v>13</v>
      </c>
      <c r="D6">
        <v>50</v>
      </c>
      <c r="E6" s="13">
        <v>762.13</v>
      </c>
      <c r="F6" s="13">
        <v>38106.49</v>
      </c>
      <c r="G6" s="13">
        <v>0</v>
      </c>
      <c r="H6" s="13">
        <f>Входящие_файлы_СЧЕТА[[#This Row],[Цена конкурента]]*Входящие_файлы_СЧЕТА[[#This Row],[Количество]]</f>
        <v>0</v>
      </c>
      <c r="I6" s="13">
        <v>0</v>
      </c>
      <c r="J6" s="16" t="str">
        <f>IFERROR(Входящие_файлы_СЧЕТА[[#This Row],[Цена]]/Входящие_файлы_СЧЕТА[[#This Row],[Максимальная себестоимость]]-1,"")</f>
        <v/>
      </c>
      <c r="K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7" spans="2:15" x14ac:dyDescent="0.25">
      <c r="B7">
        <v>2543</v>
      </c>
      <c r="C7" t="s">
        <v>14</v>
      </c>
      <c r="D7">
        <v>30</v>
      </c>
      <c r="E7" s="13">
        <v>146.08000000000001</v>
      </c>
      <c r="F7" s="13">
        <v>4382.3900000000003</v>
      </c>
      <c r="G7" s="13">
        <v>0</v>
      </c>
      <c r="H7" s="13">
        <f>Входящие_файлы_СЧЕТА[[#This Row],[Цена конкурента]]*Входящие_файлы_СЧЕТА[[#This Row],[Количество]]</f>
        <v>0</v>
      </c>
      <c r="I7" s="13">
        <v>0</v>
      </c>
      <c r="J7" s="16" t="str">
        <f>IFERROR(Входящие_файлы_СЧЕТА[[#This Row],[Цена]]/Входящие_файлы_СЧЕТА[[#This Row],[Максимальная себестоимость]]-1,"")</f>
        <v/>
      </c>
      <c r="K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8" spans="2:15" x14ac:dyDescent="0.25">
      <c r="B8">
        <v>2546</v>
      </c>
      <c r="C8" t="s">
        <v>15</v>
      </c>
      <c r="D8">
        <v>40</v>
      </c>
      <c r="E8" s="13">
        <v>185.34</v>
      </c>
      <c r="F8" s="13">
        <v>7413.42</v>
      </c>
      <c r="G8" s="13">
        <v>0</v>
      </c>
      <c r="H8" s="13">
        <f>Входящие_файлы_СЧЕТА[[#This Row],[Цена конкурента]]*Входящие_файлы_СЧЕТА[[#This Row],[Количество]]</f>
        <v>0</v>
      </c>
      <c r="I8" s="13">
        <v>0</v>
      </c>
      <c r="J8" s="16" t="str">
        <f>IFERROR(Входящие_файлы_СЧЕТА[[#This Row],[Цена]]/Входящие_файлы_СЧЕТА[[#This Row],[Максимальная себестоимость]]-1,"")</f>
        <v/>
      </c>
      <c r="K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9" spans="2:15" x14ac:dyDescent="0.25">
      <c r="B9">
        <v>2366</v>
      </c>
      <c r="C9" t="s">
        <v>16</v>
      </c>
      <c r="D9">
        <v>20</v>
      </c>
      <c r="E9" s="13">
        <v>189.88</v>
      </c>
      <c r="F9" s="13">
        <v>3797.57</v>
      </c>
      <c r="G9" s="13">
        <v>40.340000000000003</v>
      </c>
      <c r="H9" s="13">
        <f>Входящие_файлы_СЧЕТА[[#This Row],[Цена конкурента]]*Входящие_файлы_СЧЕТА[[#This Row],[Количество]]</f>
        <v>806.80000000000007</v>
      </c>
      <c r="I9" s="13">
        <v>119.32839485306877</v>
      </c>
      <c r="J9" s="16">
        <f>IFERROR(Входящие_файлы_СЧЕТА[[#This Row],[Цена]]/Входящие_файлы_СЧЕТА[[#This Row],[Максимальная себестоимость]]-1,"")</f>
        <v>0.59123903605510408</v>
      </c>
      <c r="K9" s="16">
        <f>IFERROR(Входящие_файлы_СЧЕТА[[#This Row],[Цена конкурента]]/Входящие_файлы_СЧЕТА[[#This Row],[Максимальная себестоимость]]-1,"")</f>
        <v>-0.66194131707150361</v>
      </c>
    </row>
    <row r="10" spans="2:15" x14ac:dyDescent="0.25">
      <c r="B10">
        <v>4489</v>
      </c>
      <c r="C10" t="s">
        <v>17</v>
      </c>
      <c r="D10">
        <v>10</v>
      </c>
      <c r="E10" s="13">
        <v>243.44</v>
      </c>
      <c r="F10" s="13">
        <v>2434.41</v>
      </c>
      <c r="G10" s="13">
        <v>39.340000000000003</v>
      </c>
      <c r="H10" s="13">
        <f>Входящие_файлы_СЧЕТА[[#This Row],[Цена конкурента]]*Входящие_файлы_СЧЕТА[[#This Row],[Количество]]</f>
        <v>393.40000000000003</v>
      </c>
      <c r="I10" s="13">
        <v>175.160946573312</v>
      </c>
      <c r="J10" s="16">
        <f>IFERROR(Входящие_файлы_СЧЕТА[[#This Row],[Цена]]/Входящие_файлы_СЧЕТА[[#This Row],[Максимальная себестоимость]]-1,"")</f>
        <v>0.38980751567308092</v>
      </c>
      <c r="K10" s="16">
        <f>IFERROR(Входящие_файлы_СЧЕТА[[#This Row],[Цена конкурента]]/Входящие_файлы_СЧЕТА[[#This Row],[Максимальная себестоимость]]-1,"")</f>
        <v>-0.7754065573998562</v>
      </c>
    </row>
    <row r="11" spans="2:15" x14ac:dyDescent="0.25">
      <c r="B11">
        <v>2532</v>
      </c>
      <c r="C11" t="s">
        <v>18</v>
      </c>
      <c r="D11">
        <v>30</v>
      </c>
      <c r="E11" s="13">
        <v>157.91999999999999</v>
      </c>
      <c r="F11" s="13">
        <v>4737.7299999999996</v>
      </c>
      <c r="G11" s="13">
        <v>0</v>
      </c>
      <c r="H11" s="13">
        <f>Входящие_файлы_СЧЕТА[[#This Row],[Цена конкурента]]*Входящие_файлы_СЧЕТА[[#This Row],[Количество]]</f>
        <v>0</v>
      </c>
      <c r="I11" s="13">
        <v>0</v>
      </c>
      <c r="J11" s="16" t="str">
        <f>IFERROR(Входящие_файлы_СЧЕТА[[#This Row],[Цена]]/Входящие_файлы_СЧЕТА[[#This Row],[Максимальная себестоимость]]-1,"")</f>
        <v/>
      </c>
      <c r="K1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2" spans="2:15" x14ac:dyDescent="0.25">
      <c r="B12">
        <v>2527</v>
      </c>
      <c r="C12" t="s">
        <v>19</v>
      </c>
      <c r="D12">
        <v>100</v>
      </c>
      <c r="E12" s="13">
        <v>123.29</v>
      </c>
      <c r="F12" s="13">
        <v>12328.53</v>
      </c>
      <c r="G12" s="13">
        <v>0</v>
      </c>
      <c r="H12" s="13">
        <f>Входящие_файлы_СЧЕТА[[#This Row],[Цена конкурента]]*Входящие_файлы_СЧЕТА[[#This Row],[Количество]]</f>
        <v>0</v>
      </c>
      <c r="I12" s="13">
        <v>0</v>
      </c>
      <c r="J12" s="16" t="str">
        <f>IFERROR(Входящие_файлы_СЧЕТА[[#This Row],[Цена]]/Входящие_файлы_СЧЕТА[[#This Row],[Максимальная себестоимость]]-1,"")</f>
        <v/>
      </c>
      <c r="K1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3" spans="2:15" x14ac:dyDescent="0.25">
      <c r="B13">
        <v>2528</v>
      </c>
      <c r="C13" t="s">
        <v>20</v>
      </c>
      <c r="D13">
        <v>5</v>
      </c>
      <c r="E13" s="13">
        <v>178.93</v>
      </c>
      <c r="F13" s="13">
        <v>894.64</v>
      </c>
      <c r="G13" s="13">
        <v>147.1</v>
      </c>
      <c r="H13" s="13">
        <f>Входящие_файлы_СЧЕТА[[#This Row],[Цена конкурента]]*Входящие_файлы_СЧЕТА[[#This Row],[Количество]]</f>
        <v>735.5</v>
      </c>
      <c r="I13" s="13">
        <v>136.4065871439667</v>
      </c>
      <c r="J13" s="16">
        <f>IFERROR(Входящие_файлы_СЧЕТА[[#This Row],[Цена]]/Входящие_файлы_СЧЕТА[[#This Row],[Максимальная себестоимость]]-1,"")</f>
        <v>0.31174017139768395</v>
      </c>
      <c r="K13" s="16">
        <f>IFERROR(Входящие_файлы_СЧЕТА[[#This Row],[Цена конкурента]]/Входящие_файлы_СЧЕТА[[#This Row],[Максимальная себестоимость]]-1,"")</f>
        <v>7.8393669102997388E-2</v>
      </c>
    </row>
    <row r="14" spans="2:15" x14ac:dyDescent="0.25">
      <c r="B14">
        <v>2528</v>
      </c>
      <c r="C14" t="s">
        <v>20</v>
      </c>
      <c r="D14">
        <v>35</v>
      </c>
      <c r="E14" s="13">
        <v>178.93</v>
      </c>
      <c r="F14" s="13">
        <v>6262.5</v>
      </c>
      <c r="G14" s="13">
        <v>0</v>
      </c>
      <c r="H14" s="13">
        <f>Входящие_файлы_СЧЕТА[[#This Row],[Цена конкурента]]*Входящие_файлы_СЧЕТА[[#This Row],[Количество]]</f>
        <v>0</v>
      </c>
      <c r="I14" s="13">
        <v>0</v>
      </c>
      <c r="J14" s="16" t="str">
        <f>IFERROR(Входящие_файлы_СЧЕТА[[#This Row],[Цена]]/Входящие_файлы_СЧЕТА[[#This Row],[Максимальная себестоимость]]-1,"")</f>
        <v/>
      </c>
      <c r="K1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5" spans="2:15" x14ac:dyDescent="0.25">
      <c r="B15">
        <v>2361</v>
      </c>
      <c r="C15" t="s">
        <v>21</v>
      </c>
      <c r="D15">
        <v>10</v>
      </c>
      <c r="E15" s="13">
        <v>119.04</v>
      </c>
      <c r="F15" s="13">
        <v>1190.3900000000001</v>
      </c>
      <c r="G15" s="13">
        <v>0</v>
      </c>
      <c r="H15" s="13">
        <f>Входящие_файлы_СЧЕТА[[#This Row],[Цена конкурента]]*Входящие_файлы_СЧЕТА[[#This Row],[Количество]]</f>
        <v>0</v>
      </c>
      <c r="I15" s="13">
        <v>0</v>
      </c>
      <c r="J15" s="16" t="str">
        <f>IFERROR(Входящие_файлы_СЧЕТА[[#This Row],[Цена]]/Входящие_файлы_СЧЕТА[[#This Row],[Максимальная себестоимость]]-1,"")</f>
        <v/>
      </c>
      <c r="K1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6" spans="2:15" x14ac:dyDescent="0.25">
      <c r="B16">
        <v>2537</v>
      </c>
      <c r="C16" t="s">
        <v>22</v>
      </c>
      <c r="D16">
        <v>25</v>
      </c>
      <c r="E16" s="13">
        <v>119.04</v>
      </c>
      <c r="F16" s="13">
        <v>2975.97</v>
      </c>
      <c r="G16" s="13">
        <v>0</v>
      </c>
      <c r="H16" s="13">
        <f>Входящие_файлы_СЧЕТА[[#This Row],[Цена конкурента]]*Входящие_файлы_СЧЕТА[[#This Row],[Количество]]</f>
        <v>0</v>
      </c>
      <c r="I16" s="13">
        <v>0</v>
      </c>
      <c r="J16" s="16" t="str">
        <f>IFERROR(Входящие_файлы_СЧЕТА[[#This Row],[Цена]]/Входящие_файлы_СЧЕТА[[#This Row],[Максимальная себестоимость]]-1,"")</f>
        <v/>
      </c>
      <c r="K1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2537</v>
      </c>
      <c r="C17" t="s">
        <v>22</v>
      </c>
      <c r="D17">
        <v>15</v>
      </c>
      <c r="E17" s="13">
        <v>119.04</v>
      </c>
      <c r="F17" s="13">
        <v>1785.58</v>
      </c>
      <c r="G17" s="13">
        <v>0</v>
      </c>
      <c r="H17" s="13">
        <f>Входящие_файлы_СЧЕТА[[#This Row],[Цена конкурента]]*Входящие_файлы_СЧЕТА[[#This Row],[Количество]]</f>
        <v>0</v>
      </c>
      <c r="I17" s="13">
        <v>0</v>
      </c>
      <c r="J17" s="16" t="str">
        <f>IFERROR(Входящие_файлы_СЧЕТА[[#This Row],[Цена]]/Входящие_файлы_СЧЕТА[[#This Row],[Максимальная себестоимость]]-1,"")</f>
        <v/>
      </c>
      <c r="K1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8" spans="2:11" x14ac:dyDescent="0.25">
      <c r="B18">
        <v>2538</v>
      </c>
      <c r="C18" t="s">
        <v>23</v>
      </c>
      <c r="D18">
        <v>50</v>
      </c>
      <c r="E18" s="13">
        <v>129.47</v>
      </c>
      <c r="F18" s="13">
        <v>6473.49</v>
      </c>
      <c r="G18" s="13">
        <v>0</v>
      </c>
      <c r="H18" s="13">
        <f>Входящие_файлы_СЧЕТА[[#This Row],[Цена конкурента]]*Входящие_файлы_СЧЕТА[[#This Row],[Количество]]</f>
        <v>0</v>
      </c>
      <c r="I18" s="13">
        <v>0</v>
      </c>
      <c r="J18" s="16" t="str">
        <f>IFERROR(Входящие_файлы_СЧЕТА[[#This Row],[Цена]]/Входящие_файлы_СЧЕТА[[#This Row],[Максимальная себестоимость]]-1,"")</f>
        <v/>
      </c>
      <c r="K1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9" spans="2:11" x14ac:dyDescent="0.25">
      <c r="B19">
        <v>4483</v>
      </c>
      <c r="C19" t="s">
        <v>24</v>
      </c>
      <c r="D19">
        <v>10</v>
      </c>
      <c r="E19" s="13">
        <v>261.77</v>
      </c>
      <c r="F19" s="13">
        <v>2617.67</v>
      </c>
      <c r="G19" s="13">
        <v>0</v>
      </c>
      <c r="H19" s="13">
        <f>Входящие_файлы_СЧЕТА[[#This Row],[Цена конкурента]]*Входящие_файлы_СЧЕТА[[#This Row],[Количество]]</f>
        <v>0</v>
      </c>
      <c r="I19" s="13">
        <v>0</v>
      </c>
      <c r="J19" s="16" t="str">
        <f>IFERROR(Входящие_файлы_СЧЕТА[[#This Row],[Цена]]/Входящие_файлы_СЧЕТА[[#This Row],[Максимальная себестоимость]]-1,"")</f>
        <v/>
      </c>
      <c r="K1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0" spans="2:11" x14ac:dyDescent="0.25">
      <c r="B20">
        <v>2547</v>
      </c>
      <c r="C20" t="s">
        <v>25</v>
      </c>
      <c r="D20">
        <v>40</v>
      </c>
      <c r="E20" s="13">
        <v>30.47</v>
      </c>
      <c r="F20" s="13">
        <v>1218.6600000000001</v>
      </c>
      <c r="G20" s="13">
        <v>0</v>
      </c>
      <c r="H20" s="13">
        <f>Входящие_файлы_СЧЕТА[[#This Row],[Цена конкурента]]*Входящие_файлы_СЧЕТА[[#This Row],[Количество]]</f>
        <v>0</v>
      </c>
      <c r="I20" s="13">
        <v>0</v>
      </c>
      <c r="J20" s="16" t="str">
        <f>IFERROR(Входящие_файлы_СЧЕТА[[#This Row],[Цена]]/Входящие_файлы_СЧЕТА[[#This Row],[Максимальная себестоимость]]-1,"")</f>
        <v/>
      </c>
      <c r="K2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1" spans="2:11" x14ac:dyDescent="0.25">
      <c r="B21">
        <v>2684</v>
      </c>
      <c r="C21" t="s">
        <v>26</v>
      </c>
      <c r="D21">
        <v>50</v>
      </c>
      <c r="E21" s="13">
        <v>42.46</v>
      </c>
      <c r="F21" s="13">
        <v>2122.96</v>
      </c>
      <c r="G21" s="13">
        <v>0</v>
      </c>
      <c r="H21" s="13">
        <f>Входящие_файлы_СЧЕТА[[#This Row],[Цена конкурента]]*Входящие_файлы_СЧЕТА[[#This Row],[Количество]]</f>
        <v>0</v>
      </c>
      <c r="I21" s="13">
        <v>0</v>
      </c>
      <c r="J21" s="16" t="str">
        <f>IFERROR(Входящие_файлы_СЧЕТА[[#This Row],[Цена]]/Входящие_файлы_СЧЕТА[[#This Row],[Максимальная себестоимость]]-1,"")</f>
        <v/>
      </c>
      <c r="K2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2" spans="2:11" x14ac:dyDescent="0.25">
      <c r="B22">
        <v>2683</v>
      </c>
      <c r="C22" t="s">
        <v>27</v>
      </c>
      <c r="D22">
        <v>10</v>
      </c>
      <c r="E22" s="13">
        <v>68.680000000000007</v>
      </c>
      <c r="F22" s="13">
        <v>686.79</v>
      </c>
      <c r="G22" s="13">
        <v>0</v>
      </c>
      <c r="H22" s="13">
        <f>Входящие_файлы_СЧЕТА[[#This Row],[Цена конкурента]]*Входящие_файлы_СЧЕТА[[#This Row],[Количество]]</f>
        <v>0</v>
      </c>
      <c r="I22" s="13">
        <v>0</v>
      </c>
      <c r="J22" s="16" t="str">
        <f>IFERROR(Входящие_файлы_СЧЕТА[[#This Row],[Цена]]/Входящие_файлы_СЧЕТА[[#This Row],[Максимальная себестоимость]]-1,"")</f>
        <v/>
      </c>
      <c r="K2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3" spans="2:11" x14ac:dyDescent="0.25">
      <c r="B23">
        <v>2369</v>
      </c>
      <c r="C23" t="s">
        <v>28</v>
      </c>
      <c r="D23">
        <v>30</v>
      </c>
      <c r="E23" s="13">
        <v>127.53</v>
      </c>
      <c r="F23" s="13">
        <v>3825.95</v>
      </c>
      <c r="G23" s="13">
        <v>0</v>
      </c>
      <c r="H23" s="13">
        <f>Входящие_файлы_СЧЕТА[[#This Row],[Цена конкурента]]*Входящие_файлы_СЧЕТА[[#This Row],[Количество]]</f>
        <v>0</v>
      </c>
      <c r="I23" s="13">
        <v>0</v>
      </c>
      <c r="J23" s="16" t="str">
        <f>IFERROR(Входящие_файлы_СЧЕТА[[#This Row],[Цена]]/Входящие_файлы_СЧЕТА[[#This Row],[Максимальная себестоимость]]-1,"")</f>
        <v/>
      </c>
      <c r="K2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4" spans="2:11" x14ac:dyDescent="0.25">
      <c r="B24">
        <v>2370</v>
      </c>
      <c r="C24" t="s">
        <v>29</v>
      </c>
      <c r="D24">
        <v>50</v>
      </c>
      <c r="E24" s="13">
        <v>186.01</v>
      </c>
      <c r="F24" s="13">
        <v>9300.4</v>
      </c>
      <c r="G24" s="13">
        <v>0</v>
      </c>
      <c r="H24" s="13">
        <f>Входящие_файлы_СЧЕТА[[#This Row],[Цена конкурента]]*Входящие_файлы_СЧЕТА[[#This Row],[Количество]]</f>
        <v>0</v>
      </c>
      <c r="I24" s="13">
        <v>0</v>
      </c>
      <c r="J24" s="16" t="str">
        <f>IFERROR(Входящие_файлы_СЧЕТА[[#This Row],[Цена]]/Входящие_файлы_СЧЕТА[[#This Row],[Максимальная себестоимость]]-1,"")</f>
        <v/>
      </c>
      <c r="K2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5" spans="2:11" x14ac:dyDescent="0.25">
      <c r="B25">
        <v>4491</v>
      </c>
      <c r="C25" t="s">
        <v>30</v>
      </c>
      <c r="D25">
        <v>20</v>
      </c>
      <c r="E25" s="13">
        <v>272.04000000000002</v>
      </c>
      <c r="F25" s="13">
        <v>5440.88</v>
      </c>
      <c r="G25" s="13">
        <v>0</v>
      </c>
      <c r="H25" s="13">
        <f>Входящие_файлы_СЧЕТА[[#This Row],[Цена конкурента]]*Входящие_файлы_СЧЕТА[[#This Row],[Количество]]</f>
        <v>0</v>
      </c>
      <c r="I25" s="13">
        <v>0</v>
      </c>
      <c r="J25" s="16" t="str">
        <f>IFERROR(Входящие_файлы_СЧЕТА[[#This Row],[Цена]]/Входящие_файлы_СЧЕТА[[#This Row],[Максимальная себестоимость]]-1,"")</f>
        <v/>
      </c>
      <c r="K2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6" spans="2:11" x14ac:dyDescent="0.25">
      <c r="B26">
        <v>4492</v>
      </c>
      <c r="C26" t="s">
        <v>31</v>
      </c>
      <c r="D26">
        <v>55</v>
      </c>
      <c r="E26" s="13">
        <v>269.58999999999997</v>
      </c>
      <c r="F26" s="13">
        <v>14827.3</v>
      </c>
      <c r="G26" s="13">
        <v>0</v>
      </c>
      <c r="H26" s="13">
        <f>Входящие_файлы_СЧЕТА[[#This Row],[Цена конкурента]]*Входящие_файлы_СЧЕТА[[#This Row],[Количество]]</f>
        <v>0</v>
      </c>
      <c r="I26" s="13">
        <v>0</v>
      </c>
      <c r="J26" s="16" t="str">
        <f>IFERROR(Входящие_файлы_СЧЕТА[[#This Row],[Цена]]/Входящие_файлы_СЧЕТА[[#This Row],[Максимальная себестоимость]]-1,"")</f>
        <v/>
      </c>
      <c r="K2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7" spans="2:11" x14ac:dyDescent="0.25">
      <c r="B27">
        <v>2572</v>
      </c>
      <c r="C27" t="s">
        <v>32</v>
      </c>
      <c r="D27">
        <v>10</v>
      </c>
      <c r="E27" s="13">
        <v>114.57</v>
      </c>
      <c r="F27" s="13">
        <v>1145.7</v>
      </c>
      <c r="G27" s="13">
        <v>59.76</v>
      </c>
      <c r="H27" s="13">
        <f>Входящие_файлы_СЧЕТА[[#This Row],[Цена конкурента]]*Входящие_файлы_СЧЕТА[[#This Row],[Количество]]</f>
        <v>597.6</v>
      </c>
      <c r="I27" s="13">
        <v>86.485717370572786</v>
      </c>
      <c r="J27" s="16">
        <f>IFERROR(Входящие_файлы_СЧЕТА[[#This Row],[Цена]]/Входящие_файлы_СЧЕТА[[#This Row],[Максимальная себестоимость]]-1,"")</f>
        <v>0.32472740567199176</v>
      </c>
      <c r="K27" s="16">
        <f>IFERROR(Входящие_файлы_СЧЕТА[[#This Row],[Цена конкурента]]/Входящие_файлы_СЧЕТА[[#This Row],[Максимальная себестоимость]]-1,"")</f>
        <v>-0.30901885517187544</v>
      </c>
    </row>
    <row r="28" spans="2:11" x14ac:dyDescent="0.25">
      <c r="B28">
        <v>2571</v>
      </c>
      <c r="C28" t="s">
        <v>33</v>
      </c>
      <c r="D28">
        <v>20</v>
      </c>
      <c r="E28" s="13">
        <v>349.44</v>
      </c>
      <c r="F28" s="13">
        <v>6988.88</v>
      </c>
      <c r="G28" s="13">
        <v>0</v>
      </c>
      <c r="H28" s="13">
        <f>Входящие_файлы_СЧЕТА[[#This Row],[Цена конкурента]]*Входящие_файлы_СЧЕТА[[#This Row],[Количество]]</f>
        <v>0</v>
      </c>
      <c r="I28" s="13">
        <v>0</v>
      </c>
      <c r="J28" s="16" t="str">
        <f>IFERROR(Входящие_файлы_СЧЕТА[[#This Row],[Цена]]/Входящие_файлы_СЧЕТА[[#This Row],[Максимальная себестоимость]]-1,"")</f>
        <v/>
      </c>
      <c r="K2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9" spans="2:11" x14ac:dyDescent="0.25">
      <c r="B29">
        <v>4511</v>
      </c>
      <c r="C29" t="s">
        <v>34</v>
      </c>
      <c r="D29">
        <v>10</v>
      </c>
      <c r="E29" s="13">
        <v>516.75</v>
      </c>
      <c r="F29" s="13">
        <v>5167.51</v>
      </c>
      <c r="G29" s="13">
        <v>0</v>
      </c>
      <c r="H29" s="13">
        <f>Входящие_файлы_СЧЕТА[[#This Row],[Цена конкурента]]*Входящие_файлы_СЧЕТА[[#This Row],[Количество]]</f>
        <v>0</v>
      </c>
      <c r="I29" s="13">
        <v>0</v>
      </c>
      <c r="J29" s="16" t="str">
        <f>IFERROR(Входящие_файлы_СЧЕТА[[#This Row],[Цена]]/Входящие_файлы_СЧЕТА[[#This Row],[Максимальная себестоимость]]-1,"")</f>
        <v/>
      </c>
      <c r="K2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0" spans="2:11" x14ac:dyDescent="0.25">
      <c r="B30">
        <v>2381</v>
      </c>
      <c r="C30" t="s">
        <v>35</v>
      </c>
      <c r="D30">
        <v>50</v>
      </c>
      <c r="E30" s="13">
        <v>99.23</v>
      </c>
      <c r="F30" s="13">
        <v>4961.28</v>
      </c>
      <c r="G30" s="13">
        <v>0</v>
      </c>
      <c r="H30" s="13">
        <f>Входящие_файлы_СЧЕТА[[#This Row],[Цена конкурента]]*Входящие_файлы_СЧЕТА[[#This Row],[Количество]]</f>
        <v>0</v>
      </c>
      <c r="I30" s="13">
        <v>0</v>
      </c>
      <c r="J30" s="16" t="str">
        <f>IFERROR(Входящие_файлы_СЧЕТА[[#This Row],[Цена]]/Входящие_файлы_СЧЕТА[[#This Row],[Максимальная себестоимость]]-1,"")</f>
        <v/>
      </c>
      <c r="K3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1" spans="2:11" x14ac:dyDescent="0.25">
      <c r="B31">
        <v>4521</v>
      </c>
      <c r="C31" t="s">
        <v>36</v>
      </c>
      <c r="D31">
        <v>20</v>
      </c>
      <c r="E31" s="13">
        <v>161.79</v>
      </c>
      <c r="F31" s="13">
        <v>3235.89</v>
      </c>
      <c r="G31" s="13">
        <v>0</v>
      </c>
      <c r="H31" s="13">
        <f>Входящие_файлы_СЧЕТА[[#This Row],[Цена конкурента]]*Входящие_файлы_СЧЕТА[[#This Row],[Количество]]</f>
        <v>0</v>
      </c>
      <c r="I31" s="13">
        <v>0</v>
      </c>
      <c r="J31" s="16" t="str">
        <f>IFERROR(Входящие_файлы_СЧЕТА[[#This Row],[Цена]]/Входящие_файлы_СЧЕТА[[#This Row],[Максимальная себестоимость]]-1,"")</f>
        <v/>
      </c>
      <c r="K3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2" spans="2:11" x14ac:dyDescent="0.25">
      <c r="B32">
        <v>4522</v>
      </c>
      <c r="C32" t="s">
        <v>37</v>
      </c>
      <c r="D32">
        <v>5</v>
      </c>
      <c r="E32" s="13">
        <v>270.93</v>
      </c>
      <c r="F32" s="13">
        <v>1354.63</v>
      </c>
      <c r="G32" s="13">
        <v>0</v>
      </c>
      <c r="H32" s="13">
        <f>Входящие_файлы_СЧЕТА[[#This Row],[Цена конкурента]]*Входящие_файлы_СЧЕТА[[#This Row],[Количество]]</f>
        <v>0</v>
      </c>
      <c r="I32" s="13">
        <v>0</v>
      </c>
      <c r="J32" s="16" t="str">
        <f>IFERROR(Входящие_файлы_СЧЕТА[[#This Row],[Цена]]/Входящие_файлы_СЧЕТА[[#This Row],[Максимальная себестоимость]]-1,"")</f>
        <v/>
      </c>
      <c r="K3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3" spans="2:11" x14ac:dyDescent="0.25">
      <c r="B33">
        <v>2574</v>
      </c>
      <c r="C33" t="s">
        <v>38</v>
      </c>
      <c r="D33">
        <v>20</v>
      </c>
      <c r="E33" s="13">
        <v>89.24</v>
      </c>
      <c r="F33" s="13">
        <v>1784.78</v>
      </c>
      <c r="G33" s="13">
        <v>0</v>
      </c>
      <c r="H33" s="13">
        <f>Входящие_файлы_СЧЕТА[[#This Row],[Цена конкурента]]*Входящие_файлы_СЧЕТА[[#This Row],[Количество]]</f>
        <v>0</v>
      </c>
      <c r="I33" s="13">
        <v>0</v>
      </c>
      <c r="J33" s="16" t="str">
        <f>IFERROR(Входящие_файлы_СЧЕТА[[#This Row],[Цена]]/Входящие_файлы_СЧЕТА[[#This Row],[Максимальная себестоимость]]-1,"")</f>
        <v/>
      </c>
      <c r="K3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4" spans="2:11" x14ac:dyDescent="0.25">
      <c r="B34">
        <v>2380</v>
      </c>
      <c r="C34" t="s">
        <v>39</v>
      </c>
      <c r="D34">
        <v>200</v>
      </c>
      <c r="E34" s="13">
        <v>89.02</v>
      </c>
      <c r="F34" s="13">
        <v>17803.38</v>
      </c>
      <c r="G34" s="13">
        <v>0</v>
      </c>
      <c r="H34" s="13">
        <f>Входящие_файлы_СЧЕТА[[#This Row],[Цена конкурента]]*Входящие_файлы_СЧЕТА[[#This Row],[Количество]]</f>
        <v>0</v>
      </c>
      <c r="I34" s="13">
        <v>0</v>
      </c>
      <c r="J34" s="16" t="str">
        <f>IFERROR(Входящие_файлы_СЧЕТА[[#This Row],[Цена]]/Входящие_файлы_СЧЕТА[[#This Row],[Максимальная себестоимость]]-1,"")</f>
        <v/>
      </c>
      <c r="K3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5" spans="2:11" x14ac:dyDescent="0.25">
      <c r="B35">
        <v>4520</v>
      </c>
      <c r="C35" t="s">
        <v>40</v>
      </c>
      <c r="D35">
        <v>10</v>
      </c>
      <c r="E35" s="13">
        <v>256.55</v>
      </c>
      <c r="F35" s="13">
        <v>2565.5100000000002</v>
      </c>
      <c r="G35" s="13">
        <v>0</v>
      </c>
      <c r="H35" s="13">
        <f>Входящие_файлы_СЧЕТА[[#This Row],[Цена конкурента]]*Входящие_файлы_СЧЕТА[[#This Row],[Количество]]</f>
        <v>0</v>
      </c>
      <c r="I35" s="13">
        <v>0</v>
      </c>
      <c r="J35" s="16" t="str">
        <f>IFERROR(Входящие_файлы_СЧЕТА[[#This Row],[Цена]]/Входящие_файлы_СЧЕТА[[#This Row],[Максимальная себестоимость]]-1,"")</f>
        <v/>
      </c>
      <c r="K3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6" spans="2:11" x14ac:dyDescent="0.25">
      <c r="B36">
        <v>2379</v>
      </c>
      <c r="C36" t="s">
        <v>41</v>
      </c>
      <c r="D36">
        <v>50</v>
      </c>
      <c r="E36" s="13">
        <v>92.52</v>
      </c>
      <c r="F36" s="13">
        <v>4625.83</v>
      </c>
      <c r="G36" s="13">
        <v>0</v>
      </c>
      <c r="H36" s="13">
        <f>Входящие_файлы_СЧЕТА[[#This Row],[Цена конкурента]]*Входящие_файлы_СЧЕТА[[#This Row],[Количество]]</f>
        <v>0</v>
      </c>
      <c r="I36" s="13">
        <v>0</v>
      </c>
      <c r="J36" s="16" t="str">
        <f>IFERROR(Входящие_файлы_СЧЕТА[[#This Row],[Цена]]/Входящие_файлы_СЧЕТА[[#This Row],[Максимальная себестоимость]]-1,"")</f>
        <v/>
      </c>
      <c r="K3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7" spans="2:11" x14ac:dyDescent="0.25">
      <c r="B37">
        <v>2575</v>
      </c>
      <c r="C37" t="s">
        <v>42</v>
      </c>
      <c r="D37">
        <v>70</v>
      </c>
      <c r="E37" s="13">
        <v>81.42</v>
      </c>
      <c r="F37" s="13">
        <v>5699.32</v>
      </c>
      <c r="G37" s="13">
        <v>144.27000000000001</v>
      </c>
      <c r="H37" s="13">
        <f>Входящие_файлы_СЧЕТА[[#This Row],[Цена конкурента]]*Входящие_файлы_СЧЕТА[[#This Row],[Количество]]</f>
        <v>10098.900000000001</v>
      </c>
      <c r="I37" s="13">
        <v>66.013781739816949</v>
      </c>
      <c r="J37" s="16">
        <f>IFERROR(Входящие_файлы_СЧЕТА[[#This Row],[Цена]]/Входящие_файлы_СЧЕТА[[#This Row],[Максимальная себестоимость]]-1,"")</f>
        <v>0.23337881657657888</v>
      </c>
      <c r="K37" s="16">
        <f>IFERROR(Входящие_файлы_СЧЕТА[[#This Row],[Цена конкурента]]/Входящие_файлы_СЧЕТА[[#This Row],[Максимальная себестоимость]]-1,"")</f>
        <v>1.1854527372574681</v>
      </c>
    </row>
    <row r="38" spans="2:11" x14ac:dyDescent="0.25">
      <c r="B38">
        <v>2560</v>
      </c>
      <c r="C38" t="s">
        <v>43</v>
      </c>
      <c r="D38">
        <v>50</v>
      </c>
      <c r="E38" s="13">
        <v>93.12</v>
      </c>
      <c r="F38" s="13">
        <v>4655.76</v>
      </c>
      <c r="G38" s="13">
        <v>0</v>
      </c>
      <c r="H38" s="13">
        <f>Входящие_файлы_СЧЕТА[[#This Row],[Цена конкурента]]*Входящие_файлы_СЧЕТА[[#This Row],[Количество]]</f>
        <v>0</v>
      </c>
      <c r="I38" s="13">
        <v>0</v>
      </c>
      <c r="J38" s="16" t="str">
        <f>IFERROR(Входящие_файлы_СЧЕТА[[#This Row],[Цена]]/Входящие_файлы_СЧЕТА[[#This Row],[Максимальная себестоимость]]-1,"")</f>
        <v/>
      </c>
      <c r="K3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9" spans="2:11" x14ac:dyDescent="0.25">
      <c r="B39">
        <v>2561</v>
      </c>
      <c r="C39" t="s">
        <v>44</v>
      </c>
      <c r="D39">
        <v>400</v>
      </c>
      <c r="E39" s="13">
        <v>63.91</v>
      </c>
      <c r="F39" s="13">
        <v>25565.64</v>
      </c>
      <c r="G39" s="13">
        <v>0</v>
      </c>
      <c r="H39" s="13">
        <f>Входящие_файлы_СЧЕТА[[#This Row],[Цена конкурента]]*Входящие_файлы_СЧЕТА[[#This Row],[Количество]]</f>
        <v>0</v>
      </c>
      <c r="I39" s="13">
        <v>0</v>
      </c>
      <c r="J39" s="16" t="str">
        <f>IFERROR(Входящие_файлы_СЧЕТА[[#This Row],[Цена]]/Входящие_файлы_СЧЕТА[[#This Row],[Максимальная себестоимость]]-1,"")</f>
        <v/>
      </c>
      <c r="K3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0" spans="2:11" x14ac:dyDescent="0.25">
      <c r="B40">
        <v>2562</v>
      </c>
      <c r="C40" t="s">
        <v>45</v>
      </c>
      <c r="D40">
        <v>50</v>
      </c>
      <c r="E40" s="13">
        <v>105.33</v>
      </c>
      <c r="F40" s="13">
        <v>5266.51</v>
      </c>
      <c r="G40" s="13">
        <v>0</v>
      </c>
      <c r="H40" s="13">
        <f>Входящие_файлы_СЧЕТА[[#This Row],[Цена конкурента]]*Входящие_файлы_СЧЕТА[[#This Row],[Количество]]</f>
        <v>0</v>
      </c>
      <c r="I40" s="13">
        <v>0</v>
      </c>
      <c r="J40" s="16" t="str">
        <f>IFERROR(Входящие_файлы_СЧЕТА[[#This Row],[Цена]]/Входящие_файлы_СЧЕТА[[#This Row],[Максимальная себестоимость]]-1,"")</f>
        <v/>
      </c>
      <c r="K4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1" spans="2:11" x14ac:dyDescent="0.25">
      <c r="B41">
        <v>2563</v>
      </c>
      <c r="C41" t="s">
        <v>46</v>
      </c>
      <c r="D41">
        <v>30</v>
      </c>
      <c r="E41" s="13">
        <v>191.59</v>
      </c>
      <c r="F41" s="13">
        <v>5747.82</v>
      </c>
      <c r="G41" s="13">
        <v>0</v>
      </c>
      <c r="H41" s="13">
        <f>Входящие_файлы_СЧЕТА[[#This Row],[Цена конкурента]]*Входящие_файлы_СЧЕТА[[#This Row],[Количество]]</f>
        <v>0</v>
      </c>
      <c r="I41" s="13">
        <v>0</v>
      </c>
      <c r="J41" s="16" t="str">
        <f>IFERROR(Входящие_файлы_СЧЕТА[[#This Row],[Цена]]/Входящие_файлы_СЧЕТА[[#This Row],[Максимальная себестоимость]]-1,"")</f>
        <v/>
      </c>
      <c r="K4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2" spans="2:11" x14ac:dyDescent="0.25">
      <c r="B42">
        <v>2563</v>
      </c>
      <c r="C42" t="s">
        <v>46</v>
      </c>
      <c r="D42">
        <v>50</v>
      </c>
      <c r="E42" s="13">
        <v>191.59</v>
      </c>
      <c r="F42" s="13">
        <v>9579.7000000000007</v>
      </c>
      <c r="G42" s="13">
        <v>0</v>
      </c>
      <c r="H42" s="13">
        <f>Входящие_файлы_СЧЕТА[[#This Row],[Цена конкурента]]*Входящие_файлы_СЧЕТА[[#This Row],[Количество]]</f>
        <v>0</v>
      </c>
      <c r="I42" s="13">
        <v>0</v>
      </c>
      <c r="J42" s="16" t="str">
        <f>IFERROR(Входящие_файлы_СЧЕТА[[#This Row],[Цена]]/Входящие_файлы_СЧЕТА[[#This Row],[Максимальная себестоимость]]-1,"")</f>
        <v/>
      </c>
      <c r="K4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3" spans="2:11" x14ac:dyDescent="0.25">
      <c r="B43">
        <v>4507</v>
      </c>
      <c r="C43" t="s">
        <v>47</v>
      </c>
      <c r="D43">
        <v>5</v>
      </c>
      <c r="E43" s="13">
        <v>282.77</v>
      </c>
      <c r="F43" s="13">
        <v>1413.86</v>
      </c>
      <c r="G43" s="13">
        <v>0</v>
      </c>
      <c r="H43" s="13">
        <f>Входящие_файлы_СЧЕТА[[#This Row],[Цена конкурента]]*Входящие_файлы_СЧЕТА[[#This Row],[Количество]]</f>
        <v>0</v>
      </c>
      <c r="I43" s="13">
        <v>0</v>
      </c>
      <c r="J43" s="16" t="str">
        <f>IFERROR(Входящие_файлы_СЧЕТА[[#This Row],[Цена]]/Входящие_файлы_СЧЕТА[[#This Row],[Максимальная себестоимость]]-1,"")</f>
        <v/>
      </c>
      <c r="K4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4" spans="2:11" x14ac:dyDescent="0.25">
      <c r="B44">
        <v>2564</v>
      </c>
      <c r="C44" t="s">
        <v>48</v>
      </c>
      <c r="D44">
        <v>150</v>
      </c>
      <c r="E44" s="13">
        <v>64.88</v>
      </c>
      <c r="F44" s="13">
        <v>9732.4599999999991</v>
      </c>
      <c r="G44" s="13"/>
      <c r="H44" s="13">
        <f>Входящие_файлы_СЧЕТА[[#This Row],[Цена конкурента]]*Входящие_файлы_СЧЕТА[[#This Row],[Количество]]</f>
        <v>0</v>
      </c>
      <c r="I44" s="13">
        <v>0</v>
      </c>
      <c r="J44" s="16" t="str">
        <f>IFERROR(Входящие_файлы_СЧЕТА[[#This Row],[Цена]]/Входящие_файлы_СЧЕТА[[#This Row],[Максимальная себестоимость]]-1,"")</f>
        <v/>
      </c>
      <c r="K4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5" spans="2:11" x14ac:dyDescent="0.25">
      <c r="B45">
        <v>2565</v>
      </c>
      <c r="C45" t="s">
        <v>49</v>
      </c>
      <c r="D45">
        <v>20</v>
      </c>
      <c r="E45" s="13">
        <v>106.45</v>
      </c>
      <c r="F45" s="13">
        <v>2128.9499999999998</v>
      </c>
      <c r="G45" s="13"/>
      <c r="H45" s="13">
        <f>Входящие_файлы_СЧЕТА[[#This Row],[Цена конкурента]]*Входящие_файлы_СЧЕТА[[#This Row],[Количество]]</f>
        <v>0</v>
      </c>
      <c r="I45" s="13">
        <v>0</v>
      </c>
      <c r="J45" s="16" t="str">
        <f>IFERROR(Входящие_файлы_СЧЕТА[[#This Row],[Цена]]/Входящие_файлы_СЧЕТА[[#This Row],[Максимальная себестоимость]]-1,"")</f>
        <v/>
      </c>
      <c r="K4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6" spans="2:11" x14ac:dyDescent="0.25">
      <c r="B46">
        <v>4498</v>
      </c>
      <c r="C46" t="s">
        <v>50</v>
      </c>
      <c r="D46">
        <v>30</v>
      </c>
      <c r="E46" s="13">
        <v>132.66999999999999</v>
      </c>
      <c r="F46" s="13">
        <v>3980.2</v>
      </c>
      <c r="G46" s="13"/>
      <c r="H46" s="13">
        <f>Входящие_файлы_СЧЕТА[[#This Row],[Цена конкурента]]*Входящие_файлы_СЧЕТА[[#This Row],[Количество]]</f>
        <v>0</v>
      </c>
      <c r="I46" s="13">
        <v>0</v>
      </c>
      <c r="J46" s="16" t="str">
        <f>IFERROR(Входящие_файлы_СЧЕТА[[#This Row],[Цена]]/Входящие_файлы_СЧЕТА[[#This Row],[Максимальная себестоимость]]-1,"")</f>
        <v/>
      </c>
      <c r="K4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7" spans="2:11" x14ac:dyDescent="0.25">
      <c r="B47">
        <v>2556</v>
      </c>
      <c r="C47" t="s">
        <v>51</v>
      </c>
      <c r="D47">
        <v>120</v>
      </c>
      <c r="E47" s="13">
        <v>102.35</v>
      </c>
      <c r="F47" s="13">
        <v>12282.59</v>
      </c>
      <c r="G47" s="13"/>
      <c r="H47" s="13">
        <f>Входящие_файлы_СЧЕТА[[#This Row],[Цена конкурента]]*Входящие_файлы_СЧЕТА[[#This Row],[Количество]]</f>
        <v>0</v>
      </c>
      <c r="I47" s="13">
        <v>0</v>
      </c>
      <c r="J47" s="16" t="str">
        <f>IFERROR(Входящие_файлы_СЧЕТА[[#This Row],[Цена]]/Входящие_файлы_СЧЕТА[[#This Row],[Максимальная себестоимость]]-1,"")</f>
        <v/>
      </c>
      <c r="K4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8" spans="2:11" x14ac:dyDescent="0.25">
      <c r="B48">
        <v>2386</v>
      </c>
      <c r="C48" t="s">
        <v>52</v>
      </c>
      <c r="D48">
        <v>20</v>
      </c>
      <c r="E48" s="13">
        <v>173.87</v>
      </c>
      <c r="F48" s="13">
        <v>3477.34</v>
      </c>
      <c r="G48" s="13"/>
      <c r="H48" s="13">
        <f>Входящие_файлы_СЧЕТА[[#This Row],[Цена конкурента]]*Входящие_файлы_СЧЕТА[[#This Row],[Количество]]</f>
        <v>0</v>
      </c>
      <c r="I48" s="13">
        <v>0</v>
      </c>
      <c r="J48" s="16" t="str">
        <f>IFERROR(Входящие_файлы_СЧЕТА[[#This Row],[Цена]]/Входящие_файлы_СЧЕТА[[#This Row],[Максимальная себестоимость]]-1,"")</f>
        <v/>
      </c>
      <c r="K4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9" spans="2:11" x14ac:dyDescent="0.25">
      <c r="B49">
        <v>2387</v>
      </c>
      <c r="C49" t="s">
        <v>53</v>
      </c>
      <c r="D49">
        <v>40</v>
      </c>
      <c r="E49" s="13">
        <v>102.28</v>
      </c>
      <c r="F49" s="13">
        <v>4091</v>
      </c>
      <c r="G49" s="13"/>
      <c r="H49" s="13">
        <f>Входящие_файлы_СЧЕТА[[#This Row],[Цена конкурента]]*Входящие_файлы_СЧЕТА[[#This Row],[Количество]]</f>
        <v>0</v>
      </c>
      <c r="I49" s="13">
        <v>0</v>
      </c>
      <c r="J49" s="16" t="str">
        <f>IFERROR(Входящие_файлы_СЧЕТА[[#This Row],[Цена]]/Входящие_файлы_СЧЕТА[[#This Row],[Максимальная себестоимость]]-1,"")</f>
        <v/>
      </c>
      <c r="K4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50" spans="2:11" x14ac:dyDescent="0.25">
      <c r="B50">
        <v>4503</v>
      </c>
      <c r="C50" t="s">
        <v>54</v>
      </c>
      <c r="D50">
        <v>30</v>
      </c>
      <c r="E50" s="13">
        <v>231.97</v>
      </c>
      <c r="F50" s="13">
        <v>6959.02</v>
      </c>
      <c r="G50" s="13">
        <v>215.47</v>
      </c>
      <c r="H50" s="13">
        <f>Входящие_файлы_СЧЕТА[[#This Row],[Цена конкурента]]*Входящие_файлы_СЧЕТА[[#This Row],[Количество]]</f>
        <v>6464.1</v>
      </c>
      <c r="I50" s="13">
        <v>154.36058416773116</v>
      </c>
      <c r="J50" s="16">
        <f>IFERROR(Входящие_файлы_СЧЕТА[[#This Row],[Цена]]/Входящие_файлы_СЧЕТА[[#This Row],[Максимальная себестоимость]]-1,"")</f>
        <v>0.50278000858002048</v>
      </c>
      <c r="K50" s="16">
        <f>IFERROR(Входящие_файлы_СЧЕТА[[#This Row],[Цена конкурента]]/Входящие_файлы_СЧЕТА[[#This Row],[Максимальная себестоимость]]-1,"")</f>
        <v>0.39588743565433893</v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4CFDBC-63F3-4BD8-A1B3-B14EC67634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Форма_счет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Киселёв Алексей Александрович</dc:creator>
  <cp:lastModifiedBy>Киселёв Алексей Александрович</cp:lastModifiedBy>
  <dcterms:created xsi:type="dcterms:W3CDTF">2023-10-26T09:10:39Z</dcterms:created>
  <dcterms:modified xsi:type="dcterms:W3CDTF">2023-10-26T09:10:49Z</dcterms:modified>
</cp:coreProperties>
</file>