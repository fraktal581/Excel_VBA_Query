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I:\20_Соглавание_цен\Аналитика\Заявки\"/>
    </mc:Choice>
  </mc:AlternateContent>
  <xr:revisionPtr revIDLastSave="0" documentId="13_ncr:1_{E19BAD7A-EEDD-4341-91EF-56A06ACE453F}" xr6:coauthVersionLast="47" xr6:coauthVersionMax="47" xr10:uidLastSave="{00000000-0000-0000-0000-000000000000}"/>
  <bookViews>
    <workbookView xWindow="28680" yWindow="-120" windowWidth="29040" windowHeight="16440" xr2:uid="{F8B79FE0-4F58-400D-AC17-9B1A8FA6B063}"/>
  </bookViews>
  <sheets>
    <sheet name="Форма_счет" sheetId="1" r:id="rId1"/>
  </sheets>
  <definedNames>
    <definedName name="ExternalData_1" localSheetId="0" hidden="1">Форма_счет!$B$5:$F$50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1" l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6" i="1"/>
  <c r="H50" i="1" l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0DBF63E-6E13-43C0-9C01-B14A0D4796B3}" keepAlive="1" name="Запрос — col_list" description="Соединение с запросом &quot;col_list&quot; в книге." type="5" refreshedVersion="0" background="1">
    <dbPr connection="Provider=Microsoft.Mashup.OleDb.1;Data Source=$Workbook$;Location=col_list;Extended Properties=&quot;&quot;" command="SELECT * FROM [col_list]"/>
  </connection>
  <connection id="2" xr16:uid="{08C45FF3-D038-4602-AF2A-FEC198007B3A}" keepAlive="1" name="Запрос — Входящие_файлы(СЧЕТА)" description="Соединение с запросом &quot;Входящие_файлы(СЧЕТА)&quot; в книге." type="5" refreshedVersion="7" background="1" saveData="1">
    <dbPr connection="Provider=Microsoft.Mashup.OleDb.1;Data Source=$Workbook$;Location=Входящие_файлы(СЧЕТА);Extended Properties=&quot;&quot;" command="SELECT * FROM [Входящие_файлы(СЧЕТА)]"/>
  </connection>
  <connection id="3" xr16:uid="{EDEC0358-F0D8-4C7A-9BCB-4AAF6F6C42A9}" keepAlive="1" name="Запрос — Преобразовать файл" description="Соединение с запросом &quot;Преобразовать файл&quot; в книге." type="5" refreshedVersion="0" background="1">
    <dbPr connection="Provider=Microsoft.Mashup.OleDb.1;Data Source=$Workbook$;Location=&quot;Преобразовать файл&quot;;Extended Properties=&quot;&quot;" command="SELECT * FROM [Преобразовать файл]"/>
  </connection>
  <connection id="4" xr16:uid="{E95C7C42-D53A-45B2-9316-40B926390C44}" keepAlive="1" name="Запрос — Пример файла" description="Соединение с запросом &quot;Пример файла&quot; в книге." type="5" refreshedVersion="0" background="1">
    <dbPr connection="Provider=Microsoft.Mashup.OleDb.1;Data Source=$Workbook$;Location=&quot;Пример файла&quot;;Extended Properties=&quot;&quot;" command="SELECT * FROM [Пример файла]"/>
  </connection>
</connections>
</file>

<file path=xl/sharedStrings.xml><?xml version="1.0" encoding="utf-8"?>
<sst xmlns="http://schemas.openxmlformats.org/spreadsheetml/2006/main" count="64" uniqueCount="61">
  <si>
    <t>Наименование конкурента</t>
  </si>
  <si>
    <t>нет данных</t>
  </si>
  <si>
    <t>Дата документа</t>
  </si>
  <si>
    <t>Наименование клиента</t>
  </si>
  <si>
    <t>ООО ЮжУралКомплекс</t>
  </si>
  <si>
    <t>Номер документа</t>
  </si>
  <si>
    <t>Артикул</t>
  </si>
  <si>
    <t>Товары (работы, услуги)</t>
  </si>
  <si>
    <t>Количество</t>
  </si>
  <si>
    <t>Цена</t>
  </si>
  <si>
    <t>Сумма</t>
  </si>
  <si>
    <t>Цена конкурента</t>
  </si>
  <si>
    <t>Сумма по конкуренту</t>
  </si>
  <si>
    <t>Американка прямая  2''FM (AQUALINK 12/1)</t>
  </si>
  <si>
    <t>Муфта переходная  1''F x 1 1/4"F (AQUALINK 80/5)</t>
  </si>
  <si>
    <t>Муфта переходная  1''F x 1 1/2"F (AQUALINK 50/5)</t>
  </si>
  <si>
    <t>Муфта переходная  1 1/4''F x 1 1/2"F (AQUALINK 40/5)</t>
  </si>
  <si>
    <t>Муфта переходная  1 1/4''F x 2"F (AQUALINK 40/5)</t>
  </si>
  <si>
    <t>Муфта 1 1/4''F x 1 1/4"F (AQUALINK 50/5)</t>
  </si>
  <si>
    <t>Ниппель 1 1/4''M x 1 1/4''M (AQUALINK 80/5)</t>
  </si>
  <si>
    <t>Ниппель 1 1/2''M x 1 1/2''M (AQUALINK 40/5)</t>
  </si>
  <si>
    <t>Ниппель переходной  1/2''M x 1 1/4''M (AQUALINK 100/5)</t>
  </si>
  <si>
    <t>Ниппель переходной  3/4''M x 1 1/4''M (AQUALINK 100/5)</t>
  </si>
  <si>
    <t>Ниппель переходной 1''M x 1 1/4''M (AQUALINK 80/5)</t>
  </si>
  <si>
    <t>Ниппель переходной  1''M x 2''M (AQUALINK 40/5)</t>
  </si>
  <si>
    <t>Переходник  3/8''M x 1/2"F (AQUALINK 400/10)</t>
  </si>
  <si>
    <t>Переходник  1/2''M x 1/2"F (AQUALINK  300/10)</t>
  </si>
  <si>
    <t>Переходник  3/4''M x 3/4"F (AQUALINK  200/10)</t>
  </si>
  <si>
    <t>Переходник  1''M x 1 1/4"F (AQUALINK 70/5)</t>
  </si>
  <si>
    <t>Переходник  1''M x 1 1/2"F (AQUALINK 50/5)</t>
  </si>
  <si>
    <t>Переходник  1''M x 2"F (AQUALINK 30/5)</t>
  </si>
  <si>
    <t>Переходник  1 1/4''M x 2"F (AQUALINK 30/5)</t>
  </si>
  <si>
    <t>Тройник  3/4''F x 1/2"F x 3/4"F (AQUALINK 80/10)</t>
  </si>
  <si>
    <t>Тройник  1 1/4''F x 1 1/4"F x 1 1/4"F (AQUALINK 20/5)</t>
  </si>
  <si>
    <t>Тройник  1 1/2''F x 1 1/2"F x 1 1/2"F (AQUALINK 15/5)</t>
  </si>
  <si>
    <t>Тройник  1/2''F x 1/2"F x 1/2"M (AQUALINK 120/10)</t>
  </si>
  <si>
    <t>Тройник  3/4''F x 3/4"F x 3/4"M (AQUALINK 60/10)</t>
  </si>
  <si>
    <t>Тройник  1''F x 1"F x 1"M (AQUALINK 30/5)</t>
  </si>
  <si>
    <t>Тройник  1/2''F x 1/2"M x 1/2"F (AQUALINK 120/10)</t>
  </si>
  <si>
    <t>Тройник  1/2''F x 1/2"M x 1/2"M (AQUALINK 120/10)</t>
  </si>
  <si>
    <t>Тройник  1''F x 1"M x 1"M (AQUALINK 30/10)</t>
  </si>
  <si>
    <t>Тройник  1/2''M x 1/2"F x 1/2"M (AQUALINK 100/10)</t>
  </si>
  <si>
    <t>Тройник  1/2''M x 1/2"M x 1/2"M (AQUALINK 150/10)</t>
  </si>
  <si>
    <t>Уголок  1/2''F x 3/4"F (AQUALINK 150/10)</t>
  </si>
  <si>
    <t>Уголок  1/2''F x 1/2"M (AQUALINK 180/10)</t>
  </si>
  <si>
    <t>Уголок  3/4''F x 3/4"M (AQUALINK 80/10)</t>
  </si>
  <si>
    <t>Уголок  1''F x 1"M (AQUALINK 60/10)</t>
  </si>
  <si>
    <t>Уголок  1 1/4''F x 1 1/4"M (AQUALINK 35/5)</t>
  </si>
  <si>
    <t>Уголок  1/2"M x 1/2"M (AQUALINK 200/10)</t>
  </si>
  <si>
    <t>Уголок  3/4"M x 3/4"M (AQUALINK 120/10)</t>
  </si>
  <si>
    <t>Футорка  1/2''F x 1 1/4"M (AQUALINK 120/5)</t>
  </si>
  <si>
    <t>Футорка  1''F x 1 1/4"M (AQUALINK 120/5)</t>
  </si>
  <si>
    <t>Футорка  1''F x 1 1/2"M (AQUALINK 70/5)</t>
  </si>
  <si>
    <t>Футорка  1 1/4''F x 1 1/2"M (AQUALINK 70/5)</t>
  </si>
  <si>
    <t>Футорка  1 1/2''F x 2"M (AQUALINK 40/5)</t>
  </si>
  <si>
    <t>I:\20_Соглавание_цен\Аналитика\Для подгрузки.xlsm</t>
  </si>
  <si>
    <t>Максимальная себестоимость</t>
  </si>
  <si>
    <t>Наценка на цену СантехСтандарт</t>
  </si>
  <si>
    <t>Наценка на цену Конкурента</t>
  </si>
  <si>
    <t>Наценка на счет СантехСтандарт</t>
  </si>
  <si>
    <t>Наценка на счет от конкурента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</si>
</sst>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#,##0.00\ _₽"/>
    <numFmt numFmtId="165" formatCode="0.0%"/>
    <numFmt numFmtId="166" formatCode="_-* #,##0.0_-;\-* #,##0.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164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5" fontId="0" fillId="0" borderId="0" xfId="2" applyNumberFormat="1" applyFont="1" applyAlignment="1">
      <alignment horizontal="center" vertical="center" wrapText="1"/>
    </xf>
    <xf numFmtId="166" fontId="0" fillId="0" borderId="0" xfId="1" applyNumberFormat="1" applyFont="1" applyAlignment="1">
      <alignment horizontal="right" vertical="center"/>
    </xf>
    <xf numFmtId="9" fontId="0" fillId="0" borderId="6" xfId="2" applyFont="1" applyBorder="1" applyAlignment="1">
      <alignment horizontal="center" vertical="center" wrapText="1"/>
    </xf>
    <xf numFmtId="9" fontId="0" fillId="2" borderId="6" xfId="2" applyFont="1" applyFill="1" applyBorder="1" applyAlignment="1">
      <alignment horizontal="center" vertical="center" wrapText="1"/>
    </xf>
    <xf numFmtId="9" fontId="0" fillId="0" borderId="0" xfId="2" applyFont="1" applyAlignment="1">
      <alignment horizontal="right" vertic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12"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Стиль таблицы 1" pivot="0" count="2" xr9:uid="{4B23B536-8A9F-4E41-87B0-FC98437F7C68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2" xr16:uid="{7ECDCDAC-4932-4859-962D-F07DAFE1B89C}" autoFormatId="16" applyNumberFormats="0" applyBorderFormats="0" applyFontFormats="0" applyPatternFormats="0" applyAlignmentFormats="0" applyWidthHeightFormats="0">
  <queryTableRefresh nextId="28" unboundColumnsRight="5">
    <queryTableFields count="10">
      <queryTableField id="13" name="Артикул" tableColumnId="13"/>
      <queryTableField id="14" name="Товары (работы, услуги)" tableColumnId="14"/>
      <queryTableField id="15" name="Количество" tableColumnId="15"/>
      <queryTableField id="16" name="Цена" tableColumnId="16"/>
      <queryTableField id="17" name="Сумма" tableColumnId="17"/>
      <queryTableField id="22" dataBound="0" tableColumnId="1"/>
      <queryTableField id="23" dataBound="0" tableColumnId="2"/>
      <queryTableField id="25" dataBound="0" tableColumnId="3"/>
      <queryTableField id="26" dataBound="0" tableColumnId="4"/>
      <queryTableField id="27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28BE48-A011-4B02-990A-63C1C5D41CAE}" name="Входящие_файлы_СЧЕТА" displayName="Входящие_файлы_СЧЕТА" ref="B5:K50" tableType="queryTable" totalsRowShown="0" headerRowDxfId="9">
  <autoFilter ref="B5:K50" xr:uid="{B832FD5B-F0C5-4BC4-BF31-2FDA64A05B9F}"/>
  <tableColumns count="10">
    <tableColumn id="13" xr3:uid="{8A4C7BEC-5854-4757-8521-58ED043B10B1}" uniqueName="13" name="Артикул" queryTableFieldId="13" dataDxfId="8"/>
    <tableColumn id="14" xr3:uid="{F3AD358A-9FAB-4F92-AB15-4112711BA7D0}" uniqueName="14" name="Товары (работы, услуги)" queryTableFieldId="14"/>
    <tableColumn id="15" xr3:uid="{662CB316-4E5A-48E1-87E8-CB10536DA59D}" uniqueName="15" name="Количество" queryTableFieldId="15" dataDxfId="7"/>
    <tableColumn id="16" xr3:uid="{ADA817D3-F986-406A-9C63-6AE0267B8390}" uniqueName="16" name="Цена" queryTableFieldId="16" dataDxfId="6" dataCellStyle="Финансовый"/>
    <tableColumn id="17" xr3:uid="{912F6BE5-6A5E-4EA4-912C-F71D36CF85B5}" uniqueName="17" name="Сумма" queryTableFieldId="17" dataDxfId="5" dataCellStyle="Финансовый"/>
    <tableColumn id="1" xr3:uid="{7E27289F-E6E7-449D-B923-A46D84E07BC2}" uniqueName="1" name="Цена конкурента" queryTableFieldId="22" dataDxfId="4" dataCellStyle="Финансовый"/>
    <tableColumn id="2" xr3:uid="{29305FB9-36ED-47CD-89B0-9F1994E251D4}" uniqueName="2" name="Сумма по конкуренту" queryTableFieldId="23" dataDxfId="3" dataCellStyle="Финансовый">
      <calculatedColumnFormula>Входящие_файлы_СЧЕТА[[#This Row],[Цена конкурента]]*Входящие_файлы_СЧЕТА[[#This Row],[Количество]]</calculatedColumnFormula>
    </tableColumn>
    <tableColumn id="3" xr3:uid="{0F783E9B-5267-43D0-8B90-F718EED6F0F8}" uniqueName="3" name="Максимальная себестоимость" queryTableFieldId="25" dataDxfId="2" dataCellStyle="Финансовый"/>
    <tableColumn id="4" xr3:uid="{CF3046D2-3581-46D5-8139-7BC52949B467}" uniqueName="4" name="Наценка на цену СантехСтандарт" queryTableFieldId="26" dataDxfId="1" dataCellStyle="Процентный">
      <calculatedColumnFormula>IFERROR(Входящие_файлы_СЧЕТА[[#This Row],[Цена]]/Входящие_файлы_СЧЕТА[[#This Row],[Максимальная себестоимость]]-1,"")</calculatedColumnFormula>
    </tableColumn>
    <tableColumn id="5" xr3:uid="{87D18325-FBB9-40F3-8E19-26B146777D13}" uniqueName="5" name="Наценка на цену Конкурента" queryTableFieldId="27" dataDxfId="0" dataCellStyle="Процентный">
      <calculatedColumnFormula>IFERROR(Входящие_файлы_СЧЕТА[[#This Row],[Цена конкурента]]/Входящие_файлы_СЧЕТА[[#This Row],[Максимальная себестоимость]]-1,"")</calculatedColumnFormula>
    </tableColumn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6E55-F8D4-4B36-A980-1D539A32B7DC}">
  <sheetPr codeName="Лист2"/>
  <dimension ref="B1:O50"/>
  <sheetViews>
    <sheetView tabSelected="1" workbookViewId="0">
      <selection activeCell="J6" sqref="J6:K50"/>
    </sheetView>
  </sheetViews>
  <sheetFormatPr defaultColWidth="9.85546875" defaultRowHeight="15" x14ac:dyDescent="0.25"/>
  <cols>
    <col min="1" max="1" width="2.28515625" customWidth="1"/>
    <col min="2" max="2" width="13.140625" bestFit="1" customWidth="1"/>
    <col min="3" max="3" width="53.5703125" bestFit="1" customWidth="1"/>
    <col min="4" max="4" width="16.140625" bestFit="1" customWidth="1"/>
    <col min="5" max="5" width="10.28515625" style="1" bestFit="1" customWidth="1"/>
    <col min="6" max="6" width="11.5703125" style="1" bestFit="1" customWidth="1"/>
    <col min="7" max="8" width="16.140625" bestFit="1" customWidth="1"/>
    <col min="9" max="14" width="16.7109375" customWidth="1"/>
    <col min="15" max="15" width="16.7109375" hidden="1" customWidth="1"/>
    <col min="16" max="17" width="16.7109375" customWidth="1"/>
  </cols>
  <sheetData>
    <row r="1" spans="2:15" ht="12.75" customHeight="1" thickBot="1" x14ac:dyDescent="0.3">
      <c r="O1" t="s">
        <v>55</v>
      </c>
    </row>
    <row r="2" spans="2:15" ht="42.75" customHeight="1" thickBot="1" x14ac:dyDescent="0.3">
      <c r="B2" s="2" t="s">
        <v>0</v>
      </c>
      <c r="C2" s="3" t="s">
        <v>1</v>
      </c>
      <c r="D2" s="4" t="s">
        <v>2</v>
      </c>
      <c r="E2" s="5">
        <v>45222</v>
      </c>
      <c r="F2" s="6"/>
      <c r="J2" s="15" t="s">
        <v>59</v>
      </c>
      <c r="K2" s="15" t="s">
        <v>60</v>
      </c>
    </row>
    <row r="3" spans="2:15" ht="33" customHeight="1" thickBot="1" x14ac:dyDescent="0.3">
      <c r="B3" s="2" t="s">
        <v>3</v>
      </c>
      <c r="C3" s="7" t="s">
        <v>4</v>
      </c>
      <c r="D3" s="2" t="s">
        <v>5</v>
      </c>
      <c r="E3" s="8">
        <v>32598</v>
      </c>
      <c r="F3" s="9"/>
      <c r="J3" s="14">
        <v>0.40128945663823612</v>
      </c>
      <c r="K3" s="14">
        <v>0.27846904692359592</v>
      </c>
    </row>
    <row r="5" spans="2:15" s="10" customFormat="1" ht="30" x14ac:dyDescent="0.25">
      <c r="B5" s="10" t="s">
        <v>6</v>
      </c>
      <c r="C5" s="10" t="s">
        <v>7</v>
      </c>
      <c r="D5" s="10" t="s">
        <v>8</v>
      </c>
      <c r="E5" s="11" t="s">
        <v>9</v>
      </c>
      <c r="F5" s="11" t="s">
        <v>10</v>
      </c>
      <c r="G5" s="10" t="s">
        <v>11</v>
      </c>
      <c r="H5" s="10" t="s">
        <v>12</v>
      </c>
      <c r="I5" s="10" t="s">
        <v>56</v>
      </c>
      <c r="J5" s="12" t="s">
        <v>57</v>
      </c>
      <c r="K5" s="10" t="s">
        <v>58</v>
      </c>
    </row>
    <row r="6" spans="2:15" x14ac:dyDescent="0.25">
      <c r="B6">
        <v>4536</v>
      </c>
      <c r="C6" t="s">
        <v>13</v>
      </c>
      <c r="D6">
        <v>50</v>
      </c>
      <c r="E6" s="13">
        <v>762.13</v>
      </c>
      <c r="F6" s="13">
        <v>38106.49</v>
      </c>
      <c r="G6" s="13">
        <v>0</v>
      </c>
      <c r="H6" s="13">
        <f>Входящие_файлы_СЧЕТА[[#This Row],[Цена конкурента]]*Входящие_файлы_СЧЕТА[[#This Row],[Количество]]</f>
        <v>0</v>
      </c>
      <c r="I6" s="13">
        <v>0</v>
      </c>
      <c r="J6" s="16" t="str">
        <f>IFERROR(Входящие_файлы_СЧЕТА[[#This Row],[Цена]]/Входящие_файлы_СЧЕТА[[#This Row],[Максимальная себестоимость]]-1,"")</f>
        <v/>
      </c>
      <c r="K6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7" spans="2:15" x14ac:dyDescent="0.25">
      <c r="B7">
        <v>2543</v>
      </c>
      <c r="C7" t="s">
        <v>14</v>
      </c>
      <c r="D7">
        <v>30</v>
      </c>
      <c r="E7" s="13">
        <v>146.08000000000001</v>
      </c>
      <c r="F7" s="13">
        <v>4382.3900000000003</v>
      </c>
      <c r="G7" s="13">
        <v>0</v>
      </c>
      <c r="H7" s="13">
        <f>Входящие_файлы_СЧЕТА[[#This Row],[Цена конкурента]]*Входящие_файлы_СЧЕТА[[#This Row],[Количество]]</f>
        <v>0</v>
      </c>
      <c r="I7" s="13">
        <v>0</v>
      </c>
      <c r="J7" s="16" t="str">
        <f>IFERROR(Входящие_файлы_СЧЕТА[[#This Row],[Цена]]/Входящие_файлы_СЧЕТА[[#This Row],[Максимальная себестоимость]]-1,"")</f>
        <v/>
      </c>
      <c r="K7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8" spans="2:15" x14ac:dyDescent="0.25">
      <c r="B8">
        <v>2546</v>
      </c>
      <c r="C8" t="s">
        <v>15</v>
      </c>
      <c r="D8">
        <v>40</v>
      </c>
      <c r="E8" s="13">
        <v>185.34</v>
      </c>
      <c r="F8" s="13">
        <v>7413.42</v>
      </c>
      <c r="G8" s="13">
        <v>0</v>
      </c>
      <c r="H8" s="13">
        <f>Входящие_файлы_СЧЕТА[[#This Row],[Цена конкурента]]*Входящие_файлы_СЧЕТА[[#This Row],[Количество]]</f>
        <v>0</v>
      </c>
      <c r="I8" s="13">
        <v>0</v>
      </c>
      <c r="J8" s="16" t="str">
        <f>IFERROR(Входящие_файлы_СЧЕТА[[#This Row],[Цена]]/Входящие_файлы_СЧЕТА[[#This Row],[Максимальная себестоимость]]-1,"")</f>
        <v/>
      </c>
      <c r="K8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9" spans="2:15" x14ac:dyDescent="0.25">
      <c r="B9">
        <v>2366</v>
      </c>
      <c r="C9" t="s">
        <v>16</v>
      </c>
      <c r="D9">
        <v>20</v>
      </c>
      <c r="E9" s="13">
        <v>189.88</v>
      </c>
      <c r="F9" s="13">
        <v>3797.57</v>
      </c>
      <c r="G9" s="13">
        <v>40.340000000000003</v>
      </c>
      <c r="H9" s="13">
        <f>Входящие_файлы_СЧЕТА[[#This Row],[Цена конкурента]]*Входящие_файлы_СЧЕТА[[#This Row],[Количество]]</f>
        <v>806.80000000000007</v>
      </c>
      <c r="I9" s="13">
        <v>119.32839485306877</v>
      </c>
      <c r="J9" s="16">
        <f>IFERROR(Входящие_файлы_СЧЕТА[[#This Row],[Цена]]/Входящие_файлы_СЧЕТА[[#This Row],[Максимальная себестоимость]]-1,"")</f>
        <v>0.59123903605510408</v>
      </c>
      <c r="K9" s="16">
        <f>IFERROR(Входящие_файлы_СЧЕТА[[#This Row],[Цена конкурента]]/Входящие_файлы_СЧЕТА[[#This Row],[Максимальная себестоимость]]-1,"")</f>
        <v>-0.66194131707150361</v>
      </c>
    </row>
    <row r="10" spans="2:15" x14ac:dyDescent="0.25">
      <c r="B10">
        <v>4489</v>
      </c>
      <c r="C10" t="s">
        <v>17</v>
      </c>
      <c r="D10">
        <v>10</v>
      </c>
      <c r="E10" s="13">
        <v>243.44</v>
      </c>
      <c r="F10" s="13">
        <v>2434.41</v>
      </c>
      <c r="G10" s="13">
        <v>39.340000000000003</v>
      </c>
      <c r="H10" s="13">
        <f>Входящие_файлы_СЧЕТА[[#This Row],[Цена конкурента]]*Входящие_файлы_СЧЕТА[[#This Row],[Количество]]</f>
        <v>393.40000000000003</v>
      </c>
      <c r="I10" s="13">
        <v>175.160946573312</v>
      </c>
      <c r="J10" s="16">
        <f>IFERROR(Входящие_файлы_СЧЕТА[[#This Row],[Цена]]/Входящие_файлы_СЧЕТА[[#This Row],[Максимальная себестоимость]]-1,"")</f>
        <v>0.38980751567308092</v>
      </c>
      <c r="K10" s="16">
        <f>IFERROR(Входящие_файлы_СЧЕТА[[#This Row],[Цена конкурента]]/Входящие_файлы_СЧЕТА[[#This Row],[Максимальная себестоимость]]-1,"")</f>
        <v>-0.7754065573998562</v>
      </c>
    </row>
    <row r="11" spans="2:15" x14ac:dyDescent="0.25">
      <c r="B11">
        <v>2532</v>
      </c>
      <c r="C11" t="s">
        <v>18</v>
      </c>
      <c r="D11">
        <v>30</v>
      </c>
      <c r="E11" s="13">
        <v>157.91999999999999</v>
      </c>
      <c r="F11" s="13">
        <v>4737.7299999999996</v>
      </c>
      <c r="G11" s="13">
        <v>0</v>
      </c>
      <c r="H11" s="13">
        <f>Входящие_файлы_СЧЕТА[[#This Row],[Цена конкурента]]*Входящие_файлы_СЧЕТА[[#This Row],[Количество]]</f>
        <v>0</v>
      </c>
      <c r="I11" s="13">
        <v>0</v>
      </c>
      <c r="J11" s="16" t="str">
        <f>IFERROR(Входящие_файлы_СЧЕТА[[#This Row],[Цена]]/Входящие_файлы_СЧЕТА[[#This Row],[Максимальная себестоимость]]-1,"")</f>
        <v/>
      </c>
      <c r="K11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2" spans="2:15" x14ac:dyDescent="0.25">
      <c r="B12">
        <v>2527</v>
      </c>
      <c r="C12" t="s">
        <v>19</v>
      </c>
      <c r="D12">
        <v>100</v>
      </c>
      <c r="E12" s="13">
        <v>123.29</v>
      </c>
      <c r="F12" s="13">
        <v>12328.53</v>
      </c>
      <c r="G12" s="13">
        <v>0</v>
      </c>
      <c r="H12" s="13">
        <f>Входящие_файлы_СЧЕТА[[#This Row],[Цена конкурента]]*Входящие_файлы_СЧЕТА[[#This Row],[Количество]]</f>
        <v>0</v>
      </c>
      <c r="I12" s="13">
        <v>0</v>
      </c>
      <c r="J12" s="16" t="str">
        <f>IFERROR(Входящие_файлы_СЧЕТА[[#This Row],[Цена]]/Входящие_файлы_СЧЕТА[[#This Row],[Максимальная себестоимость]]-1,"")</f>
        <v/>
      </c>
      <c r="K12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3" spans="2:15" x14ac:dyDescent="0.25">
      <c r="B13">
        <v>2528</v>
      </c>
      <c r="C13" t="s">
        <v>20</v>
      </c>
      <c r="D13">
        <v>5</v>
      </c>
      <c r="E13" s="13">
        <v>178.93</v>
      </c>
      <c r="F13" s="13">
        <v>894.64</v>
      </c>
      <c r="G13" s="13">
        <v>147.1</v>
      </c>
      <c r="H13" s="13">
        <f>Входящие_файлы_СЧЕТА[[#This Row],[Цена конкурента]]*Входящие_файлы_СЧЕТА[[#This Row],[Количество]]</f>
        <v>735.5</v>
      </c>
      <c r="I13" s="13">
        <v>136.4065871439667</v>
      </c>
      <c r="J13" s="16">
        <f>IFERROR(Входящие_файлы_СЧЕТА[[#This Row],[Цена]]/Входящие_файлы_СЧЕТА[[#This Row],[Максимальная себестоимость]]-1,"")</f>
        <v>0.31174017139768395</v>
      </c>
      <c r="K13" s="16">
        <f>IFERROR(Входящие_файлы_СЧЕТА[[#This Row],[Цена конкурента]]/Входящие_файлы_СЧЕТА[[#This Row],[Максимальная себестоимость]]-1,"")</f>
        <v>7.8393669102997388E-2</v>
      </c>
    </row>
    <row r="14" spans="2:15" x14ac:dyDescent="0.25">
      <c r="B14">
        <v>2528</v>
      </c>
      <c r="C14" t="s">
        <v>20</v>
      </c>
      <c r="D14">
        <v>35</v>
      </c>
      <c r="E14" s="13">
        <v>178.93</v>
      </c>
      <c r="F14" s="13">
        <v>6262.5</v>
      </c>
      <c r="G14" s="13">
        <v>0</v>
      </c>
      <c r="H14" s="13">
        <f>Входящие_файлы_СЧЕТА[[#This Row],[Цена конкурента]]*Входящие_файлы_СЧЕТА[[#This Row],[Количество]]</f>
        <v>0</v>
      </c>
      <c r="I14" s="13">
        <v>0</v>
      </c>
      <c r="J14" s="16" t="str">
        <f>IFERROR(Входящие_файлы_СЧЕТА[[#This Row],[Цена]]/Входящие_файлы_СЧЕТА[[#This Row],[Максимальная себестоимость]]-1,"")</f>
        <v/>
      </c>
      <c r="K14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5" spans="2:15" x14ac:dyDescent="0.25">
      <c r="B15">
        <v>2361</v>
      </c>
      <c r="C15" t="s">
        <v>21</v>
      </c>
      <c r="D15">
        <v>10</v>
      </c>
      <c r="E15" s="13">
        <v>119.04</v>
      </c>
      <c r="F15" s="13">
        <v>1190.3900000000001</v>
      </c>
      <c r="G15" s="13">
        <v>0</v>
      </c>
      <c r="H15" s="13">
        <f>Входящие_файлы_СЧЕТА[[#This Row],[Цена конкурента]]*Входящие_файлы_СЧЕТА[[#This Row],[Количество]]</f>
        <v>0</v>
      </c>
      <c r="I15" s="13">
        <v>0</v>
      </c>
      <c r="J15" s="16" t="str">
        <f>IFERROR(Входящие_файлы_СЧЕТА[[#This Row],[Цена]]/Входящие_файлы_СЧЕТА[[#This Row],[Максимальная себестоимость]]-1,"")</f>
        <v/>
      </c>
      <c r="K15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6" spans="2:15" x14ac:dyDescent="0.25">
      <c r="B16">
        <v>2537</v>
      </c>
      <c r="C16" t="s">
        <v>22</v>
      </c>
      <c r="D16">
        <v>25</v>
      </c>
      <c r="E16" s="13">
        <v>119.04</v>
      </c>
      <c r="F16" s="13">
        <v>2975.97</v>
      </c>
      <c r="G16" s="13">
        <v>0</v>
      </c>
      <c r="H16" s="13">
        <f>Входящие_файлы_СЧЕТА[[#This Row],[Цена конкурента]]*Входящие_файлы_СЧЕТА[[#This Row],[Количество]]</f>
        <v>0</v>
      </c>
      <c r="I16" s="13">
        <v>0</v>
      </c>
      <c r="J16" s="16" t="str">
        <f>IFERROR(Входящие_файлы_СЧЕТА[[#This Row],[Цена]]/Входящие_файлы_СЧЕТА[[#This Row],[Максимальная себестоимость]]-1,"")</f>
        <v/>
      </c>
      <c r="K16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7" spans="2:11" x14ac:dyDescent="0.25">
      <c r="B17">
        <v>2537</v>
      </c>
      <c r="C17" t="s">
        <v>22</v>
      </c>
      <c r="D17">
        <v>15</v>
      </c>
      <c r="E17" s="13">
        <v>119.04</v>
      </c>
      <c r="F17" s="13">
        <v>1785.58</v>
      </c>
      <c r="G17" s="13">
        <v>0</v>
      </c>
      <c r="H17" s="13">
        <f>Входящие_файлы_СЧЕТА[[#This Row],[Цена конкурента]]*Входящие_файлы_СЧЕТА[[#This Row],[Количество]]</f>
        <v>0</v>
      </c>
      <c r="I17" s="13">
        <v>0</v>
      </c>
      <c r="J17" s="16" t="str">
        <f>IFERROR(Входящие_файлы_СЧЕТА[[#This Row],[Цена]]/Входящие_файлы_СЧЕТА[[#This Row],[Максимальная себестоимость]]-1,"")</f>
        <v/>
      </c>
      <c r="K17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8" spans="2:11" x14ac:dyDescent="0.25">
      <c r="B18">
        <v>2538</v>
      </c>
      <c r="C18" t="s">
        <v>23</v>
      </c>
      <c r="D18">
        <v>50</v>
      </c>
      <c r="E18" s="13">
        <v>129.47</v>
      </c>
      <c r="F18" s="13">
        <v>6473.49</v>
      </c>
      <c r="G18" s="13">
        <v>0</v>
      </c>
      <c r="H18" s="13">
        <f>Входящие_файлы_СЧЕТА[[#This Row],[Цена конкурента]]*Входящие_файлы_СЧЕТА[[#This Row],[Количество]]</f>
        <v>0</v>
      </c>
      <c r="I18" s="13">
        <v>0</v>
      </c>
      <c r="J18" s="16" t="str">
        <f>IFERROR(Входящие_файлы_СЧЕТА[[#This Row],[Цена]]/Входящие_файлы_СЧЕТА[[#This Row],[Максимальная себестоимость]]-1,"")</f>
        <v/>
      </c>
      <c r="K18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9" spans="2:11" x14ac:dyDescent="0.25">
      <c r="B19">
        <v>4483</v>
      </c>
      <c r="C19" t="s">
        <v>24</v>
      </c>
      <c r="D19">
        <v>10</v>
      </c>
      <c r="E19" s="13">
        <v>261.77</v>
      </c>
      <c r="F19" s="13">
        <v>2617.67</v>
      </c>
      <c r="G19" s="13">
        <v>0</v>
      </c>
      <c r="H19" s="13">
        <f>Входящие_файлы_СЧЕТА[[#This Row],[Цена конкурента]]*Входящие_файлы_СЧЕТА[[#This Row],[Количество]]</f>
        <v>0</v>
      </c>
      <c r="I19" s="13">
        <v>0</v>
      </c>
      <c r="J19" s="16" t="str">
        <f>IFERROR(Входящие_файлы_СЧЕТА[[#This Row],[Цена]]/Входящие_файлы_СЧЕТА[[#This Row],[Максимальная себестоимость]]-1,"")</f>
        <v/>
      </c>
      <c r="K19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0" spans="2:11" x14ac:dyDescent="0.25">
      <c r="B20">
        <v>2547</v>
      </c>
      <c r="C20" t="s">
        <v>25</v>
      </c>
      <c r="D20">
        <v>40</v>
      </c>
      <c r="E20" s="13">
        <v>30.47</v>
      </c>
      <c r="F20" s="13">
        <v>1218.6600000000001</v>
      </c>
      <c r="G20" s="13">
        <v>0</v>
      </c>
      <c r="H20" s="13">
        <f>Входящие_файлы_СЧЕТА[[#This Row],[Цена конкурента]]*Входящие_файлы_СЧЕТА[[#This Row],[Количество]]</f>
        <v>0</v>
      </c>
      <c r="I20" s="13">
        <v>0</v>
      </c>
      <c r="J20" s="16" t="str">
        <f>IFERROR(Входящие_файлы_СЧЕТА[[#This Row],[Цена]]/Входящие_файлы_СЧЕТА[[#This Row],[Максимальная себестоимость]]-1,"")</f>
        <v/>
      </c>
      <c r="K20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1" spans="2:11" x14ac:dyDescent="0.25">
      <c r="B21">
        <v>2684</v>
      </c>
      <c r="C21" t="s">
        <v>26</v>
      </c>
      <c r="D21">
        <v>50</v>
      </c>
      <c r="E21" s="13">
        <v>42.46</v>
      </c>
      <c r="F21" s="13">
        <v>2122.96</v>
      </c>
      <c r="G21" s="13">
        <v>0</v>
      </c>
      <c r="H21" s="13">
        <f>Входящие_файлы_СЧЕТА[[#This Row],[Цена конкурента]]*Входящие_файлы_СЧЕТА[[#This Row],[Количество]]</f>
        <v>0</v>
      </c>
      <c r="I21" s="13">
        <v>0</v>
      </c>
      <c r="J21" s="16" t="str">
        <f>IFERROR(Входящие_файлы_СЧЕТА[[#This Row],[Цена]]/Входящие_файлы_СЧЕТА[[#This Row],[Максимальная себестоимость]]-1,"")</f>
        <v/>
      </c>
      <c r="K21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2" spans="2:11" x14ac:dyDescent="0.25">
      <c r="B22">
        <v>2683</v>
      </c>
      <c r="C22" t="s">
        <v>27</v>
      </c>
      <c r="D22">
        <v>10</v>
      </c>
      <c r="E22" s="13">
        <v>68.680000000000007</v>
      </c>
      <c r="F22" s="13">
        <v>686.79</v>
      </c>
      <c r="G22" s="13">
        <v>0</v>
      </c>
      <c r="H22" s="13">
        <f>Входящие_файлы_СЧЕТА[[#This Row],[Цена конкурента]]*Входящие_файлы_СЧЕТА[[#This Row],[Количество]]</f>
        <v>0</v>
      </c>
      <c r="I22" s="13">
        <v>0</v>
      </c>
      <c r="J22" s="16" t="str">
        <f>IFERROR(Входящие_файлы_СЧЕТА[[#This Row],[Цена]]/Входящие_файлы_СЧЕТА[[#This Row],[Максимальная себестоимость]]-1,"")</f>
        <v/>
      </c>
      <c r="K22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3" spans="2:11" x14ac:dyDescent="0.25">
      <c r="B23">
        <v>2369</v>
      </c>
      <c r="C23" t="s">
        <v>28</v>
      </c>
      <c r="D23">
        <v>30</v>
      </c>
      <c r="E23" s="13">
        <v>127.53</v>
      </c>
      <c r="F23" s="13">
        <v>3825.95</v>
      </c>
      <c r="G23" s="13">
        <v>0</v>
      </c>
      <c r="H23" s="13">
        <f>Входящие_файлы_СЧЕТА[[#This Row],[Цена конкурента]]*Входящие_файлы_СЧЕТА[[#This Row],[Количество]]</f>
        <v>0</v>
      </c>
      <c r="I23" s="13">
        <v>0</v>
      </c>
      <c r="J23" s="16" t="str">
        <f>IFERROR(Входящие_файлы_СЧЕТА[[#This Row],[Цена]]/Входящие_файлы_СЧЕТА[[#This Row],[Максимальная себестоимость]]-1,"")</f>
        <v/>
      </c>
      <c r="K23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4" spans="2:11" x14ac:dyDescent="0.25">
      <c r="B24">
        <v>2370</v>
      </c>
      <c r="C24" t="s">
        <v>29</v>
      </c>
      <c r="D24">
        <v>50</v>
      </c>
      <c r="E24" s="13">
        <v>186.01</v>
      </c>
      <c r="F24" s="13">
        <v>9300.4</v>
      </c>
      <c r="G24" s="13">
        <v>0</v>
      </c>
      <c r="H24" s="13">
        <f>Входящие_файлы_СЧЕТА[[#This Row],[Цена конкурента]]*Входящие_файлы_СЧЕТА[[#This Row],[Количество]]</f>
        <v>0</v>
      </c>
      <c r="I24" s="13">
        <v>0</v>
      </c>
      <c r="J24" s="16" t="str">
        <f>IFERROR(Входящие_файлы_СЧЕТА[[#This Row],[Цена]]/Входящие_файлы_СЧЕТА[[#This Row],[Максимальная себестоимость]]-1,"")</f>
        <v/>
      </c>
      <c r="K24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5" spans="2:11" x14ac:dyDescent="0.25">
      <c r="B25">
        <v>4491</v>
      </c>
      <c r="C25" t="s">
        <v>30</v>
      </c>
      <c r="D25">
        <v>20</v>
      </c>
      <c r="E25" s="13">
        <v>272.04000000000002</v>
      </c>
      <c r="F25" s="13">
        <v>5440.88</v>
      </c>
      <c r="G25" s="13">
        <v>0</v>
      </c>
      <c r="H25" s="13">
        <f>Входящие_файлы_СЧЕТА[[#This Row],[Цена конкурента]]*Входящие_файлы_СЧЕТА[[#This Row],[Количество]]</f>
        <v>0</v>
      </c>
      <c r="I25" s="13">
        <v>0</v>
      </c>
      <c r="J25" s="16" t="str">
        <f>IFERROR(Входящие_файлы_СЧЕТА[[#This Row],[Цена]]/Входящие_файлы_СЧЕТА[[#This Row],[Максимальная себестоимость]]-1,"")</f>
        <v/>
      </c>
      <c r="K25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6" spans="2:11" x14ac:dyDescent="0.25">
      <c r="B26">
        <v>4492</v>
      </c>
      <c r="C26" t="s">
        <v>31</v>
      </c>
      <c r="D26">
        <v>55</v>
      </c>
      <c r="E26" s="13">
        <v>269.58999999999997</v>
      </c>
      <c r="F26" s="13">
        <v>14827.3</v>
      </c>
      <c r="G26" s="13">
        <v>0</v>
      </c>
      <c r="H26" s="13">
        <f>Входящие_файлы_СЧЕТА[[#This Row],[Цена конкурента]]*Входящие_файлы_СЧЕТА[[#This Row],[Количество]]</f>
        <v>0</v>
      </c>
      <c r="I26" s="13">
        <v>0</v>
      </c>
      <c r="J26" s="16" t="str">
        <f>IFERROR(Входящие_файлы_СЧЕТА[[#This Row],[Цена]]/Входящие_файлы_СЧЕТА[[#This Row],[Максимальная себестоимость]]-1,"")</f>
        <v/>
      </c>
      <c r="K26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7" spans="2:11" x14ac:dyDescent="0.25">
      <c r="B27">
        <v>2572</v>
      </c>
      <c r="C27" t="s">
        <v>32</v>
      </c>
      <c r="D27">
        <v>10</v>
      </c>
      <c r="E27" s="13">
        <v>114.57</v>
      </c>
      <c r="F27" s="13">
        <v>1145.7</v>
      </c>
      <c r="G27" s="13">
        <v>59.76</v>
      </c>
      <c r="H27" s="13">
        <f>Входящие_файлы_СЧЕТА[[#This Row],[Цена конкурента]]*Входящие_файлы_СЧЕТА[[#This Row],[Количество]]</f>
        <v>597.6</v>
      </c>
      <c r="I27" s="13">
        <v>86.485717370572786</v>
      </c>
      <c r="J27" s="16">
        <f>IFERROR(Входящие_файлы_СЧЕТА[[#This Row],[Цена]]/Входящие_файлы_СЧЕТА[[#This Row],[Максимальная себестоимость]]-1,"")</f>
        <v>0.32472740567199176</v>
      </c>
      <c r="K27" s="16">
        <f>IFERROR(Входящие_файлы_СЧЕТА[[#This Row],[Цена конкурента]]/Входящие_файлы_СЧЕТА[[#This Row],[Максимальная себестоимость]]-1,"")</f>
        <v>-0.30901885517187544</v>
      </c>
    </row>
    <row r="28" spans="2:11" x14ac:dyDescent="0.25">
      <c r="B28">
        <v>2571</v>
      </c>
      <c r="C28" t="s">
        <v>33</v>
      </c>
      <c r="D28">
        <v>20</v>
      </c>
      <c r="E28" s="13">
        <v>349.44</v>
      </c>
      <c r="F28" s="13">
        <v>6988.88</v>
      </c>
      <c r="G28" s="13">
        <v>0</v>
      </c>
      <c r="H28" s="13">
        <f>Входящие_файлы_СЧЕТА[[#This Row],[Цена конкурента]]*Входящие_файлы_СЧЕТА[[#This Row],[Количество]]</f>
        <v>0</v>
      </c>
      <c r="I28" s="13">
        <v>0</v>
      </c>
      <c r="J28" s="16" t="str">
        <f>IFERROR(Входящие_файлы_СЧЕТА[[#This Row],[Цена]]/Входящие_файлы_СЧЕТА[[#This Row],[Максимальная себестоимость]]-1,"")</f>
        <v/>
      </c>
      <c r="K28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9" spans="2:11" x14ac:dyDescent="0.25">
      <c r="B29">
        <v>4511</v>
      </c>
      <c r="C29" t="s">
        <v>34</v>
      </c>
      <c r="D29">
        <v>10</v>
      </c>
      <c r="E29" s="13">
        <v>516.75</v>
      </c>
      <c r="F29" s="13">
        <v>5167.51</v>
      </c>
      <c r="G29" s="13">
        <v>0</v>
      </c>
      <c r="H29" s="13">
        <f>Входящие_файлы_СЧЕТА[[#This Row],[Цена конкурента]]*Входящие_файлы_СЧЕТА[[#This Row],[Количество]]</f>
        <v>0</v>
      </c>
      <c r="I29" s="13">
        <v>0</v>
      </c>
      <c r="J29" s="16" t="str">
        <f>IFERROR(Входящие_файлы_СЧЕТА[[#This Row],[Цена]]/Входящие_файлы_СЧЕТА[[#This Row],[Максимальная себестоимость]]-1,"")</f>
        <v/>
      </c>
      <c r="K29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0" spans="2:11" x14ac:dyDescent="0.25">
      <c r="B30">
        <v>2381</v>
      </c>
      <c r="C30" t="s">
        <v>35</v>
      </c>
      <c r="D30">
        <v>50</v>
      </c>
      <c r="E30" s="13">
        <v>99.23</v>
      </c>
      <c r="F30" s="13">
        <v>4961.28</v>
      </c>
      <c r="G30" s="13">
        <v>0</v>
      </c>
      <c r="H30" s="13">
        <f>Входящие_файлы_СЧЕТА[[#This Row],[Цена конкурента]]*Входящие_файлы_СЧЕТА[[#This Row],[Количество]]</f>
        <v>0</v>
      </c>
      <c r="I30" s="13">
        <v>0</v>
      </c>
      <c r="J30" s="16" t="str">
        <f>IFERROR(Входящие_файлы_СЧЕТА[[#This Row],[Цена]]/Входящие_файлы_СЧЕТА[[#This Row],[Максимальная себестоимость]]-1,"")</f>
        <v/>
      </c>
      <c r="K30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1" spans="2:11" x14ac:dyDescent="0.25">
      <c r="B31">
        <v>4521</v>
      </c>
      <c r="C31" t="s">
        <v>36</v>
      </c>
      <c r="D31">
        <v>20</v>
      </c>
      <c r="E31" s="13">
        <v>161.79</v>
      </c>
      <c r="F31" s="13">
        <v>3235.89</v>
      </c>
      <c r="G31" s="13">
        <v>0</v>
      </c>
      <c r="H31" s="13">
        <f>Входящие_файлы_СЧЕТА[[#This Row],[Цена конкурента]]*Входящие_файлы_СЧЕТА[[#This Row],[Количество]]</f>
        <v>0</v>
      </c>
      <c r="I31" s="13">
        <v>0</v>
      </c>
      <c r="J31" s="16" t="str">
        <f>IFERROR(Входящие_файлы_СЧЕТА[[#This Row],[Цена]]/Входящие_файлы_СЧЕТА[[#This Row],[Максимальная себестоимость]]-1,"")</f>
        <v/>
      </c>
      <c r="K31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2" spans="2:11" x14ac:dyDescent="0.25">
      <c r="B32">
        <v>4522</v>
      </c>
      <c r="C32" t="s">
        <v>37</v>
      </c>
      <c r="D32">
        <v>5</v>
      </c>
      <c r="E32" s="13">
        <v>270.93</v>
      </c>
      <c r="F32" s="13">
        <v>1354.63</v>
      </c>
      <c r="G32" s="13">
        <v>0</v>
      </c>
      <c r="H32" s="13">
        <f>Входящие_файлы_СЧЕТА[[#This Row],[Цена конкурента]]*Входящие_файлы_СЧЕТА[[#This Row],[Количество]]</f>
        <v>0</v>
      </c>
      <c r="I32" s="13">
        <v>0</v>
      </c>
      <c r="J32" s="16" t="str">
        <f>IFERROR(Входящие_файлы_СЧЕТА[[#This Row],[Цена]]/Входящие_файлы_СЧЕТА[[#This Row],[Максимальная себестоимость]]-1,"")</f>
        <v/>
      </c>
      <c r="K32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3" spans="2:11" x14ac:dyDescent="0.25">
      <c r="B33">
        <v>2574</v>
      </c>
      <c r="C33" t="s">
        <v>38</v>
      </c>
      <c r="D33">
        <v>20</v>
      </c>
      <c r="E33" s="13">
        <v>89.24</v>
      </c>
      <c r="F33" s="13">
        <v>1784.78</v>
      </c>
      <c r="G33" s="13">
        <v>0</v>
      </c>
      <c r="H33" s="13">
        <f>Входящие_файлы_СЧЕТА[[#This Row],[Цена конкурента]]*Входящие_файлы_СЧЕТА[[#This Row],[Количество]]</f>
        <v>0</v>
      </c>
      <c r="I33" s="13">
        <v>0</v>
      </c>
      <c r="J33" s="16" t="str">
        <f>IFERROR(Входящие_файлы_СЧЕТА[[#This Row],[Цена]]/Входящие_файлы_СЧЕТА[[#This Row],[Максимальная себестоимость]]-1,"")</f>
        <v/>
      </c>
      <c r="K33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4" spans="2:11" x14ac:dyDescent="0.25">
      <c r="B34">
        <v>2380</v>
      </c>
      <c r="C34" t="s">
        <v>39</v>
      </c>
      <c r="D34">
        <v>200</v>
      </c>
      <c r="E34" s="13">
        <v>89.02</v>
      </c>
      <c r="F34" s="13">
        <v>17803.38</v>
      </c>
      <c r="G34" s="13">
        <v>0</v>
      </c>
      <c r="H34" s="13">
        <f>Входящие_файлы_СЧЕТА[[#This Row],[Цена конкурента]]*Входящие_файлы_СЧЕТА[[#This Row],[Количество]]</f>
        <v>0</v>
      </c>
      <c r="I34" s="13">
        <v>0</v>
      </c>
      <c r="J34" s="16" t="str">
        <f>IFERROR(Входящие_файлы_СЧЕТА[[#This Row],[Цена]]/Входящие_файлы_СЧЕТА[[#This Row],[Максимальная себестоимость]]-1,"")</f>
        <v/>
      </c>
      <c r="K34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5" spans="2:11" x14ac:dyDescent="0.25">
      <c r="B35">
        <v>4520</v>
      </c>
      <c r="C35" t="s">
        <v>40</v>
      </c>
      <c r="D35">
        <v>10</v>
      </c>
      <c r="E35" s="13">
        <v>256.55</v>
      </c>
      <c r="F35" s="13">
        <v>2565.5100000000002</v>
      </c>
      <c r="G35" s="13">
        <v>0</v>
      </c>
      <c r="H35" s="13">
        <f>Входящие_файлы_СЧЕТА[[#This Row],[Цена конкурента]]*Входящие_файлы_СЧЕТА[[#This Row],[Количество]]</f>
        <v>0</v>
      </c>
      <c r="I35" s="13">
        <v>0</v>
      </c>
      <c r="J35" s="16" t="str">
        <f>IFERROR(Входящие_файлы_СЧЕТА[[#This Row],[Цена]]/Входящие_файлы_СЧЕТА[[#This Row],[Максимальная себестоимость]]-1,"")</f>
        <v/>
      </c>
      <c r="K35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6" spans="2:11" x14ac:dyDescent="0.25">
      <c r="B36">
        <v>2379</v>
      </c>
      <c r="C36" t="s">
        <v>41</v>
      </c>
      <c r="D36">
        <v>50</v>
      </c>
      <c r="E36" s="13">
        <v>92.52</v>
      </c>
      <c r="F36" s="13">
        <v>4625.83</v>
      </c>
      <c r="G36" s="13">
        <v>0</v>
      </c>
      <c r="H36" s="13">
        <f>Входящие_файлы_СЧЕТА[[#This Row],[Цена конкурента]]*Входящие_файлы_СЧЕТА[[#This Row],[Количество]]</f>
        <v>0</v>
      </c>
      <c r="I36" s="13">
        <v>0</v>
      </c>
      <c r="J36" s="16" t="str">
        <f>IFERROR(Входящие_файлы_СЧЕТА[[#This Row],[Цена]]/Входящие_файлы_СЧЕТА[[#This Row],[Максимальная себестоимость]]-1,"")</f>
        <v/>
      </c>
      <c r="K36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7" spans="2:11" x14ac:dyDescent="0.25">
      <c r="B37">
        <v>2575</v>
      </c>
      <c r="C37" t="s">
        <v>42</v>
      </c>
      <c r="D37">
        <v>70</v>
      </c>
      <c r="E37" s="13">
        <v>81.42</v>
      </c>
      <c r="F37" s="13">
        <v>5699.32</v>
      </c>
      <c r="G37" s="13">
        <v>144.27000000000001</v>
      </c>
      <c r="H37" s="13">
        <f>Входящие_файлы_СЧЕТА[[#This Row],[Цена конкурента]]*Входящие_файлы_СЧЕТА[[#This Row],[Количество]]</f>
        <v>10098.900000000001</v>
      </c>
      <c r="I37" s="13">
        <v>66.013781739816949</v>
      </c>
      <c r="J37" s="16">
        <f>IFERROR(Входящие_файлы_СЧЕТА[[#This Row],[Цена]]/Входящие_файлы_СЧЕТА[[#This Row],[Максимальная себестоимость]]-1,"")</f>
        <v>0.23337881657657888</v>
      </c>
      <c r="K37" s="16">
        <f>IFERROR(Входящие_файлы_СЧЕТА[[#This Row],[Цена конкурента]]/Входящие_файлы_СЧЕТА[[#This Row],[Максимальная себестоимость]]-1,"")</f>
        <v>1.1854527372574681</v>
      </c>
    </row>
    <row r="38" spans="2:11" x14ac:dyDescent="0.25">
      <c r="B38">
        <v>2560</v>
      </c>
      <c r="C38" t="s">
        <v>43</v>
      </c>
      <c r="D38">
        <v>50</v>
      </c>
      <c r="E38" s="13">
        <v>93.12</v>
      </c>
      <c r="F38" s="13">
        <v>4655.76</v>
      </c>
      <c r="G38" s="13">
        <v>0</v>
      </c>
      <c r="H38" s="13">
        <f>Входящие_файлы_СЧЕТА[[#This Row],[Цена конкурента]]*Входящие_файлы_СЧЕТА[[#This Row],[Количество]]</f>
        <v>0</v>
      </c>
      <c r="I38" s="13">
        <v>0</v>
      </c>
      <c r="J38" s="16" t="str">
        <f>IFERROR(Входящие_файлы_СЧЕТА[[#This Row],[Цена]]/Входящие_файлы_СЧЕТА[[#This Row],[Максимальная себестоимость]]-1,"")</f>
        <v/>
      </c>
      <c r="K38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9" spans="2:11" x14ac:dyDescent="0.25">
      <c r="B39">
        <v>2561</v>
      </c>
      <c r="C39" t="s">
        <v>44</v>
      </c>
      <c r="D39">
        <v>400</v>
      </c>
      <c r="E39" s="13">
        <v>63.91</v>
      </c>
      <c r="F39" s="13">
        <v>25565.64</v>
      </c>
      <c r="G39" s="13">
        <v>0</v>
      </c>
      <c r="H39" s="13">
        <f>Входящие_файлы_СЧЕТА[[#This Row],[Цена конкурента]]*Входящие_файлы_СЧЕТА[[#This Row],[Количество]]</f>
        <v>0</v>
      </c>
      <c r="I39" s="13">
        <v>0</v>
      </c>
      <c r="J39" s="16" t="str">
        <f>IFERROR(Входящие_файлы_СЧЕТА[[#This Row],[Цена]]/Входящие_файлы_СЧЕТА[[#This Row],[Максимальная себестоимость]]-1,"")</f>
        <v/>
      </c>
      <c r="K39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0" spans="2:11" x14ac:dyDescent="0.25">
      <c r="B40">
        <v>2562</v>
      </c>
      <c r="C40" t="s">
        <v>45</v>
      </c>
      <c r="D40">
        <v>50</v>
      </c>
      <c r="E40" s="13">
        <v>105.33</v>
      </c>
      <c r="F40" s="13">
        <v>5266.51</v>
      </c>
      <c r="G40" s="13">
        <v>0</v>
      </c>
      <c r="H40" s="13">
        <f>Входящие_файлы_СЧЕТА[[#This Row],[Цена конкурента]]*Входящие_файлы_СЧЕТА[[#This Row],[Количество]]</f>
        <v>0</v>
      </c>
      <c r="I40" s="13">
        <v>0</v>
      </c>
      <c r="J40" s="16" t="str">
        <f>IFERROR(Входящие_файлы_СЧЕТА[[#This Row],[Цена]]/Входящие_файлы_СЧЕТА[[#This Row],[Максимальная себестоимость]]-1,"")</f>
        <v/>
      </c>
      <c r="K40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1" spans="2:11" x14ac:dyDescent="0.25">
      <c r="B41">
        <v>2563</v>
      </c>
      <c r="C41" t="s">
        <v>46</v>
      </c>
      <c r="D41">
        <v>30</v>
      </c>
      <c r="E41" s="13">
        <v>191.59</v>
      </c>
      <c r="F41" s="13">
        <v>5747.82</v>
      </c>
      <c r="G41" s="13">
        <v>0</v>
      </c>
      <c r="H41" s="13">
        <f>Входящие_файлы_СЧЕТА[[#This Row],[Цена конкурента]]*Входящие_файлы_СЧЕТА[[#This Row],[Количество]]</f>
        <v>0</v>
      </c>
      <c r="I41" s="13">
        <v>0</v>
      </c>
      <c r="J41" s="16" t="str">
        <f>IFERROR(Входящие_файлы_СЧЕТА[[#This Row],[Цена]]/Входящие_файлы_СЧЕТА[[#This Row],[Максимальная себестоимость]]-1,"")</f>
        <v/>
      </c>
      <c r="K41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2" spans="2:11" x14ac:dyDescent="0.25">
      <c r="B42">
        <v>2563</v>
      </c>
      <c r="C42" t="s">
        <v>46</v>
      </c>
      <c r="D42">
        <v>50</v>
      </c>
      <c r="E42" s="13">
        <v>191.59</v>
      </c>
      <c r="F42" s="13">
        <v>9579.7000000000007</v>
      </c>
      <c r="G42" s="13">
        <v>0</v>
      </c>
      <c r="H42" s="13">
        <f>Входящие_файлы_СЧЕТА[[#This Row],[Цена конкурента]]*Входящие_файлы_СЧЕТА[[#This Row],[Количество]]</f>
        <v>0</v>
      </c>
      <c r="I42" s="13">
        <v>0</v>
      </c>
      <c r="J42" s="16" t="str">
        <f>IFERROR(Входящие_файлы_СЧЕТА[[#This Row],[Цена]]/Входящие_файлы_СЧЕТА[[#This Row],[Максимальная себестоимость]]-1,"")</f>
        <v/>
      </c>
      <c r="K42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3" spans="2:11" x14ac:dyDescent="0.25">
      <c r="B43">
        <v>4507</v>
      </c>
      <c r="C43" t="s">
        <v>47</v>
      </c>
      <c r="D43">
        <v>5</v>
      </c>
      <c r="E43" s="13">
        <v>282.77</v>
      </c>
      <c r="F43" s="13">
        <v>1413.86</v>
      </c>
      <c r="G43" s="13">
        <v>0</v>
      </c>
      <c r="H43" s="13">
        <f>Входящие_файлы_СЧЕТА[[#This Row],[Цена конкурента]]*Входящие_файлы_СЧЕТА[[#This Row],[Количество]]</f>
        <v>0</v>
      </c>
      <c r="I43" s="13">
        <v>0</v>
      </c>
      <c r="J43" s="16" t="str">
        <f>IFERROR(Входящие_файлы_СЧЕТА[[#This Row],[Цена]]/Входящие_файлы_СЧЕТА[[#This Row],[Максимальная себестоимость]]-1,"")</f>
        <v/>
      </c>
      <c r="K43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4" spans="2:11" x14ac:dyDescent="0.25">
      <c r="B44">
        <v>2564</v>
      </c>
      <c r="C44" t="s">
        <v>48</v>
      </c>
      <c r="D44">
        <v>150</v>
      </c>
      <c r="E44" s="13">
        <v>64.88</v>
      </c>
      <c r="F44" s="13">
        <v>9732.4599999999991</v>
      </c>
      <c r="G44" s="13"/>
      <c r="H44" s="13">
        <f>Входящие_файлы_СЧЕТА[[#This Row],[Цена конкурента]]*Входящие_файлы_СЧЕТА[[#This Row],[Количество]]</f>
        <v>0</v>
      </c>
      <c r="I44" s="13">
        <v>0</v>
      </c>
      <c r="J44" s="16" t="str">
        <f>IFERROR(Входящие_файлы_СЧЕТА[[#This Row],[Цена]]/Входящие_файлы_СЧЕТА[[#This Row],[Максимальная себестоимость]]-1,"")</f>
        <v/>
      </c>
      <c r="K44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5" spans="2:11" x14ac:dyDescent="0.25">
      <c r="B45">
        <v>2565</v>
      </c>
      <c r="C45" t="s">
        <v>49</v>
      </c>
      <c r="D45">
        <v>20</v>
      </c>
      <c r="E45" s="13">
        <v>106.45</v>
      </c>
      <c r="F45" s="13">
        <v>2128.9499999999998</v>
      </c>
      <c r="G45" s="13"/>
      <c r="H45" s="13">
        <f>Входящие_файлы_СЧЕТА[[#This Row],[Цена конкурента]]*Входящие_файлы_СЧЕТА[[#This Row],[Количество]]</f>
        <v>0</v>
      </c>
      <c r="I45" s="13">
        <v>0</v>
      </c>
      <c r="J45" s="16" t="str">
        <f>IFERROR(Входящие_файлы_СЧЕТА[[#This Row],[Цена]]/Входящие_файлы_СЧЕТА[[#This Row],[Максимальная себестоимость]]-1,"")</f>
        <v/>
      </c>
      <c r="K45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6" spans="2:11" x14ac:dyDescent="0.25">
      <c r="B46">
        <v>4498</v>
      </c>
      <c r="C46" t="s">
        <v>50</v>
      </c>
      <c r="D46">
        <v>30</v>
      </c>
      <c r="E46" s="13">
        <v>132.66999999999999</v>
      </c>
      <c r="F46" s="13">
        <v>3980.2</v>
      </c>
      <c r="G46" s="13"/>
      <c r="H46" s="13">
        <f>Входящие_файлы_СЧЕТА[[#This Row],[Цена конкурента]]*Входящие_файлы_СЧЕТА[[#This Row],[Количество]]</f>
        <v>0</v>
      </c>
      <c r="I46" s="13">
        <v>0</v>
      </c>
      <c r="J46" s="16" t="str">
        <f>IFERROR(Входящие_файлы_СЧЕТА[[#This Row],[Цена]]/Входящие_файлы_СЧЕТА[[#This Row],[Максимальная себестоимость]]-1,"")</f>
        <v/>
      </c>
      <c r="K46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7" spans="2:11" x14ac:dyDescent="0.25">
      <c r="B47">
        <v>2556</v>
      </c>
      <c r="C47" t="s">
        <v>51</v>
      </c>
      <c r="D47">
        <v>120</v>
      </c>
      <c r="E47" s="13">
        <v>102.35</v>
      </c>
      <c r="F47" s="13">
        <v>12282.59</v>
      </c>
      <c r="G47" s="13"/>
      <c r="H47" s="13">
        <f>Входящие_файлы_СЧЕТА[[#This Row],[Цена конкурента]]*Входящие_файлы_СЧЕТА[[#This Row],[Количество]]</f>
        <v>0</v>
      </c>
      <c r="I47" s="13">
        <v>0</v>
      </c>
      <c r="J47" s="16" t="str">
        <f>IFERROR(Входящие_файлы_СЧЕТА[[#This Row],[Цена]]/Входящие_файлы_СЧЕТА[[#This Row],[Максимальная себестоимость]]-1,"")</f>
        <v/>
      </c>
      <c r="K47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8" spans="2:11" x14ac:dyDescent="0.25">
      <c r="B48">
        <v>2386</v>
      </c>
      <c r="C48" t="s">
        <v>52</v>
      </c>
      <c r="D48">
        <v>20</v>
      </c>
      <c r="E48" s="13">
        <v>173.87</v>
      </c>
      <c r="F48" s="13">
        <v>3477.34</v>
      </c>
      <c r="G48" s="13"/>
      <c r="H48" s="13">
        <f>Входящие_файлы_СЧЕТА[[#This Row],[Цена конкурента]]*Входящие_файлы_СЧЕТА[[#This Row],[Количество]]</f>
        <v>0</v>
      </c>
      <c r="I48" s="13">
        <v>0</v>
      </c>
      <c r="J48" s="16" t="str">
        <f>IFERROR(Входящие_файлы_СЧЕТА[[#This Row],[Цена]]/Входящие_файлы_СЧЕТА[[#This Row],[Максимальная себестоимость]]-1,"")</f>
        <v/>
      </c>
      <c r="K48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9" spans="2:11" x14ac:dyDescent="0.25">
      <c r="B49">
        <v>2387</v>
      </c>
      <c r="C49" t="s">
        <v>53</v>
      </c>
      <c r="D49">
        <v>40</v>
      </c>
      <c r="E49" s="13">
        <v>102.28</v>
      </c>
      <c r="F49" s="13">
        <v>4091</v>
      </c>
      <c r="G49" s="13"/>
      <c r="H49" s="13">
        <f>Входящие_файлы_СЧЕТА[[#This Row],[Цена конкурента]]*Входящие_файлы_СЧЕТА[[#This Row],[Количество]]</f>
        <v>0</v>
      </c>
      <c r="I49" s="13">
        <v>0</v>
      </c>
      <c r="J49" s="16" t="str">
        <f>IFERROR(Входящие_файлы_СЧЕТА[[#This Row],[Цена]]/Входящие_файлы_СЧЕТА[[#This Row],[Максимальная себестоимость]]-1,"")</f>
        <v/>
      </c>
      <c r="K49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50" spans="2:11" x14ac:dyDescent="0.25">
      <c r="B50">
        <v>4503</v>
      </c>
      <c r="C50" t="s">
        <v>54</v>
      </c>
      <c r="D50">
        <v>30</v>
      </c>
      <c r="E50" s="13">
        <v>231.97</v>
      </c>
      <c r="F50" s="13">
        <v>6959.02</v>
      </c>
      <c r="G50" s="13">
        <v>215.47</v>
      </c>
      <c r="H50" s="13">
        <f>Входящие_файлы_СЧЕТА[[#This Row],[Цена конкурента]]*Входящие_файлы_СЧЕТА[[#This Row],[Количество]]</f>
        <v>6464.1</v>
      </c>
      <c r="I50" s="13">
        <v>154.36058416773116</v>
      </c>
      <c r="J50" s="16">
        <f>IFERROR(Входящие_файлы_СЧЕТА[[#This Row],[Цена]]/Входящие_файлы_СЧЕТА[[#This Row],[Максимальная себестоимость]]-1,"")</f>
        <v>0.50278000858002048</v>
      </c>
      <c r="K50" s="16">
        <f>IFERROR(Входящие_файлы_СЧЕТА[[#This Row],[Цена конкурента]]/Входящие_файлы_СЧЕТА[[#This Row],[Максимальная себестоимость]]-1,"")</f>
        <v>0.39588743565433893</v>
      </c>
    </row>
  </sheetData>
  <mergeCells count="2">
    <mergeCell ref="E2:F2"/>
    <mergeCell ref="E3:F3"/>
  </mergeCell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1A9E11-9E8A-47B8-858F-C202073F5A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Форма_счет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Жигульских Евгений Олегович</dc:creator>
  <cp:lastModifiedBy>Жигульских Евгений Олегович</cp:lastModifiedBy>
  <dcterms:created xsi:type="dcterms:W3CDTF">2023-10-26T08:35:19Z</dcterms:created>
  <dcterms:modified xsi:type="dcterms:W3CDTF">2023-10-26T08:36:34Z</dcterms:modified>
</cp:coreProperties>
</file>