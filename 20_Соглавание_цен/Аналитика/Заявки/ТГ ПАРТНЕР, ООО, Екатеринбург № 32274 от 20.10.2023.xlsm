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zhigulskiy\Desktop\СЕБЕСТОИМОСТЬ\Аналитика\Заявки\"/>
    </mc:Choice>
  </mc:AlternateContent>
  <xr:revisionPtr revIDLastSave="0" documentId="13_ncr:1_{A7DF8A45-D3BD-4804-AE03-66A6256C8426}" xr6:coauthVersionLast="47" xr6:coauthVersionMax="47" xr10:uidLastSave="{00000000-0000-0000-0000-000000000000}"/>
  <bookViews>
    <workbookView xWindow="-120" yWindow="-120" windowWidth="28110" windowHeight="16440" xr2:uid="{D694DB2E-4804-4740-9219-4A7A642C0C86}"/>
  </bookViews>
  <sheets>
    <sheet name="Форма_счет" sheetId="1" r:id="rId1"/>
  </sheets>
  <definedNames>
    <definedName name="ExternalData_1" localSheetId="0" hidden="1">Форма_счет!$B$5:$F$24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" l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6" i="1"/>
  <c r="H24" i="1" l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BF2811-3853-48CB-AD1D-C5FF28AE83B7}" keepAlive="1" name="Запрос — col_list" description="Соединение с запросом &quot;col_list&quot; в книге." type="5" refreshedVersion="0" background="1">
    <dbPr connection="Provider=Microsoft.Mashup.OleDb.1;Data Source=$Workbook$;Location=col_list;Extended Properties=&quot;&quot;" command="SELECT * FROM [col_list]"/>
  </connection>
  <connection id="2" xr16:uid="{DF4B652D-213A-4388-BC10-B2808B8CD222}" keepAlive="1" name="Запрос — Входящие_файлы(СЧЕТА)" description="Соединение с запросом &quot;Входящие_файлы(СЧЕТА)&quot; в книге." type="5" refreshedVersion="7" background="1" saveData="1">
    <dbPr connection="Provider=Microsoft.Mashup.OleDb.1;Data Source=$Workbook$;Location=Входящие_файлы(СЧЕТА);Extended Properties=&quot;&quot;" command="SELECT * FROM [Входящие_файлы(СЧЕТА)]"/>
  </connection>
  <connection id="3" xr16:uid="{8D2EF135-7697-4C29-84CF-308EE36D418D}" keepAlive="1" name="Запрос — Преобразовать файл" description="Соединение с запросом &quot;Преобразовать файл&quot; в книге." type="5" refreshedVersion="0" background="1">
    <dbPr connection="Provider=Microsoft.Mashup.OleDb.1;Data Source=$Workbook$;Location=&quot;Преобразовать файл&quot;;Extended Properties=&quot;&quot;" command="SELECT * FROM [Преобразовать файл]"/>
  </connection>
  <connection id="4" xr16:uid="{93738818-4754-48F6-947F-4FD9EB503E5A}" keepAlive="1" name="Запрос — Пример файла" description="Соединение с запросом &quot;Пример файла&quot; в книге." type="5" refreshedVersion="0" background="1">
    <dbPr connection="Provider=Microsoft.Mashup.OleDb.1;Data Source=$Workbook$;Location=&quot;Пример файла&quot;;Extended Properties=&quot;&quot;" command="SELECT * FROM [Пример файла]"/>
  </connection>
</connections>
</file>

<file path=xl/sharedStrings.xml><?xml version="1.0" encoding="utf-8"?>
<sst xmlns="http://schemas.openxmlformats.org/spreadsheetml/2006/main" count="38" uniqueCount="37">
  <si>
    <t>Наименование конкурента</t>
  </si>
  <si>
    <t>нет данных</t>
  </si>
  <si>
    <t>Дата документа</t>
  </si>
  <si>
    <t>Наименование клиента</t>
  </si>
  <si>
    <t>ТГ ПАРТНЕР, ООО, Екатеринбург</t>
  </si>
  <si>
    <t>Номер документа</t>
  </si>
  <si>
    <t>Артикул</t>
  </si>
  <si>
    <t>Товары (работы, услуги)</t>
  </si>
  <si>
    <t>Количество</t>
  </si>
  <si>
    <t>Цена</t>
  </si>
  <si>
    <t>Сумма</t>
  </si>
  <si>
    <t>Цена конкурента</t>
  </si>
  <si>
    <t>Сумма по конкуренту</t>
  </si>
  <si>
    <t>Заглушка 1/2''F (AQUALINK 500/10)</t>
  </si>
  <si>
    <t>Контргайка 1/2'' F (AQUALINK 1500/50)</t>
  </si>
  <si>
    <t>Ниппель переходной  1/2''M x 3/4''M (AQUALINK 300/10)</t>
  </si>
  <si>
    <t>Ниппель переходной  1/2''M x 1''M (AQUALINK 180/10)</t>
  </si>
  <si>
    <t>Уголок  1/2''F x 1/2"F (AQUALINK 180/10)</t>
  </si>
  <si>
    <t>Уголок  1/2''F x 1/2"M (AQUALINK 180/10)</t>
  </si>
  <si>
    <t>Уголок  3/4''F x 3/4"M (AQUALINK 80/10)</t>
  </si>
  <si>
    <t>Штуцер под шланг 1/2''F x 10 мм (AQUALINK 300/10)</t>
  </si>
  <si>
    <t>Штуцер под шланг 1/2''М x 10 мм (AQUALINK 350/10)</t>
  </si>
  <si>
    <t>Штуцер под шланг 1/2''М x 18 мм (AQUALINK 250/10)</t>
  </si>
  <si>
    <t>Штуцер под шланг 1/2''F x 20 мм (AQUALINK 200/10)</t>
  </si>
  <si>
    <t>Штуцер под шланг 3/4''F x 20 мм (AQUALINK 150/10)</t>
  </si>
  <si>
    <t>Штуцер под шланг 3/4''М x 20 мм (AQUALINK 150/10)</t>
  </si>
  <si>
    <t>Воздухоотводчик автоматический (поплавковый) 1/2″ (AQUALINK 100/1)</t>
  </si>
  <si>
    <t>Клапан предохранительный для бойлера 1/2″ (AQUALINK 150/10)</t>
  </si>
  <si>
    <t>Кран шаровой угловой с удлин.резьбой и отраж., хром MM 1/2x1/2 штуцер-штуцер ручка-флажок: хром (AQUALINK 100/10)</t>
  </si>
  <si>
    <t>Кран шаровой водоразборный под шланг  1/2  Wh  ручка ECO (180/20)</t>
  </si>
  <si>
    <t>Металлопластиковая труба бесшовная 16х2 мм (AQUALINK 100 м)</t>
  </si>
  <si>
    <t>C:\Users\zhigulskiy\Desktop\СЕБЕСТОИМОСТЬ\Аналитика\Для подгрузки.xlsm</t>
  </si>
  <si>
    <t>Максимальная себестоимость</t>
  </si>
  <si>
    <t>Наценка на цену СантехСтандарт</t>
  </si>
  <si>
    <t>Наценка на цену Конкурента</t>
  </si>
  <si>
    <t>Наценка на счет СантехСтандарт</t>
  </si>
  <si>
    <t>Наценка на счет от конкурента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</si>
</sst>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#,##0.00\ _₽"/>
    <numFmt numFmtId="166" formatCode="_-* #,##0.0_-;\-* #,##0.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5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6" fontId="0" fillId="0" borderId="0" xfId="1" applyNumberFormat="1" applyFont="1" applyAlignment="1">
      <alignment horizontal="right" vertical="center"/>
    </xf>
    <xf numFmtId="0" fontId="0" fillId="2" borderId="6" xfId="0" applyFill="1" applyBorder="1" applyAlignment="1">
      <alignment horizontal="center" vertical="center" wrapText="1"/>
    </xf>
    <xf numFmtId="9" fontId="0" fillId="0" borderId="6" xfId="2" applyFont="1" applyBorder="1" applyAlignment="1">
      <alignment horizontal="center" vertical="center" wrapText="1"/>
    </xf>
    <xf numFmtId="9" fontId="0" fillId="0" borderId="0" xfId="2" applyFont="1" applyAlignment="1">
      <alignment horizontal="right" vertical="center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12"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Стиль таблицы 1" pivot="0" count="2" xr9:uid="{8E30F92E-92EB-4725-A6ED-B0F00D9792E9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2" xr16:uid="{4336C6B6-FE36-4D25-B7B4-0DC92251E326}" autoFormatId="16" applyNumberFormats="0" applyBorderFormats="0" applyFontFormats="0" applyPatternFormats="0" applyAlignmentFormats="0" applyWidthHeightFormats="0">
  <queryTableRefresh nextId="28" unboundColumnsRight="5">
    <queryTableFields count="10">
      <queryTableField id="13" name="Артикул" tableColumnId="13"/>
      <queryTableField id="14" name="Товары (работы, услуги)" tableColumnId="14"/>
      <queryTableField id="15" name="Количество" tableColumnId="15"/>
      <queryTableField id="16" name="Цена" tableColumnId="16"/>
      <queryTableField id="17" name="Сумма" tableColumnId="17"/>
      <queryTableField id="22" dataBound="0" tableColumnId="1"/>
      <queryTableField id="23" dataBound="0" tableColumnId="2"/>
      <queryTableField id="25" dataBound="0" tableColumnId="3"/>
      <queryTableField id="26" dataBound="0" tableColumnId="4"/>
      <queryTableField id="27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83ABB7-03BF-4FC9-B8D3-C3FCA1D5AA1E}" name="Входящие_файлы_СЧЕТА" displayName="Входящие_файлы_СЧЕТА" ref="B5:K24" tableType="queryTable" totalsRowShown="0" headerRowDxfId="9">
  <autoFilter ref="B5:K24" xr:uid="{B832FD5B-F0C5-4BC4-BF31-2FDA64A05B9F}"/>
  <tableColumns count="10">
    <tableColumn id="13" xr3:uid="{C5B7E90A-1A6B-405C-B731-969E267D69B8}" uniqueName="13" name="Артикул" queryTableFieldId="13" dataDxfId="8"/>
    <tableColumn id="14" xr3:uid="{4F38FEF0-615C-4D10-9185-A258E3C6823A}" uniqueName="14" name="Товары (работы, услуги)" queryTableFieldId="14"/>
    <tableColumn id="15" xr3:uid="{3EF563C1-572C-4784-AC9D-00885E3A4CFE}" uniqueName="15" name="Количество" queryTableFieldId="15" dataDxfId="7"/>
    <tableColumn id="16" xr3:uid="{B379EA2C-6A55-4D36-A140-6E534683A22C}" uniqueName="16" name="Цена" queryTableFieldId="16" dataDxfId="6" dataCellStyle="Финансовый"/>
    <tableColumn id="17" xr3:uid="{76B23CBF-CB7C-4311-A8BE-6A47F80A55B9}" uniqueName="17" name="Сумма" queryTableFieldId="17" dataDxfId="5" dataCellStyle="Финансовый"/>
    <tableColumn id="1" xr3:uid="{BD827467-28AB-4E1E-B009-7099AAC1FE90}" uniqueName="1" name="Цена конкурента" queryTableFieldId="22" dataDxfId="4" dataCellStyle="Финансовый"/>
    <tableColumn id="2" xr3:uid="{636161B3-08F5-4F82-A422-2EC534643349}" uniqueName="2" name="Сумма по конкуренту" queryTableFieldId="23" dataDxfId="3" dataCellStyle="Финансовый">
      <calculatedColumnFormula>Входящие_файлы_СЧЕТА[[#This Row],[Цена конкурента]]*Входящие_файлы_СЧЕТА[[#This Row],[Количество]]</calculatedColumnFormula>
    </tableColumn>
    <tableColumn id="3" xr3:uid="{9ADE2499-5091-4605-B6FE-42D7B315D4CB}" uniqueName="3" name="Максимальная себестоимость" queryTableFieldId="25" dataDxfId="2" dataCellStyle="Финансовый"/>
    <tableColumn id="4" xr3:uid="{E12EBE54-3F22-4BC8-8991-23CF0F4D6B4A}" uniqueName="4" name="Наценка на цену СантехСтандарт" queryTableFieldId="26" dataDxfId="1" dataCellStyle="Процентный">
      <calculatedColumnFormula>IFERROR(Входящие_файлы_СЧЕТА[[#This Row],[Цена]]/Входящие_файлы_СЧЕТА[[#This Row],[Максимальная себестоимость]]-1,"")</calculatedColumnFormula>
    </tableColumn>
    <tableColumn id="5" xr3:uid="{BAF3F19C-3A71-47EF-8064-76A4BCEE06B3}" uniqueName="5" name="Наценка на цену Конкурента" queryTableFieldId="27" dataDxfId="0" dataCellStyle="Процентный">
      <calculatedColumnFormula>IFERROR(Входящие_файлы_СЧЕТА[[#This Row],[Цена конкурента]]/Входящие_файлы_СЧЕТА[[#This Row],[Максимальная себестоимость]]-1,"")</calculatedColumnFormula>
    </tableColumn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937A-CE4C-4841-9FC0-FB42C829FA83}">
  <sheetPr codeName="Лист2"/>
  <dimension ref="B1:O24"/>
  <sheetViews>
    <sheetView tabSelected="1" workbookViewId="0">
      <selection activeCell="L7" sqref="L7"/>
    </sheetView>
  </sheetViews>
  <sheetFormatPr defaultColWidth="9.85546875" defaultRowHeight="15" x14ac:dyDescent="0.25"/>
  <cols>
    <col min="1" max="1" width="2.28515625" customWidth="1"/>
    <col min="2" max="2" width="13.140625" bestFit="1" customWidth="1"/>
    <col min="3" max="3" width="81.140625" bestFit="1" customWidth="1"/>
    <col min="4" max="4" width="16.140625" bestFit="1" customWidth="1"/>
    <col min="5" max="5" width="10.28515625" style="1" bestFit="1" customWidth="1"/>
    <col min="6" max="6" width="11.5703125" style="1" bestFit="1" customWidth="1"/>
    <col min="7" max="8" width="16.140625" bestFit="1" customWidth="1"/>
    <col min="9" max="14" width="16.7109375" customWidth="1"/>
    <col min="15" max="15" width="16.7109375" hidden="1" customWidth="1"/>
    <col min="16" max="17" width="16.7109375" customWidth="1"/>
  </cols>
  <sheetData>
    <row r="1" spans="2:15" ht="12.75" customHeight="1" thickBot="1" x14ac:dyDescent="0.3">
      <c r="O1" t="s">
        <v>31</v>
      </c>
    </row>
    <row r="2" spans="2:15" ht="42.75" customHeight="1" thickBot="1" x14ac:dyDescent="0.3">
      <c r="B2" s="2" t="s">
        <v>0</v>
      </c>
      <c r="C2" s="3" t="s">
        <v>1</v>
      </c>
      <c r="D2" s="4" t="s">
        <v>2</v>
      </c>
      <c r="E2" s="12">
        <v>45219</v>
      </c>
      <c r="F2" s="13"/>
      <c r="J2" s="9" t="s">
        <v>35</v>
      </c>
      <c r="K2" s="9" t="s">
        <v>36</v>
      </c>
    </row>
    <row r="3" spans="2:15" ht="33" customHeight="1" thickBot="1" x14ac:dyDescent="0.3">
      <c r="B3" s="2" t="s">
        <v>3</v>
      </c>
      <c r="C3" s="5" t="s">
        <v>4</v>
      </c>
      <c r="D3" s="2" t="s">
        <v>5</v>
      </c>
      <c r="E3" s="14">
        <v>32274</v>
      </c>
      <c r="F3" s="15"/>
      <c r="J3" s="10">
        <v>0.31475266803217794</v>
      </c>
      <c r="K3" s="10">
        <v>0.23501161249376915</v>
      </c>
    </row>
    <row r="5" spans="2:15" s="6" customFormat="1" ht="30" x14ac:dyDescent="0.25">
      <c r="B5" s="6" t="s">
        <v>6</v>
      </c>
      <c r="C5" s="6" t="s">
        <v>7</v>
      </c>
      <c r="D5" s="6" t="s">
        <v>8</v>
      </c>
      <c r="E5" s="7" t="s">
        <v>9</v>
      </c>
      <c r="F5" s="7" t="s">
        <v>10</v>
      </c>
      <c r="G5" s="6" t="s">
        <v>11</v>
      </c>
      <c r="H5" s="6" t="s">
        <v>12</v>
      </c>
      <c r="I5" s="6" t="s">
        <v>32</v>
      </c>
      <c r="J5" s="6" t="s">
        <v>33</v>
      </c>
      <c r="K5" s="6" t="s">
        <v>34</v>
      </c>
    </row>
    <row r="6" spans="2:15" x14ac:dyDescent="0.25">
      <c r="B6">
        <v>2582</v>
      </c>
      <c r="C6" t="s">
        <v>13</v>
      </c>
      <c r="D6">
        <v>300</v>
      </c>
      <c r="E6" s="8">
        <v>25.38</v>
      </c>
      <c r="F6" s="8">
        <v>7614.63</v>
      </c>
      <c r="G6" s="8">
        <v>24.49</v>
      </c>
      <c r="H6" s="8">
        <f>Входящие_файлы_СЧЕТА[[#This Row],[Цена конкурента]]*Входящие_файлы_СЧЕТА[[#This Row],[Количество]]</f>
        <v>7346.9999999999991</v>
      </c>
      <c r="I6" s="8">
        <v>21.982182444905757</v>
      </c>
      <c r="J6" s="11">
        <f>IFERROR(Входящие_файлы_СЧЕТА[[#This Row],[Цена]]/Входящие_файлы_СЧЕТА[[#This Row],[Максимальная себестоимость]]-1,"")</f>
        <v>0.15457143819137342</v>
      </c>
      <c r="K6" s="11">
        <f>IFERROR(Входящие_файлы_СЧЕТА[[#This Row],[Цена конкурента]]/Входящие_файлы_СЧЕТА[[#This Row],[Максимальная себестоимость]]-1,"")</f>
        <v>0.11408410249435508</v>
      </c>
    </row>
    <row r="7" spans="2:15" x14ac:dyDescent="0.25">
      <c r="B7">
        <v>2481</v>
      </c>
      <c r="C7" t="s">
        <v>14</v>
      </c>
      <c r="D7">
        <v>50</v>
      </c>
      <c r="E7" s="8">
        <v>10.050000000000001</v>
      </c>
      <c r="F7" s="8">
        <v>502.45</v>
      </c>
      <c r="G7" s="8">
        <v>9.83</v>
      </c>
      <c r="H7" s="8">
        <f>Входящие_файлы_СЧЕТА[[#This Row],[Цена конкурента]]*Входящие_файлы_СЧЕТА[[#This Row],[Количество]]</f>
        <v>491.5</v>
      </c>
      <c r="I7" s="8">
        <v>8.8277961274775976</v>
      </c>
      <c r="J7" s="11">
        <f>IFERROR(Входящие_файлы_СЧЕТА[[#This Row],[Цена]]/Входящие_файлы_СЧЕТА[[#This Row],[Максимальная себестоимость]]-1,"")</f>
        <v>0.13844949009619101</v>
      </c>
      <c r="K7" s="11">
        <f>IFERROR(Входящие_файлы_СЧЕТА[[#This Row],[Цена конкурента]]/Входящие_файлы_СЧЕТА[[#This Row],[Максимальная себестоимость]]-1,"")</f>
        <v>0.11352820772592609</v>
      </c>
    </row>
    <row r="8" spans="2:15" x14ac:dyDescent="0.25">
      <c r="B8">
        <v>2535</v>
      </c>
      <c r="C8" t="s">
        <v>15</v>
      </c>
      <c r="D8">
        <v>100</v>
      </c>
      <c r="E8" s="8">
        <v>43.51</v>
      </c>
      <c r="F8" s="8">
        <v>4351.38</v>
      </c>
      <c r="G8" s="8">
        <v>41.97</v>
      </c>
      <c r="H8" s="8">
        <f>Входящие_файлы_СЧЕТА[[#This Row],[Цена конкурента]]*Входящие_файлы_СЧЕТА[[#This Row],[Количество]]</f>
        <v>4197</v>
      </c>
      <c r="I8" s="8">
        <v>38.3022875933964</v>
      </c>
      <c r="J8" s="11">
        <f>IFERROR(Входящие_файлы_СЧЕТА[[#This Row],[Цена]]/Входящие_файлы_СЧЕТА[[#This Row],[Максимальная себестоимость]]-1,"")</f>
        <v>0.13596348243966094</v>
      </c>
      <c r="K8" s="11">
        <f>IFERROR(Входящие_файлы_СЧЕТА[[#This Row],[Цена конкурента]]/Входящие_файлы_СЧЕТА[[#This Row],[Максимальная себестоимость]]-1,"")</f>
        <v>9.5757006618997442E-2</v>
      </c>
    </row>
    <row r="9" spans="2:15" x14ac:dyDescent="0.25">
      <c r="B9">
        <v>2533</v>
      </c>
      <c r="C9" t="s">
        <v>16</v>
      </c>
      <c r="D9">
        <v>50</v>
      </c>
      <c r="E9" s="8">
        <v>71.47</v>
      </c>
      <c r="F9" s="8">
        <v>3573.33</v>
      </c>
      <c r="G9" s="8">
        <v>68.94</v>
      </c>
      <c r="H9" s="8">
        <f>Входящие_файлы_СЧЕТА[[#This Row],[Цена конкурента]]*Входящие_файлы_СЧЕТА[[#This Row],[Количество]]</f>
        <v>3447</v>
      </c>
      <c r="I9" s="8">
        <v>59.951406667924786</v>
      </c>
      <c r="J9" s="11">
        <f>IFERROR(Входящие_файлы_СЧЕТА[[#This Row],[Цена]]/Входящие_файлы_СЧЕТА[[#This Row],[Максимальная себестоимость]]-1,"")</f>
        <v>0.19213216123313903</v>
      </c>
      <c r="K9" s="11">
        <f>IFERROR(Входящие_файлы_СЧЕТА[[#This Row],[Цена конкурента]]/Входящие_файлы_СЧЕТА[[#This Row],[Максимальная себестоимость]]-1,"")</f>
        <v>0.14993131657216452</v>
      </c>
    </row>
    <row r="10" spans="2:15" x14ac:dyDescent="0.25">
      <c r="B10">
        <v>2557</v>
      </c>
      <c r="C10" t="s">
        <v>17</v>
      </c>
      <c r="D10">
        <v>40</v>
      </c>
      <c r="E10" s="8">
        <v>65.88</v>
      </c>
      <c r="F10" s="8">
        <v>2635</v>
      </c>
      <c r="G10" s="8">
        <v>63.55</v>
      </c>
      <c r="H10" s="8">
        <f>Входящие_файлы_СЧЕТА[[#This Row],[Цена конкурента]]*Входящие_файлы_СЧЕТА[[#This Row],[Количество]]</f>
        <v>2542</v>
      </c>
      <c r="I10" s="8">
        <v>50.625632297358713</v>
      </c>
      <c r="J10" s="11">
        <f>IFERROR(Входящие_файлы_СЧЕТА[[#This Row],[Цена]]/Входящие_файлы_СЧЕТА[[#This Row],[Максимальная себестоимость]]-1,"")</f>
        <v>0.30131708011155345</v>
      </c>
      <c r="K10" s="11">
        <f>IFERROR(Входящие_файлы_СЧЕТА[[#This Row],[Цена конкурента]]/Входящие_файлы_СЧЕТА[[#This Row],[Максимальная себестоимость]]-1,"")</f>
        <v>0.25529296358666098</v>
      </c>
    </row>
    <row r="11" spans="2:15" x14ac:dyDescent="0.25">
      <c r="B11">
        <v>2561</v>
      </c>
      <c r="C11" t="s">
        <v>18</v>
      </c>
      <c r="D11">
        <v>50</v>
      </c>
      <c r="E11" s="8">
        <v>64.81</v>
      </c>
      <c r="F11" s="8">
        <v>3240.73</v>
      </c>
      <c r="G11" s="8">
        <v>62.53</v>
      </c>
      <c r="H11" s="8">
        <f>Входящие_файлы_СЧЕТА[[#This Row],[Цена конкурента]]*Входящие_файлы_СЧЕТА[[#This Row],[Количество]]</f>
        <v>3126.5</v>
      </c>
      <c r="I11" s="8">
        <v>47.739083087421584</v>
      </c>
      <c r="J11" s="11">
        <f>IFERROR(Входящие_файлы_СЧЕТА[[#This Row],[Цена]]/Входящие_файлы_СЧЕТА[[#This Row],[Максимальная себестоимость]]-1,"")</f>
        <v>0.35758786739404935</v>
      </c>
      <c r="K11" s="11">
        <f>IFERROR(Входящие_файлы_СЧЕТА[[#This Row],[Цена конкурента]]/Входящие_файлы_СЧЕТА[[#This Row],[Максимальная себестоимость]]-1,"")</f>
        <v>0.30982825718484674</v>
      </c>
    </row>
    <row r="12" spans="2:15" x14ac:dyDescent="0.25">
      <c r="B12">
        <v>2562</v>
      </c>
      <c r="C12" t="s">
        <v>19</v>
      </c>
      <c r="D12">
        <v>60</v>
      </c>
      <c r="E12" s="8">
        <v>106.82</v>
      </c>
      <c r="F12" s="8">
        <v>6409.08</v>
      </c>
      <c r="G12" s="8">
        <v>0</v>
      </c>
      <c r="H12" s="8">
        <f>Входящие_файлы_СЧЕТА[[#This Row],[Цена конкурента]]*Входящие_файлы_СЧЕТА[[#This Row],[Количество]]</f>
        <v>0</v>
      </c>
      <c r="I12" s="8">
        <v>0</v>
      </c>
      <c r="J12" s="11" t="str">
        <f>IFERROR(Входящие_файлы_СЧЕТА[[#This Row],[Цена]]/Входящие_файлы_СЧЕТА[[#This Row],[Максимальная себестоимость]]-1,"")</f>
        <v/>
      </c>
      <c r="K12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13" spans="2:15" x14ac:dyDescent="0.25">
      <c r="B13">
        <v>2686</v>
      </c>
      <c r="C13" t="s">
        <v>20</v>
      </c>
      <c r="D13">
        <v>100</v>
      </c>
      <c r="E13" s="8">
        <v>37.32</v>
      </c>
      <c r="F13" s="8">
        <v>3731.79</v>
      </c>
      <c r="G13" s="8">
        <v>0</v>
      </c>
      <c r="H13" s="8">
        <f>Входящие_файлы_СЧЕТА[[#This Row],[Цена конкурента]]*Входящие_файлы_СЧЕТА[[#This Row],[Количество]]</f>
        <v>0</v>
      </c>
      <c r="I13" s="8">
        <v>0</v>
      </c>
      <c r="J13" s="11" t="str">
        <f>IFERROR(Входящие_файлы_СЧЕТА[[#This Row],[Цена]]/Входящие_файлы_СЧЕТА[[#This Row],[Максимальная себестоимость]]-1,"")</f>
        <v/>
      </c>
      <c r="K13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14" spans="2:15" x14ac:dyDescent="0.25">
      <c r="B14">
        <v>2693</v>
      </c>
      <c r="C14" t="s">
        <v>21</v>
      </c>
      <c r="D14">
        <v>300</v>
      </c>
      <c r="E14" s="8">
        <v>37.090000000000003</v>
      </c>
      <c r="F14" s="8">
        <v>11126.97</v>
      </c>
      <c r="G14" s="8">
        <v>0</v>
      </c>
      <c r="H14" s="8">
        <f>Входящие_файлы_СЧЕТА[[#This Row],[Цена конкурента]]*Входящие_файлы_СЧЕТА[[#This Row],[Количество]]</f>
        <v>0</v>
      </c>
      <c r="I14" s="8">
        <v>0</v>
      </c>
      <c r="J14" s="11" t="str">
        <f>IFERROR(Входящие_файлы_СЧЕТА[[#This Row],[Цена]]/Входящие_файлы_СЧЕТА[[#This Row],[Максимальная себестоимость]]-1,"")</f>
        <v/>
      </c>
      <c r="K14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15" spans="2:15" x14ac:dyDescent="0.25">
      <c r="B15">
        <v>2697</v>
      </c>
      <c r="C15" t="s">
        <v>22</v>
      </c>
      <c r="D15">
        <v>100</v>
      </c>
      <c r="E15" s="8">
        <v>46.61</v>
      </c>
      <c r="F15" s="8">
        <v>4660.8900000000003</v>
      </c>
      <c r="G15" s="8">
        <v>44.97</v>
      </c>
      <c r="H15" s="8">
        <f>Входящие_файлы_СЧЕТА[[#This Row],[Цена конкурента]]*Входящие_файлы_СЧЕТА[[#This Row],[Количество]]</f>
        <v>4497</v>
      </c>
      <c r="I15" s="8">
        <v>35.193696136541028</v>
      </c>
      <c r="J15" s="11">
        <f>IFERROR(Входящие_файлы_СЧЕТА[[#This Row],[Цена]]/Входящие_файлы_СЧЕТА[[#This Row],[Максимальная себестоимость]]-1,"")</f>
        <v>0.32438490743248805</v>
      </c>
      <c r="K15" s="11">
        <f>IFERROR(Входящие_файлы_СЧЕТА[[#This Row],[Цена конкурента]]/Входящие_файлы_СЧЕТА[[#This Row],[Максимальная себестоимость]]-1,"")</f>
        <v>0.27778565301950198</v>
      </c>
    </row>
    <row r="16" spans="2:15" x14ac:dyDescent="0.25">
      <c r="B16">
        <v>2691</v>
      </c>
      <c r="C16" t="s">
        <v>23</v>
      </c>
      <c r="D16">
        <v>100</v>
      </c>
      <c r="E16" s="8">
        <v>49.86</v>
      </c>
      <c r="F16" s="8">
        <v>4985.79</v>
      </c>
      <c r="G16" s="8">
        <v>0</v>
      </c>
      <c r="H16" s="8">
        <f>Входящие_файлы_СЧЕТА[[#This Row],[Цена конкурента]]*Входящие_файлы_СЧЕТА[[#This Row],[Количество]]</f>
        <v>0</v>
      </c>
      <c r="I16" s="8">
        <v>0</v>
      </c>
      <c r="J16" s="11" t="str">
        <f>IFERROR(Входящие_файлы_СЧЕТА[[#This Row],[Цена]]/Входящие_файлы_СЧЕТА[[#This Row],[Максимальная себестоимость]]-1,"")</f>
        <v/>
      </c>
      <c r="K16" s="11" t="str">
        <f>IFERROR(Входящие_файлы_СЧЕТА[[#This Row],[Цена конкурента]]/Входящие_файлы_СЧЕТА[[#This Row],[Максимальная себестоимость]]-1,"")</f>
        <v/>
      </c>
    </row>
    <row r="17" spans="2:11" x14ac:dyDescent="0.25">
      <c r="B17">
        <v>2692</v>
      </c>
      <c r="C17" t="s">
        <v>24</v>
      </c>
      <c r="D17">
        <v>100</v>
      </c>
      <c r="E17" s="8">
        <v>64.290000000000006</v>
      </c>
      <c r="F17" s="8">
        <v>6429.03</v>
      </c>
      <c r="G17" s="8">
        <v>62.02</v>
      </c>
      <c r="H17" s="8">
        <f>Входящие_файлы_СЧЕТА[[#This Row],[Цена конкурента]]*Входящие_файлы_СЧЕТА[[#This Row],[Количество]]</f>
        <v>6202</v>
      </c>
      <c r="I17" s="8">
        <v>49.071336568931038</v>
      </c>
      <c r="J17" s="11">
        <f>IFERROR(Входящие_файлы_СЧЕТА[[#This Row],[Цена]]/Входящие_файлы_СЧЕТА[[#This Row],[Максимальная себестоимость]]-1,"")</f>
        <v>0.31013346069535208</v>
      </c>
      <c r="K17" s="11">
        <f>IFERROR(Входящие_файлы_СЧЕТА[[#This Row],[Цена конкурента]]/Входящие_файлы_СЧЕТА[[#This Row],[Максимальная себестоимость]]-1,"")</f>
        <v>0.26387427643997108</v>
      </c>
    </row>
    <row r="18" spans="2:11" x14ac:dyDescent="0.25">
      <c r="B18">
        <v>2699</v>
      </c>
      <c r="C18" t="s">
        <v>25</v>
      </c>
      <c r="D18">
        <v>100</v>
      </c>
      <c r="E18" s="8">
        <v>66.02</v>
      </c>
      <c r="F18" s="8">
        <v>6602.31</v>
      </c>
      <c r="G18" s="8">
        <v>63.7</v>
      </c>
      <c r="H18" s="8">
        <f>Входящие_файлы_СЧЕТА[[#This Row],[Цена конкурента]]*Входящие_файлы_СЧЕТА[[#This Row],[Количество]]</f>
        <v>6370</v>
      </c>
      <c r="I18" s="8">
        <v>49.959505556603993</v>
      </c>
      <c r="J18" s="11">
        <f>IFERROR(Входящие_файлы_СЧЕТА[[#This Row],[Цена]]/Входящие_файлы_СЧЕТА[[#This Row],[Максимальная себестоимость]]-1,"")</f>
        <v>0.32147024403993552</v>
      </c>
      <c r="K18" s="11">
        <f>IFERROR(Входящие_файлы_СЧЕТА[[#This Row],[Цена конкурента]]/Входящие_файлы_СЧЕТА[[#This Row],[Максимальная себестоимость]]-1,"")</f>
        <v>0.27503263473710859</v>
      </c>
    </row>
    <row r="19" spans="2:11" x14ac:dyDescent="0.25">
      <c r="B19">
        <v>2651</v>
      </c>
      <c r="C19" t="s">
        <v>26</v>
      </c>
      <c r="D19">
        <v>100</v>
      </c>
      <c r="E19" s="8">
        <v>249.14</v>
      </c>
      <c r="F19" s="8">
        <v>24914.13</v>
      </c>
      <c r="G19" s="8">
        <v>243.86</v>
      </c>
      <c r="H19" s="8">
        <f>Входящие_файлы_СЧЕТА[[#This Row],[Цена конкурента]]*Входящие_файлы_СЧЕТА[[#This Row],[Количество]]</f>
        <v>24386</v>
      </c>
      <c r="I19" s="8">
        <v>201.56917463400001</v>
      </c>
      <c r="J19" s="11">
        <f>IFERROR(Входящие_файлы_СЧЕТА[[#This Row],[Цена]]/Входящие_файлы_СЧЕТА[[#This Row],[Максимальная себестоимость]]-1,"")</f>
        <v>0.23600248129396206</v>
      </c>
      <c r="K19" s="11">
        <f>IFERROR(Входящие_файлы_СЧЕТА[[#This Row],[Цена конкурента]]/Входящие_файлы_СЧЕТА[[#This Row],[Максимальная себестоимость]]-1,"")</f>
        <v>0.20980799987294563</v>
      </c>
    </row>
    <row r="20" spans="2:11" x14ac:dyDescent="0.25">
      <c r="B20">
        <v>2760</v>
      </c>
      <c r="C20" t="s">
        <v>27</v>
      </c>
      <c r="D20">
        <v>100</v>
      </c>
      <c r="E20" s="8">
        <v>153.12</v>
      </c>
      <c r="F20" s="8">
        <v>15312.48</v>
      </c>
      <c r="G20" s="8">
        <v>147.72</v>
      </c>
      <c r="H20" s="8">
        <f>Входящие_файлы_СЧЕТА[[#This Row],[Цена конкурента]]*Входящие_файлы_СЧЕТА[[#This Row],[Количество]]</f>
        <v>14772</v>
      </c>
      <c r="I20" s="8">
        <v>121.46733740988</v>
      </c>
      <c r="J20" s="11">
        <f>IFERROR(Входящие_файлы_СЧЕТА[[#This Row],[Цена]]/Входящие_файлы_СЧЕТА[[#This Row],[Максимальная себестоимость]]-1,"")</f>
        <v>0.26058579421487682</v>
      </c>
      <c r="K20" s="11">
        <f>IFERROR(Входящие_файлы_СЧЕТА[[#This Row],[Цена конкурента]]/Входящие_файлы_СЧЕТА[[#This Row],[Максимальная себестоимость]]-1,"")</f>
        <v>0.21612939865087255</v>
      </c>
    </row>
    <row r="21" spans="2:11" x14ac:dyDescent="0.25">
      <c r="B21">
        <v>3969</v>
      </c>
      <c r="C21" t="s">
        <v>28</v>
      </c>
      <c r="D21">
        <v>100</v>
      </c>
      <c r="E21" s="8">
        <v>251.71</v>
      </c>
      <c r="F21" s="8">
        <v>25171.200000000001</v>
      </c>
      <c r="G21" s="8">
        <v>205.6</v>
      </c>
      <c r="H21" s="8">
        <f>Входящие_файлы_СЧЕТА[[#This Row],[Цена конкурента]]*Входящие_файлы_СЧЕТА[[#This Row],[Количество]]</f>
        <v>20560</v>
      </c>
      <c r="I21" s="8">
        <v>150.38813203128001</v>
      </c>
      <c r="J21" s="11">
        <f>IFERROR(Входящие_файлы_СЧЕТА[[#This Row],[Цена]]/Входящие_файлы_СЧЕТА[[#This Row],[Максимальная себестоимость]]-1,"")</f>
        <v>0.6737357968356541</v>
      </c>
      <c r="K21" s="11">
        <f>IFERROR(Входящие_файлы_СЧЕТА[[#This Row],[Цена конкурента]]/Входящие_файлы_СЧЕТА[[#This Row],[Максимальная себестоимость]]-1,"")</f>
        <v>0.36712915589134498</v>
      </c>
    </row>
    <row r="22" spans="2:11" x14ac:dyDescent="0.25">
      <c r="B22">
        <v>3965</v>
      </c>
      <c r="C22" t="s">
        <v>29</v>
      </c>
      <c r="D22">
        <v>100</v>
      </c>
      <c r="E22" s="8">
        <v>89.14</v>
      </c>
      <c r="F22" s="8">
        <v>8914.23</v>
      </c>
      <c r="G22" s="8">
        <v>86</v>
      </c>
      <c r="H22" s="8">
        <f>Входящие_файлы_СЧЕТА[[#This Row],[Цена конкурента]]*Входящие_файлы_СЧЕТА[[#This Row],[Количество]]</f>
        <v>8600</v>
      </c>
      <c r="I22" s="8">
        <v>71.741268587760004</v>
      </c>
      <c r="J22" s="11">
        <f>IFERROR(Входящие_файлы_СЧЕТА[[#This Row],[Цена]]/Входящие_файлы_СЧЕТА[[#This Row],[Максимальная себестоимость]]-1,"")</f>
        <v>0.24252054298365788</v>
      </c>
      <c r="K22" s="11">
        <f>IFERROR(Входящие_файлы_СЧЕТА[[#This Row],[Цена конкурента]]/Входящие_файлы_СЧЕТА[[#This Row],[Максимальная себестоимость]]-1,"")</f>
        <v>0.19875215051149397</v>
      </c>
    </row>
    <row r="23" spans="2:11" x14ac:dyDescent="0.25">
      <c r="B23">
        <v>1308</v>
      </c>
      <c r="C23" t="s">
        <v>30</v>
      </c>
      <c r="D23">
        <v>100</v>
      </c>
      <c r="E23" s="8">
        <v>46.84</v>
      </c>
      <c r="F23" s="8">
        <v>4683.6899999999996</v>
      </c>
      <c r="G23" s="8">
        <v>45.18</v>
      </c>
      <c r="H23" s="8">
        <f>Входящие_файлы_СЧЕТА[[#This Row],[Цена конкурента]]*Входящие_файлы_СЧЕТА[[#This Row],[Количество]]</f>
        <v>4518</v>
      </c>
      <c r="I23" s="8">
        <v>36.707421149279995</v>
      </c>
      <c r="J23" s="11">
        <f>IFERROR(Входящие_файлы_СЧЕТА[[#This Row],[Цена]]/Входящие_файлы_СЧЕТА[[#This Row],[Максимальная себестоимость]]-1,"")</f>
        <v>0.2760362491691617</v>
      </c>
      <c r="K23" s="11">
        <f>IFERROR(Входящие_файлы_СЧЕТА[[#This Row],[Цена конкурента]]/Входящие_файлы_СЧЕТА[[#This Row],[Максимальная себестоимость]]-1,"")</f>
        <v>0.23081378602610414</v>
      </c>
    </row>
    <row r="24" spans="2:11" x14ac:dyDescent="0.25">
      <c r="B24">
        <v>1308</v>
      </c>
      <c r="C24" t="s">
        <v>30</v>
      </c>
      <c r="D24">
        <v>300</v>
      </c>
      <c r="E24" s="8">
        <v>46.84</v>
      </c>
      <c r="F24" s="8">
        <v>14051.07</v>
      </c>
      <c r="G24" s="8">
        <v>45.18</v>
      </c>
      <c r="H24" s="8">
        <f>Входящие_файлы_СЧЕТА[[#This Row],[Цена конкурента]]*Входящие_файлы_СЧЕТА[[#This Row],[Количество]]</f>
        <v>13554</v>
      </c>
      <c r="I24" s="8">
        <v>36.707421149279995</v>
      </c>
      <c r="J24" s="11">
        <f>IFERROR(Входящие_файлы_СЧЕТА[[#This Row],[Цена]]/Входящие_файлы_СЧЕТА[[#This Row],[Максимальная себестоимость]]-1,"")</f>
        <v>0.2760362491691617</v>
      </c>
      <c r="K24" s="11">
        <f>IFERROR(Входящие_файлы_СЧЕТА[[#This Row],[Цена конкурента]]/Входящие_файлы_СЧЕТА[[#This Row],[Максимальная себестоимость]]-1,"")</f>
        <v>0.23081378602610414</v>
      </c>
    </row>
  </sheetData>
  <mergeCells count="2">
    <mergeCell ref="E2:F2"/>
    <mergeCell ref="E3:F3"/>
  </mergeCell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33EE9F-F56D-4AA8-87B4-35B9126960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Форма_счет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Жигульских Евгений Олегович</dc:creator>
  <cp:lastModifiedBy>Жигульских Евгений Олегович</cp:lastModifiedBy>
  <dcterms:created xsi:type="dcterms:W3CDTF">2023-10-23T10:54:43Z</dcterms:created>
  <dcterms:modified xsi:type="dcterms:W3CDTF">2023-10-24T06:37:38Z</dcterms:modified>
</cp:coreProperties>
</file>