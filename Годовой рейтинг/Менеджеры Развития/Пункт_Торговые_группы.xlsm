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ivotTables/pivotTable2.xml" ContentType="application/vnd.openxmlformats-officedocument.spreadsheetml.pivot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ЭтаКнига"/>
  <mc:AlternateContent xmlns:mc="http://schemas.openxmlformats.org/markup-compatibility/2006">
    <mc:Choice Requires="x15">
      <x15ac:absPath xmlns:x15ac="http://schemas.microsoft.com/office/spreadsheetml/2010/11/ac" url="I:\19(Аналитика)\ИСХОДНЫЕ ДАННЫЕ\Годовой рейтинг\Менеджеры Развития\"/>
    </mc:Choice>
  </mc:AlternateContent>
  <xr:revisionPtr revIDLastSave="0" documentId="13_ncr:1_{061A8E63-31EE-48A1-843F-F762AFD844A1}" xr6:coauthVersionLast="47" xr6:coauthVersionMax="47" xr10:uidLastSave="{00000000-0000-0000-0000-000000000000}"/>
  <bookViews>
    <workbookView xWindow="28680" yWindow="-120" windowWidth="29040" windowHeight="16440" xr2:uid="{00000000-000D-0000-FFFF-FFFF00000000}"/>
  </bookViews>
  <sheets>
    <sheet name="Итог" sheetId="9" r:id="rId1"/>
    <sheet name="Свод_ТГ" sheetId="8" r:id="rId2"/>
    <sheet name="Свод_НМ" sheetId="7" r:id="rId3"/>
    <sheet name="ВСП" sheetId="3" state="hidden" r:id="rId4"/>
  </sheets>
  <definedNames>
    <definedName name="_xlcn.WorksheetConnection_Пункт_Торговые_группы.xlsxГД_МР1" hidden="1">ГД_МР[]</definedName>
    <definedName name="ExternalData_2" localSheetId="3" hidden="1">ВСП!$A$1:$B$2</definedName>
  </definedNames>
  <calcPr calcId="191029"/>
  <pivotCaches>
    <pivotCache cacheId="36" r:id="rId5"/>
    <pivotCache cacheId="40" r:id="rId6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ИД_подготовленные_c58498be-3eec-4d58-bed3-4525b4e5112d" name="ИД_подготовленные" connection="Запрос — ИД_подготовленные"/>
          <x15:modelTable id="Свод_НМ_70086762-a181-4ad7-89a6-251b52fc3104" name="Свод_НМ" connection="Запрос — Свод_НМ"/>
          <x15:modelTable id="Столбцы_3dd2611f-1903-4e01-813b-f3d4efbe7394" name="Столбцы" connection="Запрос — Столбцы"/>
          <x15:modelTable id="Номенклатура 1_cb87de7a-3189-45c4-8973-b7bd8525f66e" name="Номенклатура 1" connection="Запрос — Номенклатура"/>
          <x15:modelTable id="ГД_МР" name="ГД_МР" connection="WorksheetConnection_Пункт_Торговые_группы.xlsx!ГД_МР"/>
        </x15:modelTables>
        <x15:modelRelationships>
          <x15:modelRelationship fromTable="ИД_подготовленные" fromColumn="Группа доступа" toTable="ГД_МР" toColumn="ГРУППА ДОСТУПА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9" l="1"/>
  <c r="C5" i="9"/>
  <c r="C6" i="9"/>
  <c r="C7" i="9"/>
  <c r="C8" i="9"/>
  <c r="C9" i="9"/>
  <c r="C10" i="9"/>
  <c r="B10" i="9"/>
  <c r="B11" i="9"/>
  <c r="B4" i="9"/>
  <c r="B5" i="9"/>
  <c r="B6" i="9"/>
  <c r="B7" i="9"/>
  <c r="B8" i="9"/>
  <c r="B9" i="9"/>
  <c r="B3" i="9"/>
  <c r="C3" i="9" s="1"/>
  <c r="G4" i="7"/>
  <c r="F4" i="7"/>
  <c r="D3" i="9" l="1"/>
  <c r="D10" i="9"/>
  <c r="D6" i="9"/>
  <c r="D7" i="9"/>
  <c r="D9" i="9"/>
  <c r="D5" i="9"/>
  <c r="D8" i="9"/>
  <c r="D4" i="9"/>
  <c r="E8" i="9" l="1"/>
  <c r="E6" i="9"/>
  <c r="E5" i="9"/>
  <c r="E10" i="9"/>
  <c r="E9" i="9"/>
  <c r="E3" i="9"/>
  <c r="E4" i="9"/>
  <c r="E7" i="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6E8C459-7D15-4D40-AD49-AFCF78AA59F1}" keepAlive="1" name="ThisWorkbookDataModel" description="Модель данных" type="5" refreshedVersion="7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5C90BEED-234B-4A82-B02C-B2AFE9B90221}" name="WorksheetConnection_Пункт_Торговые_группы.xlsx!ГД_МР" type="102" refreshedVersion="7" minRefreshableVersion="5">
    <extLst>
      <ext xmlns:x15="http://schemas.microsoft.com/office/spreadsheetml/2010/11/main" uri="{DE250136-89BD-433C-8126-D09CA5730AF9}">
        <x15:connection id="ГД_МР">
          <x15:rangePr sourceName="_xlcn.WorksheetConnection_Пункт_Торговые_группы.xlsxГД_МР1"/>
        </x15:connection>
      </ext>
    </extLst>
  </connection>
  <connection id="3" xr16:uid="{C320FB64-0B9C-4A27-BAA3-160D38055D6B}" keepAlive="1" name="Запрос — ГД_МР" description="Соединение с запросом &quot;ГД_МР&quot; в книге." type="5" refreshedVersion="0" background="1" refreshOnLoad="1" saveData="1">
    <dbPr connection="Provider=Microsoft.Mashup.OleDb.1;Data Source=$Workbook$;Location=ГД_МР;Extended Properties=&quot;&quot;" command="SELECT * FROM [ГД_МР]"/>
  </connection>
  <connection id="4" xr16:uid="{044EABC7-A0E2-41A5-8605-07AF878CA935}" name="Запрос — ИД_подготовленные" description="Соединение с запросом &quot;ИД_подготовленные&quot; в книге." type="100" refreshedVersion="7" minRefreshableVersion="5">
    <extLst>
      <ext xmlns:x15="http://schemas.microsoft.com/office/spreadsheetml/2010/11/main" uri="{DE250136-89BD-433C-8126-D09CA5730AF9}">
        <x15:connection id="3819c65c-b50b-478d-bf3e-d89e7ac29e60"/>
      </ext>
    </extLst>
  </connection>
  <connection id="5" xr16:uid="{1DB74BCC-5893-4757-89AA-78D15373F40A}" name="Запрос — Номенклатура" description="Соединение с запросом &quot;Номенклатура&quot; в книге." type="100" refreshedVersion="7" minRefreshableVersion="5" refreshOnLoad="1" saveData="1">
    <extLst>
      <ext xmlns:x15="http://schemas.microsoft.com/office/spreadsheetml/2010/11/main" uri="{DE250136-89BD-433C-8126-D09CA5730AF9}">
        <x15:connection id="bf6e653b-099d-4b38-86f9-2e1c18806c3b"/>
      </ext>
    </extLst>
  </connection>
  <connection id="6" xr16:uid="{CF8F110A-EA5A-436B-84D7-20C80A7E9D13}" keepAlive="1" name="Запрос — Период" description="Соединение с запросом &quot;Период&quot; в книге." type="5" refreshedVersion="7" background="1" refreshOnLoad="1" saveData="1">
    <dbPr connection="Provider=Microsoft.Mashup.OleDb.1;Data Source=$Workbook$;Location=Период;Extended Properties=&quot;&quot;" command="SELECT * FROM [Период]"/>
  </connection>
  <connection id="7" xr16:uid="{6FAD6A1C-B2A9-4393-8E68-6F088AF17A8B}" name="Запрос — Свод_НМ" description="Соединение с запросом &quot;Свод_НМ&quot; в книге." type="100" refreshedVersion="7" minRefreshableVersion="5">
    <extLst>
      <ext xmlns:x15="http://schemas.microsoft.com/office/spreadsheetml/2010/11/main" uri="{DE250136-89BD-433C-8126-D09CA5730AF9}">
        <x15:connection id="bf5d2a9c-08dc-4cec-aa8f-7a39e3409772"/>
      </ext>
    </extLst>
  </connection>
  <connection id="8" xr16:uid="{63379CAE-B496-41A0-B7E2-2A50589D2888}" name="Запрос — Столбцы" description="Соединение с запросом &quot;Столбцы&quot; в книге." type="100" refreshedVersion="7" minRefreshableVersion="5">
    <extLst>
      <ext xmlns:x15="http://schemas.microsoft.com/office/spreadsheetml/2010/11/main" uri="{DE250136-89BD-433C-8126-D09CA5730AF9}">
        <x15:connection id="66cd8b07-5310-4d60-8021-1a54d9aefe60"/>
      </ext>
    </extLst>
  </connection>
</connections>
</file>

<file path=xl/sharedStrings.xml><?xml version="1.0" encoding="utf-8"?>
<sst xmlns="http://schemas.openxmlformats.org/spreadsheetml/2006/main" count="2259" uniqueCount="354">
  <si>
    <t>Расчетный период</t>
  </si>
  <si>
    <t>Начальный период</t>
  </si>
  <si>
    <t>ГРУППА ДОСТУПА</t>
  </si>
  <si>
    <t>СЗФО Разин</t>
  </si>
  <si>
    <t>СНГ Фёдоров</t>
  </si>
  <si>
    <t>ПФО Овсянников</t>
  </si>
  <si>
    <t>ПФО Шашкина</t>
  </si>
  <si>
    <t>ПФО Ручкин</t>
  </si>
  <si>
    <t>СФО Томлоп</t>
  </si>
  <si>
    <t>СФО Чучкалов</t>
  </si>
  <si>
    <t>УФО Маринич</t>
  </si>
  <si>
    <t>Обратные клапаны</t>
  </si>
  <si>
    <t>ППР трубы</t>
  </si>
  <si>
    <t>ППР фитинги</t>
  </si>
  <si>
    <t>Резьба никелированная</t>
  </si>
  <si>
    <t>Шаровые краны</t>
  </si>
  <si>
    <t>Косые фильтры</t>
  </si>
  <si>
    <t>НСУ</t>
  </si>
  <si>
    <t>Обжимные фитинги</t>
  </si>
  <si>
    <t>Сильфонная подводка</t>
  </si>
  <si>
    <t>Уплотнительные материалы</t>
  </si>
  <si>
    <t>Хомуты</t>
  </si>
  <si>
    <t>Арматура безопасности</t>
  </si>
  <si>
    <t>Коллекторные группы</t>
  </si>
  <si>
    <t>МП трубы</t>
  </si>
  <si>
    <t>Гибкая подводка нейлон/ПВХ</t>
  </si>
  <si>
    <t>Крепеж для МП и ППР труб</t>
  </si>
  <si>
    <t>Вентили</t>
  </si>
  <si>
    <t>Циркуляционные насосы</t>
  </si>
  <si>
    <t>Насосные станции</t>
  </si>
  <si>
    <t>Вибрационные насосы</t>
  </si>
  <si>
    <t>Шаровые краны (желтые)</t>
  </si>
  <si>
    <t>Гибкая подводка ПВХ для газа</t>
  </si>
  <si>
    <t>Комплектующие для радиаторов</t>
  </si>
  <si>
    <t>Кронштейны</t>
  </si>
  <si>
    <t>Лейки для душа</t>
  </si>
  <si>
    <t>Принадлежности</t>
  </si>
  <si>
    <t>Сварочники</t>
  </si>
  <si>
    <t>Сливные и заливные шланги</t>
  </si>
  <si>
    <t>Шаровые краны для газа</t>
  </si>
  <si>
    <t>Шланги для душа</t>
  </si>
  <si>
    <t>Гибкая подводка "Гигант"</t>
  </si>
  <si>
    <t>Гибкая подводка с латунной гайкой</t>
  </si>
  <si>
    <t>Клапаны и термоголовки для радиаторов</t>
  </si>
  <si>
    <t>Комплектующие к сварочникам</t>
  </si>
  <si>
    <t>PERT</t>
  </si>
  <si>
    <t>Комплектующие к КГ</t>
  </si>
  <si>
    <t>Гибкая подводка со стальной гайкой</t>
  </si>
  <si>
    <t>Шаровые краны водоразборные ЭКО</t>
  </si>
  <si>
    <t>Дренажные насосы</t>
  </si>
  <si>
    <t>РТИ</t>
  </si>
  <si>
    <t>Труба PE-Xb</t>
  </si>
  <si>
    <t>Шланги поливочные</t>
  </si>
  <si>
    <t>Радиаторы</t>
  </si>
  <si>
    <t>Шланги напорно-всасывающие к НС</t>
  </si>
  <si>
    <t>Труба PE-Xa</t>
  </si>
  <si>
    <t>Аксиальные фитинги</t>
  </si>
  <si>
    <t>Кол-во ТГ</t>
  </si>
  <si>
    <t>Группа доступа</t>
  </si>
  <si>
    <t>Вид номенклатуры</t>
  </si>
  <si>
    <t>Столбцы</t>
  </si>
  <si>
    <t>Клиент_Головное</t>
  </si>
  <si>
    <t>Номенклатура</t>
  </si>
  <si>
    <t>АКВА-СИТИ, ООО, г.Саратов</t>
  </si>
  <si>
    <t>Балканский А.Р., ИП, с.Габишево</t>
  </si>
  <si>
    <t>Бузенков А.В., ИП, г. Балаково</t>
  </si>
  <si>
    <t>Вахитов Р.Р. ИП, г. Елабуга</t>
  </si>
  <si>
    <t>ВОДОВОРОТ-С, ООО, г.Саратов</t>
  </si>
  <si>
    <t>ВОК-Челны, ООО, г. Набережные Челны</t>
  </si>
  <si>
    <t>Волков А.А. ИП, Саратов</t>
  </si>
  <si>
    <t>Воронина Александра Александровна, ИП , Новочебоксарск</t>
  </si>
  <si>
    <t>Вязников А.В.,ИП, г. Волжск Марий Эл</t>
  </si>
  <si>
    <t>Гидрокомплект, ООО, Казань</t>
  </si>
  <si>
    <t>Жилснаб, ООО, Казань</t>
  </si>
  <si>
    <t>Земсков Константин Николаевич, ИП, Саратов</t>
  </si>
  <si>
    <t>Казанская Сантехническая Компания, ООО, г.Набережные Челны</t>
  </si>
  <si>
    <t>Комцентр Стратегия, ООО, г. Чебоксары</t>
  </si>
  <si>
    <t>Константинов Юрий Алексеевич, ИП , Чебоксары</t>
  </si>
  <si>
    <t>КСК, ООО, г. Набережные Челны</t>
  </si>
  <si>
    <t>Кузнецов А.Н, ИП, Чебоксары</t>
  </si>
  <si>
    <t>Макаров Константин Владимирович, ИП, с.Сокуры</t>
  </si>
  <si>
    <t>МАСТЕР, ООО, г.Нижнекамск</t>
  </si>
  <si>
    <t>Мигунова Е.В., ИП, г. Волжск</t>
  </si>
  <si>
    <t>МИР ТЕПЛА, ООО , г.Казань</t>
  </si>
  <si>
    <t>Промпроект, ООО, г. Казань</t>
  </si>
  <si>
    <t>Процветов Виталий Владимирович, ИП , г. Саратов</t>
  </si>
  <si>
    <t>РАДЭЛЬ ООО, Высокая Гора</t>
  </si>
  <si>
    <t>РегионПласт ТД, ООО, Набережные Челны</t>
  </si>
  <si>
    <t>Резникова О.А. ИП , г.Саратов</t>
  </si>
  <si>
    <t>Родин В.А.,ИП, г.Саратов</t>
  </si>
  <si>
    <t>Сангрео, ООО, Казань</t>
  </si>
  <si>
    <t>САНТЕХКОМФОРТ, ООО, г.Альметьевск</t>
  </si>
  <si>
    <t>Сантехповолжья ТД, ООО, Казань</t>
  </si>
  <si>
    <t>СанТэкс, ООО, г.Казань</t>
  </si>
  <si>
    <t>СПЕЦБЫТ, ООО, г. Балаково</t>
  </si>
  <si>
    <t>Средняя Волга ЭТПК, ООО, г. Энгельс</t>
  </si>
  <si>
    <t>ТЕХМАСТЕР ООО, г. Наб. Челны</t>
  </si>
  <si>
    <t>ТЕХНОАКТИВ, ООО, г.Чебоксары</t>
  </si>
  <si>
    <t>ТТЦ ССМ, ООО, г.Казань</t>
  </si>
  <si>
    <t>Чупахин В.А., ИП, г.Балаково</t>
  </si>
  <si>
    <t>Шульгов С.А, ИП, Энгельс</t>
  </si>
  <si>
    <t>Экодом-С, ООО, Энгельс</t>
  </si>
  <si>
    <t>ЭПК, ООО , г. Казань</t>
  </si>
  <si>
    <t>ЭТАЛОНСНАБРЕСУРС,ООО, г.Набережные Челны</t>
  </si>
  <si>
    <t>ЮниКом ТД, ООО, г.Наб.Челны</t>
  </si>
  <si>
    <t>777, ООО, Ишимбай</t>
  </si>
  <si>
    <t>Аквариус ТПК, ООО, Нижний Новгород</t>
  </si>
  <si>
    <t>Анфёров О.К., ИП, Уфа</t>
  </si>
  <si>
    <t>Армада, ООО, Нижний Новгород</t>
  </si>
  <si>
    <t>Безрукова Е.А.,ИП, г.Саранск</t>
  </si>
  <si>
    <t>Богданов И.Р.,ИП,Стерлитамак</t>
  </si>
  <si>
    <t>БРИГАДИР, ООО, г. Салават</t>
  </si>
  <si>
    <t>ВДГО, ООО, г. Нижний Новгород</t>
  </si>
  <si>
    <t>Галеев РГ, ИП, Уфа</t>
  </si>
  <si>
    <t>Галиуллин РР, ИП, Октябрьский</t>
  </si>
  <si>
    <t>ГИДРОКОМПЛЕКТНН,ООО, г.Нижний Новгород</t>
  </si>
  <si>
    <t>Григорян СА, ИП, Н.Новгород</t>
  </si>
  <si>
    <t>Зарипова А.Н., ИП, г. Туймазы</t>
  </si>
  <si>
    <t>Ибатуллин В.Я.,ИП, г.Стерлитамак</t>
  </si>
  <si>
    <t>Исаева Ю.В., ИП, г. Уфа</t>
  </si>
  <si>
    <t>Исмагилова Л.А. ИП, Красная Горка</t>
  </si>
  <si>
    <t>Котков С.Ю., ИП, г. Арзамас</t>
  </si>
  <si>
    <t>Кузнецов И.И.,ИП, г.Стерлитамак</t>
  </si>
  <si>
    <t>Ликон-НН, ООО, Н.Новгород</t>
  </si>
  <si>
    <t>Лобанов С.В.,ИП, г.Саранск</t>
  </si>
  <si>
    <t>Лунева ИС, ИП, Н.Новгород</t>
  </si>
  <si>
    <t>Малкин А.Н.,ИП, г.Кузнецк</t>
  </si>
  <si>
    <t>Махалин Руслан Александрович, ИП, г.Нижний Новгород</t>
  </si>
  <si>
    <t>Медведев А.В., ИП, г. Пенза</t>
  </si>
  <si>
    <t>Мехтиев В.В.,ИП, г.Пенза</t>
  </si>
  <si>
    <t>Мухаметзянов Р.Р. ИП, г. Стерлитамак</t>
  </si>
  <si>
    <t>Ненюхин Р.Н.,ИП, г.Нижний Новгород</t>
  </si>
  <si>
    <t>НОХТ,АО, г.Нижний Новгород</t>
  </si>
  <si>
    <t>Перетятько М. Ф. ИП, Уфа</t>
  </si>
  <si>
    <t>ПРЕМИУМАРМ ТД, ООО, г.Ниж.Новгород</t>
  </si>
  <si>
    <t>РЕСУРС,ООО, г.Уфа</t>
  </si>
  <si>
    <t>САНТИ НН, ООО, г.Нижний Новгород</t>
  </si>
  <si>
    <t>Сафин И.А.,ИП, г.Белебей</t>
  </si>
  <si>
    <t>Сафин Р.М.,ИП, г.Уфа</t>
  </si>
  <si>
    <t>Семенчук И.В., ИП, г. Уфа</t>
  </si>
  <si>
    <t>Сильянова Ю.А.,ИП, г.Нижний Новгород</t>
  </si>
  <si>
    <t>Стройтекс, ООО, г. Октябрьский</t>
  </si>
  <si>
    <t>Судьин В.К. ИП, Белебей</t>
  </si>
  <si>
    <t>Тарасов АС, ИП, Уфа (ИОНАС)</t>
  </si>
  <si>
    <t>ТД Тепломаркет, ООО, Уфа</t>
  </si>
  <si>
    <t>ТеплоСанКомплект,ООО, г.Нижний Новгород</t>
  </si>
  <si>
    <t>ТЕПЛОСТРОЙ-НН ООО, Кстово</t>
  </si>
  <si>
    <t>ТисГрупп, ООО, г.Нижний Новгород</t>
  </si>
  <si>
    <t>Форс компания, ООО, Уфа</t>
  </si>
  <si>
    <t>Шагиева Л.Ш., ИП, Уфа</t>
  </si>
  <si>
    <t>ЭкоТайм ООО, Уфа</t>
  </si>
  <si>
    <t>ЭНКОМ, ООО, Уфа</t>
  </si>
  <si>
    <t>Адякова О.Г., ИП, г. Самара</t>
  </si>
  <si>
    <t>Аквасервис, ООО, Ижевск</t>
  </si>
  <si>
    <t>Акватория-Термо, ООО, Оренбург</t>
  </si>
  <si>
    <t>Ананин А.С., ИП, г.Ижевск</t>
  </si>
  <si>
    <t>Андреев С.Ю. ИП, Самара</t>
  </si>
  <si>
    <t>Арма, ООО, Самара</t>
  </si>
  <si>
    <t>Асфитинг,  ООО, Тольятти</t>
  </si>
  <si>
    <t>Бузмакова Л.Н., ИП, г. Воткинск</t>
  </si>
  <si>
    <t>Варламов С.Р., ИП, г. Ижевск</t>
  </si>
  <si>
    <t>Водполимер, ООО, Киров</t>
  </si>
  <si>
    <t>ГАЗКОМ, ООО, г.Киров</t>
  </si>
  <si>
    <t>ГВОЗДЬ ХОЗТОРГ, ООО, г. Оренбург</t>
  </si>
  <si>
    <t>Гревцев Е.А., ИП, г.Оренбург</t>
  </si>
  <si>
    <t>Дружко С.Г, ИП, Алексеевка</t>
  </si>
  <si>
    <t>Евроопт, ООО, г.Самара</t>
  </si>
  <si>
    <t>КИРОВСКИЙ ССК, АО СЗ, г.Киров</t>
  </si>
  <si>
    <t>Кривко О.Н., ИП, Орск</t>
  </si>
  <si>
    <t>Лакирев А.Н., ИП, г. Бугуруслан</t>
  </si>
  <si>
    <t>Макарова И.А., ИП,  г. Сызрань</t>
  </si>
  <si>
    <t>Малова Н.Э., ИП, г. Кинель</t>
  </si>
  <si>
    <t>Масленников А.Ю., ИП, г. Киров</t>
  </si>
  <si>
    <t>Нептун, ООО, г. Димитровград</t>
  </si>
  <si>
    <t>Нимакс, ООО, Тольятти</t>
  </si>
  <si>
    <t>Окна Алмаз, ООО, г. Димитровград</t>
  </si>
  <si>
    <t>Ольшевский В.Б., ИП, г. Бузулук</t>
  </si>
  <si>
    <t>ОПТТОРГ, ООО, г. Сызрань</t>
  </si>
  <si>
    <t>Оренбургская растворно-бетонная компания №3, АО, г. Оренбург</t>
  </si>
  <si>
    <t>ОТК, ООО, г. Ижевск</t>
  </si>
  <si>
    <t>Первомай, ООО, пгт.Ува</t>
  </si>
  <si>
    <t>РВК-Оренбург, ООО, Оренбург</t>
  </si>
  <si>
    <t>Рыжаков Д.А., ИП, г. Бузулук</t>
  </si>
  <si>
    <t>Сантех-заказ, ООО, Киров</t>
  </si>
  <si>
    <t>САНТЕХКОМПЛЕКТ, ООО, г.Ульяновск</t>
  </si>
  <si>
    <t>Сантрейд, ООО, г. Ижевск</t>
  </si>
  <si>
    <t>Сатон ГК, ООО, Тольятти</t>
  </si>
  <si>
    <t>СМАРТСЕРВИС, ООО, г.Тольятти</t>
  </si>
  <si>
    <t>Смитиенко Е.В. ИП, Оренбург</t>
  </si>
  <si>
    <t>Стойко С.В. ИП, Оренбург</t>
  </si>
  <si>
    <t>СТРОЙГРУПП ООО, Ижевск</t>
  </si>
  <si>
    <t>СуперСтрой, ООО, Оренбург</t>
  </si>
  <si>
    <t>ТвинСнаб, ООО, г. Самара</t>
  </si>
  <si>
    <t>ТеплоСити, ООО, г. Самара</t>
  </si>
  <si>
    <t>ТЕХНОСНАБ, ООО, г. Тольятти</t>
  </si>
  <si>
    <t>Торгстрой, ООО, Самара</t>
  </si>
  <si>
    <t>ТПГ, ООО, г.Оренбург</t>
  </si>
  <si>
    <t>Трефилов А.О., ИП, пгт.Смышляевка</t>
  </si>
  <si>
    <t>УСК-18, ООО,г.Ижевск(ликвидирована 16.05.2022)</t>
  </si>
  <si>
    <t>Хохлов Д.А., ИП, г. Ульяновск</t>
  </si>
  <si>
    <t>Цыркин Л.З., ИП, г. Оренбург</t>
  </si>
  <si>
    <t>Шайхутдинова Г.Х, ИП, Самара</t>
  </si>
  <si>
    <t>Шевляков А.Г., ИП, г. Оренбург</t>
  </si>
  <si>
    <t>АкваСити, ООО, Санкт-Петербург</t>
  </si>
  <si>
    <t>Андрианова ЯГ, ИП, Калининград</t>
  </si>
  <si>
    <t>АНТАРЕС ООО, Санкт-Петербург</t>
  </si>
  <si>
    <t>Антеро, ООО, Санкт-Петербург</t>
  </si>
  <si>
    <t>Артелия, ООО, Санкт-Петербург</t>
  </si>
  <si>
    <t>Архпромкомплект ПСК, ООО, Архангельск</t>
  </si>
  <si>
    <t>Брик, ООО, Санкт-Петербург</t>
  </si>
  <si>
    <t>ВЕЗЕР ТРЕЙДИНГ, ООО, Санкт-Петербург</t>
  </si>
  <si>
    <t>ГРУППА ОВК, ООО, Санкт-Петербург</t>
  </si>
  <si>
    <t>Дюйм и К, ООО, Калининград</t>
  </si>
  <si>
    <t>Иларт, ООО, Санкт-Петербург</t>
  </si>
  <si>
    <t>Минимакс, ООО, Санкт-Петербург</t>
  </si>
  <si>
    <t>МистерСтройМеталл, ООО, Сыктывкар</t>
  </si>
  <si>
    <t>Напор, ООО, Санкт-Петербург</t>
  </si>
  <si>
    <t>Нова Газ, ООО, Санкт-Петербург</t>
  </si>
  <si>
    <t>Омега, ООО, Санкт-Петербург</t>
  </si>
  <si>
    <t>Перспектива, ООО, Санкт-Петербург</t>
  </si>
  <si>
    <t>ПЕТРОКОМПЛЕКТ КОМПАНИЯ, ООО, Санкт-Петербург (НЕ ГРУЗИТЬ)</t>
  </si>
  <si>
    <t>ПК СМП - 707, АО, Санкт-Петербург</t>
  </si>
  <si>
    <t>РУБЕЖ, ООО, Санкт-Петербург</t>
  </si>
  <si>
    <t>САНЕКСТ, ООО, Санкт-Петербург</t>
  </si>
  <si>
    <t>СантехОпт, ООО, Калининград</t>
  </si>
  <si>
    <t>СЗГАЗ, ООО, Санкт-Петербург</t>
  </si>
  <si>
    <t>СК ВЕН, ООО, Красное Село</t>
  </si>
  <si>
    <t>СТМ, ООО, Ярославль</t>
  </si>
  <si>
    <t>ТД Электротехмонтаж, ООО, Санкт-Петербург</t>
  </si>
  <si>
    <t>ТЕХНОИНДУСТРИЯ, ООО, Санкт-Петербург</t>
  </si>
  <si>
    <t>Трамп СПБ, ООО, Санкт-Петербург</t>
  </si>
  <si>
    <t>ЦЕНТРУМ, ООО, Санкт-Петербург</t>
  </si>
  <si>
    <t>Штакес ДВ, ИП, Калининград</t>
  </si>
  <si>
    <t>CeZar group, ТОО, Астана</t>
  </si>
  <si>
    <t>АкваКонтур, ООО, Минск</t>
  </si>
  <si>
    <t>Аквалайн Глобал, ТОО, Алматы</t>
  </si>
  <si>
    <t>Аквилон Трейд, ТОО, Экибастуз</t>
  </si>
  <si>
    <t>Александров В.А. ИП, Брест</t>
  </si>
  <si>
    <t>АТБ АЛЬФА-ГРУПП, ООО, ДНР г. Горловка</t>
  </si>
  <si>
    <t>ВиКПластКомплект, ООО, Минск</t>
  </si>
  <si>
    <t>ВИТТОРГКОМПЛЕКТ, ЧТПУП, Витебск</t>
  </si>
  <si>
    <t>Город котлов и отопления, ООО, Минск</t>
  </si>
  <si>
    <t>Кабимолданов МС, ИП, Казахстан</t>
  </si>
  <si>
    <t>Максресурс, ЧУП, Минск</t>
  </si>
  <si>
    <t>ОптСтройГрупп, ООО, Барановичи</t>
  </si>
  <si>
    <t>ПОЛНЫЙ СПЕКТР, ООО, Минск (Медэост)</t>
  </si>
  <si>
    <t>РОМИС, ОДО, Витебск</t>
  </si>
  <si>
    <t>Сантех КЗ, ТОО, Астана</t>
  </si>
  <si>
    <t>Сибирь ИмпЭкс, ООО, Омск</t>
  </si>
  <si>
    <t>СКТ инжиниринг, ООО, Могилёв</t>
  </si>
  <si>
    <t>СНАБСТРОЙСЕРВИС, ОДО, Минск</t>
  </si>
  <si>
    <t>СтилонТрейд, ООО, Жлобин</t>
  </si>
  <si>
    <t>ТеплоБай, ООО, Витебск</t>
  </si>
  <si>
    <t>Терра Аква, ТОО, Павлодар</t>
  </si>
  <si>
    <t>ТехноОпт Петропавловск, ТОО, Петропавловск</t>
  </si>
  <si>
    <t>ТСК НАСОСЫ, ООО Минск</t>
  </si>
  <si>
    <t>Шакиртов С.С., ИП, Алматы</t>
  </si>
  <si>
    <t>Адамян ТА, ИП, Якутск</t>
  </si>
  <si>
    <t>АЙЯН Фирма , ООО, Новосибирск</t>
  </si>
  <si>
    <t>Аникеев АА, ИП, Юрга</t>
  </si>
  <si>
    <t>Ахрамович АА, ИП, Зея</t>
  </si>
  <si>
    <t>Барвинченко ВЛ, ИП, Нерюнгри</t>
  </si>
  <si>
    <t>Борохин А.В. ИП, с. Амга</t>
  </si>
  <si>
    <t>Вандышев Ю.В, ИП, Кузбасс</t>
  </si>
  <si>
    <t>Воронина АЮ, ИП, Мирный</t>
  </si>
  <si>
    <t>Головин СВ, ИП, Анжеро-Судженск</t>
  </si>
  <si>
    <t>Залеев РА, ИП, Топки</t>
  </si>
  <si>
    <t>Интерсервис, ООО, Чита</t>
  </si>
  <si>
    <t>Касаткина СА, ИП, Новосибирск</t>
  </si>
  <si>
    <t>Корягина ГА, ИП, Чита</t>
  </si>
  <si>
    <t>Котеля М.К. ИП, г. Якутск</t>
  </si>
  <si>
    <t>Лишутин АВ, ИП, Красноярск</t>
  </si>
  <si>
    <t>Марина, ООО, Холмск</t>
  </si>
  <si>
    <t>Мордасов АП, ИП, Новая Чара</t>
  </si>
  <si>
    <t>Подкаменный В.А. ИП, г. Якутск</t>
  </si>
  <si>
    <t>Подшивалова ОФ, ИП, Алдан</t>
  </si>
  <si>
    <t>Полозун ЕА, ИП, Северобайкальск</t>
  </si>
  <si>
    <t>Потапов НА, ИП, Томск</t>
  </si>
  <si>
    <t>Рахматуллин АШ, ИП, Якутск</t>
  </si>
  <si>
    <t>Рубан ОВ, ИП, Абакан</t>
  </si>
  <si>
    <t>СантехСтрой, ООО, Новокузнецк</t>
  </si>
  <si>
    <t>ТОПКОНКРЕТУМ, ООО, Кемерово</t>
  </si>
  <si>
    <t>ТРУДАРМЕЙСКАЯ ПФ, ООО, Мыски</t>
  </si>
  <si>
    <t>Федотов АВ, ИП, Кисилевск</t>
  </si>
  <si>
    <t>Червинский СВ, ИП, Ленинск-Кузнецкий</t>
  </si>
  <si>
    <t>ЭНЕРГОТЕХМОНТАЖ, ООО, Барнаул</t>
  </si>
  <si>
    <t>АА РУФЦЕНТР, ООО, Новосибирск</t>
  </si>
  <si>
    <t>Аквамарин, ООО, Барнаул</t>
  </si>
  <si>
    <t>БайкалПром, ООО, Иркутск</t>
  </si>
  <si>
    <t>Бакор, ООО, Рубцовск</t>
  </si>
  <si>
    <t>ВАГНЕР, ООО, Новосибирск</t>
  </si>
  <si>
    <t>Гальцов АВ, ИП, Новосибирск</t>
  </si>
  <si>
    <t>Геба АВ.ИП. Новосибирск</t>
  </si>
  <si>
    <t>Гидротерм-ДВ, ООО, г. Хабаровск</t>
  </si>
  <si>
    <t>Гуля-Яновская ЛА, ИП, Улан-Удэ</t>
  </si>
  <si>
    <t>ИНВЕСТСЕРВИС, ООО, Новосибирск</t>
  </si>
  <si>
    <t>ИНЖЕНЕР ТЕПЛОТЕХНИК,ООО,г. Петропавловск-Камчатский</t>
  </si>
  <si>
    <t>Инженерные Системы, ООО, Хабаровск</t>
  </si>
  <si>
    <t>Кабанова НГ, ИП, Вилючинск</t>
  </si>
  <si>
    <t>Кратос ТД, ООО, Омск</t>
  </si>
  <si>
    <t>Лапин ЕВ, ИП, Барнаул</t>
  </si>
  <si>
    <t>Лядов НА, ИП, Омск</t>
  </si>
  <si>
    <t>Мазанцев ИС, ИП, Железногорск-Илимский</t>
  </si>
  <si>
    <t>МаксиСтрой, ООО, Иркутск</t>
  </si>
  <si>
    <t>Михалева ИА, ИП, Бийск</t>
  </si>
  <si>
    <t>Немков АС, ИП, Улан-Удэ</t>
  </si>
  <si>
    <t>Перемыкин АВ, ИП, Новосибирск</t>
  </si>
  <si>
    <t>Пивень ОА, ИП, Рубцовск</t>
  </si>
  <si>
    <t>Прокопенко НВ, ИП, Новосибирск</t>
  </si>
  <si>
    <t>Стародубов СС, ИП, Омск</t>
  </si>
  <si>
    <t>СТРОЙ-ГРАНД, ООО, Барнаул</t>
  </si>
  <si>
    <t>Стройторг, ООО, Иркутск</t>
  </si>
  <si>
    <t>Теплоарматура, ООО, Улан-Удэ</t>
  </si>
  <si>
    <t>Траст-ДВ, ООО, г.Хабаровск</t>
  </si>
  <si>
    <t>Урбаев ОС, ИП, Улан-Удэ</t>
  </si>
  <si>
    <t>Черных СА, ИП, Новосибирск</t>
  </si>
  <si>
    <t>ЭКО-ДЕКО, ООО, Барнаул</t>
  </si>
  <si>
    <t>АГАВА ООО, г. Екатеринбург</t>
  </si>
  <si>
    <t>ВОДОМЕР, ООО, Магнитогорск</t>
  </si>
  <si>
    <t>Волчков Владимир Анатольевич ИП, г. Курган</t>
  </si>
  <si>
    <t>Воронин Вячеслав Сергеевич ИП, г. Красноуфимск</t>
  </si>
  <si>
    <t>ГАЗСНАБУРАЛ, ООО, Челябинск</t>
  </si>
  <si>
    <t>Дмитриев Виталий Евгеньевич, ИП, Екатеринбург</t>
  </si>
  <si>
    <t>Мусиенко ЮЮ, ИП, Курган</t>
  </si>
  <si>
    <t>Павлов Евгений Викторович, ИП, Касли</t>
  </si>
  <si>
    <t>Павлов Михаил Викторович, ИП, Касли</t>
  </si>
  <si>
    <t>ПКФ НАНО-СТРОЙ, ООО, Челябинск</t>
  </si>
  <si>
    <t>Потехин Сергей Викторович, ИП, Курган</t>
  </si>
  <si>
    <t>САНТЕХМАГ, ООО, Магнитогорск</t>
  </si>
  <si>
    <t>СанТехМир, ООО, Екатеринбург</t>
  </si>
  <si>
    <t>Сантехурал ТД, ООО, Челябинск</t>
  </si>
  <si>
    <t>Сикорский Владислав Павлович, ИП, Челябинск</t>
  </si>
  <si>
    <t>Смирнов АВ, ИП, Курган</t>
  </si>
  <si>
    <t>СТРОЙКОМПЛЕКТ ТК , ООО, Челябинск</t>
  </si>
  <si>
    <t>Ступина Елена Михайловна, ИП, Заречный</t>
  </si>
  <si>
    <t>ТЕПЛОГРАД УРАЛ, ООО, Тюмень</t>
  </si>
  <si>
    <t>Тепломир, ООО, Магнитогорск</t>
  </si>
  <si>
    <t>Теплоотдача, ООО, Магнитогорск</t>
  </si>
  <si>
    <t>ТЕРМОСНАБ, ООО, Челябинск</t>
  </si>
  <si>
    <t>ТОПГРУПП, ООО, Челябинск</t>
  </si>
  <si>
    <t>Торговая компания Градострой, ООО, Екатеринбург</t>
  </si>
  <si>
    <t>ФОРС ПРОДАКШН, ООО, Челябинск</t>
  </si>
  <si>
    <t>Черепанов Александр Николаевич, ИП, Екатеринбург</t>
  </si>
  <si>
    <t>ЭЛВИН, ООО ПКФ, Миасс</t>
  </si>
  <si>
    <t>Якушева Людмила Васильевна ИП, Катайск</t>
  </si>
  <si>
    <t>Количество номенклатур</t>
  </si>
  <si>
    <t>Кол-во НМ</t>
  </si>
  <si>
    <t>Кол-во номенклатур</t>
  </si>
  <si>
    <t>Доля проникновения</t>
  </si>
  <si>
    <t>Конец</t>
  </si>
  <si>
    <t>Число элементов в столбце Наименование</t>
  </si>
  <si>
    <t>Доля р-ии НМ</t>
  </si>
  <si>
    <t>Баллы рейтинга ТГ</t>
  </si>
  <si>
    <t>Место в рейтинге ТГ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</si>
</sst>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3" formatCode="_-* #,##0.00_-;\-* #,##0.00_-;_-* &quot;-&quot;??_-;_-@_-"/>
    <numFmt numFmtId="164" formatCode="_-* #,##0_-;\-* #,##0_-;_-* &quot;-&quot;??_-;_-@_-"/>
    <numFmt numFmtId="165" formatCode="0.0%"/>
    <numFmt numFmtId="166" formatCode="#,##0.00_ ;\-#,##0.00\ 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9E1F2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29">
    <xf numFmtId="0" fontId="0" fillId="0" borderId="0" xfId="0"/>
    <xf numFmtId="22" fontId="0" fillId="0" borderId="0" xfId="0" applyNumberFormat="1"/>
    <xf numFmtId="0" fontId="0" fillId="0" borderId="1" xfId="0" applyBorder="1"/>
    <xf numFmtId="0" fontId="0" fillId="0" borderId="2" xfId="0" applyBorder="1"/>
    <xf numFmtId="0" fontId="1" fillId="3" borderId="3" xfId="0" applyFont="1" applyFill="1" applyBorder="1" applyAlignment="1">
      <alignment horizontal="center" vertical="center" wrapText="1"/>
    </xf>
    <xf numFmtId="0" fontId="0" fillId="0" borderId="4" xfId="0" applyBorder="1"/>
    <xf numFmtId="0" fontId="0" fillId="0" borderId="0" xfId="0" applyAlignment="1">
      <alignment wrapText="1"/>
    </xf>
    <xf numFmtId="0" fontId="0" fillId="0" borderId="0" xfId="0" pivotButton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9" fontId="0" fillId="0" borderId="0" xfId="1" applyFont="1"/>
    <xf numFmtId="164" fontId="0" fillId="0" borderId="0" xfId="2" applyNumberFormat="1" applyFont="1"/>
    <xf numFmtId="164" fontId="0" fillId="0" borderId="0" xfId="0" applyNumberFormat="1"/>
    <xf numFmtId="10" fontId="0" fillId="0" borderId="0" xfId="1" applyNumberFormat="1" applyFont="1"/>
    <xf numFmtId="164" fontId="0" fillId="0" borderId="0" xfId="0" applyNumberFormat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5" borderId="1" xfId="0" applyFill="1" applyBorder="1"/>
    <xf numFmtId="0" fontId="0" fillId="6" borderId="1" xfId="0" applyFill="1" applyBorder="1"/>
    <xf numFmtId="9" fontId="0" fillId="0" borderId="0" xfId="1" applyFont="1" applyBorder="1"/>
    <xf numFmtId="10" fontId="0" fillId="0" borderId="0" xfId="1" applyNumberFormat="1" applyFont="1" applyBorder="1"/>
    <xf numFmtId="9" fontId="0" fillId="0" borderId="4" xfId="1" applyFont="1" applyBorder="1"/>
    <xf numFmtId="10" fontId="0" fillId="0" borderId="4" xfId="1" applyNumberFormat="1" applyFont="1" applyBorder="1"/>
    <xf numFmtId="0" fontId="0" fillId="0" borderId="0" xfId="0" pivotButton="1"/>
    <xf numFmtId="165" fontId="0" fillId="5" borderId="1" xfId="1" applyNumberFormat="1" applyFont="1" applyFill="1" applyBorder="1"/>
    <xf numFmtId="165" fontId="0" fillId="6" borderId="1" xfId="1" applyNumberFormat="1" applyFont="1" applyFill="1" applyBorder="1"/>
    <xf numFmtId="165" fontId="0" fillId="0" borderId="1" xfId="1" applyNumberFormat="1" applyFont="1" applyBorder="1"/>
    <xf numFmtId="165" fontId="0" fillId="0" borderId="0" xfId="1" applyNumberFormat="1" applyFont="1" applyAlignment="1">
      <alignment horizontal="right" vertical="center"/>
    </xf>
    <xf numFmtId="166" fontId="0" fillId="0" borderId="0" xfId="2" applyNumberFormat="1" applyFont="1" applyAlignment="1">
      <alignment horizontal="right" vertical="center"/>
    </xf>
    <xf numFmtId="0" fontId="0" fillId="0" borderId="0" xfId="0" applyNumberFormat="1"/>
  </cellXfs>
  <cellStyles count="3">
    <cellStyle name="Обычный" xfId="0" builtinId="0"/>
    <cellStyle name="Процентный" xfId="1" builtinId="5"/>
    <cellStyle name="Финансовый" xfId="2" builtinId="3"/>
  </cellStyles>
  <dxfs count="42">
    <dxf>
      <numFmt numFmtId="27" formatCode="dd/mm/yyyy\ h:mm"/>
    </dxf>
    <dxf>
      <numFmt numFmtId="27" formatCode="dd/mm/yyyy\ h:mm"/>
    </dxf>
    <dxf>
      <alignment wrapText="1"/>
    </dxf>
    <dxf>
      <alignment horizontal="center"/>
    </dxf>
    <dxf>
      <alignment vertical="center"/>
    </dxf>
    <dxf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</dxf>
    <dxf>
      <alignment vertical="center"/>
    </dxf>
    <dxf>
      <alignment horizontal="center"/>
    </dxf>
    <dxf>
      <alignment wrapText="1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wrapText="1"/>
    </dxf>
    <dxf>
      <alignment wrapText="1"/>
    </dxf>
    <dxf>
      <alignment wrapText="1"/>
    </dxf>
    <dxf>
      <alignment wrapText="1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6" formatCode="#,##0.00_ ;\-#,##0.00\ 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  <alignment horizontal="right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fill>
        <patternFill>
          <bgColor theme="7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7" tint="0.79998168889431442"/>
        </patternFill>
      </fill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  <border>
        <top/>
      </border>
    </dxf>
    <dxf>
      <fill>
        <patternFill patternType="solid">
          <fgColor theme="4" tint="0.79995117038483843"/>
          <bgColor theme="4" tint="0.79995117038483843"/>
        </patternFill>
      </fill>
      <border>
        <bottom/>
      </border>
    </dxf>
  </dxfs>
  <tableStyles count="4" defaultTableStyle="TableStyleMedium2" defaultPivotStyle="PivotStyleLight16">
    <tableStyle name="Плоский стиль сводного представления" table="0" count="3" xr9:uid="{B2CE7CFB-2388-4703-9EBF-45B8F3941611}">
      <tableStyleElement type="headerRow" dxfId="41"/>
      <tableStyleElement type="totalRow" dxfId="40"/>
      <tableStyleElement type="secondRowStripe" dxfId="39"/>
    </tableStyle>
    <tableStyle name="Стиль сводной таблицы 1" table="0" count="2" xr9:uid="{F53EBAFF-CB14-4C20-A725-20B0EA3048DD}">
      <tableStyleElement type="wholeTable" dxfId="38"/>
      <tableStyleElement type="headerRow" dxfId="37"/>
    </tableStyle>
    <tableStyle name="Стиль сводной таблицы 2" table="0" count="5" xr9:uid="{7B7AEB2E-EA0E-404A-AF42-C86C45B3E14B}">
      <tableStyleElement type="wholeTable" dxfId="36"/>
      <tableStyleElement type="headerRow" dxfId="35"/>
      <tableStyleElement type="firstRowSubheading" dxfId="34"/>
      <tableStyleElement type="secondRowSubheading" dxfId="33"/>
      <tableStyleElement type="thirdRowSubheading" dxfId="32"/>
    </tableStyle>
    <tableStyle name="Стиль таблицы 1" pivot="0" count="2" xr9:uid="{A0847657-8EF0-4759-B2D8-F3038EDBAB32}">
      <tableStyleElement type="wholeTable" dxfId="31"/>
      <tableStyleElement type="headerRow" dxfId="3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18" Type="http://schemas.openxmlformats.org/officeDocument/2006/relationships/customXml" Target="../customXml/item6.xml"/><Relationship Id="rId26" Type="http://schemas.openxmlformats.org/officeDocument/2006/relationships/customXml" Target="../customXml/item14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9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17" Type="http://schemas.openxmlformats.org/officeDocument/2006/relationships/customXml" Target="../customXml/item5.xml"/><Relationship Id="rId25" Type="http://schemas.openxmlformats.org/officeDocument/2006/relationships/customXml" Target="../customXml/item1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20" Type="http://schemas.openxmlformats.org/officeDocument/2006/relationships/customXml" Target="../customXml/item8.xml"/><Relationship Id="rId29" Type="http://schemas.openxmlformats.org/officeDocument/2006/relationships/customXml" Target="../customXml/item17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powerPivotData" Target="model/item.data"/><Relationship Id="rId24" Type="http://schemas.openxmlformats.org/officeDocument/2006/relationships/customXml" Target="../customXml/item12.xml"/><Relationship Id="rId5" Type="http://schemas.openxmlformats.org/officeDocument/2006/relationships/pivotCacheDefinition" Target="pivotCache/pivotCacheDefinition1.xml"/><Relationship Id="rId15" Type="http://schemas.openxmlformats.org/officeDocument/2006/relationships/customXml" Target="../customXml/item3.xml"/><Relationship Id="rId23" Type="http://schemas.openxmlformats.org/officeDocument/2006/relationships/customXml" Target="../customXml/item11.xml"/><Relationship Id="rId28" Type="http://schemas.openxmlformats.org/officeDocument/2006/relationships/customXml" Target="../customXml/item16.xml"/><Relationship Id="rId10" Type="http://schemas.openxmlformats.org/officeDocument/2006/relationships/sharedStrings" Target="sharedStrings.xml"/><Relationship Id="rId19" Type="http://schemas.openxmlformats.org/officeDocument/2006/relationships/customXml" Target="../customXml/item7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Relationship Id="rId22" Type="http://schemas.openxmlformats.org/officeDocument/2006/relationships/customXml" Target="../customXml/item10.xml"/><Relationship Id="rId27" Type="http://schemas.openxmlformats.org/officeDocument/2006/relationships/customXml" Target="../customXml/item15.xml"/><Relationship Id="rId30" Type="http://schemas.openxmlformats.org/officeDocument/2006/relationships/customXml" Target="../customXml/item1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0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Жигульских Евгений Олегович" refreshedDate="45190.534880208332" backgroundQuery="1" createdVersion="7" refreshedVersion="7" minRefreshableVersion="3" recordCount="0" supportSubquery="1" supportAdvancedDrill="1" xr:uid="{294CA880-0092-4C8D-B6FD-E3BE16A8A7DF}">
  <cacheSource type="external" connectionId="1"/>
  <cacheFields count="4">
    <cacheField name="[ИД_подготовленные].[Группа доступа].[Группа доступа]" caption="Группа доступа" numFmtId="0" hierarchy="1" level="1">
      <sharedItems count="8">
        <s v="ПФО Овсянников"/>
        <s v="ПФО Ручкин"/>
        <s v="ПФО Шашкина"/>
        <s v="СЗФО Разин"/>
        <s v="СНГ Фёдоров"/>
        <s v="СФО Томлоп"/>
        <s v="СФО Чучкалов"/>
        <s v="УФО Маринич"/>
      </sharedItems>
    </cacheField>
    <cacheField name="[ИД_подготовленные].[Вид номенклатуры].[Вид номенклатуры]" caption="Вид номенклатуры" numFmtId="0" hierarchy="3" level="1">
      <sharedItems count="45">
        <s v="Вибрационные насосы"/>
        <s v="Гибкая подводка ПВХ для газа"/>
        <s v="МП трубы"/>
        <s v="Обратные клапаны"/>
        <s v="Сварочники"/>
        <s v="Сильфонная подводка"/>
        <s v="Сливные и заливные шланги"/>
        <s v="Косые фильтры"/>
        <s v="Резьба никелированная"/>
        <s v="Шаровые краны"/>
        <s v="Шаровые краны (желтые)"/>
        <s v="Шаровые краны водоразборные ЭКО"/>
        <s v="Шаровые краны для газа"/>
        <s v="Принадлежности"/>
        <s v="Уплотнительные материалы"/>
        <s v="Гибкая подводка &quot;Гигант&quot;"/>
        <s v="Арматура безопасности"/>
        <s v="Коллекторные группы"/>
        <s v="Кронштейны"/>
        <s v="Клапаны и термоголовки для радиаторов"/>
        <s v="НСУ"/>
        <s v="ППР фитинги"/>
        <s v="Труба PE-Xb"/>
        <s v="Циркуляционные насосы"/>
        <s v="Шланги для душа"/>
        <s v="Комплектующие для радиаторов"/>
        <s v="РТИ"/>
        <s v="Хомуты"/>
        <s v="Обжимные фитинги"/>
        <s v="Насосные станции"/>
        <s v="Гибкая подводка нейлон/ПВХ"/>
        <s v="Гибкая подводка с латунной гайкой"/>
        <s v="Вентили"/>
        <s v="Лейки для душа"/>
        <s v="Гибкая подводка со стальной гайкой"/>
        <s v="Радиаторы"/>
        <s v="Комплектующие к КГ"/>
        <s v="ППР трубы"/>
        <s v="PERT"/>
        <s v="Крепеж для МП и ППР труб"/>
        <s v="Комплектующие к сварочникам"/>
        <s v="Дренажные насосы"/>
        <s v="Шланги напорно-всасывающие к НС"/>
        <s v="Шланги поливочные"/>
        <s v="Труба PE-Xa"/>
      </sharedItems>
    </cacheField>
    <cacheField name="[ИД_подготовленные].[Клиент_Головное].[Клиент_Головное]" caption="Клиент_Головное" numFmtId="0" hierarchy="2" level="1">
      <sharedItems count="282">
        <s v="АКВА-СИТИ, ООО, г.Саратов"/>
        <s v="Балканский А.Р., ИП, с.Габишево"/>
        <s v="Бузенков А.В., ИП, г. Балаково"/>
        <s v="Вахитов Р.Р. ИП, г. Елабуга"/>
        <s v="ВОДОВОРОТ-С, ООО, г.Саратов"/>
        <s v="ВОК-Челны, ООО, г. Набережные Челны"/>
        <s v="Волков А.А. ИП, Саратов"/>
        <s v="Воронина Александра Александровна, ИП , Новочебоксарск"/>
        <s v="Вязников А.В.,ИП, г. Волжск Марий Эл"/>
        <s v="Гидрокомплект, ООО, Казань"/>
        <s v="Жилснаб, ООО, Казань"/>
        <s v="Земсков Константин Николаевич, ИП, Саратов"/>
        <s v="Казанская Сантехническая Компания, ООО, г.Набережные Челны"/>
        <s v="Комцентр Стратегия, ООО, г. Чебоксары"/>
        <s v="Константинов Юрий Алексеевич, ИП , Чебоксары"/>
        <s v="КСК, ООО, г. Набережные Челны"/>
        <s v="Кузнецов А.Н, ИП, Чебоксары"/>
        <s v="Макаров Константин Владимирович, ИП, с.Сокуры"/>
        <s v="МАСТЕР, ООО, г.Нижнекамск"/>
        <s v="Мигунова Е.В., ИП, г. Волжск"/>
        <s v="МИР ТЕПЛА, ООО , г.Казань"/>
        <s v="Промпроект, ООО, г. Казань"/>
        <s v="Процветов Виталий Владимирович, ИП , г. Саратов"/>
        <s v="РАДЭЛЬ ООО, Высокая Гора"/>
        <s v="РегионПласт ТД, ООО, Набережные Челны"/>
        <s v="Резникова О.А. ИП , г.Саратов"/>
        <s v="Родин В.А.,ИП, г.Саратов"/>
        <s v="Сангрео, ООО, Казань"/>
        <s v="САНТЕХКОМФОРТ, ООО, г.Альметьевск"/>
        <s v="Сантехповолжья ТД, ООО, Казань"/>
        <s v="СанТэкс, ООО, г.Казань"/>
        <s v="СПЕЦБЫТ, ООО, г. Балаково"/>
        <s v="Средняя Волга ЭТПК, ООО, г. Энгельс"/>
        <s v="ТЕХМАСТЕР ООО, г. Наб. Челны"/>
        <s v="ТЕХНОАКТИВ, ООО, г.Чебоксары"/>
        <s v="ТТЦ ССМ, ООО, г.Казань"/>
        <s v="Чупахин В.А., ИП, г.Балаково"/>
        <s v="Шульгов С.А, ИП, Энгельс"/>
        <s v="Экодом-С, ООО, Энгельс"/>
        <s v="ЭПК, ООО , г. Казань"/>
        <s v="ЭТАЛОНСНАБРЕСУРС,ООО, г.Набережные Челны"/>
        <s v="ЮниКом ТД, ООО, г.Наб.Челны"/>
        <s v="777, ООО, Ишимбай"/>
        <s v="Аквариус ТПК, ООО, Нижний Новгород"/>
        <s v="Анфёров О.К., ИП, Уфа"/>
        <s v="Армада, ООО, Нижний Новгород"/>
        <s v="Безрукова Е.А.,ИП, г.Саранск"/>
        <s v="Богданов И.Р.,ИП,Стерлитамак"/>
        <s v="БРИГАДИР, ООО, г. Салават"/>
        <s v="ВДГО, ООО, г. Нижний Новгород"/>
        <s v="Галеев РГ, ИП, Уфа"/>
        <s v="Галиуллин РР, ИП, Октябрьский"/>
        <s v="ГИДРОКОМПЛЕКТНН,ООО, г.Нижний Новгород"/>
        <s v="Григорян СА, ИП, Н.Новгород"/>
        <s v="Зарипова А.Н., ИП, г. Туймазы"/>
        <s v="Ибатуллин В.Я.,ИП, г.Стерлитамак"/>
        <s v="Исаева Ю.В., ИП, г. Уфа"/>
        <s v="Исмагилова Л.А. ИП, Красная Горка"/>
        <s v="Котков С.Ю., ИП, г. Арзамас"/>
        <s v="Кузнецов И.И.,ИП, г.Стерлитамак"/>
        <s v="Ликон-НН, ООО, Н.Новгород"/>
        <s v="Лобанов С.В.,ИП, г.Саранск"/>
        <s v="Лунева ИС, ИП, Н.Новгород"/>
        <s v="Малкин А.Н.,ИП, г.Кузнецк"/>
        <s v="Махалин Руслан Александрович, ИП, г.Нижний Новгород"/>
        <s v="Медведев А.В., ИП, г. Пенза"/>
        <s v="Мехтиев В.В.,ИП, г.Пенза"/>
        <s v="Мухаметзянов Р.Р. ИП, г. Стерлитамак"/>
        <s v="Ненюхин Р.Н.,ИП, г.Нижний Новгород"/>
        <s v="НОХТ,АО, г.Нижний Новгород"/>
        <s v="Перетятько М. Ф. ИП, Уфа"/>
        <s v="ПРЕМИУМАРМ ТД, ООО, г.Ниж.Новгород"/>
        <s v="РЕСУРС,ООО, г.Уфа"/>
        <s v="САНТИ НН, ООО, г.Нижний Новгород"/>
        <s v="Сафин И.А.,ИП, г.Белебей"/>
        <s v="Сафин Р.М.,ИП, г.Уфа"/>
        <s v="Семенчук И.В., ИП, г. Уфа"/>
        <s v="Сильянова Ю.А.,ИП, г.Нижний Новгород"/>
        <s v="Стройтекс, ООО, г. Октябрьский"/>
        <s v="Судьин В.К. ИП, Белебей"/>
        <s v="Тарасов АС, ИП, Уфа (ИОНАС)"/>
        <s v="ТД Тепломаркет, ООО, Уфа"/>
        <s v="ТеплоСанКомплект,ООО, г.Нижний Новгород"/>
        <s v="ТЕПЛОСТРОЙ-НН ООО, Кстово"/>
        <s v="ТисГрупп, ООО, г.Нижний Новгород"/>
        <s v="Форс компания, ООО, Уфа"/>
        <s v="Шагиева Л.Ш., ИП, Уфа"/>
        <s v="ЭкоТайм ООО, Уфа"/>
        <s v="ЭНКОМ, ООО, Уфа"/>
        <s v="Адякова О.Г., ИП, г. Самара"/>
        <s v="Аквасервис, ООО, Ижевск"/>
        <s v="Акватория-Термо, ООО, Оренбург"/>
        <s v="Ананин А.С., ИП, г.Ижевск"/>
        <s v="Андреев С.Ю. ИП, Самара"/>
        <s v="Арма, ООО, Самара"/>
        <s v="Асфитинг,  ООО, Тольятти"/>
        <s v="Бузмакова Л.Н., ИП, г. Воткинск"/>
        <s v="Варламов С.Р., ИП, г. Ижевск"/>
        <s v="Водполимер, ООО, Киров"/>
        <s v="ГАЗКОМ, ООО, г.Киров"/>
        <s v="ГВОЗДЬ ХОЗТОРГ, ООО, г. Оренбург"/>
        <s v="Гревцев Е.А., ИП, г.Оренбург"/>
        <s v="Дружко С.Г, ИП, Алексеевка"/>
        <s v="Евроопт, ООО, г.Самара"/>
        <s v="КИРОВСКИЙ ССК, АО СЗ, г.Киров"/>
        <s v="Кривко О.Н., ИП, Орск"/>
        <s v="Лакирев А.Н., ИП, г. Бугуруслан"/>
        <s v="Макарова И.А., ИП,  г. Сызрань"/>
        <s v="Малова Н.Э., ИП, г. Кинель"/>
        <s v="Масленников А.Ю., ИП, г. Киров"/>
        <s v="Нептун, ООО, г. Димитровград"/>
        <s v="Нимакс, ООО, Тольятти"/>
        <s v="Окна Алмаз, ООО, г. Димитровград"/>
        <s v="Ольшевский В.Б., ИП, г. Бузулук"/>
        <s v="ОПТТОРГ, ООО, г. Сызрань"/>
        <s v="Оренбургская растворно-бетонная компания №3, АО, г. Оренбург"/>
        <s v="ОТК, ООО, г. Ижевск"/>
        <s v="Первомай, ООО, пгт.Ува"/>
        <s v="РВК-Оренбург, ООО, Оренбург"/>
        <s v="Рыжаков Д.А., ИП, г. Бузулук"/>
        <s v="Сантех-заказ, ООО, Киров"/>
        <s v="САНТЕХКОМПЛЕКТ, ООО, г.Ульяновск"/>
        <s v="Сантрейд, ООО, г. Ижевск"/>
        <s v="Сатон ГК, ООО, Тольятти"/>
        <s v="СМАРТСЕРВИС, ООО, г.Тольятти"/>
        <s v="Смитиенко Е.В. ИП, Оренбург"/>
        <s v="Стойко С.В. ИП, Оренбург"/>
        <s v="СТРОЙГРУПП ООО, Ижевск"/>
        <s v="СуперСтрой, ООО, Оренбург"/>
        <s v="ТвинСнаб, ООО, г. Самара"/>
        <s v="ТеплоСити, ООО, г. Самара"/>
        <s v="ТЕХНОСНАБ, ООО, г. Тольятти"/>
        <s v="Торгстрой, ООО, Самара"/>
        <s v="ТПГ, ООО, г.Оренбург"/>
        <s v="Трефилов А.О., ИП, пгт.Смышляевка"/>
        <s v="УСК-18, ООО,г.Ижевск(ликвидирована 16.05.2022)"/>
        <s v="Хохлов Д.А., ИП, г. Ульяновск"/>
        <s v="Цыркин Л.З., ИП, г. Оренбург"/>
        <s v="Шайхутдинова Г.Х, ИП, Самара"/>
        <s v="Шевляков А.Г., ИП, г. Оренбург"/>
        <s v="АкваСити, ООО, Санкт-Петербург"/>
        <s v="Андрианова ЯГ, ИП, Калининград"/>
        <s v="АНТАРЕС ООО, Санкт-Петербург"/>
        <s v="Антеро, ООО, Санкт-Петербург"/>
        <s v="Артелия, ООО, Санкт-Петербург"/>
        <s v="Архпромкомплект ПСК, ООО, Архангельск"/>
        <s v="Брик, ООО, Санкт-Петербург"/>
        <s v="ВЕЗЕР ТРЕЙДИНГ, ООО, Санкт-Петербург"/>
        <s v="ГРУППА ОВК, ООО, Санкт-Петербург"/>
        <s v="Дюйм и К, ООО, Калининград"/>
        <s v="Иларт, ООО, Санкт-Петербург"/>
        <s v="Минимакс, ООО, Санкт-Петербург"/>
        <s v="МистерСтройМеталл, ООО, Сыктывкар"/>
        <s v="Напор, ООО, Санкт-Петербург"/>
        <s v="Нова Газ, ООО, Санкт-Петербург"/>
        <s v="Омега, ООО, Санкт-Петербург"/>
        <s v="Перспектива, ООО, Санкт-Петербург"/>
        <s v="ПЕТРОКОМПЛЕКТ КОМПАНИЯ, ООО, Санкт-Петербург (НЕ ГРУЗИТЬ)"/>
        <s v="ПК СМП - 707, АО, Санкт-Петербург"/>
        <s v="РУБЕЖ, ООО, Санкт-Петербург"/>
        <s v="САНЕКСТ, ООО, Санкт-Петербург"/>
        <s v="СантехОпт, ООО, Калининград"/>
        <s v="СЗГАЗ, ООО, Санкт-Петербург"/>
        <s v="СК ВЕН, ООО, Красное Село"/>
        <s v="СТМ, ООО, Ярославль"/>
        <s v="ТД Электротехмонтаж, ООО, Санкт-Петербург"/>
        <s v="ТЕХНОИНДУСТРИЯ, ООО, Санкт-Петербург"/>
        <s v="Трамп СПБ, ООО, Санкт-Петербург"/>
        <s v="ЦЕНТРУМ, ООО, Санкт-Петербург"/>
        <s v="Штакес ДВ, ИП, Калининград"/>
        <s v="CeZar group, ТОО, Астана"/>
        <s v="АкваКонтур, ООО, Минск"/>
        <s v="Аквалайн Глобал, ТОО, Алматы"/>
        <s v="Аквилон Трейд, ТОО, Экибастуз"/>
        <s v="Александров В.А. ИП, Брест"/>
        <s v="АТБ АЛЬФА-ГРУПП, ООО, ДНР г. Горловка"/>
        <s v="ВиКПластКомплект, ООО, Минск"/>
        <s v="ВИТТОРГКОМПЛЕКТ, ЧТПУП, Витебск"/>
        <s v="Город котлов и отопления, ООО, Минск"/>
        <s v="Кабимолданов МС, ИП, Казахстан"/>
        <s v="Максресурс, ЧУП, Минск"/>
        <s v="ОптСтройГрупп, ООО, Барановичи"/>
        <s v="ПОЛНЫЙ СПЕКТР, ООО, Минск (Медэост)"/>
        <s v="РОМИС, ОДО, Витебск"/>
        <s v="Сантех КЗ, ТОО, Астана"/>
        <s v="Сибирь ИмпЭкс, ООО, Омск"/>
        <s v="СКТ инжиниринг, ООО, Могилёв"/>
        <s v="СНАБСТРОЙСЕРВИС, ОДО, Минск"/>
        <s v="СтилонТрейд, ООО, Жлобин"/>
        <s v="ТеплоБай, ООО, Витебск"/>
        <s v="Терра Аква, ТОО, Павлодар"/>
        <s v="ТехноОпт Петропавловск, ТОО, Петропавловск"/>
        <s v="ТСК НАСОСЫ, ООО Минск"/>
        <s v="Шакиртов С.С., ИП, Алматы"/>
        <s v="Адамян ТА, ИП, Якутск"/>
        <s v="АЙЯН Фирма , ООО, Новосибирск"/>
        <s v="Аникеев АА, ИП, Юрга"/>
        <s v="Ахрамович АА, ИП, Зея"/>
        <s v="Барвинченко ВЛ, ИП, Нерюнгри"/>
        <s v="Борохин А.В. ИП, с. Амга"/>
        <s v="Вандышев Ю.В, ИП, Кузбасс"/>
        <s v="Воронина АЮ, ИП, Мирный"/>
        <s v="Головин СВ, ИП, Анжеро-Судженск"/>
        <s v="Залеев РА, ИП, Топки"/>
        <s v="Интерсервис, ООО, Чита"/>
        <s v="Касаткина СА, ИП, Новосибирск"/>
        <s v="Корягина ГА, ИП, Чита"/>
        <s v="Котеля М.К. ИП, г. Якутск"/>
        <s v="Лишутин АВ, ИП, Красноярск"/>
        <s v="Марина, ООО, Холмск"/>
        <s v="Мордасов АП, ИП, Новая Чара"/>
        <s v="Подкаменный В.А. ИП, г. Якутск"/>
        <s v="Подшивалова ОФ, ИП, Алдан"/>
        <s v="Полозун ЕА, ИП, Северобайкальск"/>
        <s v="Потапов НА, ИП, Томск"/>
        <s v="Рахматуллин АШ, ИП, Якутск"/>
        <s v="Рубан ОВ, ИП, Абакан"/>
        <s v="СантехСтрой, ООО, Новокузнецк"/>
        <s v="ТОПКОНКРЕТУМ, ООО, Кемерово"/>
        <s v="ТРУДАРМЕЙСКАЯ ПФ, ООО, Мыски"/>
        <s v="Федотов АВ, ИП, Кисилевск"/>
        <s v="Червинский СВ, ИП, Ленинск-Кузнецкий"/>
        <s v="ЭНЕРГОТЕХМОНТАЖ, ООО, Барнаул"/>
        <s v="АА РУФЦЕНТР, ООО, Новосибирск"/>
        <s v="Аквамарин, ООО, Барнаул"/>
        <s v="БайкалПром, ООО, Иркутск"/>
        <s v="Бакор, ООО, Рубцовск"/>
        <s v="ВАГНЕР, ООО, Новосибирск"/>
        <s v="Гальцов АВ, ИП, Новосибирск"/>
        <s v="Геба АВ.ИП. Новосибирск"/>
        <s v="Гидротерм-ДВ, ООО, г. Хабаровск"/>
        <s v="Гуля-Яновская ЛА, ИП, Улан-Удэ"/>
        <s v="ИНВЕСТСЕРВИС, ООО, Новосибирск"/>
        <s v="ИНЖЕНЕР ТЕПЛОТЕХНИК,ООО,г. Петропавловск-Камчатский"/>
        <s v="Инженерные Системы, ООО, Хабаровск"/>
        <s v="Кабанова НГ, ИП, Вилючинск"/>
        <s v="Кратос ТД, ООО, Омск"/>
        <s v="Лапин ЕВ, ИП, Барнаул"/>
        <s v="Лядов НА, ИП, Омск"/>
        <s v="Мазанцев ИС, ИП, Железногорск-Илимский"/>
        <s v="МаксиСтрой, ООО, Иркутск"/>
        <s v="Михалева ИА, ИП, Бийск"/>
        <s v="Немков АС, ИП, Улан-Удэ"/>
        <s v="Перемыкин АВ, ИП, Новосибирск"/>
        <s v="Пивень ОА, ИП, Рубцовск"/>
        <s v="Прокопенко НВ, ИП, Новосибирск"/>
        <s v="Стародубов СС, ИП, Омск"/>
        <s v="СТРОЙ-ГРАНД, ООО, Барнаул"/>
        <s v="Стройторг, ООО, Иркутск"/>
        <s v="Теплоарматура, ООО, Улан-Удэ"/>
        <s v="Траст-ДВ, ООО, г.Хабаровск"/>
        <s v="Урбаев ОС, ИП, Улан-Удэ"/>
        <s v="Черных СА, ИП, Новосибирск"/>
        <s v="ЭКО-ДЕКО, ООО, Барнаул"/>
        <s v="АГАВА ООО, г. Екатеринбург"/>
        <s v="ВОДОМЕР, ООО, Магнитогорск"/>
        <s v="Волчков Владимир Анатольевич ИП, г. Курган"/>
        <s v="Воронин Вячеслав Сергеевич ИП, г. Красноуфимск"/>
        <s v="ГАЗСНАБУРАЛ, ООО, Челябинск"/>
        <s v="Дмитриев Виталий Евгеньевич, ИП, Екатеринбург"/>
        <s v="Мусиенко ЮЮ, ИП, Курган"/>
        <s v="Павлов Евгений Викторович, ИП, Касли"/>
        <s v="Павлов Михаил Викторович, ИП, Касли"/>
        <s v="ПКФ НАНО-СТРОЙ, ООО, Челябинск"/>
        <s v="Потехин Сергей Викторович, ИП, Курган"/>
        <s v="САНТЕХМАГ, ООО, Магнитогорск"/>
        <s v="СанТехМир, ООО, Екатеринбург"/>
        <s v="Сантехурал ТД, ООО, Челябинск"/>
        <s v="Сикорский Владислав Павлович, ИП, Челябинск"/>
        <s v="Смирнов АВ, ИП, Курган"/>
        <s v="СТРОЙКОМПЛЕКТ ТК , ООО, Челябинск"/>
        <s v="Ступина Елена Михайловна, ИП, Заречный"/>
        <s v="ТЕПЛОГРАД УРАЛ, ООО, Тюмень"/>
        <s v="Тепломир, ООО, Магнитогорск"/>
        <s v="Теплоотдача, ООО, Магнитогорск"/>
        <s v="ТЕРМОСНАБ, ООО, Челябинск"/>
        <s v="ТОПГРУПП, ООО, Челябинск"/>
        <s v="Торговая компания Градострой, ООО, Екатеринбург"/>
        <s v="ФОРС ПРОДАКШН, ООО, Челябинск"/>
        <s v="Черепанов Александр Николаевич, ИП, Екатеринбург"/>
        <s v="ЭЛВИН, ООО ПКФ, Миасс"/>
        <s v="Якушева Людмила Васильевна ИП, Катайск"/>
      </sharedItems>
    </cacheField>
    <cacheField name="[Measures].[Сумма по столбцу Количество_НМ]" caption="Сумма по столбцу Количество_НМ" numFmtId="0" hierarchy="18" level="32767"/>
  </cacheFields>
  <cacheHierarchies count="21">
    <cacheHierarchy uniqueName="[ГД_МР].[ГРУППА ДОСТУПА]" caption="ГРУППА ДОСТУПА" attribute="1" defaultMemberUniqueName="[ГД_МР].[ГРУППА ДОСТУПА].[All]" allUniqueName="[ГД_МР].[ГРУППА ДОСТУПА].[All]" dimensionUniqueName="[ГД_МР]" displayFolder="" count="0" memberValueDatatype="130" unbalanced="0"/>
    <cacheHierarchy uniqueName="[ИД_подготовленные].[Группа доступа]" caption="Группа доступа" attribute="1" defaultMemberUniqueName="[ИД_подготовленные].[Группа доступа].[All]" allUniqueName="[ИД_подготовленные].[Группа доступа].[All]" dimensionUniqueName="[ИД_подготовленные]" displayFolder="" count="2" memberValueDatatype="130" unbalanced="0">
      <fieldsUsage count="2">
        <fieldUsage x="-1"/>
        <fieldUsage x="0"/>
      </fieldsUsage>
    </cacheHierarchy>
    <cacheHierarchy uniqueName="[ИД_подготовленные].[Клиент_Головное]" caption="Клиент_Головное" attribute="1" defaultMemberUniqueName="[ИД_подготовленные].[Клиент_Головное].[All]" allUniqueName="[ИД_подготовленные].[Клиент_Головное].[All]" dimensionUniqueName="[ИД_подготовленные]" displayFolder="" count="2" memberValueDatatype="130" unbalanced="0">
      <fieldsUsage count="2">
        <fieldUsage x="-1"/>
        <fieldUsage x="2"/>
      </fieldsUsage>
    </cacheHierarchy>
    <cacheHierarchy uniqueName="[ИД_подготовленные].[Вид номенклатуры]" caption="Вид номенклатуры" attribute="1" defaultMemberUniqueName="[ИД_подготовленные].[Вид номенклатуры].[All]" allUniqueName="[ИД_подготовленные].[Вид номенклатуры].[All]" dimensionUniqueName="[ИД_подготовленные]" displayFolder="" count="2" memberValueDatatype="130" unbalanced="0">
      <fieldsUsage count="2">
        <fieldUsage x="-1"/>
        <fieldUsage x="1"/>
      </fieldsUsage>
    </cacheHierarchy>
    <cacheHierarchy uniqueName="[ИД_подготовленные].[Количество_НМ]" caption="Количество_НМ" attribute="1" defaultMemberUniqueName="[ИД_подготовленные].[Количество_НМ].[All]" allUniqueName="[ИД_подготовленные].[Количество_НМ].[All]" dimensionUniqueName="[ИД_подготовленные]" displayFolder="" count="0" memberValueDatatype="20" unbalanced="0"/>
    <cacheHierarchy uniqueName="[Номенклатура 1].[Вид номенклатуры]" caption="Вид номенклатуры" attribute="1" defaultMemberUniqueName="[Номенклатура 1].[Вид номенклатуры].[All]" allUniqueName="[Номенклатура 1].[Вид номенклатуры].[All]" dimensionUniqueName="[Номенклатура 1]" displayFolder="" count="0" memberValueDatatype="130" unbalanced="0"/>
    <cacheHierarchy uniqueName="[Номенклатура 1].[Наименование]" caption="Наименование" attribute="1" defaultMemberUniqueName="[Номенклатура 1].[Наименование].[All]" allUniqueName="[Номенклатура 1].[Наименование].[All]" dimensionUniqueName="[Номенклатура 1]" displayFolder="" count="0" memberValueDatatype="130" unbalanced="0"/>
    <cacheHierarchy uniqueName="[Номенклатура 1].[Артикул]" caption="Артикул" attribute="1" defaultMemberUniqueName="[Номенклатура 1].[Артикул].[All]" allUniqueName="[Номенклатура 1].[Артикул].[All]" dimensionUniqueName="[Номенклатура 1]" displayFolder="" count="0" memberValueDatatype="130" unbalanced="0"/>
    <cacheHierarchy uniqueName="[Номенклатура 1].[Товарная категория]" caption="Товарная категория" attribute="1" defaultMemberUniqueName="[Номенклатура 1].[Товарная категория].[All]" allUniqueName="[Номенклатура 1].[Товарная категория].[All]" dimensionUniqueName="[Номенклатура 1]" displayFolder="" count="0" memberValueDatatype="130" unbalanced="0"/>
    <cacheHierarchy uniqueName="[Свод_НМ].[Вид номенклатуры]" caption="Вид номенклатуры" attribute="1" defaultMemberUniqueName="[Свод_НМ].[Вид номенклатуры].[All]" allUniqueName="[Свод_НМ].[Вид номенклатуры].[All]" dimensionUniqueName="[Свод_НМ]" displayFolder="" count="0" memberValueDatatype="130" unbalanced="0"/>
    <cacheHierarchy uniqueName="[Свод_НМ].[Количество_арт]" caption="Количество_арт" attribute="1" defaultMemberUniqueName="[Свод_НМ].[Количество_арт].[All]" allUniqueName="[Свод_НМ].[Количество_арт].[All]" dimensionUniqueName="[Свод_НМ]" displayFolder="" count="0" memberValueDatatype="20" unbalanced="0"/>
    <cacheHierarchy uniqueName="[Столбцы].[Столбцы]" caption="Столбцы" attribute="1" defaultMemberUniqueName="[Столбцы].[Столбцы].[All]" allUniqueName="[Столбцы].[Столбцы].[All]" dimensionUniqueName="[Столбцы]" displayFolder="" count="0" memberValueDatatype="130" unbalanced="0"/>
    <cacheHierarchy uniqueName="[Measures].[__XL_Count Свод_НМ]" caption="__XL_Count Свод_НМ" measure="1" displayFolder="" measureGroup="Свод_НМ" count="0" hidden="1"/>
    <cacheHierarchy uniqueName="[Measures].[__XL_Count Столбцы]" caption="__XL_Count Столбцы" measure="1" displayFolder="" measureGroup="Столбцы" count="0" hidden="1"/>
    <cacheHierarchy uniqueName="[Measures].[__XL_Count ИД_подготовленные]" caption="__XL_Count ИД_подготовленные" measure="1" displayFolder="" measureGroup="ИД_подготовленные" count="0" hidden="1"/>
    <cacheHierarchy uniqueName="[Measures].[__XL_Count ГД_МР]" caption="__XL_Count ГД_МР" measure="1" displayFolder="" measureGroup="ГД_МР" count="0" hidden="1"/>
    <cacheHierarchy uniqueName="[Measures].[__XL_Count Номенклатура 1]" caption="__XL_Count Номенклатура 1" measure="1" displayFolder="" measureGroup="Номенклатура 1" count="0" hidden="1"/>
    <cacheHierarchy uniqueName="[Measures].[__Не определено ни одной меры]" caption="__Не определено ни одной меры" measure="1" displayFolder="" count="0" hidden="1"/>
    <cacheHierarchy uniqueName="[Measures].[Сумма по столбцу Количество_НМ]" caption="Сумма по столбцу Количество_НМ" measure="1" displayFolder="" measureGroup="ИД_подготовленные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Число элементов в столбце Клиент_Головное]" caption="Число элементов в столбце Клиент_Головное" measure="1" displayFolder="" measureGroup="ИД_подготовленные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Число элементов в столбце Наименование 2]" caption="Число элементов в столбце Наименование 2" measure="1" displayFolder="" measureGroup="Номенклатура 1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</cacheHierarchies>
  <kpis count="0"/>
  <dimensions count="6">
    <dimension measure="1" name="Measures" uniqueName="[Measures]" caption="Measures"/>
    <dimension name="ГД_МР" uniqueName="[ГД_МР]" caption="ГД_МР"/>
    <dimension name="ИД_подготовленные" uniqueName="[ИД_подготовленные]" caption="ИД_подготовленные"/>
    <dimension name="Номенклатура 1" uniqueName="[Номенклатура 1]" caption="Номенклатура 1"/>
    <dimension name="Свод_НМ" uniqueName="[Свод_НМ]" caption="Свод_НМ"/>
    <dimension name="Столбцы" uniqueName="[Столбцы]" caption="Столбцы"/>
  </dimensions>
  <measureGroups count="5">
    <measureGroup name="ГД_МР" caption="ГД_МР"/>
    <measureGroup name="ИД_подготовленные" caption="ИД_подготовленные"/>
    <measureGroup name="Номенклатура 1" caption="Номенклатура 1"/>
    <measureGroup name="Свод_НМ" caption="Свод_НМ"/>
    <measureGroup name="Столбцы" caption="Столбцы"/>
  </measureGroups>
  <maps count="6">
    <map measureGroup="0" dimension="1"/>
    <map measureGroup="1" dimension="1"/>
    <map measureGroup="1" dimension="2"/>
    <map measureGroup="2" dimension="3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Жигульских Евгений Олегович" refreshedDate="45190.560998958332" createdVersion="5" refreshedVersion="7" minRefreshableVersion="3" recordCount="0" supportSubquery="1" supportAdvancedDrill="1" xr:uid="{243F978E-8303-4902-92F6-5FBE639608F7}">
  <cacheSource type="external" connectionId="1"/>
  <cacheFields count="2">
    <cacheField name="[Номенклатура 1].[Вид номенклатуры].[Вид номенклатуры]" caption="Вид номенклатуры" numFmtId="0" hierarchy="5" level="1">
      <sharedItems count="46">
        <s v="PERT"/>
        <s v="Аксиальные фитинги"/>
        <s v="Арматура безопасности"/>
        <s v="Вентили"/>
        <s v="Вибрационные насосы"/>
        <s v="Гибкая подводка &quot;Гигант&quot;"/>
        <s v="Гибкая подводка нейлон/ПВХ"/>
        <s v="Гибкая подводка ПВХ для газа"/>
        <s v="Гибкая подводка с латунной гайкой"/>
        <s v="Гибкая подводка со стальной гайкой"/>
        <s v="Дренажные насосы"/>
        <s v="Клапаны и термоголовки для радиаторов"/>
        <s v="Коллекторные группы"/>
        <s v="Комплектующие для радиаторов"/>
        <s v="Комплектующие к КГ"/>
        <s v="Комплектующие к сварочникам"/>
        <s v="Косые фильтры"/>
        <s v="Крепеж для МП и ППР труб"/>
        <s v="Кронштейны"/>
        <s v="Лейки для душа"/>
        <s v="МП трубы"/>
        <s v="Насосные станции"/>
        <s v="НСУ"/>
        <s v="Обжимные фитинги"/>
        <s v="Обратные клапаны"/>
        <s v="ППР трубы"/>
        <s v="ППР фитинги"/>
        <s v="Принадлежности"/>
        <s v="Радиаторы"/>
        <s v="Резьба никелированная"/>
        <s v="РТИ"/>
        <s v="Сварочники"/>
        <s v="Сильфонная подводка"/>
        <s v="Сливные и заливные шланги"/>
        <s v="Труба PE-Xa"/>
        <s v="Труба PE-Xb"/>
        <s v="Уплотнительные материалы"/>
        <s v="Хомуты"/>
        <s v="Циркуляционные насосы"/>
        <s v="Шаровые краны"/>
        <s v="Шаровые краны (желтые)"/>
        <s v="Шаровые краны водоразборные ЭКО"/>
        <s v="Шаровые краны для газа"/>
        <s v="Шланги для душа"/>
        <s v="Шланги напорно-всасывающие к НС"/>
        <s v="Шланги поливочные"/>
      </sharedItems>
    </cacheField>
    <cacheField name="[Measures].[Число элементов в столбце Наименование 2]" caption="Число элементов в столбце Наименование 2" numFmtId="0" hierarchy="20" level="32767"/>
  </cacheFields>
  <cacheHierarchies count="21">
    <cacheHierarchy uniqueName="[ГД_МР].[ГРУППА ДОСТУПА]" caption="ГРУППА ДОСТУПА" attribute="1" defaultMemberUniqueName="[ГД_МР].[ГРУППА ДОСТУПА].[All]" allUniqueName="[ГД_МР].[ГРУППА ДОСТУПА].[All]" dimensionUniqueName="[ГД_МР]" displayFolder="" count="0" memberValueDatatype="130" unbalanced="0"/>
    <cacheHierarchy uniqueName="[ИД_подготовленные].[Группа доступа]" caption="Группа доступа" attribute="1" defaultMemberUniqueName="[ИД_подготовленные].[Группа доступа].[All]" allUniqueName="[ИД_подготовленные].[Группа доступа].[All]" dimensionUniqueName="[ИД_подготовленные]" displayFolder="" count="0" memberValueDatatype="130" unbalanced="0"/>
    <cacheHierarchy uniqueName="[ИД_подготовленные].[Клиент_Головное]" caption="Клиент_Головное" attribute="1" defaultMemberUniqueName="[ИД_подготовленные].[Клиент_Головное].[All]" allUniqueName="[ИД_подготовленные].[Клиент_Головное].[All]" dimensionUniqueName="[ИД_подготовленные]" displayFolder="" count="0" memberValueDatatype="130" unbalanced="0"/>
    <cacheHierarchy uniqueName="[ИД_подготовленные].[Вид номенклатуры]" caption="Вид номенклатуры" attribute="1" defaultMemberUniqueName="[ИД_подготовленные].[Вид номенклатуры].[All]" allUniqueName="[ИД_подготовленные].[Вид номенклатуры].[All]" dimensionUniqueName="[ИД_подготовленные]" displayFolder="" count="0" memberValueDatatype="130" unbalanced="0"/>
    <cacheHierarchy uniqueName="[ИД_подготовленные].[Количество_НМ]" caption="Количество_НМ" attribute="1" defaultMemberUniqueName="[ИД_подготовленные].[Количество_НМ].[All]" allUniqueName="[ИД_подготовленные].[Количество_НМ].[All]" dimensionUniqueName="[ИД_подготовленные]" displayFolder="" count="0" memberValueDatatype="20" unbalanced="0"/>
    <cacheHierarchy uniqueName="[Номенклатура 1].[Вид номенклатуры]" caption="Вид номенклатуры" attribute="1" defaultMemberUniqueName="[Номенклатура 1].[Вид номенклатуры].[All]" allUniqueName="[Номенклатура 1].[Вид номенклатуры].[All]" dimensionUniqueName="[Номенклатура 1]" displayFolder="" count="2" memberValueDatatype="130" unbalanced="0">
      <fieldsUsage count="2">
        <fieldUsage x="-1"/>
        <fieldUsage x="0"/>
      </fieldsUsage>
    </cacheHierarchy>
    <cacheHierarchy uniqueName="[Номенклатура 1].[Наименование]" caption="Наименование" attribute="1" defaultMemberUniqueName="[Номенклатура 1].[Наименование].[All]" allUniqueName="[Номенклатура 1].[Наименование].[All]" dimensionUniqueName="[Номенклатура 1]" displayFolder="" count="0" memberValueDatatype="130" unbalanced="0"/>
    <cacheHierarchy uniqueName="[Номенклатура 1].[Артикул]" caption="Артикул" attribute="1" defaultMemberUniqueName="[Номенклатура 1].[Артикул].[All]" allUniqueName="[Номенклатура 1].[Артикул].[All]" dimensionUniqueName="[Номенклатура 1]" displayFolder="" count="0" memberValueDatatype="130" unbalanced="0"/>
    <cacheHierarchy uniqueName="[Номенклатура 1].[Товарная категория]" caption="Товарная категория" attribute="1" defaultMemberUniqueName="[Номенклатура 1].[Товарная категория].[All]" allUniqueName="[Номенклатура 1].[Товарная категория].[All]" dimensionUniqueName="[Номенклатура 1]" displayFolder="" count="0" memberValueDatatype="130" unbalanced="0"/>
    <cacheHierarchy uniqueName="[Свод_НМ].[Вид номенклатуры]" caption="Вид номенклатуры" attribute="1" defaultMemberUniqueName="[Свод_НМ].[Вид номенклатуры].[All]" allUniqueName="[Свод_НМ].[Вид номенклатуры].[All]" dimensionUniqueName="[Свод_НМ]" displayFolder="" count="0" memberValueDatatype="130" unbalanced="0"/>
    <cacheHierarchy uniqueName="[Свод_НМ].[Количество_арт]" caption="Количество_арт" attribute="1" defaultMemberUniqueName="[Свод_НМ].[Количество_арт].[All]" allUniqueName="[Свод_НМ].[Количество_арт].[All]" dimensionUniqueName="[Свод_НМ]" displayFolder="" count="0" memberValueDatatype="20" unbalanced="0"/>
    <cacheHierarchy uniqueName="[Столбцы].[Столбцы]" caption="Столбцы" attribute="1" defaultMemberUniqueName="[Столбцы].[Столбцы].[All]" allUniqueName="[Столбцы].[Столбцы].[All]" dimensionUniqueName="[Столбцы]" displayFolder="" count="0" memberValueDatatype="130" unbalanced="0"/>
    <cacheHierarchy uniqueName="[Measures].[__XL_Count Свод_НМ]" caption="__XL_Count Свод_НМ" measure="1" displayFolder="" measureGroup="Свод_НМ" count="0" hidden="1"/>
    <cacheHierarchy uniqueName="[Measures].[__XL_Count Столбцы]" caption="__XL_Count Столбцы" measure="1" displayFolder="" measureGroup="Столбцы" count="0" hidden="1"/>
    <cacheHierarchy uniqueName="[Measures].[__XL_Count ИД_подготовленные]" caption="__XL_Count ИД_подготовленные" measure="1" displayFolder="" measureGroup="ИД_подготовленные" count="0" hidden="1"/>
    <cacheHierarchy uniqueName="[Measures].[__XL_Count ГД_МР]" caption="__XL_Count ГД_МР" measure="1" displayFolder="" measureGroup="ГД_МР" count="0" hidden="1"/>
    <cacheHierarchy uniqueName="[Measures].[__XL_Count Номенклатура 1]" caption="__XL_Count Номенклатура 1" measure="1" displayFolder="" measureGroup="Номенклатура 1" count="0" hidden="1"/>
    <cacheHierarchy uniqueName="[Measures].[__Не определено ни одной меры]" caption="__Не определено ни одной меры" measure="1" displayFolder="" count="0" hidden="1"/>
    <cacheHierarchy uniqueName="[Measures].[Сумма по столбцу Количество_НМ]" caption="Сумма по столбцу Количество_НМ" measure="1" displayFolder="" measureGroup="ИД_подготовленные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Число элементов в столбце Клиент_Головное]" caption="Число элементов в столбце Клиент_Головное" measure="1" displayFolder="" measureGroup="ИД_подготовленные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Число элементов в столбце Наименование 2]" caption="Число элементов в столбце Наименование 2" measure="1" displayFolder="" measureGroup="Номенклатура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</cacheHierarchies>
  <kpis count="0"/>
  <dimensions count="6">
    <dimension measure="1" name="Measures" uniqueName="[Measures]" caption="Measures"/>
    <dimension name="ГД_МР" uniqueName="[ГД_МР]" caption="ГД_МР"/>
    <dimension name="ИД_подготовленные" uniqueName="[ИД_подготовленные]" caption="ИД_подготовленные"/>
    <dimension name="Номенклатура 1" uniqueName="[Номенклатура 1]" caption="Номенклатура 1"/>
    <dimension name="Свод_НМ" uniqueName="[Свод_НМ]" caption="Свод_НМ"/>
    <dimension name="Столбцы" uniqueName="[Столбцы]" caption="Столбцы"/>
  </dimensions>
  <measureGroups count="5">
    <measureGroup name="ГД_МР" caption="ГД_МР"/>
    <measureGroup name="ИД_подготовленные" caption="ИД_подготовленные"/>
    <measureGroup name="Номенклатура 1" caption="Номенклатура 1"/>
    <measureGroup name="Свод_НМ" caption="Свод_НМ"/>
    <measureGroup name="Столбцы" caption="Столбцы"/>
  </measureGroups>
  <maps count="6">
    <map measureGroup="0" dimension="1"/>
    <map measureGroup="1" dimension="1"/>
    <map measureGroup="1" dimension="2"/>
    <map measureGroup="2" dimension="3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2F966F-4641-4DD2-B9C1-117F1DA18234}" name="Сводная_МР_ТГ" cacheId="36" applyNumberFormats="0" applyBorderFormats="0" applyFontFormats="0" applyPatternFormats="0" applyAlignmentFormats="0" applyWidthHeightFormats="1" dataCaption="Значения" updatedVersion="7" minRefreshableVersion="3" useAutoFormatting="1" subtotalHiddenItems="1" rowGrandTotals="0" colGrandTotals="0" itemPrintTitles="1" createdVersion="7" indent="0" compact="0" outline="1" outlineData="1" compactData="0" multipleFieldFilters="0">
  <location ref="A3:D2185" firstHeaderRow="1" firstDataRow="1" firstDataCol="3"/>
  <pivotFields count="4">
    <pivotField axis="axisRow" compact="0" allDrilled="1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</pivotField>
    <pivotField axis="axisRow" compact="0" allDrilled="1" subtotalTop="0" showAll="0" dataSourceSort="1" defaultSubtotal="0" defaultAttributeDrillState="1">
      <items count="4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</items>
    </pivotField>
    <pivotField axis="axisRow" compact="0" allDrilled="1" subtotalTop="0" showAll="0" dataSourceSort="1" defaultSubtotal="0" defaultAttributeDrillState="1">
      <items count="28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</items>
    </pivotField>
    <pivotField dataField="1" compact="0" subtotalTop="0" showAll="0" defaultSubtotal="0"/>
  </pivotFields>
  <rowFields count="3">
    <field x="0"/>
    <field x="2"/>
    <field x="1"/>
  </rowFields>
  <rowItems count="2182">
    <i>
      <x/>
    </i>
    <i r="1">
      <x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1">
      <x v="1"/>
    </i>
    <i r="2">
      <x v="7"/>
    </i>
    <i r="2">
      <x v="3"/>
    </i>
    <i r="2">
      <x v="8"/>
    </i>
    <i r="2">
      <x v="9"/>
    </i>
    <i r="2">
      <x v="10"/>
    </i>
    <i r="2">
      <x v="11"/>
    </i>
    <i r="2">
      <x v="12"/>
    </i>
    <i r="1">
      <x v="2"/>
    </i>
    <i r="2">
      <x v="13"/>
    </i>
    <i r="2">
      <x v="4"/>
    </i>
    <i r="2">
      <x v="14"/>
    </i>
    <i r="1">
      <x v="3"/>
    </i>
    <i r="2">
      <x v="15"/>
    </i>
    <i r="1">
      <x v="4"/>
    </i>
    <i r="2">
      <x v="16"/>
    </i>
    <i r="2">
      <x v="1"/>
    </i>
    <i r="2">
      <x v="17"/>
    </i>
    <i r="2">
      <x v="18"/>
    </i>
    <i r="2">
      <x v="8"/>
    </i>
    <i r="1">
      <x v="5"/>
    </i>
    <i r="2">
      <x v="16"/>
    </i>
    <i r="2">
      <x v="15"/>
    </i>
    <i r="2">
      <x v="19"/>
    </i>
    <i r="2">
      <x v="17"/>
    </i>
    <i r="2">
      <x v="7"/>
    </i>
    <i r="2">
      <x v="20"/>
    </i>
    <i r="2">
      <x v="21"/>
    </i>
    <i r="2">
      <x v="8"/>
    </i>
    <i r="2">
      <x v="22"/>
    </i>
    <i r="2">
      <x v="23"/>
    </i>
    <i r="1">
      <x v="6"/>
    </i>
    <i r="2">
      <x v="3"/>
    </i>
    <i r="2">
      <x v="5"/>
    </i>
    <i r="2">
      <x v="23"/>
    </i>
    <i r="2">
      <x v="9"/>
    </i>
    <i r="2">
      <x v="11"/>
    </i>
    <i r="2">
      <x v="12"/>
    </i>
    <i r="2">
      <x v="24"/>
    </i>
    <i r="1">
      <x v="7"/>
    </i>
    <i r="2">
      <x v="25"/>
    </i>
    <i r="2">
      <x v="8"/>
    </i>
    <i r="2">
      <x v="26"/>
    </i>
    <i r="2">
      <x v="27"/>
    </i>
    <i r="2">
      <x v="10"/>
    </i>
    <i r="2">
      <x v="11"/>
    </i>
    <i r="2">
      <x v="24"/>
    </i>
    <i r="1">
      <x v="8"/>
    </i>
    <i r="2">
      <x v="17"/>
    </i>
    <i r="2">
      <x v="20"/>
    </i>
    <i r="2">
      <x v="21"/>
    </i>
    <i r="2">
      <x v="8"/>
    </i>
    <i r="2">
      <x v="10"/>
    </i>
    <i r="1">
      <x v="9"/>
    </i>
    <i r="2">
      <x v="7"/>
    </i>
    <i r="2">
      <x v="28"/>
    </i>
    <i r="2">
      <x v="3"/>
    </i>
    <i r="2">
      <x v="8"/>
    </i>
    <i r="2">
      <x v="4"/>
    </i>
    <i r="2">
      <x v="9"/>
    </i>
    <i r="1">
      <x v="10"/>
    </i>
    <i r="2">
      <x v="19"/>
    </i>
    <i r="1">
      <x v="11"/>
    </i>
    <i r="2">
      <x v="29"/>
    </i>
    <i r="2">
      <x v="20"/>
    </i>
    <i r="2">
      <x v="21"/>
    </i>
    <i r="2">
      <x v="4"/>
    </i>
    <i r="1">
      <x v="12"/>
    </i>
    <i r="2">
      <x v="8"/>
    </i>
    <i r="1">
      <x v="13"/>
    </i>
    <i r="2">
      <x/>
    </i>
    <i r="2">
      <x v="8"/>
    </i>
    <i r="2">
      <x v="10"/>
    </i>
    <i r="2">
      <x v="11"/>
    </i>
    <i r="1">
      <x v="14"/>
    </i>
    <i r="2">
      <x v="16"/>
    </i>
    <i r="2">
      <x v="17"/>
    </i>
    <i r="2">
      <x v="2"/>
    </i>
    <i r="2">
      <x v="20"/>
    </i>
    <i r="2">
      <x v="8"/>
    </i>
    <i r="2">
      <x v="22"/>
    </i>
    <i r="2">
      <x v="23"/>
    </i>
    <i r="1">
      <x v="15"/>
    </i>
    <i r="2">
      <x v="30"/>
    </i>
    <i r="2">
      <x v="8"/>
    </i>
    <i r="2">
      <x v="9"/>
    </i>
    <i r="2">
      <x v="10"/>
    </i>
    <i r="1">
      <x v="16"/>
    </i>
    <i r="2">
      <x v="31"/>
    </i>
    <i r="2">
      <x v="4"/>
    </i>
    <i r="2">
      <x v="14"/>
    </i>
    <i r="2">
      <x v="9"/>
    </i>
    <i r="1">
      <x v="17"/>
    </i>
    <i r="2">
      <x v="15"/>
    </i>
    <i r="2">
      <x v="20"/>
    </i>
    <i r="2">
      <x v="28"/>
    </i>
    <i r="2">
      <x v="4"/>
    </i>
    <i r="2">
      <x v="9"/>
    </i>
    <i r="1">
      <x v="18"/>
    </i>
    <i r="2">
      <x v="8"/>
    </i>
    <i r="2">
      <x v="9"/>
    </i>
    <i r="1">
      <x v="19"/>
    </i>
    <i r="2">
      <x v="16"/>
    </i>
    <i r="2">
      <x v="32"/>
    </i>
    <i r="2">
      <x v="17"/>
    </i>
    <i r="2">
      <x v="2"/>
    </i>
    <i r="2">
      <x v="29"/>
    </i>
    <i r="2">
      <x v="21"/>
    </i>
    <i r="2">
      <x v="8"/>
    </i>
    <i r="2">
      <x v="6"/>
    </i>
    <i r="2">
      <x v="9"/>
    </i>
    <i r="2">
      <x v="12"/>
    </i>
    <i r="1">
      <x v="20"/>
    </i>
    <i r="2">
      <x v="23"/>
    </i>
    <i r="1">
      <x v="21"/>
    </i>
    <i r="2">
      <x v="15"/>
    </i>
    <i r="2">
      <x v="31"/>
    </i>
    <i r="2">
      <x v="33"/>
    </i>
    <i r="2">
      <x v="8"/>
    </i>
    <i r="1">
      <x v="22"/>
    </i>
    <i r="2">
      <x v="16"/>
    </i>
    <i r="2">
      <x v="15"/>
    </i>
    <i r="2">
      <x v="21"/>
    </i>
    <i r="2">
      <x v="6"/>
    </i>
    <i r="2">
      <x v="9"/>
    </i>
    <i r="2">
      <x v="11"/>
    </i>
    <i r="1">
      <x v="23"/>
    </i>
    <i r="2">
      <x v="17"/>
    </i>
    <i r="2">
      <x v="20"/>
    </i>
    <i r="2">
      <x v="23"/>
    </i>
    <i r="1">
      <x v="24"/>
    </i>
    <i r="2">
      <x v="34"/>
    </i>
    <i r="2">
      <x v="19"/>
    </i>
    <i r="2">
      <x v="17"/>
    </i>
    <i r="2">
      <x v="2"/>
    </i>
    <i r="2">
      <x v="20"/>
    </i>
    <i r="2">
      <x v="28"/>
    </i>
    <i r="2">
      <x v="8"/>
    </i>
    <i r="2">
      <x v="22"/>
    </i>
    <i r="2">
      <x v="9"/>
    </i>
    <i r="1">
      <x v="25"/>
    </i>
    <i r="2">
      <x v="16"/>
    </i>
    <i r="2">
      <x v="35"/>
    </i>
    <i r="1">
      <x v="26"/>
    </i>
    <i r="2">
      <x v="23"/>
    </i>
    <i r="2">
      <x v="9"/>
    </i>
    <i r="1">
      <x v="27"/>
    </i>
    <i r="2">
      <x v="31"/>
    </i>
    <i r="1">
      <x v="28"/>
    </i>
    <i r="2">
      <x v="17"/>
    </i>
    <i r="2">
      <x v="20"/>
    </i>
    <i r="1">
      <x v="29"/>
    </i>
    <i r="2">
      <x v="8"/>
    </i>
    <i r="1">
      <x v="30"/>
    </i>
    <i r="2">
      <x v="16"/>
    </i>
    <i r="2">
      <x v="30"/>
    </i>
    <i r="2">
      <x v="17"/>
    </i>
    <i r="1">
      <x v="31"/>
    </i>
    <i r="2">
      <x v="8"/>
    </i>
    <i r="2">
      <x v="6"/>
    </i>
    <i r="2">
      <x v="14"/>
    </i>
    <i r="2">
      <x v="9"/>
    </i>
    <i r="1">
      <x v="32"/>
    </i>
    <i r="2">
      <x v="36"/>
    </i>
    <i r="2">
      <x v="8"/>
    </i>
    <i r="2">
      <x v="5"/>
    </i>
    <i r="2">
      <x v="14"/>
    </i>
    <i r="2">
      <x v="10"/>
    </i>
    <i r="2">
      <x v="12"/>
    </i>
    <i r="1">
      <x v="33"/>
    </i>
    <i r="2">
      <x v="16"/>
    </i>
    <i r="2">
      <x v="15"/>
    </i>
    <i r="2">
      <x v="30"/>
    </i>
    <i r="2">
      <x v="19"/>
    </i>
    <i r="2">
      <x v="17"/>
    </i>
    <i r="2">
      <x v="25"/>
    </i>
    <i r="2">
      <x v="36"/>
    </i>
    <i r="2">
      <x v="7"/>
    </i>
    <i r="2">
      <x v="3"/>
    </i>
    <i r="2">
      <x v="35"/>
    </i>
    <i r="2">
      <x v="8"/>
    </i>
    <i r="2">
      <x v="22"/>
    </i>
    <i r="2">
      <x v="23"/>
    </i>
    <i r="2">
      <x v="9"/>
    </i>
    <i r="1">
      <x v="34"/>
    </i>
    <i r="2">
      <x v="37"/>
    </i>
    <i r="1">
      <x v="35"/>
    </i>
    <i r="2">
      <x v="16"/>
    </i>
    <i r="2">
      <x v="17"/>
    </i>
    <i r="2">
      <x v="8"/>
    </i>
    <i r="1">
      <x v="36"/>
    </i>
    <i r="2">
      <x v="38"/>
    </i>
    <i r="2">
      <x v="16"/>
    </i>
    <i r="2">
      <x/>
    </i>
    <i r="2">
      <x v="30"/>
    </i>
    <i r="2">
      <x v="1"/>
    </i>
    <i r="2">
      <x v="19"/>
    </i>
    <i r="2">
      <x v="17"/>
    </i>
    <i r="2">
      <x v="25"/>
    </i>
    <i r="2">
      <x v="36"/>
    </i>
    <i r="2">
      <x v="39"/>
    </i>
    <i r="2">
      <x v="29"/>
    </i>
    <i r="2">
      <x v="20"/>
    </i>
    <i r="2">
      <x v="28"/>
    </i>
    <i r="2">
      <x v="3"/>
    </i>
    <i r="2">
      <x v="37"/>
    </i>
    <i r="2">
      <x v="21"/>
    </i>
    <i r="2">
      <x v="8"/>
    </i>
    <i r="2">
      <x v="4"/>
    </i>
    <i r="2">
      <x v="14"/>
    </i>
    <i r="2">
      <x v="27"/>
    </i>
    <i r="2">
      <x v="23"/>
    </i>
    <i r="2">
      <x v="9"/>
    </i>
    <i r="2">
      <x v="10"/>
    </i>
    <i r="1">
      <x v="37"/>
    </i>
    <i r="2">
      <x v="16"/>
    </i>
    <i r="2">
      <x v="32"/>
    </i>
    <i r="2">
      <x/>
    </i>
    <i r="2">
      <x v="1"/>
    </i>
    <i r="2">
      <x v="31"/>
    </i>
    <i r="2">
      <x v="19"/>
    </i>
    <i r="2">
      <x v="17"/>
    </i>
    <i r="2">
      <x v="36"/>
    </i>
    <i r="2">
      <x v="40"/>
    </i>
    <i r="2">
      <x v="7"/>
    </i>
    <i r="2">
      <x v="39"/>
    </i>
    <i r="2">
      <x v="2"/>
    </i>
    <i r="2">
      <x v="20"/>
    </i>
    <i r="2">
      <x v="28"/>
    </i>
    <i r="2">
      <x v="21"/>
    </i>
    <i r="2">
      <x v="8"/>
    </i>
    <i r="2">
      <x v="4"/>
    </i>
    <i r="2">
      <x v="5"/>
    </i>
    <i r="2">
      <x v="6"/>
    </i>
    <i r="2">
      <x v="22"/>
    </i>
    <i r="2">
      <x v="27"/>
    </i>
    <i r="2">
      <x v="9"/>
    </i>
    <i r="2">
      <x v="10"/>
    </i>
    <i r="2">
      <x v="12"/>
    </i>
    <i r="1">
      <x v="38"/>
    </i>
    <i r="2">
      <x v="16"/>
    </i>
    <i r="2">
      <x v="17"/>
    </i>
    <i r="2">
      <x v="20"/>
    </i>
    <i r="2">
      <x v="8"/>
    </i>
    <i r="2">
      <x v="9"/>
    </i>
    <i r="1">
      <x v="39"/>
    </i>
    <i r="2">
      <x v="16"/>
    </i>
    <i r="2">
      <x v="32"/>
    </i>
    <i r="2">
      <x/>
    </i>
    <i r="2">
      <x v="30"/>
    </i>
    <i r="2">
      <x v="1"/>
    </i>
    <i r="2">
      <x v="31"/>
    </i>
    <i r="2">
      <x v="34"/>
    </i>
    <i r="2">
      <x v="41"/>
    </i>
    <i r="2">
      <x v="25"/>
    </i>
    <i r="2">
      <x v="7"/>
    </i>
    <i r="2">
      <x v="33"/>
    </i>
    <i r="2">
      <x v="8"/>
    </i>
    <i r="2">
      <x v="6"/>
    </i>
    <i r="2">
      <x v="14"/>
    </i>
    <i r="2">
      <x v="27"/>
    </i>
    <i r="2">
      <x v="23"/>
    </i>
    <i r="2">
      <x v="9"/>
    </i>
    <i r="2">
      <x v="10"/>
    </i>
    <i r="2">
      <x v="11"/>
    </i>
    <i r="2">
      <x v="12"/>
    </i>
    <i r="2">
      <x v="24"/>
    </i>
    <i r="1">
      <x v="40"/>
    </i>
    <i r="2">
      <x v="8"/>
    </i>
    <i r="1">
      <x v="41"/>
    </i>
    <i r="2">
      <x v="17"/>
    </i>
    <i r="2">
      <x v="20"/>
    </i>
    <i>
      <x v="1"/>
    </i>
    <i r="1">
      <x v="42"/>
    </i>
    <i r="2">
      <x v="16"/>
    </i>
    <i r="2">
      <x v="32"/>
    </i>
    <i r="2">
      <x v="34"/>
    </i>
    <i r="2">
      <x v="17"/>
    </i>
    <i r="2">
      <x v="7"/>
    </i>
    <i r="2">
      <x v="20"/>
    </i>
    <i r="2">
      <x v="8"/>
    </i>
    <i r="2">
      <x v="4"/>
    </i>
    <i r="2">
      <x v="6"/>
    </i>
    <i r="2">
      <x v="22"/>
    </i>
    <i r="2">
      <x v="14"/>
    </i>
    <i r="2">
      <x v="24"/>
    </i>
    <i r="1">
      <x v="43"/>
    </i>
    <i r="2">
      <x v="7"/>
    </i>
    <i r="2">
      <x v="8"/>
    </i>
    <i r="1">
      <x v="44"/>
    </i>
    <i r="2">
      <x v="31"/>
    </i>
    <i r="2">
      <x v="24"/>
    </i>
    <i r="1">
      <x v="45"/>
    </i>
    <i r="2">
      <x v="16"/>
    </i>
    <i r="2">
      <x v="34"/>
    </i>
    <i r="2">
      <x v="8"/>
    </i>
    <i r="2">
      <x v="14"/>
    </i>
    <i r="1">
      <x v="46"/>
    </i>
    <i r="2">
      <x v="16"/>
    </i>
    <i r="2">
      <x v="17"/>
    </i>
    <i r="2">
      <x v="20"/>
    </i>
    <i r="2">
      <x v="3"/>
    </i>
    <i r="2">
      <x v="8"/>
    </i>
    <i r="2">
      <x v="9"/>
    </i>
    <i r="1">
      <x v="47"/>
    </i>
    <i r="2">
      <x v="19"/>
    </i>
    <i r="1">
      <x v="48"/>
    </i>
    <i r="2">
      <x v="28"/>
    </i>
    <i r="2">
      <x v="8"/>
    </i>
    <i r="2">
      <x v="6"/>
    </i>
    <i r="2">
      <x v="9"/>
    </i>
    <i r="1">
      <x v="49"/>
    </i>
    <i r="2">
      <x v="16"/>
    </i>
    <i r="2">
      <x v="23"/>
    </i>
    <i r="2">
      <x v="9"/>
    </i>
    <i r="1">
      <x v="50"/>
    </i>
    <i r="2">
      <x v="17"/>
    </i>
    <i r="2">
      <x v="36"/>
    </i>
    <i r="2">
      <x v="18"/>
    </i>
    <i r="2">
      <x v="20"/>
    </i>
    <i r="2">
      <x v="4"/>
    </i>
    <i r="2">
      <x v="22"/>
    </i>
    <i r="2">
      <x v="14"/>
    </i>
    <i r="2">
      <x v="23"/>
    </i>
    <i r="1">
      <x v="51"/>
    </i>
    <i r="2">
      <x v="34"/>
    </i>
    <i r="2">
      <x v="19"/>
    </i>
    <i r="2">
      <x v="17"/>
    </i>
    <i r="2">
      <x v="36"/>
    </i>
    <i r="2">
      <x v="2"/>
    </i>
    <i r="2">
      <x v="20"/>
    </i>
    <i r="2">
      <x v="28"/>
    </i>
    <i r="2">
      <x v="8"/>
    </i>
    <i r="2">
      <x v="14"/>
    </i>
    <i r="2">
      <x v="23"/>
    </i>
    <i r="2">
      <x v="9"/>
    </i>
    <i r="2">
      <x v="11"/>
    </i>
    <i r="1">
      <x v="52"/>
    </i>
    <i r="2">
      <x v="8"/>
    </i>
    <i r="1">
      <x v="53"/>
    </i>
    <i r="2">
      <x v="1"/>
    </i>
    <i r="2">
      <x v="8"/>
    </i>
    <i r="1">
      <x v="54"/>
    </i>
    <i r="2">
      <x v="17"/>
    </i>
    <i r="2">
      <x v="8"/>
    </i>
    <i r="2">
      <x v="23"/>
    </i>
    <i r="1">
      <x v="55"/>
    </i>
    <i r="2">
      <x v="8"/>
    </i>
    <i r="1">
      <x v="56"/>
    </i>
    <i r="2">
      <x v="16"/>
    </i>
    <i r="2">
      <x/>
    </i>
    <i r="2">
      <x v="15"/>
    </i>
    <i r="2">
      <x v="31"/>
    </i>
    <i r="2">
      <x v="8"/>
    </i>
    <i r="2">
      <x v="5"/>
    </i>
    <i r="2">
      <x v="23"/>
    </i>
    <i r="2">
      <x v="10"/>
    </i>
    <i r="2">
      <x v="12"/>
    </i>
    <i r="2">
      <x v="24"/>
    </i>
    <i r="2">
      <x v="42"/>
    </i>
    <i r="1">
      <x v="57"/>
    </i>
    <i r="2">
      <x v="1"/>
    </i>
    <i r="2">
      <x v="31"/>
    </i>
    <i r="2">
      <x v="25"/>
    </i>
    <i r="2">
      <x v="3"/>
    </i>
    <i r="2">
      <x v="8"/>
    </i>
    <i r="2">
      <x v="5"/>
    </i>
    <i r="2">
      <x v="23"/>
    </i>
    <i r="2">
      <x v="9"/>
    </i>
    <i r="2">
      <x v="11"/>
    </i>
    <i r="1">
      <x v="58"/>
    </i>
    <i r="2">
      <x v="16"/>
    </i>
    <i r="2">
      <x v="15"/>
    </i>
    <i r="2">
      <x v="30"/>
    </i>
    <i r="2">
      <x v="1"/>
    </i>
    <i r="2">
      <x v="19"/>
    </i>
    <i r="2">
      <x v="17"/>
    </i>
    <i r="2">
      <x v="7"/>
    </i>
    <i r="2">
      <x v="33"/>
    </i>
    <i r="2">
      <x v="2"/>
    </i>
    <i r="2">
      <x v="3"/>
    </i>
    <i r="2">
      <x v="8"/>
    </i>
    <i r="2">
      <x v="4"/>
    </i>
    <i r="2">
      <x v="5"/>
    </i>
    <i r="2">
      <x v="14"/>
    </i>
    <i r="2">
      <x v="9"/>
    </i>
    <i r="2">
      <x v="11"/>
    </i>
    <i r="2">
      <x v="24"/>
    </i>
    <i r="2">
      <x v="43"/>
    </i>
    <i r="1">
      <x v="59"/>
    </i>
    <i r="2">
      <x v="34"/>
    </i>
    <i r="2">
      <x v="17"/>
    </i>
    <i r="2">
      <x v="20"/>
    </i>
    <i r="2">
      <x v="28"/>
    </i>
    <i r="2">
      <x v="8"/>
    </i>
    <i r="1">
      <x v="60"/>
    </i>
    <i r="2">
      <x v="30"/>
    </i>
    <i r="2">
      <x v="31"/>
    </i>
    <i r="2">
      <x v="21"/>
    </i>
    <i r="2">
      <x v="8"/>
    </i>
    <i r="2">
      <x v="24"/>
    </i>
    <i r="1">
      <x v="61"/>
    </i>
    <i r="2">
      <x v="16"/>
    </i>
    <i r="2">
      <x v="17"/>
    </i>
    <i r="2">
      <x v="25"/>
    </i>
    <i r="2">
      <x v="33"/>
    </i>
    <i r="2">
      <x v="20"/>
    </i>
    <i r="2">
      <x v="8"/>
    </i>
    <i r="2">
      <x v="23"/>
    </i>
    <i r="1">
      <x v="62"/>
    </i>
    <i r="2">
      <x v="8"/>
    </i>
    <i r="1">
      <x v="63"/>
    </i>
    <i r="2">
      <x v="17"/>
    </i>
    <i r="2">
      <x v="20"/>
    </i>
    <i r="2">
      <x v="9"/>
    </i>
    <i r="1">
      <x v="64"/>
    </i>
    <i r="2">
      <x v="16"/>
    </i>
    <i r="2">
      <x/>
    </i>
    <i r="2">
      <x v="30"/>
    </i>
    <i r="2">
      <x v="28"/>
    </i>
    <i r="2">
      <x v="8"/>
    </i>
    <i r="2">
      <x v="26"/>
    </i>
    <i r="2">
      <x v="5"/>
    </i>
    <i r="2">
      <x v="14"/>
    </i>
    <i r="2">
      <x v="12"/>
    </i>
    <i r="1">
      <x v="65"/>
    </i>
    <i r="2">
      <x/>
    </i>
    <i r="2">
      <x v="8"/>
    </i>
    <i r="2">
      <x v="23"/>
    </i>
    <i r="2">
      <x v="24"/>
    </i>
    <i r="1">
      <x v="66"/>
    </i>
    <i r="2">
      <x v="16"/>
    </i>
    <i r="2">
      <x v="1"/>
    </i>
    <i r="2">
      <x v="19"/>
    </i>
    <i r="2">
      <x v="17"/>
    </i>
    <i r="2">
      <x v="36"/>
    </i>
    <i r="2">
      <x v="3"/>
    </i>
    <i r="2">
      <x v="27"/>
    </i>
    <i r="2">
      <x v="23"/>
    </i>
    <i r="2">
      <x v="9"/>
    </i>
    <i r="2">
      <x v="10"/>
    </i>
    <i r="2">
      <x v="12"/>
    </i>
    <i r="1">
      <x v="67"/>
    </i>
    <i r="2">
      <x v="34"/>
    </i>
    <i r="2">
      <x v="39"/>
    </i>
    <i r="2">
      <x v="28"/>
    </i>
    <i r="2">
      <x v="37"/>
    </i>
    <i r="2">
      <x v="21"/>
    </i>
    <i r="2">
      <x v="8"/>
    </i>
    <i r="2">
      <x v="4"/>
    </i>
    <i r="2">
      <x v="23"/>
    </i>
    <i r="2">
      <x v="9"/>
    </i>
    <i r="2">
      <x v="10"/>
    </i>
    <i r="2">
      <x v="43"/>
    </i>
    <i r="1">
      <x v="68"/>
    </i>
    <i r="2">
      <x v="30"/>
    </i>
    <i r="2">
      <x v="8"/>
    </i>
    <i r="2">
      <x v="26"/>
    </i>
    <i r="1">
      <x v="69"/>
    </i>
    <i r="2">
      <x v="32"/>
    </i>
    <i r="2">
      <x v="1"/>
    </i>
    <i r="2">
      <x v="19"/>
    </i>
    <i r="2">
      <x v="25"/>
    </i>
    <i r="2">
      <x v="3"/>
    </i>
    <i r="2">
      <x v="14"/>
    </i>
    <i r="2">
      <x v="9"/>
    </i>
    <i r="2">
      <x v="10"/>
    </i>
    <i r="2">
      <x v="12"/>
    </i>
    <i r="1">
      <x v="70"/>
    </i>
    <i r="2">
      <x v="19"/>
    </i>
    <i r="2">
      <x v="17"/>
    </i>
    <i r="2">
      <x v="18"/>
    </i>
    <i r="1">
      <x v="71"/>
    </i>
    <i r="2">
      <x v="16"/>
    </i>
    <i r="2">
      <x v="15"/>
    </i>
    <i r="2">
      <x v="31"/>
    </i>
    <i r="2">
      <x v="17"/>
    </i>
    <i r="2">
      <x v="25"/>
    </i>
    <i r="2">
      <x v="20"/>
    </i>
    <i r="2">
      <x v="3"/>
    </i>
    <i r="2">
      <x v="8"/>
    </i>
    <i r="2">
      <x v="14"/>
    </i>
    <i r="2">
      <x v="10"/>
    </i>
    <i r="2">
      <x v="11"/>
    </i>
    <i r="1">
      <x v="72"/>
    </i>
    <i r="2">
      <x v="2"/>
    </i>
    <i r="1">
      <x v="73"/>
    </i>
    <i r="2">
      <x v="31"/>
    </i>
    <i r="2">
      <x v="17"/>
    </i>
    <i r="2">
      <x v="20"/>
    </i>
    <i r="2">
      <x v="35"/>
    </i>
    <i r="2">
      <x v="23"/>
    </i>
    <i r="1">
      <x v="74"/>
    </i>
    <i r="2">
      <x v="16"/>
    </i>
    <i r="2">
      <x v="32"/>
    </i>
    <i r="2">
      <x v="31"/>
    </i>
    <i r="2">
      <x v="25"/>
    </i>
    <i r="2">
      <x v="39"/>
    </i>
    <i r="2">
      <x v="28"/>
    </i>
    <i r="2">
      <x v="37"/>
    </i>
    <i r="2">
      <x v="21"/>
    </i>
    <i r="2">
      <x v="8"/>
    </i>
    <i r="2">
      <x v="26"/>
    </i>
    <i r="2">
      <x v="6"/>
    </i>
    <i r="2">
      <x v="9"/>
    </i>
    <i r="2">
      <x v="10"/>
    </i>
    <i r="2">
      <x v="24"/>
    </i>
    <i r="1">
      <x v="75"/>
    </i>
    <i r="2">
      <x v="30"/>
    </i>
    <i r="2">
      <x v="25"/>
    </i>
    <i r="2">
      <x v="33"/>
    </i>
    <i r="2">
      <x v="5"/>
    </i>
    <i r="2">
      <x v="14"/>
    </i>
    <i r="2">
      <x v="9"/>
    </i>
    <i r="2">
      <x v="11"/>
    </i>
    <i r="1">
      <x v="76"/>
    </i>
    <i r="2">
      <x v="16"/>
    </i>
    <i r="2">
      <x v="34"/>
    </i>
    <i r="2">
      <x v="17"/>
    </i>
    <i r="2">
      <x v="7"/>
    </i>
    <i r="2">
      <x v="18"/>
    </i>
    <i r="2">
      <x v="33"/>
    </i>
    <i r="2">
      <x v="29"/>
    </i>
    <i r="2">
      <x v="20"/>
    </i>
    <i r="2">
      <x v="28"/>
    </i>
    <i r="2">
      <x v="3"/>
    </i>
    <i r="2">
      <x v="21"/>
    </i>
    <i r="2">
      <x v="13"/>
    </i>
    <i r="2">
      <x v="8"/>
    </i>
    <i r="2">
      <x v="4"/>
    </i>
    <i r="2">
      <x v="6"/>
    </i>
    <i r="2">
      <x v="14"/>
    </i>
    <i r="2">
      <x v="9"/>
    </i>
    <i r="2">
      <x v="24"/>
    </i>
    <i r="1">
      <x v="77"/>
    </i>
    <i r="2">
      <x v="31"/>
    </i>
    <i r="2">
      <x v="8"/>
    </i>
    <i r="2">
      <x v="4"/>
    </i>
    <i r="2">
      <x v="24"/>
    </i>
    <i r="1">
      <x v="78"/>
    </i>
    <i r="2">
      <x v="16"/>
    </i>
    <i r="2">
      <x v="32"/>
    </i>
    <i r="2">
      <x/>
    </i>
    <i r="2">
      <x v="30"/>
    </i>
    <i r="2">
      <x v="1"/>
    </i>
    <i r="2">
      <x v="31"/>
    </i>
    <i r="2">
      <x v="34"/>
    </i>
    <i r="2">
      <x v="25"/>
    </i>
    <i r="2">
      <x v="28"/>
    </i>
    <i r="2">
      <x v="3"/>
    </i>
    <i r="2">
      <x v="8"/>
    </i>
    <i r="2">
      <x v="5"/>
    </i>
    <i r="2">
      <x v="6"/>
    </i>
    <i r="2">
      <x v="9"/>
    </i>
    <i r="2">
      <x v="10"/>
    </i>
    <i r="1">
      <x v="79"/>
    </i>
    <i r="2">
      <x v="21"/>
    </i>
    <i r="2">
      <x v="8"/>
    </i>
    <i r="2">
      <x v="5"/>
    </i>
    <i r="2">
      <x v="22"/>
    </i>
    <i r="2">
      <x v="10"/>
    </i>
    <i r="1">
      <x v="80"/>
    </i>
    <i r="2">
      <x v="34"/>
    </i>
    <i r="2">
      <x v="21"/>
    </i>
    <i r="2">
      <x v="8"/>
    </i>
    <i r="2">
      <x v="4"/>
    </i>
    <i r="2">
      <x v="5"/>
    </i>
    <i r="2">
      <x v="9"/>
    </i>
    <i r="2">
      <x v="10"/>
    </i>
    <i r="1">
      <x v="81"/>
    </i>
    <i r="2">
      <x v="19"/>
    </i>
    <i r="1">
      <x v="82"/>
    </i>
    <i r="2">
      <x v="36"/>
    </i>
    <i r="2">
      <x v="2"/>
    </i>
    <i r="2">
      <x v="22"/>
    </i>
    <i r="1">
      <x v="83"/>
    </i>
    <i r="2">
      <x v="20"/>
    </i>
    <i r="1">
      <x v="84"/>
    </i>
    <i r="2">
      <x v="38"/>
    </i>
    <i r="2">
      <x v="16"/>
    </i>
    <i r="2">
      <x v="17"/>
    </i>
    <i r="2">
      <x v="20"/>
    </i>
    <i r="2">
      <x v="35"/>
    </i>
    <i r="2">
      <x v="22"/>
    </i>
    <i r="2">
      <x v="9"/>
    </i>
    <i r="1">
      <x v="85"/>
    </i>
    <i r="2">
      <x v="23"/>
    </i>
    <i r="1">
      <x v="86"/>
    </i>
    <i r="2">
      <x v="1"/>
    </i>
    <i r="2">
      <x v="3"/>
    </i>
    <i r="2">
      <x v="8"/>
    </i>
    <i r="2">
      <x v="5"/>
    </i>
    <i r="2">
      <x v="6"/>
    </i>
    <i r="2">
      <x v="9"/>
    </i>
    <i r="1">
      <x v="87"/>
    </i>
    <i r="2">
      <x v="17"/>
    </i>
    <i r="2">
      <x v="20"/>
    </i>
    <i r="1">
      <x v="88"/>
    </i>
    <i r="2">
      <x v="7"/>
    </i>
    <i r="2">
      <x v="9"/>
    </i>
    <i r="2">
      <x v="10"/>
    </i>
    <i>
      <x v="2"/>
    </i>
    <i r="1">
      <x v="89"/>
    </i>
    <i r="2">
      <x v="1"/>
    </i>
    <i r="2">
      <x v="34"/>
    </i>
    <i r="2">
      <x v="33"/>
    </i>
    <i r="2">
      <x v="24"/>
    </i>
    <i r="1">
      <x v="90"/>
    </i>
    <i r="2">
      <x v="1"/>
    </i>
    <i r="2">
      <x v="8"/>
    </i>
    <i r="2">
      <x v="4"/>
    </i>
    <i r="2">
      <x v="5"/>
    </i>
    <i r="2">
      <x v="23"/>
    </i>
    <i r="1">
      <x v="91"/>
    </i>
    <i r="2">
      <x v="19"/>
    </i>
    <i r="2">
      <x v="33"/>
    </i>
    <i r="2">
      <x v="8"/>
    </i>
    <i r="2">
      <x v="4"/>
    </i>
    <i r="2">
      <x v="9"/>
    </i>
    <i r="2">
      <x v="24"/>
    </i>
    <i r="1">
      <x v="92"/>
    </i>
    <i r="2">
      <x v="16"/>
    </i>
    <i r="2">
      <x/>
    </i>
    <i r="2">
      <x v="1"/>
    </i>
    <i r="2">
      <x v="31"/>
    </i>
    <i r="2">
      <x v="8"/>
    </i>
    <i r="2">
      <x v="5"/>
    </i>
    <i r="2">
      <x v="14"/>
    </i>
    <i r="2">
      <x v="23"/>
    </i>
    <i r="2">
      <x v="12"/>
    </i>
    <i r="1">
      <x v="93"/>
    </i>
    <i r="2">
      <x v="22"/>
    </i>
    <i r="1">
      <x v="94"/>
    </i>
    <i r="2">
      <x v="19"/>
    </i>
    <i r="2">
      <x v="8"/>
    </i>
    <i r="2">
      <x v="9"/>
    </i>
    <i r="1">
      <x v="95"/>
    </i>
    <i r="2">
      <x v="17"/>
    </i>
    <i r="2">
      <x v="36"/>
    </i>
    <i r="2">
      <x v="10"/>
    </i>
    <i r="1">
      <x v="96"/>
    </i>
    <i r="2">
      <x v="16"/>
    </i>
    <i r="2">
      <x v="17"/>
    </i>
    <i r="2">
      <x v="4"/>
    </i>
    <i r="2">
      <x v="5"/>
    </i>
    <i r="2">
      <x v="6"/>
    </i>
    <i r="1">
      <x v="97"/>
    </i>
    <i r="2">
      <x v="31"/>
    </i>
    <i r="2">
      <x v="18"/>
    </i>
    <i r="2">
      <x v="8"/>
    </i>
    <i r="2">
      <x v="24"/>
    </i>
    <i r="1">
      <x v="98"/>
    </i>
    <i r="2">
      <x v="1"/>
    </i>
    <i r="2">
      <x v="31"/>
    </i>
    <i r="2">
      <x v="35"/>
    </i>
    <i r="2">
      <x v="9"/>
    </i>
    <i r="1">
      <x v="99"/>
    </i>
    <i r="2">
      <x v="16"/>
    </i>
    <i r="2">
      <x v="19"/>
    </i>
    <i r="2">
      <x v="7"/>
    </i>
    <i r="2">
      <x v="18"/>
    </i>
    <i r="2">
      <x v="3"/>
    </i>
    <i r="2">
      <x v="8"/>
    </i>
    <i r="2">
      <x v="27"/>
    </i>
    <i r="2">
      <x v="23"/>
    </i>
    <i r="2">
      <x v="9"/>
    </i>
    <i r="1">
      <x v="100"/>
    </i>
    <i r="2">
      <x v="16"/>
    </i>
    <i r="2">
      <x v="34"/>
    </i>
    <i r="2">
      <x v="25"/>
    </i>
    <i r="2">
      <x v="39"/>
    </i>
    <i r="2">
      <x v="33"/>
    </i>
    <i r="2">
      <x v="28"/>
    </i>
    <i r="2">
      <x v="37"/>
    </i>
    <i r="2">
      <x v="21"/>
    </i>
    <i r="2">
      <x v="8"/>
    </i>
    <i r="2">
      <x v="6"/>
    </i>
    <i r="2">
      <x v="14"/>
    </i>
    <i r="2">
      <x v="9"/>
    </i>
    <i r="2">
      <x v="12"/>
    </i>
    <i r="1">
      <x v="101"/>
    </i>
    <i r="2">
      <x v="34"/>
    </i>
    <i r="2">
      <x v="13"/>
    </i>
    <i r="2">
      <x v="8"/>
    </i>
    <i r="2">
      <x v="4"/>
    </i>
    <i r="1">
      <x v="102"/>
    </i>
    <i r="2">
      <x v="30"/>
    </i>
    <i r="2">
      <x v="31"/>
    </i>
    <i r="2">
      <x v="37"/>
    </i>
    <i r="2">
      <x v="21"/>
    </i>
    <i r="2">
      <x v="14"/>
    </i>
    <i r="2">
      <x v="9"/>
    </i>
    <i r="2">
      <x v="10"/>
    </i>
    <i r="1">
      <x v="103"/>
    </i>
    <i r="2">
      <x v="8"/>
    </i>
    <i r="1">
      <x v="104"/>
    </i>
    <i r="2">
      <x v="31"/>
    </i>
    <i r="2">
      <x v="19"/>
    </i>
    <i r="2">
      <x v="39"/>
    </i>
    <i r="2">
      <x v="27"/>
    </i>
    <i r="2">
      <x v="9"/>
    </i>
    <i r="1">
      <x v="105"/>
    </i>
    <i r="2">
      <x v="7"/>
    </i>
    <i r="2">
      <x v="28"/>
    </i>
    <i r="2">
      <x v="3"/>
    </i>
    <i r="2">
      <x v="4"/>
    </i>
    <i r="2">
      <x v="22"/>
    </i>
    <i r="2">
      <x v="14"/>
    </i>
    <i r="2">
      <x v="23"/>
    </i>
    <i r="2">
      <x v="9"/>
    </i>
    <i r="2">
      <x v="11"/>
    </i>
    <i r="1">
      <x v="106"/>
    </i>
    <i r="2">
      <x v="16"/>
    </i>
    <i r="2">
      <x v="41"/>
    </i>
    <i r="2">
      <x v="8"/>
    </i>
    <i r="2">
      <x v="23"/>
    </i>
    <i r="1">
      <x v="107"/>
    </i>
    <i r="2">
      <x v="30"/>
    </i>
    <i r="2">
      <x v="1"/>
    </i>
    <i r="2">
      <x v="17"/>
    </i>
    <i r="2">
      <x v="36"/>
    </i>
    <i r="2">
      <x v="7"/>
    </i>
    <i r="2">
      <x v="33"/>
    </i>
    <i r="2">
      <x v="5"/>
    </i>
    <i r="2">
      <x v="6"/>
    </i>
    <i r="2">
      <x v="22"/>
    </i>
    <i r="2">
      <x v="14"/>
    </i>
    <i r="2">
      <x v="23"/>
    </i>
    <i r="2">
      <x v="9"/>
    </i>
    <i r="2">
      <x v="12"/>
    </i>
    <i r="2">
      <x v="24"/>
    </i>
    <i r="1">
      <x v="108"/>
    </i>
    <i r="2">
      <x v="15"/>
    </i>
    <i r="2">
      <x v="34"/>
    </i>
    <i r="2">
      <x v="33"/>
    </i>
    <i r="2">
      <x v="3"/>
    </i>
    <i r="2">
      <x v="21"/>
    </i>
    <i r="2">
      <x v="8"/>
    </i>
    <i r="2">
      <x v="5"/>
    </i>
    <i r="2">
      <x v="10"/>
    </i>
    <i r="2">
      <x v="24"/>
    </i>
    <i r="1">
      <x v="109"/>
    </i>
    <i r="2">
      <x v="1"/>
    </i>
    <i r="2">
      <x v="17"/>
    </i>
    <i r="2">
      <x v="39"/>
    </i>
    <i r="2">
      <x v="21"/>
    </i>
    <i r="2">
      <x v="5"/>
    </i>
    <i r="2">
      <x v="11"/>
    </i>
    <i r="1">
      <x v="110"/>
    </i>
    <i r="2">
      <x v="16"/>
    </i>
    <i r="2">
      <x v="15"/>
    </i>
    <i r="2">
      <x v="1"/>
    </i>
    <i r="2">
      <x v="25"/>
    </i>
    <i r="2">
      <x v="8"/>
    </i>
    <i r="2">
      <x v="23"/>
    </i>
    <i r="2">
      <x v="9"/>
    </i>
    <i r="2">
      <x v="10"/>
    </i>
    <i r="2">
      <x v="11"/>
    </i>
    <i r="1">
      <x v="111"/>
    </i>
    <i r="2">
      <x v="15"/>
    </i>
    <i r="2">
      <x v="19"/>
    </i>
    <i r="2">
      <x v="17"/>
    </i>
    <i r="2">
      <x v="25"/>
    </i>
    <i r="2">
      <x v="36"/>
    </i>
    <i r="2">
      <x v="33"/>
    </i>
    <i r="2">
      <x v="2"/>
    </i>
    <i r="2">
      <x v="20"/>
    </i>
    <i r="2">
      <x v="35"/>
    </i>
    <i r="2">
      <x v="4"/>
    </i>
    <i r="2">
      <x v="6"/>
    </i>
    <i r="2">
      <x v="22"/>
    </i>
    <i r="2">
      <x v="23"/>
    </i>
    <i r="1">
      <x v="112"/>
    </i>
    <i r="2">
      <x v="15"/>
    </i>
    <i r="2">
      <x v="29"/>
    </i>
    <i r="2">
      <x v="4"/>
    </i>
    <i r="2">
      <x v="6"/>
    </i>
    <i r="2">
      <x v="23"/>
    </i>
    <i r="2">
      <x v="42"/>
    </i>
    <i r="1">
      <x v="113"/>
    </i>
    <i r="2">
      <x v="30"/>
    </i>
    <i r="2">
      <x v="34"/>
    </i>
    <i r="2">
      <x v="33"/>
    </i>
    <i r="2">
      <x v="20"/>
    </i>
    <i r="2">
      <x v="23"/>
    </i>
    <i r="2">
      <x v="24"/>
    </i>
    <i r="1">
      <x v="114"/>
    </i>
    <i r="2">
      <x v="16"/>
    </i>
    <i r="2">
      <x v="1"/>
    </i>
    <i r="2">
      <x v="17"/>
    </i>
    <i r="2">
      <x v="20"/>
    </i>
    <i r="1">
      <x v="115"/>
    </i>
    <i r="2">
      <x v="38"/>
    </i>
    <i r="2">
      <x v="39"/>
    </i>
    <i r="2">
      <x v="21"/>
    </i>
    <i r="1">
      <x v="116"/>
    </i>
    <i r="2">
      <x v="8"/>
    </i>
    <i r="1">
      <x v="117"/>
    </i>
    <i r="2">
      <x v="16"/>
    </i>
    <i r="2">
      <x v="30"/>
    </i>
    <i r="2">
      <x v="19"/>
    </i>
    <i r="2">
      <x v="17"/>
    </i>
    <i r="2">
      <x v="20"/>
    </i>
    <i r="2">
      <x v="3"/>
    </i>
    <i r="2">
      <x v="21"/>
    </i>
    <i r="2">
      <x v="8"/>
    </i>
    <i r="2">
      <x v="9"/>
    </i>
    <i r="2">
      <x v="10"/>
    </i>
    <i r="1">
      <x v="118"/>
    </i>
    <i r="2">
      <x v="16"/>
    </i>
    <i r="2">
      <x v="32"/>
    </i>
    <i r="2">
      <x v="15"/>
    </i>
    <i r="2">
      <x v="1"/>
    </i>
    <i r="2">
      <x v="25"/>
    </i>
    <i r="2">
      <x v="40"/>
    </i>
    <i r="2">
      <x v="7"/>
    </i>
    <i r="2">
      <x v="39"/>
    </i>
    <i r="2">
      <x v="33"/>
    </i>
    <i r="2">
      <x v="20"/>
    </i>
    <i r="2">
      <x v="28"/>
    </i>
    <i r="2">
      <x v="3"/>
    </i>
    <i r="2">
      <x v="21"/>
    </i>
    <i r="2">
      <x v="8"/>
    </i>
    <i r="2">
      <x v="26"/>
    </i>
    <i r="2">
      <x v="4"/>
    </i>
    <i r="2">
      <x v="6"/>
    </i>
    <i r="2">
      <x v="23"/>
    </i>
    <i r="2">
      <x v="9"/>
    </i>
    <i r="2">
      <x v="12"/>
    </i>
    <i r="1">
      <x v="119"/>
    </i>
    <i r="2">
      <x v="38"/>
    </i>
    <i r="2">
      <x v="16"/>
    </i>
    <i r="2">
      <x v="30"/>
    </i>
    <i r="2">
      <x v="1"/>
    </i>
    <i r="2">
      <x v="17"/>
    </i>
    <i r="2">
      <x v="25"/>
    </i>
    <i r="2">
      <x v="36"/>
    </i>
    <i r="2">
      <x v="20"/>
    </i>
    <i r="2">
      <x v="28"/>
    </i>
    <i r="2">
      <x v="3"/>
    </i>
    <i r="2">
      <x v="21"/>
    </i>
    <i r="2">
      <x v="35"/>
    </i>
    <i r="2">
      <x v="8"/>
    </i>
    <i r="2">
      <x v="26"/>
    </i>
    <i r="2">
      <x v="42"/>
    </i>
    <i r="1">
      <x v="120"/>
    </i>
    <i r="2">
      <x v="16"/>
    </i>
    <i r="2">
      <x v="34"/>
    </i>
    <i r="2">
      <x v="17"/>
    </i>
    <i r="2">
      <x v="7"/>
    </i>
    <i r="2">
      <x v="4"/>
    </i>
    <i r="2">
      <x v="6"/>
    </i>
    <i r="2">
      <x v="23"/>
    </i>
    <i r="2">
      <x v="9"/>
    </i>
    <i r="1">
      <x v="121"/>
    </i>
    <i r="2">
      <x v="17"/>
    </i>
    <i r="2">
      <x v="20"/>
    </i>
    <i r="1">
      <x v="122"/>
    </i>
    <i r="2">
      <x v="16"/>
    </i>
    <i r="2">
      <x v="8"/>
    </i>
    <i r="2">
      <x v="4"/>
    </i>
    <i r="2">
      <x v="14"/>
    </i>
    <i r="2">
      <x v="9"/>
    </i>
    <i r="1">
      <x v="123"/>
    </i>
    <i r="2">
      <x v="8"/>
    </i>
    <i r="1">
      <x v="124"/>
    </i>
    <i r="2">
      <x v="38"/>
    </i>
    <i r="2">
      <x v="15"/>
    </i>
    <i r="2">
      <x v="34"/>
    </i>
    <i r="2">
      <x v="25"/>
    </i>
    <i r="2">
      <x v="18"/>
    </i>
    <i r="2">
      <x v="3"/>
    </i>
    <i r="2">
      <x v="8"/>
    </i>
    <i r="1">
      <x v="125"/>
    </i>
    <i r="2">
      <x v="16"/>
    </i>
    <i r="2">
      <x v="32"/>
    </i>
    <i r="2">
      <x v="17"/>
    </i>
    <i r="2">
      <x v="39"/>
    </i>
    <i r="2">
      <x v="20"/>
    </i>
    <i r="2">
      <x v="3"/>
    </i>
    <i r="2">
      <x v="8"/>
    </i>
    <i r="2">
      <x v="23"/>
    </i>
    <i r="2">
      <x v="9"/>
    </i>
    <i r="1">
      <x v="126"/>
    </i>
    <i r="2">
      <x v="16"/>
    </i>
    <i r="2">
      <x v="7"/>
    </i>
    <i r="2">
      <x v="3"/>
    </i>
    <i r="2">
      <x v="8"/>
    </i>
    <i r="1">
      <x v="127"/>
    </i>
    <i r="2">
      <x v="32"/>
    </i>
    <i r="2">
      <x v="34"/>
    </i>
    <i r="2">
      <x v="19"/>
    </i>
    <i r="2">
      <x v="17"/>
    </i>
    <i r="2">
      <x v="25"/>
    </i>
    <i r="2">
      <x v="7"/>
    </i>
    <i r="2">
      <x v="33"/>
    </i>
    <i r="2">
      <x v="28"/>
    </i>
    <i r="2">
      <x v="3"/>
    </i>
    <i r="2">
      <x v="8"/>
    </i>
    <i r="2">
      <x v="5"/>
    </i>
    <i r="2">
      <x v="6"/>
    </i>
    <i r="2">
      <x v="23"/>
    </i>
    <i r="2">
      <x v="9"/>
    </i>
    <i r="2">
      <x v="10"/>
    </i>
    <i r="1">
      <x v="128"/>
    </i>
    <i r="2">
      <x v="7"/>
    </i>
    <i r="2">
      <x v="8"/>
    </i>
    <i r="2">
      <x v="14"/>
    </i>
    <i r="2">
      <x v="9"/>
    </i>
    <i r="1">
      <x v="129"/>
    </i>
    <i r="2">
      <x v="17"/>
    </i>
    <i r="2">
      <x v="20"/>
    </i>
    <i r="2">
      <x v="23"/>
    </i>
    <i r="1">
      <x v="130"/>
    </i>
    <i r="2">
      <x v="16"/>
    </i>
    <i r="2">
      <x v="17"/>
    </i>
    <i r="2">
      <x v="20"/>
    </i>
    <i r="2">
      <x v="21"/>
    </i>
    <i r="2">
      <x v="4"/>
    </i>
    <i r="1">
      <x v="131"/>
    </i>
    <i r="2">
      <x v="16"/>
    </i>
    <i r="2">
      <x v="32"/>
    </i>
    <i r="2">
      <x v="15"/>
    </i>
    <i r="2">
      <x v="1"/>
    </i>
    <i r="2">
      <x v="34"/>
    </i>
    <i r="2">
      <x v="19"/>
    </i>
    <i r="2">
      <x v="17"/>
    </i>
    <i r="2">
      <x v="3"/>
    </i>
    <i r="2">
      <x v="8"/>
    </i>
    <i r="2">
      <x v="4"/>
    </i>
    <i r="2">
      <x v="5"/>
    </i>
    <i r="2">
      <x v="14"/>
    </i>
    <i r="2">
      <x v="23"/>
    </i>
    <i r="1">
      <x v="132"/>
    </i>
    <i r="2">
      <x v="32"/>
    </i>
    <i r="2">
      <x v="15"/>
    </i>
    <i r="2">
      <x v="30"/>
    </i>
    <i r="2">
      <x v="7"/>
    </i>
    <i r="2">
      <x v="8"/>
    </i>
    <i r="2">
      <x v="5"/>
    </i>
    <i r="2">
      <x v="12"/>
    </i>
    <i r="1">
      <x v="133"/>
    </i>
    <i r="2">
      <x v="1"/>
    </i>
    <i r="2">
      <x v="34"/>
    </i>
    <i r="2">
      <x v="19"/>
    </i>
    <i r="2">
      <x v="25"/>
    </i>
    <i r="2">
      <x v="18"/>
    </i>
    <i r="2">
      <x v="28"/>
    </i>
    <i r="2">
      <x v="37"/>
    </i>
    <i r="2">
      <x v="21"/>
    </i>
    <i r="2">
      <x v="8"/>
    </i>
    <i r="2">
      <x v="6"/>
    </i>
    <i r="2">
      <x v="14"/>
    </i>
    <i r="2">
      <x v="9"/>
    </i>
    <i r="2">
      <x v="12"/>
    </i>
    <i r="1">
      <x v="134"/>
    </i>
    <i r="2">
      <x v="31"/>
    </i>
    <i r="2">
      <x v="7"/>
    </i>
    <i r="2">
      <x v="8"/>
    </i>
    <i r="2">
      <x v="14"/>
    </i>
    <i r="2">
      <x v="23"/>
    </i>
    <i r="2">
      <x v="9"/>
    </i>
    <i r="1">
      <x v="135"/>
    </i>
    <i r="2">
      <x v="16"/>
    </i>
    <i r="2">
      <x v="1"/>
    </i>
    <i r="2">
      <x v="19"/>
    </i>
    <i r="2">
      <x v="17"/>
    </i>
    <i r="2">
      <x v="20"/>
    </i>
    <i r="1">
      <x v="136"/>
    </i>
    <i r="2">
      <x v="1"/>
    </i>
    <i r="2">
      <x v="18"/>
    </i>
    <i r="2">
      <x v="33"/>
    </i>
    <i r="2">
      <x v="28"/>
    </i>
    <i r="2">
      <x v="37"/>
    </i>
    <i r="2">
      <x v="21"/>
    </i>
    <i r="2">
      <x v="35"/>
    </i>
    <i r="2">
      <x v="8"/>
    </i>
    <i r="2">
      <x v="4"/>
    </i>
    <i r="2">
      <x v="14"/>
    </i>
    <i r="2">
      <x v="9"/>
    </i>
    <i r="2">
      <x v="10"/>
    </i>
    <i r="2">
      <x v="24"/>
    </i>
    <i r="1">
      <x v="137"/>
    </i>
    <i r="2">
      <x v="16"/>
    </i>
    <i r="2">
      <x v="1"/>
    </i>
    <i r="2">
      <x v="34"/>
    </i>
    <i r="2">
      <x v="7"/>
    </i>
    <i r="2">
      <x v="39"/>
    </i>
    <i r="2">
      <x v="33"/>
    </i>
    <i r="2">
      <x v="28"/>
    </i>
    <i r="2">
      <x v="3"/>
    </i>
    <i r="2">
      <x v="21"/>
    </i>
    <i r="2">
      <x v="35"/>
    </i>
    <i r="2">
      <x v="8"/>
    </i>
    <i r="2">
      <x v="14"/>
    </i>
    <i r="2">
      <x v="23"/>
    </i>
    <i r="2">
      <x v="9"/>
    </i>
    <i r="2">
      <x v="10"/>
    </i>
    <i r="2">
      <x v="24"/>
    </i>
    <i r="1">
      <x v="138"/>
    </i>
    <i r="2">
      <x v="15"/>
    </i>
    <i r="2">
      <x v="31"/>
    </i>
    <i r="2">
      <x v="33"/>
    </i>
    <i r="2">
      <x v="8"/>
    </i>
    <i r="2">
      <x v="5"/>
    </i>
    <i r="1">
      <x v="139"/>
    </i>
    <i r="2">
      <x v="17"/>
    </i>
    <i r="2">
      <x v="20"/>
    </i>
    <i r="2">
      <x v="5"/>
    </i>
    <i>
      <x v="3"/>
    </i>
    <i r="1">
      <x v="140"/>
    </i>
    <i r="2">
      <x v="16"/>
    </i>
    <i r="2">
      <x v="32"/>
    </i>
    <i r="2">
      <x v="1"/>
    </i>
    <i r="2">
      <x v="25"/>
    </i>
    <i r="2">
      <x v="7"/>
    </i>
    <i r="2">
      <x v="39"/>
    </i>
    <i r="2">
      <x v="28"/>
    </i>
    <i r="2">
      <x v="37"/>
    </i>
    <i r="2">
      <x v="21"/>
    </i>
    <i r="2">
      <x v="13"/>
    </i>
    <i r="2">
      <x v="8"/>
    </i>
    <i r="2">
      <x v="6"/>
    </i>
    <i r="2">
      <x v="14"/>
    </i>
    <i r="2">
      <x v="27"/>
    </i>
    <i r="2">
      <x v="9"/>
    </i>
    <i r="2">
      <x v="24"/>
    </i>
    <i r="2">
      <x v="43"/>
    </i>
    <i r="1">
      <x v="141"/>
    </i>
    <i r="2">
      <x v="16"/>
    </i>
    <i r="2">
      <x v="15"/>
    </i>
    <i r="2">
      <x v="25"/>
    </i>
    <i r="2">
      <x v="2"/>
    </i>
    <i r="2">
      <x v="3"/>
    </i>
    <i r="2">
      <x v="13"/>
    </i>
    <i r="2">
      <x v="8"/>
    </i>
    <i r="2">
      <x v="14"/>
    </i>
    <i r="1">
      <x v="142"/>
    </i>
    <i r="2">
      <x v="16"/>
    </i>
    <i r="2">
      <x v="8"/>
    </i>
    <i r="1">
      <x v="143"/>
    </i>
    <i r="2">
      <x v="16"/>
    </i>
    <i r="2">
      <x v="41"/>
    </i>
    <i r="2">
      <x v="19"/>
    </i>
    <i r="2">
      <x v="17"/>
    </i>
    <i r="2">
      <x v="25"/>
    </i>
    <i r="2">
      <x v="36"/>
    </i>
    <i r="2">
      <x v="7"/>
    </i>
    <i r="2">
      <x v="39"/>
    </i>
    <i r="2">
      <x v="20"/>
    </i>
    <i r="2">
      <x v="3"/>
    </i>
    <i r="2">
      <x v="21"/>
    </i>
    <i r="2">
      <x v="8"/>
    </i>
    <i r="2">
      <x v="26"/>
    </i>
    <i r="2">
      <x v="22"/>
    </i>
    <i r="2">
      <x v="14"/>
    </i>
    <i r="2">
      <x v="27"/>
    </i>
    <i r="2">
      <x v="23"/>
    </i>
    <i r="2">
      <x v="9"/>
    </i>
    <i r="2">
      <x v="11"/>
    </i>
    <i r="1">
      <x v="144"/>
    </i>
    <i r="2">
      <x v="32"/>
    </i>
    <i r="2">
      <x v="1"/>
    </i>
    <i r="2">
      <x v="34"/>
    </i>
    <i r="2">
      <x v="25"/>
    </i>
    <i r="2">
      <x v="39"/>
    </i>
    <i r="2">
      <x v="18"/>
    </i>
    <i r="2">
      <x v="21"/>
    </i>
    <i r="2">
      <x v="8"/>
    </i>
    <i r="2">
      <x v="4"/>
    </i>
    <i r="2">
      <x v="14"/>
    </i>
    <i r="2">
      <x v="23"/>
    </i>
    <i r="2">
      <x v="9"/>
    </i>
    <i r="1">
      <x v="145"/>
    </i>
    <i r="2">
      <x v="16"/>
    </i>
    <i r="2">
      <x v="15"/>
    </i>
    <i r="2">
      <x v="36"/>
    </i>
    <i r="2">
      <x v="40"/>
    </i>
    <i r="2">
      <x v="3"/>
    </i>
    <i r="2">
      <x v="8"/>
    </i>
    <i r="2">
      <x v="4"/>
    </i>
    <i r="2">
      <x v="9"/>
    </i>
    <i r="1">
      <x v="146"/>
    </i>
    <i r="2">
      <x v="17"/>
    </i>
    <i r="2">
      <x v="20"/>
    </i>
    <i r="2">
      <x v="3"/>
    </i>
    <i r="2">
      <x v="8"/>
    </i>
    <i r="2">
      <x v="12"/>
    </i>
    <i r="1">
      <x v="147"/>
    </i>
    <i r="2">
      <x v="27"/>
    </i>
    <i r="1">
      <x v="148"/>
    </i>
    <i r="2">
      <x v="16"/>
    </i>
    <i r="2">
      <x v="39"/>
    </i>
    <i r="2">
      <x v="29"/>
    </i>
    <i r="2">
      <x v="3"/>
    </i>
    <i r="2">
      <x v="37"/>
    </i>
    <i r="2">
      <x v="21"/>
    </i>
    <i r="2">
      <x v="8"/>
    </i>
    <i r="2">
      <x v="23"/>
    </i>
    <i r="2">
      <x v="9"/>
    </i>
    <i r="1">
      <x v="149"/>
    </i>
    <i r="2">
      <x v="16"/>
    </i>
    <i r="2">
      <x v="33"/>
    </i>
    <i r="2">
      <x v="2"/>
    </i>
    <i r="2">
      <x v="20"/>
    </i>
    <i r="2">
      <x v="28"/>
    </i>
    <i r="2">
      <x v="8"/>
    </i>
    <i r="2">
      <x v="6"/>
    </i>
    <i r="2">
      <x v="14"/>
    </i>
    <i r="2">
      <x v="9"/>
    </i>
    <i r="2">
      <x v="24"/>
    </i>
    <i r="1">
      <x v="150"/>
    </i>
    <i r="2">
      <x v="5"/>
    </i>
    <i r="1">
      <x v="151"/>
    </i>
    <i r="2">
      <x v="16"/>
    </i>
    <i r="2">
      <x v="19"/>
    </i>
    <i r="2">
      <x v="25"/>
    </i>
    <i r="2">
      <x v="7"/>
    </i>
    <i r="2">
      <x v="18"/>
    </i>
    <i r="2">
      <x v="3"/>
    </i>
    <i r="2">
      <x v="8"/>
    </i>
    <i r="2">
      <x v="14"/>
    </i>
    <i r="2">
      <x v="9"/>
    </i>
    <i r="2">
      <x v="10"/>
    </i>
    <i r="2">
      <x v="11"/>
    </i>
    <i r="1">
      <x v="152"/>
    </i>
    <i r="2">
      <x v="21"/>
    </i>
    <i r="2">
      <x v="8"/>
    </i>
    <i r="1">
      <x v="153"/>
    </i>
    <i r="2">
      <x v="34"/>
    </i>
    <i r="2">
      <x v="17"/>
    </i>
    <i r="2">
      <x v="37"/>
    </i>
    <i r="2">
      <x v="21"/>
    </i>
    <i r="1">
      <x v="154"/>
    </i>
    <i r="2">
      <x v="30"/>
    </i>
    <i r="2">
      <x v="1"/>
    </i>
    <i r="2">
      <x v="25"/>
    </i>
    <i r="2">
      <x v="18"/>
    </i>
    <i r="2">
      <x v="28"/>
    </i>
    <i r="2">
      <x v="8"/>
    </i>
    <i r="2">
      <x v="5"/>
    </i>
    <i r="2">
      <x v="14"/>
    </i>
    <i r="2">
      <x v="27"/>
    </i>
    <i r="2">
      <x v="23"/>
    </i>
    <i r="1">
      <x v="155"/>
    </i>
    <i r="2">
      <x v="16"/>
    </i>
    <i r="2">
      <x v="15"/>
    </i>
    <i r="2">
      <x v="17"/>
    </i>
    <i r="2">
      <x v="39"/>
    </i>
    <i r="2">
      <x v="20"/>
    </i>
    <i r="2">
      <x v="21"/>
    </i>
    <i r="2">
      <x v="8"/>
    </i>
    <i r="2">
      <x v="23"/>
    </i>
    <i r="2">
      <x v="9"/>
    </i>
    <i r="2">
      <x v="10"/>
    </i>
    <i r="2">
      <x v="11"/>
    </i>
    <i r="1">
      <x v="156"/>
    </i>
    <i r="2">
      <x v="4"/>
    </i>
    <i r="1">
      <x v="157"/>
    </i>
    <i r="2">
      <x v="16"/>
    </i>
    <i r="2">
      <x v="34"/>
    </i>
    <i r="2">
      <x v="37"/>
    </i>
    <i r="2">
      <x v="21"/>
    </i>
    <i r="2">
      <x v="8"/>
    </i>
    <i r="2">
      <x v="9"/>
    </i>
    <i r="1">
      <x v="158"/>
    </i>
    <i r="2">
      <x v="19"/>
    </i>
    <i r="2">
      <x v="25"/>
    </i>
    <i r="2">
      <x v="18"/>
    </i>
    <i r="2">
      <x v="37"/>
    </i>
    <i r="2">
      <x v="21"/>
    </i>
    <i r="2">
      <x v="35"/>
    </i>
    <i r="2">
      <x v="14"/>
    </i>
    <i r="2">
      <x v="27"/>
    </i>
    <i r="2">
      <x v="9"/>
    </i>
    <i r="1">
      <x v="159"/>
    </i>
    <i r="2">
      <x v="15"/>
    </i>
    <i r="2">
      <x v="31"/>
    </i>
    <i r="1">
      <x v="160"/>
    </i>
    <i r="2">
      <x v="25"/>
    </i>
    <i r="2">
      <x v="7"/>
    </i>
    <i r="2">
      <x v="3"/>
    </i>
    <i r="2">
      <x v="8"/>
    </i>
    <i r="2">
      <x v="9"/>
    </i>
    <i r="1">
      <x v="161"/>
    </i>
    <i r="2">
      <x v="17"/>
    </i>
    <i r="2">
      <x v="20"/>
    </i>
    <i r="1">
      <x v="162"/>
    </i>
    <i r="2">
      <x v="15"/>
    </i>
    <i r="2">
      <x v="34"/>
    </i>
    <i r="2">
      <x v="28"/>
    </i>
    <i r="2">
      <x v="8"/>
    </i>
    <i r="2">
      <x v="9"/>
    </i>
    <i r="1">
      <x v="163"/>
    </i>
    <i r="2">
      <x v="21"/>
    </i>
    <i r="1">
      <x v="164"/>
    </i>
    <i r="2">
      <x v="31"/>
    </i>
    <i r="2">
      <x v="25"/>
    </i>
    <i r="2">
      <x v="7"/>
    </i>
    <i r="2">
      <x v="28"/>
    </i>
    <i r="2">
      <x v="3"/>
    </i>
    <i r="2">
      <x v="13"/>
    </i>
    <i r="2">
      <x v="8"/>
    </i>
    <i r="2">
      <x v="4"/>
    </i>
    <i r="2">
      <x v="6"/>
    </i>
    <i r="2">
      <x v="14"/>
    </i>
    <i r="2">
      <x v="23"/>
    </i>
    <i r="2">
      <x v="9"/>
    </i>
    <i r="2">
      <x v="10"/>
    </i>
    <i r="2">
      <x v="11"/>
    </i>
    <i r="2">
      <x v="12"/>
    </i>
    <i r="2">
      <x v="24"/>
    </i>
    <i r="1">
      <x v="165"/>
    </i>
    <i r="2">
      <x v="38"/>
    </i>
    <i r="2">
      <x v="16"/>
    </i>
    <i r="2">
      <x/>
    </i>
    <i r="2">
      <x v="1"/>
    </i>
    <i r="2">
      <x v="31"/>
    </i>
    <i r="2">
      <x v="34"/>
    </i>
    <i r="2">
      <x v="17"/>
    </i>
    <i r="2">
      <x v="7"/>
    </i>
    <i r="2">
      <x v="20"/>
    </i>
    <i r="2">
      <x v="28"/>
    </i>
    <i r="2">
      <x v="3"/>
    </i>
    <i r="2">
      <x v="13"/>
    </i>
    <i r="2">
      <x v="8"/>
    </i>
    <i r="2">
      <x v="4"/>
    </i>
    <i r="2">
      <x v="5"/>
    </i>
    <i r="2">
      <x v="6"/>
    </i>
    <i r="2">
      <x v="14"/>
    </i>
    <i r="2">
      <x v="23"/>
    </i>
    <i r="2">
      <x v="9"/>
    </i>
    <i r="2">
      <x v="10"/>
    </i>
    <i r="2">
      <x v="11"/>
    </i>
    <i r="1">
      <x v="166"/>
    </i>
    <i r="2">
      <x v="8"/>
    </i>
    <i r="1">
      <x v="167"/>
    </i>
    <i r="2">
      <x v="34"/>
    </i>
    <i r="1">
      <x v="168"/>
    </i>
    <i r="2">
      <x v="20"/>
    </i>
    <i r="2">
      <x v="6"/>
    </i>
    <i r="1">
      <x v="169"/>
    </i>
    <i r="2">
      <x v="16"/>
    </i>
    <i r="2">
      <x v="31"/>
    </i>
    <i r="2">
      <x v="28"/>
    </i>
    <i r="2">
      <x v="21"/>
    </i>
    <i r="2">
      <x v="8"/>
    </i>
    <i r="2">
      <x v="26"/>
    </i>
    <i r="2">
      <x v="14"/>
    </i>
    <i r="2">
      <x v="23"/>
    </i>
    <i r="2">
      <x v="10"/>
    </i>
    <i>
      <x v="4"/>
    </i>
    <i r="1">
      <x v="170"/>
    </i>
    <i r="2">
      <x v="19"/>
    </i>
    <i r="1">
      <x v="171"/>
    </i>
    <i r="2">
      <x v="16"/>
    </i>
    <i r="2">
      <x v="33"/>
    </i>
    <i r="2">
      <x v="3"/>
    </i>
    <i r="2">
      <x v="8"/>
    </i>
    <i r="2">
      <x v="5"/>
    </i>
    <i r="2">
      <x v="9"/>
    </i>
    <i r="2">
      <x v="24"/>
    </i>
    <i r="1">
      <x v="172"/>
    </i>
    <i r="2">
      <x v="16"/>
    </i>
    <i r="2">
      <x v="15"/>
    </i>
    <i r="2">
      <x v="8"/>
    </i>
    <i r="2">
      <x v="14"/>
    </i>
    <i r="1">
      <x v="173"/>
    </i>
    <i r="2">
      <x v="16"/>
    </i>
    <i r="2">
      <x v="19"/>
    </i>
    <i r="2">
      <x v="25"/>
    </i>
    <i r="2">
      <x v="2"/>
    </i>
    <i r="2">
      <x v="20"/>
    </i>
    <i r="2">
      <x v="3"/>
    </i>
    <i r="2">
      <x v="21"/>
    </i>
    <i r="2">
      <x v="4"/>
    </i>
    <i r="2">
      <x v="14"/>
    </i>
    <i r="2">
      <x v="9"/>
    </i>
    <i r="2">
      <x v="10"/>
    </i>
    <i r="1">
      <x v="174"/>
    </i>
    <i r="2">
      <x v="16"/>
    </i>
    <i r="2">
      <x/>
    </i>
    <i r="2">
      <x v="15"/>
    </i>
    <i r="2">
      <x v="30"/>
    </i>
    <i r="2">
      <x v="25"/>
    </i>
    <i r="2">
      <x v="33"/>
    </i>
    <i r="2">
      <x v="21"/>
    </i>
    <i r="2">
      <x v="8"/>
    </i>
    <i r="2">
      <x v="5"/>
    </i>
    <i r="2">
      <x v="14"/>
    </i>
    <i r="2">
      <x v="27"/>
    </i>
    <i r="2">
      <x v="9"/>
    </i>
    <i r="1">
      <x v="175"/>
    </i>
    <i r="2">
      <x v="16"/>
    </i>
    <i r="2">
      <x v="32"/>
    </i>
    <i r="2">
      <x v="15"/>
    </i>
    <i r="2">
      <x v="7"/>
    </i>
    <i r="2">
      <x v="2"/>
    </i>
    <i r="2">
      <x v="29"/>
    </i>
    <i r="2">
      <x v="28"/>
    </i>
    <i r="2">
      <x v="3"/>
    </i>
    <i r="2">
      <x v="8"/>
    </i>
    <i r="2">
      <x v="4"/>
    </i>
    <i r="2">
      <x v="14"/>
    </i>
    <i r="2">
      <x v="9"/>
    </i>
    <i r="2">
      <x v="10"/>
    </i>
    <i r="2">
      <x v="11"/>
    </i>
    <i r="1">
      <x v="176"/>
    </i>
    <i r="2">
      <x v="16"/>
    </i>
    <i r="2">
      <x v="19"/>
    </i>
    <i r="2">
      <x v="36"/>
    </i>
    <i r="2">
      <x v="2"/>
    </i>
    <i r="2">
      <x v="13"/>
    </i>
    <i r="2">
      <x v="8"/>
    </i>
    <i r="2">
      <x v="4"/>
    </i>
    <i r="2">
      <x v="14"/>
    </i>
    <i r="2">
      <x v="9"/>
    </i>
    <i r="1">
      <x v="177"/>
    </i>
    <i r="2">
      <x v="38"/>
    </i>
    <i r="2">
      <x v="16"/>
    </i>
    <i r="2">
      <x/>
    </i>
    <i r="2">
      <x v="30"/>
    </i>
    <i r="2">
      <x v="31"/>
    </i>
    <i r="2">
      <x v="41"/>
    </i>
    <i r="2">
      <x v="17"/>
    </i>
    <i r="2">
      <x v="18"/>
    </i>
    <i r="2">
      <x v="2"/>
    </i>
    <i r="2">
      <x v="29"/>
    </i>
    <i r="2">
      <x v="20"/>
    </i>
    <i r="2">
      <x v="28"/>
    </i>
    <i r="2">
      <x v="3"/>
    </i>
    <i r="2">
      <x v="37"/>
    </i>
    <i r="2">
      <x v="21"/>
    </i>
    <i r="2">
      <x v="13"/>
    </i>
    <i r="2">
      <x v="8"/>
    </i>
    <i r="2">
      <x v="26"/>
    </i>
    <i r="2">
      <x v="4"/>
    </i>
    <i r="2">
      <x v="5"/>
    </i>
    <i r="2">
      <x v="6"/>
    </i>
    <i r="2">
      <x v="22"/>
    </i>
    <i r="2">
      <x v="14"/>
    </i>
    <i r="2">
      <x v="27"/>
    </i>
    <i r="2">
      <x v="9"/>
    </i>
    <i r="2">
      <x v="10"/>
    </i>
    <i r="2">
      <x v="24"/>
    </i>
    <i r="1">
      <x v="178"/>
    </i>
    <i r="2">
      <x v="16"/>
    </i>
    <i r="2">
      <x v="19"/>
    </i>
    <i r="2">
      <x v="17"/>
    </i>
    <i r="2">
      <x v="36"/>
    </i>
    <i r="2">
      <x v="20"/>
    </i>
    <i r="2">
      <x v="37"/>
    </i>
    <i r="2">
      <x v="21"/>
    </i>
    <i r="2">
      <x v="8"/>
    </i>
    <i r="2">
      <x v="9"/>
    </i>
    <i r="1">
      <x v="179"/>
    </i>
    <i r="2">
      <x v="38"/>
    </i>
    <i r="2">
      <x v="16"/>
    </i>
    <i r="2">
      <x v="17"/>
    </i>
    <i r="2">
      <x v="39"/>
    </i>
    <i r="2">
      <x v="20"/>
    </i>
    <i r="2">
      <x v="28"/>
    </i>
    <i r="2">
      <x v="37"/>
    </i>
    <i r="2">
      <x v="21"/>
    </i>
    <i r="2">
      <x v="4"/>
    </i>
    <i r="2">
      <x v="14"/>
    </i>
    <i r="2">
      <x v="27"/>
    </i>
    <i r="1">
      <x v="180"/>
    </i>
    <i r="2">
      <x v="8"/>
    </i>
    <i r="2">
      <x v="14"/>
    </i>
    <i r="2">
      <x v="27"/>
    </i>
    <i r="2">
      <x v="9"/>
    </i>
    <i r="2">
      <x v="11"/>
    </i>
    <i r="1">
      <x v="181"/>
    </i>
    <i r="2">
      <x v="17"/>
    </i>
    <i r="2">
      <x v="36"/>
    </i>
    <i r="2">
      <x v="20"/>
    </i>
    <i r="2">
      <x v="22"/>
    </i>
    <i r="2">
      <x v="23"/>
    </i>
    <i r="2">
      <x v="9"/>
    </i>
    <i r="1">
      <x v="182"/>
    </i>
    <i r="2">
      <x v="17"/>
    </i>
    <i r="2">
      <x v="20"/>
    </i>
    <i r="2">
      <x v="22"/>
    </i>
    <i r="1">
      <x v="183"/>
    </i>
    <i r="2">
      <x v="31"/>
    </i>
    <i r="2">
      <x v="33"/>
    </i>
    <i r="2">
      <x v="13"/>
    </i>
    <i r="2">
      <x v="43"/>
    </i>
    <i r="1">
      <x v="184"/>
    </i>
    <i r="2">
      <x v="16"/>
    </i>
    <i r="2">
      <x v="15"/>
    </i>
    <i r="2">
      <x v="31"/>
    </i>
    <i r="2">
      <x v="34"/>
    </i>
    <i r="2">
      <x v="17"/>
    </i>
    <i r="2">
      <x v="39"/>
    </i>
    <i r="2">
      <x v="33"/>
    </i>
    <i r="2">
      <x v="28"/>
    </i>
    <i r="2">
      <x v="3"/>
    </i>
    <i r="2">
      <x v="13"/>
    </i>
    <i r="2">
      <x v="8"/>
    </i>
    <i r="2">
      <x v="26"/>
    </i>
    <i r="2">
      <x v="6"/>
    </i>
    <i r="2">
      <x v="14"/>
    </i>
    <i r="2">
      <x v="27"/>
    </i>
    <i r="2">
      <x v="9"/>
    </i>
    <i r="2">
      <x v="10"/>
    </i>
    <i r="1">
      <x v="185"/>
    </i>
    <i r="2">
      <x v="25"/>
    </i>
    <i r="2">
      <x v="8"/>
    </i>
    <i r="2">
      <x v="14"/>
    </i>
    <i r="1">
      <x v="186"/>
    </i>
    <i r="2">
      <x v="31"/>
    </i>
    <i r="2">
      <x v="34"/>
    </i>
    <i r="2">
      <x v="8"/>
    </i>
    <i r="2">
      <x v="9"/>
    </i>
    <i r="2">
      <x v="10"/>
    </i>
    <i r="1">
      <x v="187"/>
    </i>
    <i r="2">
      <x v="33"/>
    </i>
    <i r="2">
      <x v="14"/>
    </i>
    <i r="2">
      <x v="9"/>
    </i>
    <i r="2">
      <x v="24"/>
    </i>
    <i r="1">
      <x v="188"/>
    </i>
    <i r="2">
      <x v="38"/>
    </i>
    <i r="2">
      <x v="16"/>
    </i>
    <i r="2">
      <x v="1"/>
    </i>
    <i r="2">
      <x v="20"/>
    </i>
    <i r="2">
      <x v="22"/>
    </i>
    <i r="2">
      <x v="23"/>
    </i>
    <i r="2">
      <x v="9"/>
    </i>
    <i r="1">
      <x v="189"/>
    </i>
    <i r="2">
      <x v="34"/>
    </i>
    <i r="2">
      <x v="37"/>
    </i>
    <i r="2">
      <x v="8"/>
    </i>
    <i r="2">
      <x v="14"/>
    </i>
    <i r="2">
      <x v="9"/>
    </i>
    <i r="1">
      <x v="190"/>
    </i>
    <i r="2">
      <x v="19"/>
    </i>
    <i r="2">
      <x v="10"/>
    </i>
    <i r="1">
      <x v="191"/>
    </i>
    <i r="2">
      <x v="38"/>
    </i>
    <i r="2">
      <x v="17"/>
    </i>
    <i r="2">
      <x v="2"/>
    </i>
    <i r="2">
      <x v="3"/>
    </i>
    <i r="2">
      <x v="8"/>
    </i>
    <i r="2">
      <x v="9"/>
    </i>
    <i r="1">
      <x v="192"/>
    </i>
    <i r="2">
      <x v="16"/>
    </i>
    <i r="2">
      <x/>
    </i>
    <i r="2">
      <x v="17"/>
    </i>
    <i r="2">
      <x v="25"/>
    </i>
    <i r="2">
      <x v="36"/>
    </i>
    <i r="2">
      <x v="7"/>
    </i>
    <i r="2">
      <x v="20"/>
    </i>
    <i r="2">
      <x v="3"/>
    </i>
    <i r="2">
      <x v="8"/>
    </i>
    <i r="2">
      <x v="14"/>
    </i>
    <i r="2">
      <x v="23"/>
    </i>
    <i r="2">
      <x v="9"/>
    </i>
    <i r="2">
      <x v="10"/>
    </i>
    <i r="2">
      <x v="11"/>
    </i>
    <i r="1">
      <x v="193"/>
    </i>
    <i r="2">
      <x v="39"/>
    </i>
    <i r="2">
      <x v="37"/>
    </i>
    <i r="2">
      <x v="21"/>
    </i>
    <i r="2">
      <x v="6"/>
    </i>
    <i r="2">
      <x v="27"/>
    </i>
    <i>
      <x v="5"/>
    </i>
    <i r="1">
      <x v="194"/>
    </i>
    <i r="2">
      <x v="38"/>
    </i>
    <i r="2">
      <x v="29"/>
    </i>
    <i r="1">
      <x v="195"/>
    </i>
    <i r="2">
      <x v="1"/>
    </i>
    <i r="2">
      <x v="31"/>
    </i>
    <i r="2">
      <x v="34"/>
    </i>
    <i r="2">
      <x v="25"/>
    </i>
    <i r="2">
      <x v="39"/>
    </i>
    <i r="2">
      <x v="33"/>
    </i>
    <i r="2">
      <x v="29"/>
    </i>
    <i r="2">
      <x v="28"/>
    </i>
    <i r="2">
      <x v="3"/>
    </i>
    <i r="2">
      <x v="37"/>
    </i>
    <i r="2">
      <x v="21"/>
    </i>
    <i r="2">
      <x v="35"/>
    </i>
    <i r="2">
      <x v="8"/>
    </i>
    <i r="2">
      <x v="26"/>
    </i>
    <i r="2">
      <x v="4"/>
    </i>
    <i r="2">
      <x v="5"/>
    </i>
    <i r="2">
      <x v="14"/>
    </i>
    <i r="2">
      <x v="23"/>
    </i>
    <i r="2">
      <x v="9"/>
    </i>
    <i r="2">
      <x v="10"/>
    </i>
    <i r="2">
      <x v="24"/>
    </i>
    <i r="1">
      <x v="196"/>
    </i>
    <i r="2">
      <x v="40"/>
    </i>
    <i r="2">
      <x v="9"/>
    </i>
    <i r="2">
      <x v="10"/>
    </i>
    <i r="2">
      <x v="42"/>
    </i>
    <i r="1">
      <x v="197"/>
    </i>
    <i r="2">
      <x v="21"/>
    </i>
    <i r="2">
      <x v="8"/>
    </i>
    <i r="2">
      <x v="14"/>
    </i>
    <i r="2">
      <x v="23"/>
    </i>
    <i r="2">
      <x v="9"/>
    </i>
    <i r="1">
      <x v="198"/>
    </i>
    <i r="2">
      <x v="16"/>
    </i>
    <i r="2">
      <x v="31"/>
    </i>
    <i r="2">
      <x v="19"/>
    </i>
    <i r="2">
      <x v="25"/>
    </i>
    <i r="2">
      <x v="40"/>
    </i>
    <i r="2">
      <x v="21"/>
    </i>
    <i r="2">
      <x v="8"/>
    </i>
    <i r="2">
      <x v="26"/>
    </i>
    <i r="2">
      <x v="4"/>
    </i>
    <i r="2">
      <x v="14"/>
    </i>
    <i r="2">
      <x v="27"/>
    </i>
    <i r="2">
      <x v="11"/>
    </i>
    <i r="1">
      <x v="199"/>
    </i>
    <i r="2">
      <x v="29"/>
    </i>
    <i r="2">
      <x v="37"/>
    </i>
    <i r="2">
      <x v="21"/>
    </i>
    <i r="2">
      <x v="4"/>
    </i>
    <i r="2">
      <x v="27"/>
    </i>
    <i r="2">
      <x v="24"/>
    </i>
    <i r="1">
      <x v="200"/>
    </i>
    <i r="2">
      <x v="15"/>
    </i>
    <i r="2">
      <x v="34"/>
    </i>
    <i r="2">
      <x v="28"/>
    </i>
    <i r="2">
      <x v="3"/>
    </i>
    <i r="2">
      <x v="21"/>
    </i>
    <i r="2">
      <x v="8"/>
    </i>
    <i r="2">
      <x v="5"/>
    </i>
    <i r="2">
      <x v="9"/>
    </i>
    <i r="1">
      <x v="201"/>
    </i>
    <i r="2">
      <x v="16"/>
    </i>
    <i r="2">
      <x v="30"/>
    </i>
    <i r="2">
      <x v="25"/>
    </i>
    <i r="2">
      <x v="39"/>
    </i>
    <i r="2">
      <x v="21"/>
    </i>
    <i r="2">
      <x v="14"/>
    </i>
    <i r="2">
      <x v="23"/>
    </i>
    <i r="2">
      <x v="9"/>
    </i>
    <i r="1">
      <x v="202"/>
    </i>
    <i r="2">
      <x v="16"/>
    </i>
    <i r="2">
      <x v="30"/>
    </i>
    <i r="2">
      <x v="25"/>
    </i>
    <i r="2">
      <x v="40"/>
    </i>
    <i r="2">
      <x v="7"/>
    </i>
    <i r="2">
      <x v="39"/>
    </i>
    <i r="2">
      <x v="33"/>
    </i>
    <i r="2">
      <x v="28"/>
    </i>
    <i r="2">
      <x v="3"/>
    </i>
    <i r="2">
      <x v="21"/>
    </i>
    <i r="2">
      <x v="8"/>
    </i>
    <i r="2">
      <x v="4"/>
    </i>
    <i r="2">
      <x v="23"/>
    </i>
    <i r="2">
      <x v="9"/>
    </i>
    <i r="1">
      <x v="203"/>
    </i>
    <i r="2">
      <x v="16"/>
    </i>
    <i r="2">
      <x v="30"/>
    </i>
    <i r="2">
      <x v="29"/>
    </i>
    <i r="2">
      <x v="26"/>
    </i>
    <i r="2">
      <x v="14"/>
    </i>
    <i r="2">
      <x v="42"/>
    </i>
    <i r="1">
      <x v="204"/>
    </i>
    <i r="2">
      <x v="16"/>
    </i>
    <i r="2">
      <x v="17"/>
    </i>
    <i r="2">
      <x v="20"/>
    </i>
    <i r="2">
      <x v="4"/>
    </i>
    <i r="2">
      <x v="9"/>
    </i>
    <i r="1">
      <x v="205"/>
    </i>
    <i r="2">
      <x v="17"/>
    </i>
    <i r="2">
      <x v="36"/>
    </i>
    <i r="2">
      <x v="20"/>
    </i>
    <i r="2">
      <x v="23"/>
    </i>
    <i r="2">
      <x v="9"/>
    </i>
    <i r="1">
      <x v="206"/>
    </i>
    <i r="2">
      <x v="16"/>
    </i>
    <i r="2">
      <x/>
    </i>
    <i r="2">
      <x v="34"/>
    </i>
    <i r="2">
      <x v="25"/>
    </i>
    <i r="2">
      <x v="2"/>
    </i>
    <i r="2">
      <x v="28"/>
    </i>
    <i r="2">
      <x v="3"/>
    </i>
    <i r="2">
      <x v="37"/>
    </i>
    <i r="2">
      <x v="21"/>
    </i>
    <i r="2">
      <x v="35"/>
    </i>
    <i r="2">
      <x v="8"/>
    </i>
    <i r="2">
      <x v="6"/>
    </i>
    <i r="2">
      <x v="14"/>
    </i>
    <i r="2">
      <x v="23"/>
    </i>
    <i r="2">
      <x v="9"/>
    </i>
    <i r="2">
      <x v="10"/>
    </i>
    <i r="2">
      <x v="24"/>
    </i>
    <i r="1">
      <x v="207"/>
    </i>
    <i r="2">
      <x v="1"/>
    </i>
    <i r="2">
      <x v="34"/>
    </i>
    <i r="2">
      <x v="3"/>
    </i>
    <i r="2">
      <x v="8"/>
    </i>
    <i r="2">
      <x v="5"/>
    </i>
    <i r="2">
      <x v="23"/>
    </i>
    <i r="2">
      <x v="9"/>
    </i>
    <i r="2">
      <x v="10"/>
    </i>
    <i r="2">
      <x v="11"/>
    </i>
    <i r="1">
      <x v="208"/>
    </i>
    <i r="2">
      <x v="16"/>
    </i>
    <i r="2">
      <x v="32"/>
    </i>
    <i r="2">
      <x v="30"/>
    </i>
    <i r="2">
      <x v="25"/>
    </i>
    <i r="2">
      <x v="33"/>
    </i>
    <i r="2">
      <x v="29"/>
    </i>
    <i r="2">
      <x v="3"/>
    </i>
    <i r="2">
      <x v="4"/>
    </i>
    <i r="2">
      <x v="6"/>
    </i>
    <i r="2">
      <x v="9"/>
    </i>
    <i r="2">
      <x v="10"/>
    </i>
    <i r="2">
      <x v="24"/>
    </i>
    <i r="1">
      <x v="209"/>
    </i>
    <i r="2">
      <x v="7"/>
    </i>
    <i r="2">
      <x v="28"/>
    </i>
    <i r="2">
      <x v="21"/>
    </i>
    <i r="2">
      <x v="35"/>
    </i>
    <i r="2">
      <x v="8"/>
    </i>
    <i r="2">
      <x v="9"/>
    </i>
    <i r="1">
      <x v="210"/>
    </i>
    <i r="2">
      <x v="16"/>
    </i>
    <i r="2">
      <x v="31"/>
    </i>
    <i r="2">
      <x v="25"/>
    </i>
    <i r="2">
      <x v="39"/>
    </i>
    <i r="2">
      <x v="21"/>
    </i>
    <i r="2">
      <x v="35"/>
    </i>
    <i r="2">
      <x v="8"/>
    </i>
    <i r="2">
      <x v="26"/>
    </i>
    <i r="2">
      <x v="14"/>
    </i>
    <i r="2">
      <x v="10"/>
    </i>
    <i r="1">
      <x v="211"/>
    </i>
    <i r="2">
      <x v="38"/>
    </i>
    <i r="1">
      <x v="212"/>
    </i>
    <i r="2">
      <x v="16"/>
    </i>
    <i r="2">
      <x v="34"/>
    </i>
    <i r="2">
      <x v="25"/>
    </i>
    <i r="2">
      <x v="7"/>
    </i>
    <i r="2">
      <x v="39"/>
    </i>
    <i r="2">
      <x v="18"/>
    </i>
    <i r="2">
      <x v="29"/>
    </i>
    <i r="2">
      <x v="28"/>
    </i>
    <i r="2">
      <x v="8"/>
    </i>
    <i r="2">
      <x v="6"/>
    </i>
    <i r="2">
      <x v="14"/>
    </i>
    <i r="2">
      <x v="27"/>
    </i>
    <i r="2">
      <x v="23"/>
    </i>
    <i r="2">
      <x v="9"/>
    </i>
    <i r="2">
      <x v="10"/>
    </i>
    <i r="2">
      <x v="12"/>
    </i>
    <i r="2">
      <x v="24"/>
    </i>
    <i r="1">
      <x v="213"/>
    </i>
    <i r="2">
      <x v="16"/>
    </i>
    <i r="2">
      <x v="32"/>
    </i>
    <i r="2">
      <x/>
    </i>
    <i r="2">
      <x v="30"/>
    </i>
    <i r="2">
      <x v="34"/>
    </i>
    <i r="2">
      <x v="17"/>
    </i>
    <i r="2">
      <x v="25"/>
    </i>
    <i r="2">
      <x v="36"/>
    </i>
    <i r="2">
      <x v="29"/>
    </i>
    <i r="2">
      <x v="20"/>
    </i>
    <i r="2">
      <x v="21"/>
    </i>
    <i r="2">
      <x v="35"/>
    </i>
    <i r="2">
      <x v="14"/>
    </i>
    <i r="2">
      <x v="23"/>
    </i>
    <i r="2">
      <x v="24"/>
    </i>
    <i r="1">
      <x v="214"/>
    </i>
    <i r="2">
      <x v="31"/>
    </i>
    <i r="2">
      <x v="34"/>
    </i>
    <i r="1">
      <x v="215"/>
    </i>
    <i r="2">
      <x v="37"/>
    </i>
    <i r="2">
      <x v="21"/>
    </i>
    <i r="2">
      <x v="8"/>
    </i>
    <i r="2">
      <x v="10"/>
    </i>
    <i r="1">
      <x v="216"/>
    </i>
    <i r="2">
      <x v="17"/>
    </i>
    <i r="2">
      <x v="36"/>
    </i>
    <i r="2">
      <x v="39"/>
    </i>
    <i r="2">
      <x v="20"/>
    </i>
    <i r="1">
      <x v="217"/>
    </i>
    <i r="2">
      <x v="8"/>
    </i>
    <i r="2">
      <x v="10"/>
    </i>
    <i r="1">
      <x v="218"/>
    </i>
    <i r="2">
      <x v="17"/>
    </i>
    <i r="2">
      <x v="36"/>
    </i>
    <i r="2">
      <x v="20"/>
    </i>
    <i r="2">
      <x v="8"/>
    </i>
    <i r="2">
      <x v="22"/>
    </i>
    <i r="2">
      <x v="23"/>
    </i>
    <i r="2">
      <x v="9"/>
    </i>
    <i r="1">
      <x v="219"/>
    </i>
    <i r="2">
      <x v="15"/>
    </i>
    <i r="1">
      <x v="220"/>
    </i>
    <i r="2">
      <x v="25"/>
    </i>
    <i r="2">
      <x v="39"/>
    </i>
    <i r="2">
      <x v="29"/>
    </i>
    <i r="2">
      <x v="37"/>
    </i>
    <i r="2">
      <x v="21"/>
    </i>
    <i r="2">
      <x v="6"/>
    </i>
    <i r="2">
      <x v="9"/>
    </i>
    <i r="1">
      <x v="221"/>
    </i>
    <i r="2">
      <x v="7"/>
    </i>
    <i r="2">
      <x v="2"/>
    </i>
    <i r="2">
      <x v="28"/>
    </i>
    <i r="2">
      <x v="3"/>
    </i>
    <i r="2">
      <x v="8"/>
    </i>
    <i r="2">
      <x v="4"/>
    </i>
    <i r="2">
      <x v="9"/>
    </i>
    <i r="2">
      <x v="11"/>
    </i>
    <i r="1">
      <x v="222"/>
    </i>
    <i r="2">
      <x v="25"/>
    </i>
    <i r="2">
      <x v="8"/>
    </i>
    <i r="2">
      <x v="9"/>
    </i>
    <i>
      <x v="6"/>
    </i>
    <i r="1">
      <x v="223"/>
    </i>
    <i r="2">
      <x v="41"/>
    </i>
    <i r="2">
      <x v="25"/>
    </i>
    <i r="2">
      <x v="7"/>
    </i>
    <i r="2">
      <x v="29"/>
    </i>
    <i r="2">
      <x v="3"/>
    </i>
    <i r="2">
      <x v="37"/>
    </i>
    <i r="2">
      <x v="21"/>
    </i>
    <i r="2">
      <x v="8"/>
    </i>
    <i r="2">
      <x v="27"/>
    </i>
    <i r="2">
      <x v="23"/>
    </i>
    <i r="2">
      <x v="9"/>
    </i>
    <i r="2">
      <x v="10"/>
    </i>
    <i r="2">
      <x v="11"/>
    </i>
    <i r="2">
      <x v="42"/>
    </i>
    <i r="1">
      <x v="224"/>
    </i>
    <i r="2">
      <x v="8"/>
    </i>
    <i r="1">
      <x v="225"/>
    </i>
    <i r="2">
      <x v="38"/>
    </i>
    <i r="2">
      <x v="34"/>
    </i>
    <i r="2">
      <x v="36"/>
    </i>
    <i r="2">
      <x v="8"/>
    </i>
    <i r="2">
      <x v="9"/>
    </i>
    <i r="1">
      <x v="226"/>
    </i>
    <i r="2">
      <x v="16"/>
    </i>
    <i r="2">
      <x v="32"/>
    </i>
    <i r="2">
      <x v="30"/>
    </i>
    <i r="2">
      <x v="34"/>
    </i>
    <i r="2">
      <x v="25"/>
    </i>
    <i r="2">
      <x v="18"/>
    </i>
    <i r="2">
      <x v="33"/>
    </i>
    <i r="2">
      <x v="28"/>
    </i>
    <i r="2">
      <x v="3"/>
    </i>
    <i r="2">
      <x v="37"/>
    </i>
    <i r="2">
      <x v="21"/>
    </i>
    <i r="2">
      <x v="8"/>
    </i>
    <i r="2">
      <x v="4"/>
    </i>
    <i r="2">
      <x v="6"/>
    </i>
    <i r="2">
      <x v="14"/>
    </i>
    <i r="2">
      <x v="9"/>
    </i>
    <i r="2">
      <x v="24"/>
    </i>
    <i r="1">
      <x v="227"/>
    </i>
    <i r="2">
      <x v="16"/>
    </i>
    <i r="2">
      <x v="39"/>
    </i>
    <i r="2">
      <x v="37"/>
    </i>
    <i r="2">
      <x v="21"/>
    </i>
    <i r="2">
      <x v="4"/>
    </i>
    <i r="2">
      <x v="5"/>
    </i>
    <i r="2">
      <x v="27"/>
    </i>
    <i r="2">
      <x v="23"/>
    </i>
    <i r="2">
      <x v="9"/>
    </i>
    <i r="2">
      <x v="10"/>
    </i>
    <i r="1">
      <x v="228"/>
    </i>
    <i r="2">
      <x v="2"/>
    </i>
    <i r="2">
      <x v="35"/>
    </i>
    <i r="1">
      <x v="229"/>
    </i>
    <i r="2">
      <x v="17"/>
    </i>
    <i r="2">
      <x v="20"/>
    </i>
    <i r="2">
      <x v="23"/>
    </i>
    <i r="1">
      <x v="230"/>
    </i>
    <i r="2">
      <x v="16"/>
    </i>
    <i r="2">
      <x v="25"/>
    </i>
    <i r="2">
      <x v="37"/>
    </i>
    <i r="2">
      <x v="21"/>
    </i>
    <i r="2">
      <x v="27"/>
    </i>
    <i r="1">
      <x v="231"/>
    </i>
    <i r="2">
      <x v="7"/>
    </i>
    <i r="2">
      <x v="33"/>
    </i>
    <i r="2">
      <x v="3"/>
    </i>
    <i r="2">
      <x v="21"/>
    </i>
    <i r="2">
      <x v="8"/>
    </i>
    <i r="2">
      <x v="6"/>
    </i>
    <i r="2">
      <x v="9"/>
    </i>
    <i r="1">
      <x v="232"/>
    </i>
    <i r="2">
      <x v="38"/>
    </i>
    <i r="2">
      <x v="19"/>
    </i>
    <i r="2">
      <x v="17"/>
    </i>
    <i r="2">
      <x v="25"/>
    </i>
    <i r="2">
      <x v="36"/>
    </i>
    <i r="2">
      <x v="40"/>
    </i>
    <i r="2">
      <x v="18"/>
    </i>
    <i r="2">
      <x v="20"/>
    </i>
    <i r="2">
      <x v="37"/>
    </i>
    <i r="2">
      <x v="21"/>
    </i>
    <i r="2">
      <x v="35"/>
    </i>
    <i r="2">
      <x v="23"/>
    </i>
    <i r="1">
      <x v="233"/>
    </i>
    <i r="2">
      <x v="7"/>
    </i>
    <i r="2">
      <x v="8"/>
    </i>
    <i r="2">
      <x v="9"/>
    </i>
    <i r="1">
      <x v="234"/>
    </i>
    <i r="2">
      <x v="38"/>
    </i>
    <i r="2">
      <x v="16"/>
    </i>
    <i r="2">
      <x v="19"/>
    </i>
    <i r="2">
      <x v="17"/>
    </i>
    <i r="2">
      <x v="36"/>
    </i>
    <i r="2">
      <x v="7"/>
    </i>
    <i r="2">
      <x v="3"/>
    </i>
    <i r="2">
      <x v="8"/>
    </i>
    <i r="2">
      <x v="26"/>
    </i>
    <i r="2">
      <x v="44"/>
    </i>
    <i r="2">
      <x v="22"/>
    </i>
    <i r="2">
      <x v="27"/>
    </i>
    <i r="1">
      <x v="235"/>
    </i>
    <i r="2">
      <x v="16"/>
    </i>
    <i r="2">
      <x v="32"/>
    </i>
    <i r="2">
      <x v="31"/>
    </i>
    <i r="2">
      <x v="7"/>
    </i>
    <i r="2">
      <x v="39"/>
    </i>
    <i r="2">
      <x v="3"/>
    </i>
    <i r="2">
      <x v="21"/>
    </i>
    <i r="2">
      <x v="26"/>
    </i>
    <i r="2">
      <x v="4"/>
    </i>
    <i r="2">
      <x v="14"/>
    </i>
    <i r="2">
      <x v="9"/>
    </i>
    <i r="1">
      <x v="236"/>
    </i>
    <i r="2">
      <x v="7"/>
    </i>
    <i r="2">
      <x v="8"/>
    </i>
    <i r="2">
      <x v="9"/>
    </i>
    <i r="1">
      <x v="237"/>
    </i>
    <i r="2">
      <x v="30"/>
    </i>
    <i r="2">
      <x v="34"/>
    </i>
    <i r="2">
      <x v="25"/>
    </i>
    <i r="2">
      <x v="21"/>
    </i>
    <i r="2">
      <x v="8"/>
    </i>
    <i r="2">
      <x v="6"/>
    </i>
    <i r="2">
      <x v="14"/>
    </i>
    <i r="1">
      <x v="238"/>
    </i>
    <i r="2">
      <x v="30"/>
    </i>
    <i r="2">
      <x v="39"/>
    </i>
    <i r="2">
      <x v="28"/>
    </i>
    <i r="2">
      <x v="3"/>
    </i>
    <i r="2">
      <x v="8"/>
    </i>
    <i r="2">
      <x v="4"/>
    </i>
    <i r="2">
      <x v="14"/>
    </i>
    <i r="1">
      <x v="239"/>
    </i>
    <i r="2">
      <x v="16"/>
    </i>
    <i r="2">
      <x v="34"/>
    </i>
    <i r="2">
      <x v="28"/>
    </i>
    <i r="2">
      <x v="21"/>
    </i>
    <i r="2">
      <x v="8"/>
    </i>
    <i r="2">
      <x v="6"/>
    </i>
    <i r="2">
      <x v="9"/>
    </i>
    <i r="1">
      <x v="240"/>
    </i>
    <i r="2">
      <x v="16"/>
    </i>
    <i r="2">
      <x v="34"/>
    </i>
    <i r="2">
      <x v="23"/>
    </i>
    <i r="2">
      <x v="9"/>
    </i>
    <i r="2">
      <x v="24"/>
    </i>
    <i r="1">
      <x v="241"/>
    </i>
    <i r="2">
      <x v="25"/>
    </i>
    <i r="2">
      <x v="39"/>
    </i>
    <i r="2">
      <x v="28"/>
    </i>
    <i r="2">
      <x v="21"/>
    </i>
    <i r="2">
      <x v="8"/>
    </i>
    <i r="2">
      <x v="6"/>
    </i>
    <i r="2">
      <x v="14"/>
    </i>
    <i r="2">
      <x v="9"/>
    </i>
    <i r="1">
      <x v="242"/>
    </i>
    <i r="2">
      <x v="16"/>
    </i>
    <i r="2">
      <x v="32"/>
    </i>
    <i r="2">
      <x v="34"/>
    </i>
    <i r="2">
      <x v="18"/>
    </i>
    <i r="2">
      <x v="33"/>
    </i>
    <i r="2">
      <x v="3"/>
    </i>
    <i r="2">
      <x v="8"/>
    </i>
    <i r="2">
      <x v="9"/>
    </i>
    <i r="2">
      <x v="24"/>
    </i>
    <i r="1">
      <x v="243"/>
    </i>
    <i r="2">
      <x v="32"/>
    </i>
    <i r="2">
      <x v="34"/>
    </i>
    <i r="2">
      <x v="39"/>
    </i>
    <i r="2">
      <x v="2"/>
    </i>
    <i r="2">
      <x v="28"/>
    </i>
    <i r="2">
      <x v="37"/>
    </i>
    <i r="2">
      <x v="21"/>
    </i>
    <i r="2">
      <x v="8"/>
    </i>
    <i r="2">
      <x v="23"/>
    </i>
    <i r="2">
      <x v="9"/>
    </i>
    <i r="1">
      <x v="244"/>
    </i>
    <i r="2">
      <x v="32"/>
    </i>
    <i r="2">
      <x v="30"/>
    </i>
    <i r="2">
      <x v="41"/>
    </i>
    <i r="2">
      <x v="25"/>
    </i>
    <i r="2">
      <x v="28"/>
    </i>
    <i r="2">
      <x v="3"/>
    </i>
    <i r="2">
      <x v="8"/>
    </i>
    <i r="2">
      <x v="6"/>
    </i>
    <i r="2">
      <x v="14"/>
    </i>
    <i r="2">
      <x v="9"/>
    </i>
    <i r="1">
      <x v="245"/>
    </i>
    <i r="2">
      <x v="15"/>
    </i>
    <i r="2">
      <x v="34"/>
    </i>
    <i r="2">
      <x v="29"/>
    </i>
    <i r="2">
      <x v="21"/>
    </i>
    <i r="2">
      <x v="8"/>
    </i>
    <i r="2">
      <x v="6"/>
    </i>
    <i r="2">
      <x v="9"/>
    </i>
    <i r="2">
      <x v="24"/>
    </i>
    <i r="1">
      <x v="246"/>
    </i>
    <i r="2">
      <x v="33"/>
    </i>
    <i r="2">
      <x v="2"/>
    </i>
    <i r="2">
      <x v="3"/>
    </i>
    <i r="2">
      <x v="8"/>
    </i>
    <i r="2">
      <x v="9"/>
    </i>
    <i r="1">
      <x v="247"/>
    </i>
    <i r="2">
      <x v="34"/>
    </i>
    <i r="2">
      <x v="25"/>
    </i>
    <i r="2">
      <x v="14"/>
    </i>
    <i r="2">
      <x v="10"/>
    </i>
    <i r="1">
      <x v="248"/>
    </i>
    <i r="2">
      <x v="15"/>
    </i>
    <i r="2">
      <x v="41"/>
    </i>
    <i r="2">
      <x v="13"/>
    </i>
    <i r="2">
      <x v="4"/>
    </i>
    <i r="2">
      <x v="23"/>
    </i>
    <i r="1">
      <x v="249"/>
    </i>
    <i r="2">
      <x v="17"/>
    </i>
    <i r="2">
      <x v="36"/>
    </i>
    <i r="2">
      <x v="20"/>
    </i>
    <i r="2">
      <x v="8"/>
    </i>
    <i r="2">
      <x v="26"/>
    </i>
    <i r="1">
      <x v="250"/>
    </i>
    <i r="2">
      <x v="31"/>
    </i>
    <i r="2">
      <x v="19"/>
    </i>
    <i r="2">
      <x v="18"/>
    </i>
    <i r="2">
      <x v="33"/>
    </i>
    <i r="2">
      <x v="26"/>
    </i>
    <i r="2">
      <x v="27"/>
    </i>
    <i r="2">
      <x v="11"/>
    </i>
    <i r="1">
      <x v="251"/>
    </i>
    <i r="2">
      <x v="17"/>
    </i>
    <i r="2">
      <x v="36"/>
    </i>
    <i r="2">
      <x v="20"/>
    </i>
    <i r="1">
      <x v="252"/>
    </i>
    <i r="2">
      <x v="16"/>
    </i>
    <i r="2">
      <x v="17"/>
    </i>
    <i r="2">
      <x v="36"/>
    </i>
    <i r="2">
      <x v="18"/>
    </i>
    <i r="2">
      <x v="20"/>
    </i>
    <i r="2">
      <x v="23"/>
    </i>
    <i r="2">
      <x v="11"/>
    </i>
    <i r="1">
      <x v="253"/>
    </i>
    <i r="2">
      <x v="32"/>
    </i>
    <i r="2">
      <x v="30"/>
    </i>
    <i r="2">
      <x v="25"/>
    </i>
    <i r="2">
      <x v="18"/>
    </i>
    <i r="2">
      <x v="6"/>
    </i>
    <i r="2">
      <x v="23"/>
    </i>
    <i r="2">
      <x v="9"/>
    </i>
    <i r="2">
      <x v="10"/>
    </i>
    <i r="2">
      <x v="11"/>
    </i>
    <i>
      <x v="7"/>
    </i>
    <i r="1">
      <x v="254"/>
    </i>
    <i r="2">
      <x v="4"/>
    </i>
    <i r="1">
      <x v="255"/>
    </i>
    <i r="2">
      <x v="16"/>
    </i>
    <i r="2">
      <x v="15"/>
    </i>
    <i r="2">
      <x v="30"/>
    </i>
    <i r="2">
      <x v="31"/>
    </i>
    <i r="2">
      <x v="34"/>
    </i>
    <i r="2">
      <x v="19"/>
    </i>
    <i r="2">
      <x v="7"/>
    </i>
    <i r="2">
      <x v="33"/>
    </i>
    <i r="2">
      <x v="28"/>
    </i>
    <i r="2">
      <x v="3"/>
    </i>
    <i r="2">
      <x v="21"/>
    </i>
    <i r="2">
      <x v="35"/>
    </i>
    <i r="2">
      <x v="8"/>
    </i>
    <i r="2">
      <x v="4"/>
    </i>
    <i r="2">
      <x v="6"/>
    </i>
    <i r="2">
      <x v="27"/>
    </i>
    <i r="2">
      <x v="9"/>
    </i>
    <i r="1">
      <x v="256"/>
    </i>
    <i r="2">
      <x v="1"/>
    </i>
    <i r="2">
      <x v="25"/>
    </i>
    <i r="2">
      <x v="21"/>
    </i>
    <i r="1">
      <x v="257"/>
    </i>
    <i r="2">
      <x v="22"/>
    </i>
    <i r="1">
      <x v="258"/>
    </i>
    <i r="2">
      <x v="5"/>
    </i>
    <i r="1">
      <x v="259"/>
    </i>
    <i r="2">
      <x v="8"/>
    </i>
    <i r="2">
      <x v="6"/>
    </i>
    <i r="2">
      <x v="14"/>
    </i>
    <i r="2">
      <x v="9"/>
    </i>
    <i r="2">
      <x v="11"/>
    </i>
    <i r="1">
      <x v="260"/>
    </i>
    <i r="2">
      <x v="16"/>
    </i>
    <i r="2">
      <x v="39"/>
    </i>
    <i r="2">
      <x v="37"/>
    </i>
    <i r="2">
      <x v="21"/>
    </i>
    <i r="2">
      <x v="8"/>
    </i>
    <i r="2">
      <x v="9"/>
    </i>
    <i r="1">
      <x v="261"/>
    </i>
    <i r="2">
      <x v="16"/>
    </i>
    <i r="2">
      <x v="15"/>
    </i>
    <i r="2">
      <x v="1"/>
    </i>
    <i r="2">
      <x v="28"/>
    </i>
    <i r="2">
      <x v="21"/>
    </i>
    <i r="2">
      <x v="8"/>
    </i>
    <i r="2">
      <x v="4"/>
    </i>
    <i r="2">
      <x v="6"/>
    </i>
    <i r="2">
      <x v="14"/>
    </i>
    <i r="2">
      <x v="42"/>
    </i>
    <i r="1">
      <x v="262"/>
    </i>
    <i r="2">
      <x v="16"/>
    </i>
    <i r="2">
      <x v="15"/>
    </i>
    <i r="2">
      <x v="34"/>
    </i>
    <i r="2">
      <x v="25"/>
    </i>
    <i r="2">
      <x v="7"/>
    </i>
    <i r="2">
      <x v="39"/>
    </i>
    <i r="2">
      <x v="2"/>
    </i>
    <i r="2">
      <x v="28"/>
    </i>
    <i r="2">
      <x v="21"/>
    </i>
    <i r="2">
      <x v="13"/>
    </i>
    <i r="2">
      <x v="8"/>
    </i>
    <i r="2">
      <x v="6"/>
    </i>
    <i r="2">
      <x v="14"/>
    </i>
    <i r="2">
      <x v="9"/>
    </i>
    <i r="2">
      <x v="10"/>
    </i>
    <i r="1">
      <x v="263"/>
    </i>
    <i r="2">
      <x v="34"/>
    </i>
    <i r="2">
      <x v="8"/>
    </i>
    <i r="2">
      <x v="14"/>
    </i>
    <i r="2">
      <x v="10"/>
    </i>
    <i r="1">
      <x v="264"/>
    </i>
    <i r="2">
      <x v="38"/>
    </i>
    <i r="2">
      <x v="17"/>
    </i>
    <i r="2">
      <x v="25"/>
    </i>
    <i r="2">
      <x v="36"/>
    </i>
    <i r="2">
      <x v="20"/>
    </i>
    <i r="2">
      <x v="37"/>
    </i>
    <i r="2">
      <x v="21"/>
    </i>
    <i r="2">
      <x v="44"/>
    </i>
    <i r="2">
      <x v="23"/>
    </i>
    <i r="1">
      <x v="265"/>
    </i>
    <i r="2">
      <x v="16"/>
    </i>
    <i r="2">
      <x v="32"/>
    </i>
    <i r="2">
      <x v="17"/>
    </i>
    <i r="2">
      <x v="36"/>
    </i>
    <i r="2">
      <x v="7"/>
    </i>
    <i r="2">
      <x v="33"/>
    </i>
    <i r="2">
      <x v="20"/>
    </i>
    <i r="2">
      <x v="28"/>
    </i>
    <i r="2">
      <x v="3"/>
    </i>
    <i r="2">
      <x v="8"/>
    </i>
    <i r="2">
      <x v="14"/>
    </i>
    <i r="2">
      <x v="9"/>
    </i>
    <i r="2">
      <x v="11"/>
    </i>
    <i r="1">
      <x v="266"/>
    </i>
    <i r="2">
      <x v="20"/>
    </i>
    <i r="2">
      <x v="21"/>
    </i>
    <i r="2">
      <x v="23"/>
    </i>
    <i r="1">
      <x v="267"/>
    </i>
    <i r="2">
      <x v="4"/>
    </i>
    <i r="1">
      <x v="268"/>
    </i>
    <i r="2">
      <x v="31"/>
    </i>
    <i r="2">
      <x v="3"/>
    </i>
    <i r="2">
      <x v="8"/>
    </i>
    <i r="2">
      <x v="9"/>
    </i>
    <i r="2">
      <x v="10"/>
    </i>
    <i r="2">
      <x v="12"/>
    </i>
    <i r="1">
      <x v="269"/>
    </i>
    <i r="2">
      <x v="1"/>
    </i>
    <i r="2">
      <x v="34"/>
    </i>
    <i r="2">
      <x v="8"/>
    </i>
    <i r="2">
      <x v="27"/>
    </i>
    <i r="2">
      <x v="9"/>
    </i>
    <i r="1">
      <x v="270"/>
    </i>
    <i r="2">
      <x v="34"/>
    </i>
    <i r="2">
      <x v="7"/>
    </i>
    <i r="2">
      <x v="8"/>
    </i>
    <i r="1">
      <x v="271"/>
    </i>
    <i r="2">
      <x v="16"/>
    </i>
    <i r="2">
      <x v="15"/>
    </i>
    <i r="2">
      <x v="34"/>
    </i>
    <i r="2">
      <x v="33"/>
    </i>
    <i r="2">
      <x v="21"/>
    </i>
    <i r="2">
      <x v="8"/>
    </i>
    <i r="2">
      <x v="14"/>
    </i>
    <i r="2">
      <x v="27"/>
    </i>
    <i r="2">
      <x v="9"/>
    </i>
    <i r="2">
      <x v="24"/>
    </i>
    <i r="1">
      <x v="272"/>
    </i>
    <i r="2">
      <x v="31"/>
    </i>
    <i r="2">
      <x v="34"/>
    </i>
    <i r="2">
      <x v="7"/>
    </i>
    <i r="2">
      <x v="8"/>
    </i>
    <i r="2">
      <x v="4"/>
    </i>
    <i r="2">
      <x v="14"/>
    </i>
    <i r="2">
      <x v="9"/>
    </i>
    <i r="1">
      <x v="273"/>
    </i>
    <i r="2">
      <x v="15"/>
    </i>
    <i r="2">
      <x v="34"/>
    </i>
    <i r="2">
      <x v="17"/>
    </i>
    <i r="2">
      <x v="20"/>
    </i>
    <i r="2">
      <x v="8"/>
    </i>
    <i r="2">
      <x v="9"/>
    </i>
    <i r="1">
      <x v="274"/>
    </i>
    <i r="2">
      <x v="7"/>
    </i>
    <i r="2">
      <x v="3"/>
    </i>
    <i r="2">
      <x v="8"/>
    </i>
    <i r="2">
      <x v="9"/>
    </i>
    <i r="1">
      <x v="275"/>
    </i>
    <i r="2">
      <x v="30"/>
    </i>
    <i r="2">
      <x v="1"/>
    </i>
    <i r="2">
      <x v="31"/>
    </i>
    <i r="2">
      <x v="17"/>
    </i>
    <i r="2">
      <x v="2"/>
    </i>
    <i r="2">
      <x v="5"/>
    </i>
    <i r="1">
      <x v="276"/>
    </i>
    <i r="2">
      <x/>
    </i>
    <i r="1">
      <x v="277"/>
    </i>
    <i r="2">
      <x v="30"/>
    </i>
    <i r="2">
      <x v="7"/>
    </i>
    <i r="2">
      <x v="2"/>
    </i>
    <i r="2">
      <x v="21"/>
    </i>
    <i r="2">
      <x v="8"/>
    </i>
    <i r="2">
      <x v="4"/>
    </i>
    <i r="2">
      <x v="6"/>
    </i>
    <i r="2">
      <x v="14"/>
    </i>
    <i r="2">
      <x v="9"/>
    </i>
    <i r="2">
      <x v="12"/>
    </i>
    <i r="1">
      <x v="278"/>
    </i>
    <i r="2">
      <x v="8"/>
    </i>
    <i r="1">
      <x v="279"/>
    </i>
    <i r="2">
      <x v="31"/>
    </i>
    <i r="2">
      <x v="25"/>
    </i>
    <i r="2">
      <x v="18"/>
    </i>
    <i r="2">
      <x v="21"/>
    </i>
    <i r="2">
      <x v="8"/>
    </i>
    <i r="2">
      <x v="26"/>
    </i>
    <i r="2">
      <x v="4"/>
    </i>
    <i r="2">
      <x v="14"/>
    </i>
    <i r="2">
      <x v="10"/>
    </i>
    <i r="2">
      <x v="11"/>
    </i>
    <i r="2">
      <x v="24"/>
    </i>
    <i r="1">
      <x v="280"/>
    </i>
    <i r="2">
      <x v="11"/>
    </i>
    <i r="1">
      <x v="281"/>
    </i>
    <i r="2">
      <x v="30"/>
    </i>
    <i r="2">
      <x v="17"/>
    </i>
    <i r="2">
      <x v="36"/>
    </i>
    <i r="2">
      <x v="18"/>
    </i>
    <i r="2">
      <x v="20"/>
    </i>
    <i r="2">
      <x v="28"/>
    </i>
    <i r="2">
      <x v="3"/>
    </i>
    <i r="2">
      <x v="37"/>
    </i>
    <i r="2">
      <x v="21"/>
    </i>
    <i r="2">
      <x v="8"/>
    </i>
    <i r="2">
      <x v="26"/>
    </i>
    <i r="2">
      <x v="27"/>
    </i>
    <i r="2">
      <x v="9"/>
    </i>
  </rowItems>
  <colItems count="1">
    <i/>
  </colItems>
  <dataFields count="1">
    <dataField name="Количество номенклатур" fld="3" baseField="0" baseItem="0"/>
  </dataFields>
  <formats count="14">
    <format dxfId="26">
      <pivotArea outline="0" collapsedLevelsAreSubtotals="1" fieldPosition="0"/>
    </format>
    <format dxfId="25">
      <pivotArea dataOnly="0" labelOnly="1" outline="0" axis="axisValues" fieldPosition="0"/>
    </format>
    <format dxfId="24">
      <pivotArea field="0" type="button" dataOnly="0" labelOnly="1" outline="0" axis="axisRow" fieldPosition="0"/>
    </format>
    <format dxfId="23">
      <pivotArea field="2" type="button" dataOnly="0" labelOnly="1" outline="0" axis="axisRow" fieldPosition="1"/>
    </format>
    <format dxfId="22">
      <pivotArea field="1" type="button" dataOnly="0" labelOnly="1" outline="0" axis="axisRow" fieldPosition="2"/>
    </format>
    <format dxfId="21">
      <pivotArea dataOnly="0" labelOnly="1" outline="0" axis="axisValues" fieldPosition="0"/>
    </format>
    <format dxfId="20">
      <pivotArea field="0" type="button" dataOnly="0" labelOnly="1" outline="0" axis="axisRow" fieldPosition="0"/>
    </format>
    <format dxfId="19">
      <pivotArea field="2" type="button" dataOnly="0" labelOnly="1" outline="0" axis="axisRow" fieldPosition="1"/>
    </format>
    <format dxfId="18">
      <pivotArea field="1" type="button" dataOnly="0" labelOnly="1" outline="0" axis="axisRow" fieldPosition="2"/>
    </format>
    <format dxfId="17">
      <pivotArea dataOnly="0" labelOnly="1" outline="0" axis="axisValues" fieldPosition="0"/>
    </format>
    <format dxfId="16">
      <pivotArea field="0" type="button" dataOnly="0" labelOnly="1" outline="0" axis="axisRow" fieldPosition="0"/>
    </format>
    <format dxfId="15">
      <pivotArea field="2" type="button" dataOnly="0" labelOnly="1" outline="0" axis="axisRow" fieldPosition="1"/>
    </format>
    <format dxfId="14">
      <pivotArea field="1" type="button" dataOnly="0" labelOnly="1" outline="0" axis="axisRow" fieldPosition="2"/>
    </format>
    <format dxfId="13">
      <pivotArea dataOnly="0" labelOnly="1" outline="0" axis="axisValues" fieldPosition="0"/>
    </format>
  </formats>
  <pivotHierarchies count="21"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Количество номенклатур"/>
    <pivotHierarchy dragToData="1"/>
    <pivotHierarchy dragToData="1"/>
  </pivotHierarchies>
  <pivotTableStyleInfo name="Стиль сводной таблицы 2" showRowHeaders="1" showColHeaders="1" showRowStripes="0" showColStripes="0" showLastColumn="1"/>
  <rowHierarchiesUsage count="3">
    <rowHierarchyUsage hierarchyUsage="1"/>
    <rowHierarchyUsage hierarchyUsage="2"/>
    <rowHierarchyUsage hierarchyUsage="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ИД_подготовленные]"/>
        <x15:activeTabTopLevelEntity name="[ГД_МР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E6F75C-C397-4B77-AF30-1BDB36A070D3}" name="Свод_Кол_НМ" cacheId="40" applyNumberFormats="0" applyBorderFormats="0" applyFontFormats="0" applyPatternFormats="0" applyAlignmentFormats="0" applyWidthHeightFormats="1" dataCaption="Значения" tag="d2082ef4-4032-49a6-ab9d-651f20271383" updatedVersion="7" minRefreshableVersion="3" showDrill="0" useAutoFormatting="1" subtotalHiddenItems="1" rowGrandTotals="0" colGrandTotals="0" itemPrintTitles="1" createdVersion="5" indent="0" compact="0" compactData="0" multipleFieldFilters="0">
  <location ref="B3:C49" firstHeaderRow="1" firstDataRow="1" firstDataCol="1"/>
  <pivotFields count="2">
    <pivotField axis="axisRow" compact="0" allDrilled="1" outline="0" subtotalTop="0" showAll="0" dataSourceSort="1" defaultSubtotal="0" defaultAttributeDrillState="1">
      <items count="4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4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</rowItems>
  <colItems count="1">
    <i/>
  </colItems>
  <dataFields count="1">
    <dataField name="Число элементов в столбце Наименование" fld="1" subtotal="count" baseField="0" baseItem="0"/>
  </dataFields>
  <formats count="3">
    <format dxfId="12">
      <pivotArea dataOnly="0" labelOnly="1" outline="0" axis="axisValues" fieldPosition="0"/>
    </format>
    <format dxfId="11">
      <pivotArea dataOnly="0" labelOnly="1" outline="0" axis="axisValues" fieldPosition="0"/>
    </format>
    <format dxfId="10">
      <pivotArea dataOnly="0" labelOnly="1" outline="0" axis="axisValues" fieldPosition="0"/>
    </format>
  </formats>
  <pivotHierarchies count="2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pivotTableStyleInfo name="Стиль сводной таблицы 1" showRowHeaders="1" showColHeaders="1" showRowStripes="1" showColStripes="0" showLastColumn="1"/>
  <rowHierarchiesUsage count="1">
    <rowHierarchyUsage hierarchyUsage="5"/>
  </row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Номенклатура]"/>
        <x15:activeTabTopLevelEntity name="[Номенклатура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refreshOnLoad="1" connectionId="6" xr16:uid="{ED4625D5-CABF-409A-9423-7AD151E9B648}" autoFormatId="16" applyNumberFormats="0" applyBorderFormats="0" applyFontFormats="0" applyPatternFormats="0" applyAlignmentFormats="0" applyWidthHeightFormats="0">
  <queryTableRefresh nextId="3">
    <queryTableFields count="2">
      <queryTableField id="1" name="Расчетный период" tableColumnId="1"/>
      <queryTableField id="2" name="Начальный период" tableColumnId="2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86BA328-A2BC-4E67-9C4D-8CD5B538ADE3}" name="Свод_ТГ_МР" displayName="Свод_ТГ_МР" ref="B2:E10" totalsRowShown="0" headerRowDxfId="29">
  <autoFilter ref="B2:E10" xr:uid="{986BA328-A2BC-4E67-9C4D-8CD5B538ADE3}"/>
  <tableColumns count="4">
    <tableColumn id="1" xr3:uid="{EC0C457B-8DEB-4FBE-BC28-D225C42C5E5F}" name="Группа доступа">
      <calculatedColumnFormula>IF(ВСП!$E2="","",ВСП!$E2)</calculatedColumnFormula>
    </tableColumn>
    <tableColumn id="2" xr3:uid="{C98D3AA2-4A1A-4BDB-B57D-E6DDE5BFFF37}" name="Доля р-ии НМ" dataDxfId="28" dataCellStyle="Процентный">
      <calculatedColumnFormula>_xlfn.XLOOKUP($B3,Свод_ТГ!$A:$A,Свод_ТГ!$F:$F)</calculatedColumnFormula>
    </tableColumn>
    <tableColumn id="3" xr3:uid="{98D48E16-00BD-49D5-BC2B-40F9C1377C3A}" name="Баллы рейтинга ТГ" dataDxfId="27">
      <calculatedColumnFormula>1.1-0.1*_xlfn.RANK.EQ(Свод_ТГ_МР[[#This Row],[Доля р-ии НМ]],Свод_ТГ_МР[Доля р-ии НМ])</calculatedColumnFormula>
    </tableColumn>
    <tableColumn id="4" xr3:uid="{3874E192-79D1-4E5E-BC22-C69E7534ECF9}" name="Место в рейтинге ТГ">
      <calculatedColumnFormula>_xlfn.RANK.EQ(Свод_ТГ_МР[[#This Row],[Баллы рейтинга ТГ]],Свод_ТГ_МР[Баллы рейтинга ТГ])</calculatedColumnFormula>
    </tableColumn>
  </tableColumns>
  <tableStyleInfo name="Стиль таблицы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0B78F-A7D6-4BA1-8DD1-FFABB4A9C210}" name="Период" displayName="Период" ref="A1:B2" tableType="queryTable" totalsRowShown="0">
  <autoFilter ref="A1:B2" xr:uid="{05F0B78F-A7D6-4BA1-8DD1-FFABB4A9C210}"/>
  <tableColumns count="2">
    <tableColumn id="1" xr3:uid="{201E83E7-AF5B-4011-83A5-7465450F7DC7}" uniqueName="1" name="Расчетный период" queryTableFieldId="1" dataDxfId="1"/>
    <tableColumn id="2" xr3:uid="{60FD1685-C7E9-4A5A-977E-1C70E3D8AF9C}" uniqueName="2" name="Начальный период" queryTableFieldId="2" dataDxfId="0"/>
  </tableColumns>
  <tableStyleInfo name="Стиль таблицы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2D8E8DE-65AB-4733-9066-2170BF09449B}" name="ГД_МР" displayName="ГД_МР" ref="E1:E9" totalsRowShown="0" headerRowDxfId="9" headerRowBorderDxfId="8" tableBorderDxfId="7" totalsRowBorderDxfId="6">
  <autoFilter ref="E1:E9" xr:uid="{82D8E8DE-65AB-4733-9066-2170BF09449B}"/>
  <tableColumns count="1">
    <tableColumn id="1" xr3:uid="{3FBDD7EC-7598-4B59-BF2C-5928AD1E8FE0}" name="ГРУППА ДОСТУПА" dataDxfId="5"/>
  </tableColumns>
  <tableStyleInfo name="Стиль таблицы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7700BA3-2C8E-488E-9F6B-E34F96CF143A}" name="Таблица2" displayName="Таблица2" ref="G1:G5" totalsRowShown="0">
  <autoFilter ref="G1:G5" xr:uid="{87700BA3-2C8E-488E-9F6B-E34F96CF143A}"/>
  <tableColumns count="1">
    <tableColumn id="1" xr3:uid="{69B95DED-CB81-4C4B-9AD3-90E43CBDD629}" name="Столбцы"/>
  </tableColumns>
  <tableStyleInfo name="Стиль таблицы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88E20-460D-4BDE-B1D8-4E11C79B6F3F}">
  <sheetPr codeName="Лист4"/>
  <dimension ref="B1:E11"/>
  <sheetViews>
    <sheetView tabSelected="1" workbookViewId="0">
      <selection activeCell="H6" sqref="H6"/>
    </sheetView>
  </sheetViews>
  <sheetFormatPr defaultRowHeight="15" x14ac:dyDescent="0.25"/>
  <cols>
    <col min="1" max="1" width="2.85546875" customWidth="1"/>
    <col min="2" max="2" width="20.42578125" customWidth="1"/>
    <col min="3" max="3" width="17" customWidth="1"/>
    <col min="4" max="4" width="16.42578125" customWidth="1"/>
    <col min="5" max="5" width="16.5703125" customWidth="1"/>
  </cols>
  <sheetData>
    <row r="1" spans="2:5" ht="12" customHeight="1" x14ac:dyDescent="0.25"/>
    <row r="2" spans="2:5" s="8" customFormat="1" ht="30" x14ac:dyDescent="0.25">
      <c r="B2" s="8" t="s">
        <v>58</v>
      </c>
      <c r="C2" s="8" t="s">
        <v>351</v>
      </c>
      <c r="D2" s="8" t="s">
        <v>352</v>
      </c>
      <c r="E2" s="8" t="s">
        <v>353</v>
      </c>
    </row>
    <row r="3" spans="2:5" x14ac:dyDescent="0.25">
      <c r="B3" t="str">
        <f>IF(ВСП!$E2="","",ВСП!$E2)</f>
        <v>СЗФО Разин</v>
      </c>
      <c r="C3" s="26">
        <f>_xlfn.XLOOKUP($B3,Свод_ТГ!$A:$A,Свод_ТГ!$F:$F)</f>
        <v>3.4456666666666663E-2</v>
      </c>
      <c r="D3" s="27">
        <f>1.1-0.1*_xlfn.RANK.EQ(Свод_ТГ_МР[[#This Row],[Доля р-ии НМ]],Свод_ТГ_МР[Доля р-ии НМ])</f>
        <v>1</v>
      </c>
      <c r="E3">
        <f>_xlfn.RANK.EQ(Свод_ТГ_МР[[#This Row],[Баллы рейтинга ТГ]],Свод_ТГ_МР[Баллы рейтинга ТГ])</f>
        <v>1</v>
      </c>
    </row>
    <row r="4" spans="2:5" x14ac:dyDescent="0.25">
      <c r="B4" t="str">
        <f>IF(ВСП!$E3="","",ВСП!$E3)</f>
        <v>СНГ Фёдоров</v>
      </c>
      <c r="C4" s="26">
        <f>_xlfn.XLOOKUP($B4,Свод_ТГ!$A:$A,Свод_ТГ!$F:$F)</f>
        <v>3.0958333333333334E-2</v>
      </c>
      <c r="D4" s="27">
        <f>1.1-0.1*_xlfn.RANK.EQ(Свод_ТГ_МР[[#This Row],[Доля р-ии НМ]],Свод_ТГ_МР[Доля р-ии НМ])</f>
        <v>0.90000000000000013</v>
      </c>
      <c r="E4">
        <f>_xlfn.RANK.EQ(Свод_ТГ_МР[[#This Row],[Баллы рейтинга ТГ]],Свод_ТГ_МР[Баллы рейтинга ТГ])</f>
        <v>2</v>
      </c>
    </row>
    <row r="5" spans="2:5" x14ac:dyDescent="0.25">
      <c r="B5" t="str">
        <f>IF(ВСП!$E4="","",ВСП!$E4)</f>
        <v>ПФО Овсянников</v>
      </c>
      <c r="C5" s="26">
        <f>_xlfn.XLOOKUP($B5,Свод_ТГ!$A:$A,Свод_ТГ!$F:$F)</f>
        <v>2.2973809523809525E-2</v>
      </c>
      <c r="D5" s="27">
        <f>1.1-0.1*_xlfn.RANK.EQ(Свод_ТГ_МР[[#This Row],[Доля р-ии НМ]],Свод_ТГ_МР[Доля р-ии НМ])</f>
        <v>0.5</v>
      </c>
      <c r="E5">
        <f>_xlfn.RANK.EQ(Свод_ТГ_МР[[#This Row],[Баллы рейтинга ТГ]],Свод_ТГ_МР[Баллы рейтинга ТГ])</f>
        <v>6</v>
      </c>
    </row>
    <row r="6" spans="2:5" x14ac:dyDescent="0.25">
      <c r="B6" t="str">
        <f>IF(ВСП!$E5="","",ВСП!$E5)</f>
        <v>ПФО Шашкина</v>
      </c>
      <c r="C6" s="26">
        <f>_xlfn.XLOOKUP($B6,Свод_ТГ!$A:$A,Свод_ТГ!$F:$F)</f>
        <v>2.5003921568627453E-2</v>
      </c>
      <c r="D6" s="27">
        <f>1.1-0.1*_xlfn.RANK.EQ(Свод_ТГ_МР[[#This Row],[Доля р-ии НМ]],Свод_ТГ_МР[Доля р-ии НМ])</f>
        <v>0.70000000000000007</v>
      </c>
      <c r="E6">
        <f>_xlfn.RANK.EQ(Свод_ТГ_МР[[#This Row],[Баллы рейтинга ТГ]],Свод_ТГ_МР[Баллы рейтинга ТГ])</f>
        <v>4</v>
      </c>
    </row>
    <row r="7" spans="2:5" x14ac:dyDescent="0.25">
      <c r="B7" t="str">
        <f>IF(ВСП!$E6="","",ВСП!$E6)</f>
        <v>ПФО Ручкин</v>
      </c>
      <c r="C7" s="26">
        <f>_xlfn.XLOOKUP($B7,Свод_ТГ!$A:$A,Свод_ТГ!$F:$F)</f>
        <v>1.9221276595744682E-2</v>
      </c>
      <c r="D7" s="27">
        <f>1.1-0.1*_xlfn.RANK.EQ(Свод_ТГ_МР[[#This Row],[Доля р-ии НМ]],Свод_ТГ_МР[Доля р-ии НМ])</f>
        <v>0.30000000000000004</v>
      </c>
      <c r="E7">
        <f>_xlfn.RANK.EQ(Свод_ТГ_МР[[#This Row],[Баллы рейтинга ТГ]],Свод_ТГ_МР[Баллы рейтинга ТГ])</f>
        <v>8</v>
      </c>
    </row>
    <row r="8" spans="2:5" x14ac:dyDescent="0.25">
      <c r="B8" t="str">
        <f>IF(ВСП!$E7="","",ВСП!$E7)</f>
        <v>СФО Томлоп</v>
      </c>
      <c r="C8" s="26">
        <f>_xlfn.XLOOKUP($B8,Свод_ТГ!$A:$A,Свод_ТГ!$F:$F)</f>
        <v>2.9658620689655173E-2</v>
      </c>
      <c r="D8" s="27">
        <f>1.1-0.1*_xlfn.RANK.EQ(Свод_ТГ_МР[[#This Row],[Доля р-ии НМ]],Свод_ТГ_МР[Доля р-ии НМ])</f>
        <v>0.8</v>
      </c>
      <c r="E8">
        <f>_xlfn.RANK.EQ(Свод_ТГ_МР[[#This Row],[Баллы рейтинга ТГ]],Свод_ТГ_МР[Баллы рейтинга ТГ])</f>
        <v>3</v>
      </c>
    </row>
    <row r="9" spans="2:5" x14ac:dyDescent="0.25">
      <c r="B9" t="str">
        <f>IF(ВСП!$E8="","",ВСП!$E8)</f>
        <v>СФО Чучкалов</v>
      </c>
      <c r="C9" s="26">
        <f>_xlfn.XLOOKUP($B9,Свод_ТГ!$A:$A,Свод_ТГ!$F:$F)</f>
        <v>2.199032258064516E-2</v>
      </c>
      <c r="D9" s="27">
        <f>1.1-0.1*_xlfn.RANK.EQ(Свод_ТГ_МР[[#This Row],[Доля р-ии НМ]],Свод_ТГ_МР[Доля р-ии НМ])</f>
        <v>0.4</v>
      </c>
      <c r="E9">
        <f>_xlfn.RANK.EQ(Свод_ТГ_МР[[#This Row],[Баллы рейтинга ТГ]],Свод_ТГ_МР[Баллы рейтинга ТГ])</f>
        <v>7</v>
      </c>
    </row>
    <row r="10" spans="2:5" x14ac:dyDescent="0.25">
      <c r="B10" t="str">
        <f>IF(ВСП!$E9="","",ВСП!$E9)</f>
        <v>УФО Маринич</v>
      </c>
      <c r="C10" s="26">
        <f>_xlfn.XLOOKUP($B10,Свод_ТГ!$A:$A,Свод_ТГ!$F:$F)</f>
        <v>2.309642857142857E-2</v>
      </c>
      <c r="D10" s="27">
        <f>1.1-0.1*_xlfn.RANK.EQ(Свод_ТГ_МР[[#This Row],[Доля р-ии НМ]],Свод_ТГ_МР[Доля р-ии НМ])</f>
        <v>0.60000000000000009</v>
      </c>
      <c r="E10">
        <f>_xlfn.RANK.EQ(Свод_ТГ_МР[[#This Row],[Баллы рейтинга ТГ]],Свод_ТГ_МР[Баллы рейтинга ТГ])</f>
        <v>5</v>
      </c>
    </row>
    <row r="11" spans="2:5" x14ac:dyDescent="0.25">
      <c r="B11" t="str">
        <f>IF(ВСП!$E10="","",ВСП!$E10)</f>
        <v/>
      </c>
    </row>
  </sheetData>
  <conditionalFormatting sqref="D3:D1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:E1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52C07-6D0D-4785-8923-3B9378ED79C3}">
  <sheetPr codeName="Лист3">
    <outlinePr summaryBelow="0"/>
  </sheetPr>
  <dimension ref="A1:F5165"/>
  <sheetViews>
    <sheetView workbookViewId="0">
      <selection activeCell="I7" sqref="I7"/>
    </sheetView>
  </sheetViews>
  <sheetFormatPr defaultRowHeight="15" outlineLevelRow="2" x14ac:dyDescent="0.25"/>
  <cols>
    <col min="1" max="1" width="17.42578125" bestFit="1" customWidth="1"/>
    <col min="2" max="3" width="39.85546875" bestFit="1" customWidth="1"/>
    <col min="4" max="4" width="25" style="11" hidden="1" customWidth="1"/>
    <col min="5" max="5" width="15.28515625" style="10" customWidth="1"/>
    <col min="6" max="6" width="15.28515625" style="13" customWidth="1"/>
  </cols>
  <sheetData>
    <row r="1" spans="1:6" x14ac:dyDescent="0.25">
      <c r="E1"/>
    </row>
    <row r="2" spans="1:6" x14ac:dyDescent="0.25">
      <c r="E2"/>
    </row>
    <row r="3" spans="1:6" s="8" customFormat="1" ht="45" x14ac:dyDescent="0.25">
      <c r="A3" s="7" t="s">
        <v>58</v>
      </c>
      <c r="B3" s="7" t="s">
        <v>61</v>
      </c>
      <c r="C3" s="7" t="s">
        <v>59</v>
      </c>
      <c r="D3" s="14" t="s">
        <v>345</v>
      </c>
      <c r="E3" s="15" t="s">
        <v>347</v>
      </c>
      <c r="F3" s="15" t="s">
        <v>348</v>
      </c>
    </row>
    <row r="4" spans="1:6" x14ac:dyDescent="0.25">
      <c r="A4" t="s">
        <v>5</v>
      </c>
      <c r="D4" s="12"/>
      <c r="E4" s="16">
        <v>1152</v>
      </c>
      <c r="F4" s="23">
        <v>2.2973809523809525E-2</v>
      </c>
    </row>
    <row r="5" spans="1:6" outlineLevel="1" x14ac:dyDescent="0.25">
      <c r="B5" t="s">
        <v>63</v>
      </c>
      <c r="D5" s="12"/>
      <c r="E5" s="17">
        <v>17</v>
      </c>
      <c r="F5" s="24">
        <v>1.423785594639866E-2</v>
      </c>
    </row>
    <row r="6" spans="1:6" outlineLevel="2" x14ac:dyDescent="0.25">
      <c r="C6" t="s">
        <v>30</v>
      </c>
      <c r="D6" s="12">
        <v>2</v>
      </c>
      <c r="E6" s="2">
        <v>2</v>
      </c>
      <c r="F6" s="25">
        <v>0.33333333333333331</v>
      </c>
    </row>
    <row r="7" spans="1:6" outlineLevel="2" x14ac:dyDescent="0.25">
      <c r="C7" t="s">
        <v>32</v>
      </c>
      <c r="D7" s="12">
        <v>6</v>
      </c>
      <c r="E7" s="2">
        <v>6</v>
      </c>
      <c r="F7" s="25">
        <v>0.125</v>
      </c>
    </row>
    <row r="8" spans="1:6" outlineLevel="2" x14ac:dyDescent="0.25">
      <c r="C8" t="s">
        <v>24</v>
      </c>
      <c r="D8" s="12">
        <v>1</v>
      </c>
      <c r="E8" s="2">
        <v>1</v>
      </c>
      <c r="F8" s="25">
        <v>0.25</v>
      </c>
    </row>
    <row r="9" spans="1:6" outlineLevel="2" x14ac:dyDescent="0.25">
      <c r="C9" t="s">
        <v>11</v>
      </c>
      <c r="D9" s="12">
        <v>1</v>
      </c>
      <c r="E9" s="2">
        <v>1</v>
      </c>
      <c r="F9" s="25">
        <v>7.1428571428571425E-2</v>
      </c>
    </row>
    <row r="10" spans="1:6" outlineLevel="2" x14ac:dyDescent="0.25">
      <c r="C10" t="s">
        <v>37</v>
      </c>
      <c r="D10" s="12">
        <v>1</v>
      </c>
      <c r="E10" s="2">
        <v>1</v>
      </c>
      <c r="F10" s="25">
        <v>0.16666666666666666</v>
      </c>
    </row>
    <row r="11" spans="1:6" outlineLevel="2" x14ac:dyDescent="0.25">
      <c r="C11" t="s">
        <v>19</v>
      </c>
      <c r="D11" s="12">
        <v>2</v>
      </c>
      <c r="E11" s="2">
        <v>2</v>
      </c>
      <c r="F11" s="25">
        <v>3.8461538461538464E-2</v>
      </c>
    </row>
    <row r="12" spans="1:6" outlineLevel="2" x14ac:dyDescent="0.25">
      <c r="C12" t="s">
        <v>38</v>
      </c>
      <c r="D12" s="12">
        <v>4</v>
      </c>
      <c r="E12" s="2">
        <v>4</v>
      </c>
      <c r="F12" s="25">
        <v>0.2</v>
      </c>
    </row>
    <row r="13" spans="1:6" outlineLevel="1" x14ac:dyDescent="0.25">
      <c r="B13" t="s">
        <v>64</v>
      </c>
      <c r="D13" s="12"/>
      <c r="E13" s="17">
        <v>60</v>
      </c>
      <c r="F13" s="24">
        <v>5.0251256281407038E-2</v>
      </c>
    </row>
    <row r="14" spans="1:6" outlineLevel="2" x14ac:dyDescent="0.25">
      <c r="C14" t="s">
        <v>16</v>
      </c>
      <c r="D14" s="12">
        <v>1</v>
      </c>
      <c r="E14" s="2">
        <v>1</v>
      </c>
      <c r="F14" s="25">
        <v>0.125</v>
      </c>
    </row>
    <row r="15" spans="1:6" outlineLevel="2" x14ac:dyDescent="0.25">
      <c r="C15" t="s">
        <v>11</v>
      </c>
      <c r="D15" s="12">
        <v>1</v>
      </c>
      <c r="E15" s="2">
        <v>1</v>
      </c>
      <c r="F15" s="25">
        <v>7.1428571428571425E-2</v>
      </c>
    </row>
    <row r="16" spans="1:6" outlineLevel="2" x14ac:dyDescent="0.25">
      <c r="C16" t="s">
        <v>14</v>
      </c>
      <c r="D16" s="12">
        <v>50</v>
      </c>
      <c r="E16" s="2">
        <v>50</v>
      </c>
      <c r="F16" s="25">
        <v>0.22321428571428573</v>
      </c>
    </row>
    <row r="17" spans="2:6" outlineLevel="2" x14ac:dyDescent="0.25">
      <c r="C17" t="s">
        <v>15</v>
      </c>
      <c r="D17" s="12">
        <v>2</v>
      </c>
      <c r="E17" s="2">
        <v>2</v>
      </c>
      <c r="F17" s="25">
        <v>2.564102564102564E-2</v>
      </c>
    </row>
    <row r="18" spans="2:6" outlineLevel="2" x14ac:dyDescent="0.25">
      <c r="C18" t="s">
        <v>31</v>
      </c>
      <c r="D18" s="12">
        <v>4</v>
      </c>
      <c r="E18" s="2">
        <v>4</v>
      </c>
      <c r="F18" s="25">
        <v>0.18181818181818182</v>
      </c>
    </row>
    <row r="19" spans="2:6" outlineLevel="2" x14ac:dyDescent="0.25">
      <c r="C19" t="s">
        <v>48</v>
      </c>
      <c r="D19" s="12">
        <v>1</v>
      </c>
      <c r="E19" s="2">
        <v>1</v>
      </c>
      <c r="F19" s="25">
        <v>0.5</v>
      </c>
    </row>
    <row r="20" spans="2:6" outlineLevel="2" x14ac:dyDescent="0.25">
      <c r="C20" t="s">
        <v>39</v>
      </c>
      <c r="D20" s="12">
        <v>1</v>
      </c>
      <c r="E20" s="2">
        <v>1</v>
      </c>
      <c r="F20" s="25">
        <v>0.1</v>
      </c>
    </row>
    <row r="21" spans="2:6" outlineLevel="1" x14ac:dyDescent="0.25">
      <c r="B21" t="s">
        <v>65</v>
      </c>
      <c r="D21" s="12"/>
      <c r="E21" s="17">
        <v>9</v>
      </c>
      <c r="F21" s="24">
        <v>7.537688442211055E-3</v>
      </c>
    </row>
    <row r="22" spans="2:6" outlineLevel="2" x14ac:dyDescent="0.25">
      <c r="C22" t="s">
        <v>36</v>
      </c>
      <c r="D22" s="12">
        <v>1</v>
      </c>
      <c r="E22" s="2">
        <v>1</v>
      </c>
      <c r="F22" s="25">
        <v>0.25</v>
      </c>
    </row>
    <row r="23" spans="2:6" outlineLevel="2" x14ac:dyDescent="0.25">
      <c r="C23" t="s">
        <v>37</v>
      </c>
      <c r="D23" s="12">
        <v>4</v>
      </c>
      <c r="E23" s="2">
        <v>4</v>
      </c>
      <c r="F23" s="25">
        <v>0.66666666666666663</v>
      </c>
    </row>
    <row r="24" spans="2:6" outlineLevel="2" x14ac:dyDescent="0.25">
      <c r="C24" t="s">
        <v>20</v>
      </c>
      <c r="D24" s="12">
        <v>4</v>
      </c>
      <c r="E24" s="2">
        <v>4</v>
      </c>
      <c r="F24" s="25">
        <v>0.18181818181818182</v>
      </c>
    </row>
    <row r="25" spans="2:6" outlineLevel="1" x14ac:dyDescent="0.25">
      <c r="B25" t="s">
        <v>66</v>
      </c>
      <c r="D25" s="12"/>
      <c r="E25" s="17">
        <v>1</v>
      </c>
      <c r="F25" s="24">
        <v>8.375209380234506E-4</v>
      </c>
    </row>
    <row r="26" spans="2:6" outlineLevel="2" x14ac:dyDescent="0.25">
      <c r="C26" t="s">
        <v>41</v>
      </c>
      <c r="D26" s="12">
        <v>1</v>
      </c>
      <c r="E26" s="2">
        <v>1</v>
      </c>
      <c r="F26" s="25">
        <v>1.8518518518518517E-2</v>
      </c>
    </row>
    <row r="27" spans="2:6" outlineLevel="1" x14ac:dyDescent="0.25">
      <c r="B27" t="s">
        <v>67</v>
      </c>
      <c r="D27" s="12"/>
      <c r="E27" s="17">
        <v>16</v>
      </c>
      <c r="F27" s="24">
        <v>1.340033500837521E-2</v>
      </c>
    </row>
    <row r="28" spans="2:6" outlineLevel="2" x14ac:dyDescent="0.25">
      <c r="C28" t="s">
        <v>22</v>
      </c>
      <c r="D28" s="12">
        <v>3</v>
      </c>
      <c r="E28" s="2">
        <v>3</v>
      </c>
      <c r="F28" s="25">
        <v>0.2</v>
      </c>
    </row>
    <row r="29" spans="2:6" outlineLevel="2" x14ac:dyDescent="0.25">
      <c r="C29" t="s">
        <v>32</v>
      </c>
      <c r="D29" s="12">
        <v>4</v>
      </c>
      <c r="E29" s="2">
        <v>4</v>
      </c>
      <c r="F29" s="25">
        <v>8.3333333333333329E-2</v>
      </c>
    </row>
    <row r="30" spans="2:6" outlineLevel="2" x14ac:dyDescent="0.25">
      <c r="C30" t="s">
        <v>23</v>
      </c>
      <c r="D30" s="12">
        <v>4</v>
      </c>
      <c r="E30" s="2">
        <v>4</v>
      </c>
      <c r="F30" s="25">
        <v>0.18181818181818182</v>
      </c>
    </row>
    <row r="31" spans="2:6" outlineLevel="2" x14ac:dyDescent="0.25">
      <c r="C31" t="s">
        <v>34</v>
      </c>
      <c r="D31" s="12">
        <v>2</v>
      </c>
      <c r="E31" s="2">
        <v>2</v>
      </c>
      <c r="F31" s="25">
        <v>0.5</v>
      </c>
    </row>
    <row r="32" spans="2:6" outlineLevel="2" x14ac:dyDescent="0.25">
      <c r="C32" t="s">
        <v>14</v>
      </c>
      <c r="D32" s="12">
        <v>3</v>
      </c>
      <c r="E32" s="2">
        <v>3</v>
      </c>
      <c r="F32" s="25">
        <v>1.3392857142857142E-2</v>
      </c>
    </row>
    <row r="33" spans="2:6" outlineLevel="1" x14ac:dyDescent="0.25">
      <c r="B33" t="s">
        <v>68</v>
      </c>
      <c r="D33" s="12"/>
      <c r="E33" s="17">
        <v>26</v>
      </c>
      <c r="F33" s="24">
        <v>2.1775544388609715E-2</v>
      </c>
    </row>
    <row r="34" spans="2:6" outlineLevel="2" x14ac:dyDescent="0.25">
      <c r="C34" t="s">
        <v>22</v>
      </c>
      <c r="D34" s="12">
        <v>1</v>
      </c>
      <c r="E34" s="2">
        <v>1</v>
      </c>
      <c r="F34" s="25">
        <v>6.6666666666666666E-2</v>
      </c>
    </row>
    <row r="35" spans="2:6" outlineLevel="2" x14ac:dyDescent="0.25">
      <c r="C35" t="s">
        <v>41</v>
      </c>
      <c r="D35" s="12">
        <v>1</v>
      </c>
      <c r="E35" s="2">
        <v>1</v>
      </c>
      <c r="F35" s="25">
        <v>1.8518518518518517E-2</v>
      </c>
    </row>
    <row r="36" spans="2:6" outlineLevel="2" x14ac:dyDescent="0.25">
      <c r="C36" t="s">
        <v>43</v>
      </c>
      <c r="D36" s="12">
        <v>2</v>
      </c>
      <c r="E36" s="2">
        <v>2</v>
      </c>
      <c r="F36" s="25">
        <v>0.125</v>
      </c>
    </row>
    <row r="37" spans="2:6" outlineLevel="2" x14ac:dyDescent="0.25">
      <c r="C37" t="s">
        <v>23</v>
      </c>
      <c r="D37" s="12">
        <v>7</v>
      </c>
      <c r="E37" s="2">
        <v>7</v>
      </c>
      <c r="F37" s="25">
        <v>0.31818181818181818</v>
      </c>
    </row>
    <row r="38" spans="2:6" outlineLevel="2" x14ac:dyDescent="0.25">
      <c r="C38" t="s">
        <v>16</v>
      </c>
      <c r="D38" s="12">
        <v>1</v>
      </c>
      <c r="E38" s="2">
        <v>1</v>
      </c>
      <c r="F38" s="25">
        <v>0.125</v>
      </c>
    </row>
    <row r="39" spans="2:6" outlineLevel="2" x14ac:dyDescent="0.25">
      <c r="C39" t="s">
        <v>17</v>
      </c>
      <c r="D39" s="12">
        <v>1</v>
      </c>
      <c r="E39" s="2">
        <v>1</v>
      </c>
      <c r="F39" s="25">
        <v>0.5</v>
      </c>
    </row>
    <row r="40" spans="2:6" outlineLevel="2" x14ac:dyDescent="0.25">
      <c r="C40" t="s">
        <v>13</v>
      </c>
      <c r="D40" s="12">
        <v>2</v>
      </c>
      <c r="E40" s="2">
        <v>2</v>
      </c>
      <c r="F40" s="25">
        <v>9.3457943925233638E-3</v>
      </c>
    </row>
    <row r="41" spans="2:6" outlineLevel="2" x14ac:dyDescent="0.25">
      <c r="C41" t="s">
        <v>14</v>
      </c>
      <c r="D41" s="12">
        <v>6</v>
      </c>
      <c r="E41" s="2">
        <v>6</v>
      </c>
      <c r="F41" s="25">
        <v>2.6785714285714284E-2</v>
      </c>
    </row>
    <row r="42" spans="2:6" outlineLevel="2" x14ac:dyDescent="0.25">
      <c r="C42" t="s">
        <v>51</v>
      </c>
      <c r="D42" s="12">
        <v>1</v>
      </c>
      <c r="E42" s="2">
        <v>1</v>
      </c>
      <c r="F42" s="25">
        <v>0.5</v>
      </c>
    </row>
    <row r="43" spans="2:6" outlineLevel="2" x14ac:dyDescent="0.25">
      <c r="C43" t="s">
        <v>28</v>
      </c>
      <c r="D43" s="12">
        <v>4</v>
      </c>
      <c r="E43" s="2">
        <v>4</v>
      </c>
      <c r="F43" s="25">
        <v>0.44444444444444442</v>
      </c>
    </row>
    <row r="44" spans="2:6" outlineLevel="1" x14ac:dyDescent="0.25">
      <c r="B44" t="s">
        <v>69</v>
      </c>
      <c r="D44" s="12"/>
      <c r="E44" s="17">
        <v>14</v>
      </c>
      <c r="F44" s="24">
        <v>1.1725293132328308E-2</v>
      </c>
    </row>
    <row r="45" spans="2:6" outlineLevel="2" x14ac:dyDescent="0.25">
      <c r="C45" t="s">
        <v>11</v>
      </c>
      <c r="D45" s="12">
        <v>1</v>
      </c>
      <c r="E45" s="2">
        <v>1</v>
      </c>
      <c r="F45" s="25">
        <v>7.1428571428571425E-2</v>
      </c>
    </row>
    <row r="46" spans="2:6" outlineLevel="2" x14ac:dyDescent="0.25">
      <c r="C46" t="s">
        <v>19</v>
      </c>
      <c r="D46" s="12">
        <v>1</v>
      </c>
      <c r="E46" s="2">
        <v>1</v>
      </c>
      <c r="F46" s="25">
        <v>1.9230769230769232E-2</v>
      </c>
    </row>
    <row r="47" spans="2:6" outlineLevel="2" x14ac:dyDescent="0.25">
      <c r="C47" t="s">
        <v>28</v>
      </c>
      <c r="D47" s="12">
        <v>1</v>
      </c>
      <c r="E47" s="2">
        <v>1</v>
      </c>
      <c r="F47" s="25">
        <v>0.1111111111111111</v>
      </c>
    </row>
    <row r="48" spans="2:6" outlineLevel="2" x14ac:dyDescent="0.25">
      <c r="C48" t="s">
        <v>15</v>
      </c>
      <c r="D48" s="12">
        <v>3</v>
      </c>
      <c r="E48" s="2">
        <v>3</v>
      </c>
      <c r="F48" s="25">
        <v>3.8461538461538464E-2</v>
      </c>
    </row>
    <row r="49" spans="2:6" outlineLevel="2" x14ac:dyDescent="0.25">
      <c r="C49" t="s">
        <v>48</v>
      </c>
      <c r="D49" s="12">
        <v>1</v>
      </c>
      <c r="E49" s="2">
        <v>1</v>
      </c>
      <c r="F49" s="25">
        <v>0.5</v>
      </c>
    </row>
    <row r="50" spans="2:6" outlineLevel="2" x14ac:dyDescent="0.25">
      <c r="C50" t="s">
        <v>39</v>
      </c>
      <c r="D50" s="12">
        <v>6</v>
      </c>
      <c r="E50" s="2">
        <v>6</v>
      </c>
      <c r="F50" s="25">
        <v>0.6</v>
      </c>
    </row>
    <row r="51" spans="2:6" outlineLevel="2" x14ac:dyDescent="0.25">
      <c r="C51" t="s">
        <v>40</v>
      </c>
      <c r="D51" s="12">
        <v>1</v>
      </c>
      <c r="E51" s="2">
        <v>1</v>
      </c>
      <c r="F51" s="25">
        <v>0.1111111111111111</v>
      </c>
    </row>
    <row r="52" spans="2:6" outlineLevel="1" x14ac:dyDescent="0.25">
      <c r="B52" t="s">
        <v>70</v>
      </c>
      <c r="D52" s="12"/>
      <c r="E52" s="17">
        <v>28</v>
      </c>
      <c r="F52" s="24">
        <v>2.3450586264656615E-2</v>
      </c>
    </row>
    <row r="53" spans="2:6" outlineLevel="2" x14ac:dyDescent="0.25">
      <c r="C53" t="s">
        <v>33</v>
      </c>
      <c r="D53" s="12">
        <v>2</v>
      </c>
      <c r="E53" s="2">
        <v>2</v>
      </c>
      <c r="F53" s="25">
        <v>9.0909090909090912E-2</v>
      </c>
    </row>
    <row r="54" spans="2:6" outlineLevel="2" x14ac:dyDescent="0.25">
      <c r="C54" t="s">
        <v>14</v>
      </c>
      <c r="D54" s="12">
        <v>15</v>
      </c>
      <c r="E54" s="2">
        <v>15</v>
      </c>
      <c r="F54" s="25">
        <v>6.6964285714285712E-2</v>
      </c>
    </row>
    <row r="55" spans="2:6" outlineLevel="2" x14ac:dyDescent="0.25">
      <c r="C55" t="s">
        <v>50</v>
      </c>
      <c r="D55" s="12">
        <v>2</v>
      </c>
      <c r="E55" s="2">
        <v>2</v>
      </c>
      <c r="F55" s="25">
        <v>0.2857142857142857</v>
      </c>
    </row>
    <row r="56" spans="2:6" outlineLevel="2" x14ac:dyDescent="0.25">
      <c r="C56" t="s">
        <v>21</v>
      </c>
      <c r="D56" s="12">
        <v>4</v>
      </c>
      <c r="E56" s="2">
        <v>4</v>
      </c>
      <c r="F56" s="25">
        <v>0.44444444444444442</v>
      </c>
    </row>
    <row r="57" spans="2:6" outlineLevel="2" x14ac:dyDescent="0.25">
      <c r="C57" t="s">
        <v>31</v>
      </c>
      <c r="D57" s="12">
        <v>3</v>
      </c>
      <c r="E57" s="2">
        <v>3</v>
      </c>
      <c r="F57" s="25">
        <v>0.13636363636363635</v>
      </c>
    </row>
    <row r="58" spans="2:6" outlineLevel="2" x14ac:dyDescent="0.25">
      <c r="C58" t="s">
        <v>48</v>
      </c>
      <c r="D58" s="12">
        <v>1</v>
      </c>
      <c r="E58" s="2">
        <v>1</v>
      </c>
      <c r="F58" s="25">
        <v>0.5</v>
      </c>
    </row>
    <row r="59" spans="2:6" outlineLevel="2" x14ac:dyDescent="0.25">
      <c r="C59" t="s">
        <v>40</v>
      </c>
      <c r="D59" s="12">
        <v>1</v>
      </c>
      <c r="E59" s="2">
        <v>1</v>
      </c>
      <c r="F59" s="25">
        <v>0.1111111111111111</v>
      </c>
    </row>
    <row r="60" spans="2:6" outlineLevel="1" x14ac:dyDescent="0.25">
      <c r="B60" t="s">
        <v>71</v>
      </c>
      <c r="D60" s="12"/>
      <c r="E60" s="17">
        <v>12</v>
      </c>
      <c r="F60" s="24">
        <v>1.0050251256281407E-2</v>
      </c>
    </row>
    <row r="61" spans="2:6" outlineLevel="2" x14ac:dyDescent="0.25">
      <c r="C61" t="s">
        <v>23</v>
      </c>
      <c r="D61" s="12">
        <v>1</v>
      </c>
      <c r="E61" s="2">
        <v>1</v>
      </c>
      <c r="F61" s="25">
        <v>4.5454545454545456E-2</v>
      </c>
    </row>
    <row r="62" spans="2:6" outlineLevel="2" x14ac:dyDescent="0.25">
      <c r="C62" t="s">
        <v>17</v>
      </c>
      <c r="D62" s="12">
        <v>1</v>
      </c>
      <c r="E62" s="2">
        <v>1</v>
      </c>
      <c r="F62" s="25">
        <v>0.5</v>
      </c>
    </row>
    <row r="63" spans="2:6" outlineLevel="2" x14ac:dyDescent="0.25">
      <c r="C63" t="s">
        <v>13</v>
      </c>
      <c r="D63" s="12">
        <v>6</v>
      </c>
      <c r="E63" s="2">
        <v>6</v>
      </c>
      <c r="F63" s="25">
        <v>2.8037383177570093E-2</v>
      </c>
    </row>
    <row r="64" spans="2:6" outlineLevel="2" x14ac:dyDescent="0.25">
      <c r="C64" t="s">
        <v>14</v>
      </c>
      <c r="D64" s="12">
        <v>3</v>
      </c>
      <c r="E64" s="2">
        <v>3</v>
      </c>
      <c r="F64" s="25">
        <v>1.3392857142857142E-2</v>
      </c>
    </row>
    <row r="65" spans="2:6" outlineLevel="2" x14ac:dyDescent="0.25">
      <c r="C65" t="s">
        <v>31</v>
      </c>
      <c r="D65" s="12">
        <v>1</v>
      </c>
      <c r="E65" s="2">
        <v>1</v>
      </c>
      <c r="F65" s="25">
        <v>4.5454545454545456E-2</v>
      </c>
    </row>
    <row r="66" spans="2:6" outlineLevel="1" x14ac:dyDescent="0.25">
      <c r="B66" t="s">
        <v>72</v>
      </c>
      <c r="D66" s="12"/>
      <c r="E66" s="17">
        <v>96</v>
      </c>
      <c r="F66" s="24">
        <v>8.0402010050251257E-2</v>
      </c>
    </row>
    <row r="67" spans="2:6" outlineLevel="2" x14ac:dyDescent="0.25">
      <c r="C67" t="s">
        <v>16</v>
      </c>
      <c r="D67" s="12">
        <v>3</v>
      </c>
      <c r="E67" s="2">
        <v>3</v>
      </c>
      <c r="F67" s="25">
        <v>0.375</v>
      </c>
    </row>
    <row r="68" spans="2:6" outlineLevel="2" x14ac:dyDescent="0.25">
      <c r="C68" t="s">
        <v>18</v>
      </c>
      <c r="D68" s="12">
        <v>9</v>
      </c>
      <c r="E68" s="2">
        <v>9</v>
      </c>
      <c r="F68" s="25">
        <v>0.23684210526315788</v>
      </c>
    </row>
    <row r="69" spans="2:6" outlineLevel="2" x14ac:dyDescent="0.25">
      <c r="C69" t="s">
        <v>11</v>
      </c>
      <c r="D69" s="12">
        <v>2</v>
      </c>
      <c r="E69" s="2">
        <v>2</v>
      </c>
      <c r="F69" s="25">
        <v>0.14285714285714285</v>
      </c>
    </row>
    <row r="70" spans="2:6" outlineLevel="2" x14ac:dyDescent="0.25">
      <c r="C70" t="s">
        <v>14</v>
      </c>
      <c r="D70" s="12">
        <v>76</v>
      </c>
      <c r="E70" s="2">
        <v>76</v>
      </c>
      <c r="F70" s="25">
        <v>0.3392857142857143</v>
      </c>
    </row>
    <row r="71" spans="2:6" outlineLevel="2" x14ac:dyDescent="0.25">
      <c r="C71" t="s">
        <v>37</v>
      </c>
      <c r="D71" s="12">
        <v>2</v>
      </c>
      <c r="E71" s="2">
        <v>2</v>
      </c>
      <c r="F71" s="25">
        <v>0.33333333333333331</v>
      </c>
    </row>
    <row r="72" spans="2:6" outlineLevel="2" x14ac:dyDescent="0.25">
      <c r="C72" t="s">
        <v>15</v>
      </c>
      <c r="D72" s="12">
        <v>4</v>
      </c>
      <c r="E72" s="2">
        <v>4</v>
      </c>
      <c r="F72" s="25">
        <v>5.128205128205128E-2</v>
      </c>
    </row>
    <row r="73" spans="2:6" outlineLevel="1" x14ac:dyDescent="0.25">
      <c r="B73" t="s">
        <v>73</v>
      </c>
      <c r="D73" s="12"/>
      <c r="E73" s="17">
        <v>3</v>
      </c>
      <c r="F73" s="24">
        <v>2.5125628140703518E-3</v>
      </c>
    </row>
    <row r="74" spans="2:6" outlineLevel="2" x14ac:dyDescent="0.25">
      <c r="C74" t="s">
        <v>43</v>
      </c>
      <c r="D74" s="12">
        <v>3</v>
      </c>
      <c r="E74" s="2">
        <v>3</v>
      </c>
      <c r="F74" s="25">
        <v>0.1875</v>
      </c>
    </row>
    <row r="75" spans="2:6" outlineLevel="1" x14ac:dyDescent="0.25">
      <c r="B75" t="s">
        <v>74</v>
      </c>
      <c r="D75" s="12"/>
      <c r="E75" s="17">
        <v>7</v>
      </c>
      <c r="F75" s="24">
        <v>5.8626465661641538E-3</v>
      </c>
    </row>
    <row r="76" spans="2:6" outlineLevel="2" x14ac:dyDescent="0.25">
      <c r="C76" t="s">
        <v>29</v>
      </c>
      <c r="D76" s="12">
        <v>2</v>
      </c>
      <c r="E76" s="2">
        <v>2</v>
      </c>
      <c r="F76" s="25">
        <v>0.33333333333333331</v>
      </c>
    </row>
    <row r="77" spans="2:6" outlineLevel="2" x14ac:dyDescent="0.25">
      <c r="C77" t="s">
        <v>17</v>
      </c>
      <c r="D77" s="12">
        <v>1</v>
      </c>
      <c r="E77" s="2">
        <v>1</v>
      </c>
      <c r="F77" s="25">
        <v>0.5</v>
      </c>
    </row>
    <row r="78" spans="2:6" outlineLevel="2" x14ac:dyDescent="0.25">
      <c r="C78" t="s">
        <v>13</v>
      </c>
      <c r="D78" s="12">
        <v>2</v>
      </c>
      <c r="E78" s="2">
        <v>2</v>
      </c>
      <c r="F78" s="25">
        <v>9.3457943925233638E-3</v>
      </c>
    </row>
    <row r="79" spans="2:6" outlineLevel="2" x14ac:dyDescent="0.25">
      <c r="C79" t="s">
        <v>37</v>
      </c>
      <c r="D79" s="12">
        <v>2</v>
      </c>
      <c r="E79" s="2">
        <v>2</v>
      </c>
      <c r="F79" s="25">
        <v>0.33333333333333331</v>
      </c>
    </row>
    <row r="80" spans="2:6" outlineLevel="1" x14ac:dyDescent="0.25">
      <c r="B80" t="s">
        <v>75</v>
      </c>
      <c r="D80" s="12"/>
      <c r="E80" s="17">
        <v>29</v>
      </c>
      <c r="F80" s="24">
        <v>2.4288107202680067E-2</v>
      </c>
    </row>
    <row r="81" spans="2:6" outlineLevel="2" x14ac:dyDescent="0.25">
      <c r="C81" t="s">
        <v>14</v>
      </c>
      <c r="D81" s="12">
        <v>29</v>
      </c>
      <c r="E81" s="2">
        <v>29</v>
      </c>
      <c r="F81" s="25">
        <v>0.12946428571428573</v>
      </c>
    </row>
    <row r="82" spans="2:6" outlineLevel="1" x14ac:dyDescent="0.25">
      <c r="B82" t="s">
        <v>76</v>
      </c>
      <c r="D82" s="12"/>
      <c r="E82" s="17">
        <v>14</v>
      </c>
      <c r="F82" s="24">
        <v>1.1725293132328308E-2</v>
      </c>
    </row>
    <row r="83" spans="2:6" outlineLevel="2" x14ac:dyDescent="0.25">
      <c r="C83" t="s">
        <v>30</v>
      </c>
      <c r="D83" s="12">
        <v>1</v>
      </c>
      <c r="E83" s="2">
        <v>1</v>
      </c>
      <c r="F83" s="25">
        <v>0.16666666666666666</v>
      </c>
    </row>
    <row r="84" spans="2:6" outlineLevel="2" x14ac:dyDescent="0.25">
      <c r="C84" t="s">
        <v>14</v>
      </c>
      <c r="D84" s="12">
        <v>10</v>
      </c>
      <c r="E84" s="2">
        <v>10</v>
      </c>
      <c r="F84" s="25">
        <v>4.4642857142857144E-2</v>
      </c>
    </row>
    <row r="85" spans="2:6" outlineLevel="2" x14ac:dyDescent="0.25">
      <c r="C85" t="s">
        <v>31</v>
      </c>
      <c r="D85" s="12">
        <v>2</v>
      </c>
      <c r="E85" s="2">
        <v>2</v>
      </c>
      <c r="F85" s="25">
        <v>9.0909090909090912E-2</v>
      </c>
    </row>
    <row r="86" spans="2:6" outlineLevel="2" x14ac:dyDescent="0.25">
      <c r="C86" t="s">
        <v>48</v>
      </c>
      <c r="D86" s="12">
        <v>1</v>
      </c>
      <c r="E86" s="2">
        <v>1</v>
      </c>
      <c r="F86" s="25">
        <v>0.5</v>
      </c>
    </row>
    <row r="87" spans="2:6" outlineLevel="1" x14ac:dyDescent="0.25">
      <c r="B87" t="s">
        <v>77</v>
      </c>
      <c r="D87" s="12"/>
      <c r="E87" s="17">
        <v>28</v>
      </c>
      <c r="F87" s="24">
        <v>2.3450586264656615E-2</v>
      </c>
    </row>
    <row r="88" spans="2:6" outlineLevel="2" x14ac:dyDescent="0.25">
      <c r="C88" t="s">
        <v>22</v>
      </c>
      <c r="D88" s="12">
        <v>2</v>
      </c>
      <c r="E88" s="2">
        <v>2</v>
      </c>
      <c r="F88" s="25">
        <v>0.13333333333333333</v>
      </c>
    </row>
    <row r="89" spans="2:6" outlineLevel="2" x14ac:dyDescent="0.25">
      <c r="C89" t="s">
        <v>23</v>
      </c>
      <c r="D89" s="12">
        <v>15</v>
      </c>
      <c r="E89" s="2">
        <v>15</v>
      </c>
      <c r="F89" s="25">
        <v>0.68181818181818177</v>
      </c>
    </row>
    <row r="90" spans="2:6" outlineLevel="2" x14ac:dyDescent="0.25">
      <c r="C90" t="s">
        <v>24</v>
      </c>
      <c r="D90" s="12">
        <v>1</v>
      </c>
      <c r="E90" s="2">
        <v>1</v>
      </c>
      <c r="F90" s="25">
        <v>0.25</v>
      </c>
    </row>
    <row r="91" spans="2:6" outlineLevel="2" x14ac:dyDescent="0.25">
      <c r="C91" t="s">
        <v>17</v>
      </c>
      <c r="D91" s="12">
        <v>1</v>
      </c>
      <c r="E91" s="2">
        <v>1</v>
      </c>
      <c r="F91" s="25">
        <v>0.5</v>
      </c>
    </row>
    <row r="92" spans="2:6" outlineLevel="2" x14ac:dyDescent="0.25">
      <c r="C92" t="s">
        <v>14</v>
      </c>
      <c r="D92" s="12">
        <v>3</v>
      </c>
      <c r="E92" s="2">
        <v>3</v>
      </c>
      <c r="F92" s="25">
        <v>1.3392857142857142E-2</v>
      </c>
    </row>
    <row r="93" spans="2:6" outlineLevel="2" x14ac:dyDescent="0.25">
      <c r="C93" t="s">
        <v>51</v>
      </c>
      <c r="D93" s="12">
        <v>2</v>
      </c>
      <c r="E93" s="2">
        <v>2</v>
      </c>
      <c r="F93" s="25">
        <v>1</v>
      </c>
    </row>
    <row r="94" spans="2:6" outlineLevel="2" x14ac:dyDescent="0.25">
      <c r="C94" t="s">
        <v>28</v>
      </c>
      <c r="D94" s="12">
        <v>4</v>
      </c>
      <c r="E94" s="2">
        <v>4</v>
      </c>
      <c r="F94" s="25">
        <v>0.44444444444444442</v>
      </c>
    </row>
    <row r="95" spans="2:6" outlineLevel="1" x14ac:dyDescent="0.25">
      <c r="B95" t="s">
        <v>78</v>
      </c>
      <c r="D95" s="12"/>
      <c r="E95" s="17">
        <v>14</v>
      </c>
      <c r="F95" s="24">
        <v>1.1725293132328308E-2</v>
      </c>
    </row>
    <row r="96" spans="2:6" outlineLevel="2" x14ac:dyDescent="0.25">
      <c r="C96" t="s">
        <v>25</v>
      </c>
      <c r="D96" s="12">
        <v>5</v>
      </c>
      <c r="E96" s="2">
        <v>5</v>
      </c>
      <c r="F96" s="25">
        <v>0.14285714285714285</v>
      </c>
    </row>
    <row r="97" spans="2:6" outlineLevel="2" x14ac:dyDescent="0.25">
      <c r="C97" t="s">
        <v>14</v>
      </c>
      <c r="D97" s="12">
        <v>4</v>
      </c>
      <c r="E97" s="2">
        <v>4</v>
      </c>
      <c r="F97" s="25">
        <v>1.7857142857142856E-2</v>
      </c>
    </row>
    <row r="98" spans="2:6" outlineLevel="2" x14ac:dyDescent="0.25">
      <c r="C98" t="s">
        <v>15</v>
      </c>
      <c r="D98" s="12">
        <v>1</v>
      </c>
      <c r="E98" s="2">
        <v>1</v>
      </c>
      <c r="F98" s="25">
        <v>1.282051282051282E-2</v>
      </c>
    </row>
    <row r="99" spans="2:6" outlineLevel="2" x14ac:dyDescent="0.25">
      <c r="C99" t="s">
        <v>31</v>
      </c>
      <c r="D99" s="12">
        <v>4</v>
      </c>
      <c r="E99" s="2">
        <v>4</v>
      </c>
      <c r="F99" s="25">
        <v>0.18181818181818182</v>
      </c>
    </row>
    <row r="100" spans="2:6" outlineLevel="1" x14ac:dyDescent="0.25">
      <c r="B100" t="s">
        <v>79</v>
      </c>
      <c r="D100" s="12"/>
      <c r="E100" s="17">
        <v>18</v>
      </c>
      <c r="F100" s="24">
        <v>1.507537688442211E-2</v>
      </c>
    </row>
    <row r="101" spans="2:6" outlineLevel="2" x14ac:dyDescent="0.25">
      <c r="C101" t="s">
        <v>42</v>
      </c>
      <c r="D101" s="12">
        <v>5</v>
      </c>
      <c r="E101" s="2">
        <v>5</v>
      </c>
      <c r="F101" s="25">
        <v>0.12820512820512819</v>
      </c>
    </row>
    <row r="102" spans="2:6" outlineLevel="2" x14ac:dyDescent="0.25">
      <c r="C102" t="s">
        <v>37</v>
      </c>
      <c r="D102" s="12">
        <v>1</v>
      </c>
      <c r="E102" s="2">
        <v>1</v>
      </c>
      <c r="F102" s="25">
        <v>0.16666666666666666</v>
      </c>
    </row>
    <row r="103" spans="2:6" outlineLevel="2" x14ac:dyDescent="0.25">
      <c r="C103" t="s">
        <v>20</v>
      </c>
      <c r="D103" s="12">
        <v>4</v>
      </c>
      <c r="E103" s="2">
        <v>4</v>
      </c>
      <c r="F103" s="25">
        <v>0.18181818181818182</v>
      </c>
    </row>
    <row r="104" spans="2:6" outlineLevel="2" x14ac:dyDescent="0.25">
      <c r="C104" t="s">
        <v>15</v>
      </c>
      <c r="D104" s="12">
        <v>8</v>
      </c>
      <c r="E104" s="2">
        <v>8</v>
      </c>
      <c r="F104" s="25">
        <v>0.10256410256410256</v>
      </c>
    </row>
    <row r="105" spans="2:6" outlineLevel="1" x14ac:dyDescent="0.25">
      <c r="B105" t="s">
        <v>80</v>
      </c>
      <c r="D105" s="12"/>
      <c r="E105" s="17">
        <v>14</v>
      </c>
      <c r="F105" s="24">
        <v>1.1725293132328308E-2</v>
      </c>
    </row>
    <row r="106" spans="2:6" outlineLevel="2" x14ac:dyDescent="0.25">
      <c r="C106" t="s">
        <v>41</v>
      </c>
      <c r="D106" s="12">
        <v>5</v>
      </c>
      <c r="E106" s="2">
        <v>5</v>
      </c>
      <c r="F106" s="25">
        <v>9.2592592592592587E-2</v>
      </c>
    </row>
    <row r="107" spans="2:6" outlineLevel="2" x14ac:dyDescent="0.25">
      <c r="C107" t="s">
        <v>17</v>
      </c>
      <c r="D107" s="12">
        <v>1</v>
      </c>
      <c r="E107" s="2">
        <v>1</v>
      </c>
      <c r="F107" s="25">
        <v>0.5</v>
      </c>
    </row>
    <row r="108" spans="2:6" outlineLevel="2" x14ac:dyDescent="0.25">
      <c r="C108" t="s">
        <v>18</v>
      </c>
      <c r="D108" s="12">
        <v>2</v>
      </c>
      <c r="E108" s="2">
        <v>2</v>
      </c>
      <c r="F108" s="25">
        <v>5.2631578947368418E-2</v>
      </c>
    </row>
    <row r="109" spans="2:6" outlineLevel="2" x14ac:dyDescent="0.25">
      <c r="C109" t="s">
        <v>37</v>
      </c>
      <c r="D109" s="12">
        <v>1</v>
      </c>
      <c r="E109" s="2">
        <v>1</v>
      </c>
      <c r="F109" s="25">
        <v>0.16666666666666666</v>
      </c>
    </row>
    <row r="110" spans="2:6" outlineLevel="2" x14ac:dyDescent="0.25">
      <c r="C110" t="s">
        <v>15</v>
      </c>
      <c r="D110" s="12">
        <v>5</v>
      </c>
      <c r="E110" s="2">
        <v>5</v>
      </c>
      <c r="F110" s="25">
        <v>6.4102564102564097E-2</v>
      </c>
    </row>
    <row r="111" spans="2:6" outlineLevel="1" x14ac:dyDescent="0.25">
      <c r="B111" t="s">
        <v>81</v>
      </c>
      <c r="D111" s="12"/>
      <c r="E111" s="17">
        <v>16</v>
      </c>
      <c r="F111" s="24">
        <v>1.340033500837521E-2</v>
      </c>
    </row>
    <row r="112" spans="2:6" outlineLevel="2" x14ac:dyDescent="0.25">
      <c r="C112" t="s">
        <v>14</v>
      </c>
      <c r="D112" s="12">
        <v>13</v>
      </c>
      <c r="E112" s="2">
        <v>13</v>
      </c>
      <c r="F112" s="25">
        <v>5.8035714285714288E-2</v>
      </c>
    </row>
    <row r="113" spans="2:6" outlineLevel="2" x14ac:dyDescent="0.25">
      <c r="C113" t="s">
        <v>15</v>
      </c>
      <c r="D113" s="12">
        <v>3</v>
      </c>
      <c r="E113" s="2">
        <v>3</v>
      </c>
      <c r="F113" s="25">
        <v>3.8461538461538464E-2</v>
      </c>
    </row>
    <row r="114" spans="2:6" outlineLevel="1" x14ac:dyDescent="0.25">
      <c r="B114" t="s">
        <v>82</v>
      </c>
      <c r="D114" s="12"/>
      <c r="E114" s="17">
        <v>55</v>
      </c>
      <c r="F114" s="24">
        <v>4.6063651591289785E-2</v>
      </c>
    </row>
    <row r="115" spans="2:6" outlineLevel="2" x14ac:dyDescent="0.25">
      <c r="C115" t="s">
        <v>22</v>
      </c>
      <c r="D115" s="12">
        <v>1</v>
      </c>
      <c r="E115" s="2">
        <v>1</v>
      </c>
      <c r="F115" s="25">
        <v>6.6666666666666666E-2</v>
      </c>
    </row>
    <row r="116" spans="2:6" outlineLevel="2" x14ac:dyDescent="0.25">
      <c r="C116" t="s">
        <v>27</v>
      </c>
      <c r="D116" s="12">
        <v>2</v>
      </c>
      <c r="E116" s="2">
        <v>2</v>
      </c>
      <c r="F116" s="25">
        <v>0.16666666666666666</v>
      </c>
    </row>
    <row r="117" spans="2:6" outlineLevel="2" x14ac:dyDescent="0.25">
      <c r="C117" t="s">
        <v>23</v>
      </c>
      <c r="D117" s="12">
        <v>1</v>
      </c>
      <c r="E117" s="2">
        <v>1</v>
      </c>
      <c r="F117" s="25">
        <v>4.5454545454545456E-2</v>
      </c>
    </row>
    <row r="118" spans="2:6" outlineLevel="2" x14ac:dyDescent="0.25">
      <c r="C118" t="s">
        <v>24</v>
      </c>
      <c r="D118" s="12">
        <v>1</v>
      </c>
      <c r="E118" s="2">
        <v>1</v>
      </c>
      <c r="F118" s="25">
        <v>0.25</v>
      </c>
    </row>
    <row r="119" spans="2:6" outlineLevel="2" x14ac:dyDescent="0.25">
      <c r="C119" t="s">
        <v>29</v>
      </c>
      <c r="D119" s="12">
        <v>4</v>
      </c>
      <c r="E119" s="2">
        <v>4</v>
      </c>
      <c r="F119" s="25">
        <v>0.66666666666666663</v>
      </c>
    </row>
    <row r="120" spans="2:6" outlineLevel="2" x14ac:dyDescent="0.25">
      <c r="C120" t="s">
        <v>13</v>
      </c>
      <c r="D120" s="12">
        <v>5</v>
      </c>
      <c r="E120" s="2">
        <v>5</v>
      </c>
      <c r="F120" s="25">
        <v>2.336448598130841E-2</v>
      </c>
    </row>
    <row r="121" spans="2:6" outlineLevel="2" x14ac:dyDescent="0.25">
      <c r="C121" t="s">
        <v>14</v>
      </c>
      <c r="D121" s="12">
        <v>32</v>
      </c>
      <c r="E121" s="2">
        <v>32</v>
      </c>
      <c r="F121" s="25">
        <v>0.14285714285714285</v>
      </c>
    </row>
    <row r="122" spans="2:6" outlineLevel="2" x14ac:dyDescent="0.25">
      <c r="C122" t="s">
        <v>38</v>
      </c>
      <c r="D122" s="12">
        <v>3</v>
      </c>
      <c r="E122" s="2">
        <v>3</v>
      </c>
      <c r="F122" s="25">
        <v>0.15</v>
      </c>
    </row>
    <row r="123" spans="2:6" outlineLevel="2" x14ac:dyDescent="0.25">
      <c r="C123" t="s">
        <v>15</v>
      </c>
      <c r="D123" s="12">
        <v>2</v>
      </c>
      <c r="E123" s="2">
        <v>2</v>
      </c>
      <c r="F123" s="25">
        <v>2.564102564102564E-2</v>
      </c>
    </row>
    <row r="124" spans="2:6" outlineLevel="2" x14ac:dyDescent="0.25">
      <c r="C124" t="s">
        <v>39</v>
      </c>
      <c r="D124" s="12">
        <v>4</v>
      </c>
      <c r="E124" s="2">
        <v>4</v>
      </c>
      <c r="F124" s="25">
        <v>0.4</v>
      </c>
    </row>
    <row r="125" spans="2:6" outlineLevel="1" x14ac:dyDescent="0.25">
      <c r="B125" t="s">
        <v>83</v>
      </c>
      <c r="D125" s="12"/>
      <c r="E125" s="17">
        <v>1</v>
      </c>
      <c r="F125" s="24">
        <v>8.375209380234506E-4</v>
      </c>
    </row>
    <row r="126" spans="2:6" outlineLevel="2" x14ac:dyDescent="0.25">
      <c r="C126" t="s">
        <v>28</v>
      </c>
      <c r="D126" s="12">
        <v>1</v>
      </c>
      <c r="E126" s="2">
        <v>1</v>
      </c>
      <c r="F126" s="25">
        <v>0.1111111111111111</v>
      </c>
    </row>
    <row r="127" spans="2:6" outlineLevel="1" x14ac:dyDescent="0.25">
      <c r="B127" t="s">
        <v>84</v>
      </c>
      <c r="D127" s="12"/>
      <c r="E127" s="17">
        <v>14</v>
      </c>
      <c r="F127" s="24">
        <v>1.1725293132328308E-2</v>
      </c>
    </row>
    <row r="128" spans="2:6" outlineLevel="2" x14ac:dyDescent="0.25">
      <c r="C128" t="s">
        <v>41</v>
      </c>
      <c r="D128" s="12">
        <v>4</v>
      </c>
      <c r="E128" s="2">
        <v>4</v>
      </c>
      <c r="F128" s="25">
        <v>7.407407407407407E-2</v>
      </c>
    </row>
    <row r="129" spans="2:6" outlineLevel="2" x14ac:dyDescent="0.25">
      <c r="C129" t="s">
        <v>42</v>
      </c>
      <c r="D129" s="12">
        <v>1</v>
      </c>
      <c r="E129" s="2">
        <v>1</v>
      </c>
      <c r="F129" s="25">
        <v>2.564102564102564E-2</v>
      </c>
    </row>
    <row r="130" spans="2:6" outlineLevel="2" x14ac:dyDescent="0.25">
      <c r="C130" t="s">
        <v>35</v>
      </c>
      <c r="D130" s="12">
        <v>1</v>
      </c>
      <c r="E130" s="2">
        <v>1</v>
      </c>
      <c r="F130" s="25">
        <v>0.33333333333333331</v>
      </c>
    </row>
    <row r="131" spans="2:6" outlineLevel="2" x14ac:dyDescent="0.25">
      <c r="C131" t="s">
        <v>14</v>
      </c>
      <c r="D131" s="12">
        <v>8</v>
      </c>
      <c r="E131" s="2">
        <v>8</v>
      </c>
      <c r="F131" s="25">
        <v>3.5714285714285712E-2</v>
      </c>
    </row>
    <row r="132" spans="2:6" outlineLevel="1" x14ac:dyDescent="0.25">
      <c r="B132" t="s">
        <v>85</v>
      </c>
      <c r="D132" s="12"/>
      <c r="E132" s="17">
        <v>8</v>
      </c>
      <c r="F132" s="24">
        <v>6.7001675041876048E-3</v>
      </c>
    </row>
    <row r="133" spans="2:6" outlineLevel="2" x14ac:dyDescent="0.25">
      <c r="C133" t="s">
        <v>22</v>
      </c>
      <c r="D133" s="12">
        <v>1</v>
      </c>
      <c r="E133" s="2">
        <v>1</v>
      </c>
      <c r="F133" s="25">
        <v>6.6666666666666666E-2</v>
      </c>
    </row>
    <row r="134" spans="2:6" outlineLevel="2" x14ac:dyDescent="0.25">
      <c r="C134" t="s">
        <v>41</v>
      </c>
      <c r="D134" s="12">
        <v>3</v>
      </c>
      <c r="E134" s="2">
        <v>3</v>
      </c>
      <c r="F134" s="25">
        <v>5.5555555555555552E-2</v>
      </c>
    </row>
    <row r="135" spans="2:6" outlineLevel="2" x14ac:dyDescent="0.25">
      <c r="C135" t="s">
        <v>13</v>
      </c>
      <c r="D135" s="12">
        <v>1</v>
      </c>
      <c r="E135" s="2">
        <v>1</v>
      </c>
      <c r="F135" s="25">
        <v>4.6728971962616819E-3</v>
      </c>
    </row>
    <row r="136" spans="2:6" outlineLevel="2" x14ac:dyDescent="0.25">
      <c r="C136" t="s">
        <v>38</v>
      </c>
      <c r="D136" s="12">
        <v>1</v>
      </c>
      <c r="E136" s="2">
        <v>1</v>
      </c>
      <c r="F136" s="25">
        <v>0.05</v>
      </c>
    </row>
    <row r="137" spans="2:6" outlineLevel="2" x14ac:dyDescent="0.25">
      <c r="C137" t="s">
        <v>15</v>
      </c>
      <c r="D137" s="12">
        <v>1</v>
      </c>
      <c r="E137" s="2">
        <v>1</v>
      </c>
      <c r="F137" s="25">
        <v>1.282051282051282E-2</v>
      </c>
    </row>
    <row r="138" spans="2:6" outlineLevel="2" x14ac:dyDescent="0.25">
      <c r="C138" t="s">
        <v>48</v>
      </c>
      <c r="D138" s="12">
        <v>1</v>
      </c>
      <c r="E138" s="2">
        <v>1</v>
      </c>
      <c r="F138" s="25">
        <v>0.5</v>
      </c>
    </row>
    <row r="139" spans="2:6" outlineLevel="1" x14ac:dyDescent="0.25">
      <c r="B139" t="s">
        <v>86</v>
      </c>
      <c r="D139" s="12"/>
      <c r="E139" s="17">
        <v>8</v>
      </c>
      <c r="F139" s="24">
        <v>6.7001675041876048E-3</v>
      </c>
    </row>
    <row r="140" spans="2:6" outlineLevel="2" x14ac:dyDescent="0.25">
      <c r="C140" t="s">
        <v>23</v>
      </c>
      <c r="D140" s="12">
        <v>6</v>
      </c>
      <c r="E140" s="2">
        <v>6</v>
      </c>
      <c r="F140" s="25">
        <v>0.27272727272727271</v>
      </c>
    </row>
    <row r="141" spans="2:6" outlineLevel="2" x14ac:dyDescent="0.25">
      <c r="C141" t="s">
        <v>17</v>
      </c>
      <c r="D141" s="12">
        <v>1</v>
      </c>
      <c r="E141" s="2">
        <v>1</v>
      </c>
      <c r="F141" s="25">
        <v>0.5</v>
      </c>
    </row>
    <row r="142" spans="2:6" outlineLevel="2" x14ac:dyDescent="0.25">
      <c r="C142" t="s">
        <v>28</v>
      </c>
      <c r="D142" s="12">
        <v>1</v>
      </c>
      <c r="E142" s="2">
        <v>1</v>
      </c>
      <c r="F142" s="25">
        <v>0.1111111111111111</v>
      </c>
    </row>
    <row r="143" spans="2:6" outlineLevel="1" x14ac:dyDescent="0.25">
      <c r="B143" t="s">
        <v>87</v>
      </c>
      <c r="D143" s="12"/>
      <c r="E143" s="17">
        <v>42</v>
      </c>
      <c r="F143" s="24">
        <v>3.5175879396984924E-2</v>
      </c>
    </row>
    <row r="144" spans="2:6" outlineLevel="2" x14ac:dyDescent="0.25">
      <c r="C144" t="s">
        <v>47</v>
      </c>
      <c r="D144" s="12">
        <v>7</v>
      </c>
      <c r="E144" s="2">
        <v>7</v>
      </c>
      <c r="F144" s="25">
        <v>0.17948717948717949</v>
      </c>
    </row>
    <row r="145" spans="2:6" outlineLevel="2" x14ac:dyDescent="0.25">
      <c r="C145" t="s">
        <v>43</v>
      </c>
      <c r="D145" s="12">
        <v>2</v>
      </c>
      <c r="E145" s="2">
        <v>2</v>
      </c>
      <c r="F145" s="25">
        <v>0.125</v>
      </c>
    </row>
    <row r="146" spans="2:6" outlineLevel="2" x14ac:dyDescent="0.25">
      <c r="C146" t="s">
        <v>23</v>
      </c>
      <c r="D146" s="12">
        <v>1</v>
      </c>
      <c r="E146" s="2">
        <v>1</v>
      </c>
      <c r="F146" s="25">
        <v>4.5454545454545456E-2</v>
      </c>
    </row>
    <row r="147" spans="2:6" outlineLevel="2" x14ac:dyDescent="0.25">
      <c r="C147" t="s">
        <v>24</v>
      </c>
      <c r="D147" s="12">
        <v>1</v>
      </c>
      <c r="E147" s="2">
        <v>1</v>
      </c>
      <c r="F147" s="25">
        <v>0.25</v>
      </c>
    </row>
    <row r="148" spans="2:6" outlineLevel="2" x14ac:dyDescent="0.25">
      <c r="C148" t="s">
        <v>17</v>
      </c>
      <c r="D148" s="12">
        <v>1</v>
      </c>
      <c r="E148" s="2">
        <v>1</v>
      </c>
      <c r="F148" s="25">
        <v>0.5</v>
      </c>
    </row>
    <row r="149" spans="2:6" outlineLevel="2" x14ac:dyDescent="0.25">
      <c r="C149" t="s">
        <v>18</v>
      </c>
      <c r="D149" s="12">
        <v>3</v>
      </c>
      <c r="E149" s="2">
        <v>3</v>
      </c>
      <c r="F149" s="25">
        <v>7.8947368421052627E-2</v>
      </c>
    </row>
    <row r="150" spans="2:6" outlineLevel="2" x14ac:dyDescent="0.25">
      <c r="C150" t="s">
        <v>14</v>
      </c>
      <c r="D150" s="12">
        <v>22</v>
      </c>
      <c r="E150" s="2">
        <v>22</v>
      </c>
      <c r="F150" s="25">
        <v>9.8214285714285712E-2</v>
      </c>
    </row>
    <row r="151" spans="2:6" outlineLevel="2" x14ac:dyDescent="0.25">
      <c r="C151" t="s">
        <v>51</v>
      </c>
      <c r="D151" s="12">
        <v>1</v>
      </c>
      <c r="E151" s="2">
        <v>1</v>
      </c>
      <c r="F151" s="25">
        <v>0.5</v>
      </c>
    </row>
    <row r="152" spans="2:6" outlineLevel="2" x14ac:dyDescent="0.25">
      <c r="C152" t="s">
        <v>15</v>
      </c>
      <c r="D152" s="12">
        <v>4</v>
      </c>
      <c r="E152" s="2">
        <v>4</v>
      </c>
      <c r="F152" s="25">
        <v>5.128205128205128E-2</v>
      </c>
    </row>
    <row r="153" spans="2:6" outlineLevel="1" x14ac:dyDescent="0.25">
      <c r="B153" t="s">
        <v>88</v>
      </c>
      <c r="D153" s="12"/>
      <c r="E153" s="17">
        <v>8</v>
      </c>
      <c r="F153" s="24">
        <v>6.7001675041876048E-3</v>
      </c>
    </row>
    <row r="154" spans="2:6" outlineLevel="2" x14ac:dyDescent="0.25">
      <c r="C154" t="s">
        <v>22</v>
      </c>
      <c r="D154" s="12">
        <v>1</v>
      </c>
      <c r="E154" s="2">
        <v>1</v>
      </c>
      <c r="F154" s="25">
        <v>6.6666666666666666E-2</v>
      </c>
    </row>
    <row r="155" spans="2:6" outlineLevel="2" x14ac:dyDescent="0.25">
      <c r="C155" t="s">
        <v>53</v>
      </c>
      <c r="D155" s="12">
        <v>7</v>
      </c>
      <c r="E155" s="2">
        <v>7</v>
      </c>
      <c r="F155" s="25">
        <v>0.7</v>
      </c>
    </row>
    <row r="156" spans="2:6" outlineLevel="1" x14ac:dyDescent="0.25">
      <c r="B156" t="s">
        <v>89</v>
      </c>
      <c r="D156" s="12"/>
      <c r="E156" s="17">
        <v>11</v>
      </c>
      <c r="F156" s="24">
        <v>9.212730318257957E-3</v>
      </c>
    </row>
    <row r="157" spans="2:6" outlineLevel="2" x14ac:dyDescent="0.25">
      <c r="C157" t="s">
        <v>28</v>
      </c>
      <c r="D157" s="12">
        <v>7</v>
      </c>
      <c r="E157" s="2">
        <v>7</v>
      </c>
      <c r="F157" s="25">
        <v>0.77777777777777779</v>
      </c>
    </row>
    <row r="158" spans="2:6" outlineLevel="2" x14ac:dyDescent="0.25">
      <c r="C158" t="s">
        <v>15</v>
      </c>
      <c r="D158" s="12">
        <v>4</v>
      </c>
      <c r="E158" s="2">
        <v>4</v>
      </c>
      <c r="F158" s="25">
        <v>5.128205128205128E-2</v>
      </c>
    </row>
    <row r="159" spans="2:6" outlineLevel="1" x14ac:dyDescent="0.25">
      <c r="B159" t="s">
        <v>90</v>
      </c>
      <c r="D159" s="12"/>
      <c r="E159" s="17">
        <v>1</v>
      </c>
      <c r="F159" s="24">
        <v>8.375209380234506E-4</v>
      </c>
    </row>
    <row r="160" spans="2:6" outlineLevel="2" x14ac:dyDescent="0.25">
      <c r="C160" t="s">
        <v>42</v>
      </c>
      <c r="D160" s="12">
        <v>1</v>
      </c>
      <c r="E160" s="2">
        <v>1</v>
      </c>
      <c r="F160" s="25">
        <v>2.564102564102564E-2</v>
      </c>
    </row>
    <row r="161" spans="2:6" outlineLevel="1" x14ac:dyDescent="0.25">
      <c r="B161" t="s">
        <v>91</v>
      </c>
      <c r="D161" s="12"/>
      <c r="E161" s="17">
        <v>7</v>
      </c>
      <c r="F161" s="24">
        <v>5.8626465661641538E-3</v>
      </c>
    </row>
    <row r="162" spans="2:6" outlineLevel="2" x14ac:dyDescent="0.25">
      <c r="C162" t="s">
        <v>23</v>
      </c>
      <c r="D162" s="12">
        <v>6</v>
      </c>
      <c r="E162" s="2">
        <v>6</v>
      </c>
      <c r="F162" s="25">
        <v>0.27272727272727271</v>
      </c>
    </row>
    <row r="163" spans="2:6" outlineLevel="2" x14ac:dyDescent="0.25">
      <c r="C163" t="s">
        <v>17</v>
      </c>
      <c r="D163" s="12">
        <v>1</v>
      </c>
      <c r="E163" s="2">
        <v>1</v>
      </c>
      <c r="F163" s="25">
        <v>0.5</v>
      </c>
    </row>
    <row r="164" spans="2:6" outlineLevel="1" x14ac:dyDescent="0.25">
      <c r="B164" t="s">
        <v>92</v>
      </c>
      <c r="D164" s="12"/>
      <c r="E164" s="17">
        <v>31</v>
      </c>
      <c r="F164" s="24">
        <v>2.5963149078726967E-2</v>
      </c>
    </row>
    <row r="165" spans="2:6" outlineLevel="2" x14ac:dyDescent="0.25">
      <c r="C165" t="s">
        <v>14</v>
      </c>
      <c r="D165" s="12">
        <v>31</v>
      </c>
      <c r="E165" s="2">
        <v>31</v>
      </c>
      <c r="F165" s="25">
        <v>0.13839285714285715</v>
      </c>
    </row>
    <row r="166" spans="2:6" outlineLevel="1" x14ac:dyDescent="0.25">
      <c r="B166" t="s">
        <v>93</v>
      </c>
      <c r="D166" s="12"/>
      <c r="E166" s="17">
        <v>13</v>
      </c>
      <c r="F166" s="24">
        <v>1.0887772194304857E-2</v>
      </c>
    </row>
    <row r="167" spans="2:6" outlineLevel="2" x14ac:dyDescent="0.25">
      <c r="C167" t="s">
        <v>22</v>
      </c>
      <c r="D167" s="12">
        <v>1</v>
      </c>
      <c r="E167" s="2">
        <v>1</v>
      </c>
      <c r="F167" s="25">
        <v>6.6666666666666666E-2</v>
      </c>
    </row>
    <row r="168" spans="2:6" outlineLevel="2" x14ac:dyDescent="0.25">
      <c r="C168" t="s">
        <v>25</v>
      </c>
      <c r="D168" s="12">
        <v>3</v>
      </c>
      <c r="E168" s="2">
        <v>3</v>
      </c>
      <c r="F168" s="25">
        <v>8.5714285714285715E-2</v>
      </c>
    </row>
    <row r="169" spans="2:6" outlineLevel="2" x14ac:dyDescent="0.25">
      <c r="C169" t="s">
        <v>23</v>
      </c>
      <c r="D169" s="12">
        <v>9</v>
      </c>
      <c r="E169" s="2">
        <v>9</v>
      </c>
      <c r="F169" s="25">
        <v>0.40909090909090912</v>
      </c>
    </row>
    <row r="170" spans="2:6" outlineLevel="1" x14ac:dyDescent="0.25">
      <c r="B170" t="s">
        <v>94</v>
      </c>
      <c r="D170" s="12"/>
      <c r="E170" s="17">
        <v>18</v>
      </c>
      <c r="F170" s="24">
        <v>1.507537688442211E-2</v>
      </c>
    </row>
    <row r="171" spans="2:6" outlineLevel="2" x14ac:dyDescent="0.25">
      <c r="C171" t="s">
        <v>14</v>
      </c>
      <c r="D171" s="12">
        <v>10</v>
      </c>
      <c r="E171" s="2">
        <v>10</v>
      </c>
      <c r="F171" s="25">
        <v>4.4642857142857144E-2</v>
      </c>
    </row>
    <row r="172" spans="2:6" outlineLevel="2" x14ac:dyDescent="0.25">
      <c r="C172" t="s">
        <v>38</v>
      </c>
      <c r="D172" s="12">
        <v>5</v>
      </c>
      <c r="E172" s="2">
        <v>5</v>
      </c>
      <c r="F172" s="25">
        <v>0.25</v>
      </c>
    </row>
    <row r="173" spans="2:6" outlineLevel="2" x14ac:dyDescent="0.25">
      <c r="C173" t="s">
        <v>20</v>
      </c>
      <c r="D173" s="12">
        <v>2</v>
      </c>
      <c r="E173" s="2">
        <v>2</v>
      </c>
      <c r="F173" s="25">
        <v>9.0909090909090912E-2</v>
      </c>
    </row>
    <row r="174" spans="2:6" outlineLevel="2" x14ac:dyDescent="0.25">
      <c r="C174" t="s">
        <v>15</v>
      </c>
      <c r="D174" s="12">
        <v>1</v>
      </c>
      <c r="E174" s="2">
        <v>1</v>
      </c>
      <c r="F174" s="25">
        <v>1.282051282051282E-2</v>
      </c>
    </row>
    <row r="175" spans="2:6" outlineLevel="1" x14ac:dyDescent="0.25">
      <c r="B175" t="s">
        <v>95</v>
      </c>
      <c r="D175" s="12"/>
      <c r="E175" s="17">
        <v>24</v>
      </c>
      <c r="F175" s="24">
        <v>2.0100502512562814E-2</v>
      </c>
    </row>
    <row r="176" spans="2:6" outlineLevel="2" x14ac:dyDescent="0.25">
      <c r="C176" t="s">
        <v>46</v>
      </c>
      <c r="D176" s="12">
        <v>1</v>
      </c>
      <c r="E176" s="2">
        <v>1</v>
      </c>
      <c r="F176" s="25">
        <v>0.25</v>
      </c>
    </row>
    <row r="177" spans="2:6" outlineLevel="2" x14ac:dyDescent="0.25">
      <c r="C177" t="s">
        <v>14</v>
      </c>
      <c r="D177" s="12">
        <v>12</v>
      </c>
      <c r="E177" s="2">
        <v>12</v>
      </c>
      <c r="F177" s="25">
        <v>5.3571428571428568E-2</v>
      </c>
    </row>
    <row r="178" spans="2:6" outlineLevel="2" x14ac:dyDescent="0.25">
      <c r="C178" t="s">
        <v>19</v>
      </c>
      <c r="D178" s="12">
        <v>6</v>
      </c>
      <c r="E178" s="2">
        <v>6</v>
      </c>
      <c r="F178" s="25">
        <v>0.11538461538461539</v>
      </c>
    </row>
    <row r="179" spans="2:6" outlineLevel="2" x14ac:dyDescent="0.25">
      <c r="C179" t="s">
        <v>20</v>
      </c>
      <c r="D179" s="12">
        <v>1</v>
      </c>
      <c r="E179" s="2">
        <v>1</v>
      </c>
      <c r="F179" s="25">
        <v>4.5454545454545456E-2</v>
      </c>
    </row>
    <row r="180" spans="2:6" outlineLevel="2" x14ac:dyDescent="0.25">
      <c r="C180" t="s">
        <v>31</v>
      </c>
      <c r="D180" s="12">
        <v>1</v>
      </c>
      <c r="E180" s="2">
        <v>1</v>
      </c>
      <c r="F180" s="25">
        <v>4.5454545454545456E-2</v>
      </c>
    </row>
    <row r="181" spans="2:6" outlineLevel="2" x14ac:dyDescent="0.25">
      <c r="C181" t="s">
        <v>39</v>
      </c>
      <c r="D181" s="12">
        <v>3</v>
      </c>
      <c r="E181" s="2">
        <v>3</v>
      </c>
      <c r="F181" s="25">
        <v>0.3</v>
      </c>
    </row>
    <row r="182" spans="2:6" outlineLevel="1" x14ac:dyDescent="0.25">
      <c r="B182" t="s">
        <v>96</v>
      </c>
      <c r="D182" s="12"/>
      <c r="E182" s="17">
        <v>57</v>
      </c>
      <c r="F182" s="24">
        <v>4.7738693467336682E-2</v>
      </c>
    </row>
    <row r="183" spans="2:6" outlineLevel="2" x14ac:dyDescent="0.25">
      <c r="C183" t="s">
        <v>22</v>
      </c>
      <c r="D183" s="12">
        <v>2</v>
      </c>
      <c r="E183" s="2">
        <v>2</v>
      </c>
      <c r="F183" s="25">
        <v>0.13333333333333333</v>
      </c>
    </row>
    <row r="184" spans="2:6" outlineLevel="2" x14ac:dyDescent="0.25">
      <c r="C184" t="s">
        <v>41</v>
      </c>
      <c r="D184" s="12">
        <v>2</v>
      </c>
      <c r="E184" s="2">
        <v>2</v>
      </c>
      <c r="F184" s="25">
        <v>3.7037037037037035E-2</v>
      </c>
    </row>
    <row r="185" spans="2:6" outlineLevel="2" x14ac:dyDescent="0.25">
      <c r="C185" t="s">
        <v>25</v>
      </c>
      <c r="D185" s="12">
        <v>2</v>
      </c>
      <c r="E185" s="2">
        <v>2</v>
      </c>
      <c r="F185" s="25">
        <v>5.7142857142857141E-2</v>
      </c>
    </row>
    <row r="186" spans="2:6" outlineLevel="2" x14ac:dyDescent="0.25">
      <c r="C186" t="s">
        <v>43</v>
      </c>
      <c r="D186" s="12">
        <v>1</v>
      </c>
      <c r="E186" s="2">
        <v>1</v>
      </c>
      <c r="F186" s="25">
        <v>6.25E-2</v>
      </c>
    </row>
    <row r="187" spans="2:6" outlineLevel="2" x14ac:dyDescent="0.25">
      <c r="C187" t="s">
        <v>23</v>
      </c>
      <c r="D187" s="12">
        <v>7</v>
      </c>
      <c r="E187" s="2">
        <v>7</v>
      </c>
      <c r="F187" s="25">
        <v>0.31818181818181818</v>
      </c>
    </row>
    <row r="188" spans="2:6" outlineLevel="2" x14ac:dyDescent="0.25">
      <c r="C188" t="s">
        <v>33</v>
      </c>
      <c r="D188" s="12">
        <v>1</v>
      </c>
      <c r="E188" s="2">
        <v>1</v>
      </c>
      <c r="F188" s="25">
        <v>4.5454545454545456E-2</v>
      </c>
    </row>
    <row r="189" spans="2:6" outlineLevel="2" x14ac:dyDescent="0.25">
      <c r="C189" t="s">
        <v>46</v>
      </c>
      <c r="D189" s="12">
        <v>1</v>
      </c>
      <c r="E189" s="2">
        <v>1</v>
      </c>
      <c r="F189" s="25">
        <v>0.25</v>
      </c>
    </row>
    <row r="190" spans="2:6" outlineLevel="2" x14ac:dyDescent="0.25">
      <c r="C190" t="s">
        <v>16</v>
      </c>
      <c r="D190" s="12">
        <v>1</v>
      </c>
      <c r="E190" s="2">
        <v>1</v>
      </c>
      <c r="F190" s="25">
        <v>0.125</v>
      </c>
    </row>
    <row r="191" spans="2:6" outlineLevel="2" x14ac:dyDescent="0.25">
      <c r="C191" t="s">
        <v>11</v>
      </c>
      <c r="D191" s="12">
        <v>1</v>
      </c>
      <c r="E191" s="2">
        <v>1</v>
      </c>
      <c r="F191" s="25">
        <v>7.1428571428571425E-2</v>
      </c>
    </row>
    <row r="192" spans="2:6" outlineLevel="2" x14ac:dyDescent="0.25">
      <c r="C192" t="s">
        <v>53</v>
      </c>
      <c r="D192" s="12">
        <v>10</v>
      </c>
      <c r="E192" s="2">
        <v>10</v>
      </c>
      <c r="F192" s="25">
        <v>1</v>
      </c>
    </row>
    <row r="193" spans="2:6" outlineLevel="2" x14ac:dyDescent="0.25">
      <c r="C193" t="s">
        <v>14</v>
      </c>
      <c r="D193" s="12">
        <v>24</v>
      </c>
      <c r="E193" s="2">
        <v>24</v>
      </c>
      <c r="F193" s="25">
        <v>0.10714285714285714</v>
      </c>
    </row>
    <row r="194" spans="2:6" outlineLevel="2" x14ac:dyDescent="0.25">
      <c r="C194" t="s">
        <v>51</v>
      </c>
      <c r="D194" s="12">
        <v>2</v>
      </c>
      <c r="E194" s="2">
        <v>2</v>
      </c>
      <c r="F194" s="25">
        <v>1</v>
      </c>
    </row>
    <row r="195" spans="2:6" outlineLevel="2" x14ac:dyDescent="0.25">
      <c r="C195" t="s">
        <v>28</v>
      </c>
      <c r="D195" s="12">
        <v>2</v>
      </c>
      <c r="E195" s="2">
        <v>2</v>
      </c>
      <c r="F195" s="25">
        <v>0.22222222222222221</v>
      </c>
    </row>
    <row r="196" spans="2:6" outlineLevel="2" x14ac:dyDescent="0.25">
      <c r="C196" t="s">
        <v>15</v>
      </c>
      <c r="D196" s="12">
        <v>1</v>
      </c>
      <c r="E196" s="2">
        <v>1</v>
      </c>
      <c r="F196" s="25">
        <v>1.282051282051282E-2</v>
      </c>
    </row>
    <row r="197" spans="2:6" outlineLevel="1" x14ac:dyDescent="0.25">
      <c r="B197" t="s">
        <v>97</v>
      </c>
      <c r="D197" s="12"/>
      <c r="E197" s="17">
        <v>1</v>
      </c>
      <c r="F197" s="24">
        <v>8.375209380234506E-4</v>
      </c>
    </row>
    <row r="198" spans="2:6" outlineLevel="2" x14ac:dyDescent="0.25">
      <c r="C198" t="s">
        <v>12</v>
      </c>
      <c r="D198" s="12">
        <v>1</v>
      </c>
      <c r="E198" s="2">
        <v>1</v>
      </c>
      <c r="F198" s="25">
        <v>4.1666666666666664E-2</v>
      </c>
    </row>
    <row r="199" spans="2:6" outlineLevel="1" x14ac:dyDescent="0.25">
      <c r="B199" t="s">
        <v>98</v>
      </c>
      <c r="D199" s="12"/>
      <c r="E199" s="17">
        <v>5</v>
      </c>
      <c r="F199" s="24">
        <v>4.1876046901172526E-3</v>
      </c>
    </row>
    <row r="200" spans="2:6" outlineLevel="2" x14ac:dyDescent="0.25">
      <c r="C200" t="s">
        <v>22</v>
      </c>
      <c r="D200" s="12">
        <v>1</v>
      </c>
      <c r="E200" s="2">
        <v>1</v>
      </c>
      <c r="F200" s="25">
        <v>6.6666666666666666E-2</v>
      </c>
    </row>
    <row r="201" spans="2:6" outlineLevel="2" x14ac:dyDescent="0.25">
      <c r="C201" t="s">
        <v>23</v>
      </c>
      <c r="D201" s="12">
        <v>2</v>
      </c>
      <c r="E201" s="2">
        <v>2</v>
      </c>
      <c r="F201" s="25">
        <v>9.0909090909090912E-2</v>
      </c>
    </row>
    <row r="202" spans="2:6" outlineLevel="2" x14ac:dyDescent="0.25">
      <c r="C202" t="s">
        <v>14</v>
      </c>
      <c r="D202" s="12">
        <v>2</v>
      </c>
      <c r="E202" s="2">
        <v>2</v>
      </c>
      <c r="F202" s="25">
        <v>8.9285714285714281E-3</v>
      </c>
    </row>
    <row r="203" spans="2:6" outlineLevel="1" x14ac:dyDescent="0.25">
      <c r="B203" t="s">
        <v>99</v>
      </c>
      <c r="D203" s="12"/>
      <c r="E203" s="17">
        <v>112</v>
      </c>
      <c r="F203" s="24">
        <v>9.380234505862646E-2</v>
      </c>
    </row>
    <row r="204" spans="2:6" outlineLevel="2" x14ac:dyDescent="0.25">
      <c r="C204" t="s">
        <v>45</v>
      </c>
      <c r="D204" s="12">
        <v>1</v>
      </c>
      <c r="E204" s="2">
        <v>1</v>
      </c>
      <c r="F204" s="25">
        <v>0.25</v>
      </c>
    </row>
    <row r="205" spans="2:6" outlineLevel="2" x14ac:dyDescent="0.25">
      <c r="C205" t="s">
        <v>22</v>
      </c>
      <c r="D205" s="12">
        <v>4</v>
      </c>
      <c r="E205" s="2">
        <v>4</v>
      </c>
      <c r="F205" s="25">
        <v>0.26666666666666666</v>
      </c>
    </row>
    <row r="206" spans="2:6" outlineLevel="2" x14ac:dyDescent="0.25">
      <c r="C206" t="s">
        <v>30</v>
      </c>
      <c r="D206" s="12">
        <v>3</v>
      </c>
      <c r="E206" s="2">
        <v>3</v>
      </c>
      <c r="F206" s="25">
        <v>0.5</v>
      </c>
    </row>
    <row r="207" spans="2:6" outlineLevel="2" x14ac:dyDescent="0.25">
      <c r="C207" t="s">
        <v>25</v>
      </c>
      <c r="D207" s="12">
        <v>2</v>
      </c>
      <c r="E207" s="2">
        <v>2</v>
      </c>
      <c r="F207" s="25">
        <v>5.7142857142857141E-2</v>
      </c>
    </row>
    <row r="208" spans="2:6" outlineLevel="2" x14ac:dyDescent="0.25">
      <c r="C208" t="s">
        <v>32</v>
      </c>
      <c r="D208" s="12">
        <v>11</v>
      </c>
      <c r="E208" s="2">
        <v>11</v>
      </c>
      <c r="F208" s="25">
        <v>0.22916666666666666</v>
      </c>
    </row>
    <row r="209" spans="3:6" outlineLevel="2" x14ac:dyDescent="0.25">
      <c r="C209" t="s">
        <v>43</v>
      </c>
      <c r="D209" s="12">
        <v>1</v>
      </c>
      <c r="E209" s="2">
        <v>1</v>
      </c>
      <c r="F209" s="25">
        <v>6.25E-2</v>
      </c>
    </row>
    <row r="210" spans="3:6" outlineLevel="2" x14ac:dyDescent="0.25">
      <c r="C210" t="s">
        <v>23</v>
      </c>
      <c r="D210" s="12">
        <v>3</v>
      </c>
      <c r="E210" s="2">
        <v>3</v>
      </c>
      <c r="F210" s="25">
        <v>0.13636363636363635</v>
      </c>
    </row>
    <row r="211" spans="3:6" outlineLevel="2" x14ac:dyDescent="0.25">
      <c r="C211" t="s">
        <v>33</v>
      </c>
      <c r="D211" s="12">
        <v>2</v>
      </c>
      <c r="E211" s="2">
        <v>2</v>
      </c>
      <c r="F211" s="25">
        <v>9.0909090909090912E-2</v>
      </c>
    </row>
    <row r="212" spans="3:6" outlineLevel="2" x14ac:dyDescent="0.25">
      <c r="C212" t="s">
        <v>46</v>
      </c>
      <c r="D212" s="12">
        <v>1</v>
      </c>
      <c r="E212" s="2">
        <v>1</v>
      </c>
      <c r="F212" s="25">
        <v>0.25</v>
      </c>
    </row>
    <row r="213" spans="3:6" outlineLevel="2" x14ac:dyDescent="0.25">
      <c r="C213" t="s">
        <v>26</v>
      </c>
      <c r="D213" s="12">
        <v>2</v>
      </c>
      <c r="E213" s="2">
        <v>2</v>
      </c>
      <c r="F213" s="25">
        <v>0.15384615384615385</v>
      </c>
    </row>
    <row r="214" spans="3:6" outlineLevel="2" x14ac:dyDescent="0.25">
      <c r="C214" t="s">
        <v>29</v>
      </c>
      <c r="D214" s="12">
        <v>1</v>
      </c>
      <c r="E214" s="2">
        <v>1</v>
      </c>
      <c r="F214" s="25">
        <v>0.16666666666666666</v>
      </c>
    </row>
    <row r="215" spans="3:6" outlineLevel="2" x14ac:dyDescent="0.25">
      <c r="C215" t="s">
        <v>17</v>
      </c>
      <c r="D215" s="12">
        <v>1</v>
      </c>
      <c r="E215" s="2">
        <v>1</v>
      </c>
      <c r="F215" s="25">
        <v>0.5</v>
      </c>
    </row>
    <row r="216" spans="3:6" outlineLevel="2" x14ac:dyDescent="0.25">
      <c r="C216" t="s">
        <v>18</v>
      </c>
      <c r="D216" s="12">
        <v>8</v>
      </c>
      <c r="E216" s="2">
        <v>8</v>
      </c>
      <c r="F216" s="25">
        <v>0.21052631578947367</v>
      </c>
    </row>
    <row r="217" spans="3:6" outlineLevel="2" x14ac:dyDescent="0.25">
      <c r="C217" t="s">
        <v>11</v>
      </c>
      <c r="D217" s="12">
        <v>3</v>
      </c>
      <c r="E217" s="2">
        <v>3</v>
      </c>
      <c r="F217" s="25">
        <v>0.21428571428571427</v>
      </c>
    </row>
    <row r="218" spans="3:6" outlineLevel="2" x14ac:dyDescent="0.25">
      <c r="C218" t="s">
        <v>12</v>
      </c>
      <c r="D218" s="12">
        <v>7</v>
      </c>
      <c r="E218" s="2">
        <v>7</v>
      </c>
      <c r="F218" s="25">
        <v>0.29166666666666669</v>
      </c>
    </row>
    <row r="219" spans="3:6" outlineLevel="2" x14ac:dyDescent="0.25">
      <c r="C219" t="s">
        <v>13</v>
      </c>
      <c r="D219" s="12">
        <v>25</v>
      </c>
      <c r="E219" s="2">
        <v>25</v>
      </c>
      <c r="F219" s="25">
        <v>0.11682242990654206</v>
      </c>
    </row>
    <row r="220" spans="3:6" outlineLevel="2" x14ac:dyDescent="0.25">
      <c r="C220" t="s">
        <v>14</v>
      </c>
      <c r="D220" s="12">
        <v>11</v>
      </c>
      <c r="E220" s="2">
        <v>11</v>
      </c>
      <c r="F220" s="25">
        <v>4.9107142857142856E-2</v>
      </c>
    </row>
    <row r="221" spans="3:6" outlineLevel="2" x14ac:dyDescent="0.25">
      <c r="C221" t="s">
        <v>37</v>
      </c>
      <c r="D221" s="12">
        <v>3</v>
      </c>
      <c r="E221" s="2">
        <v>3</v>
      </c>
      <c r="F221" s="25">
        <v>0.5</v>
      </c>
    </row>
    <row r="222" spans="3:6" outlineLevel="2" x14ac:dyDescent="0.25">
      <c r="C222" t="s">
        <v>20</v>
      </c>
      <c r="D222" s="12">
        <v>8</v>
      </c>
      <c r="E222" s="2">
        <v>8</v>
      </c>
      <c r="F222" s="25">
        <v>0.36363636363636365</v>
      </c>
    </row>
    <row r="223" spans="3:6" outlineLevel="2" x14ac:dyDescent="0.25">
      <c r="C223" t="s">
        <v>21</v>
      </c>
      <c r="D223" s="12">
        <v>1</v>
      </c>
      <c r="E223" s="2">
        <v>1</v>
      </c>
      <c r="F223" s="25">
        <v>0.1111111111111111</v>
      </c>
    </row>
    <row r="224" spans="3:6" outlineLevel="2" x14ac:dyDescent="0.25">
      <c r="C224" t="s">
        <v>28</v>
      </c>
      <c r="D224" s="12">
        <v>3</v>
      </c>
      <c r="E224" s="2">
        <v>3</v>
      </c>
      <c r="F224" s="25">
        <v>0.33333333333333331</v>
      </c>
    </row>
    <row r="225" spans="2:6" outlineLevel="2" x14ac:dyDescent="0.25">
      <c r="C225" t="s">
        <v>15</v>
      </c>
      <c r="D225" s="12">
        <v>2</v>
      </c>
      <c r="E225" s="2">
        <v>2</v>
      </c>
      <c r="F225" s="25">
        <v>2.564102564102564E-2</v>
      </c>
    </row>
    <row r="226" spans="2:6" outlineLevel="2" x14ac:dyDescent="0.25">
      <c r="C226" t="s">
        <v>31</v>
      </c>
      <c r="D226" s="12">
        <v>9</v>
      </c>
      <c r="E226" s="2">
        <v>9</v>
      </c>
      <c r="F226" s="25">
        <v>0.40909090909090912</v>
      </c>
    </row>
    <row r="227" spans="2:6" outlineLevel="1" x14ac:dyDescent="0.25">
      <c r="B227" t="s">
        <v>100</v>
      </c>
      <c r="D227" s="12"/>
      <c r="E227" s="17">
        <v>159</v>
      </c>
      <c r="F227" s="24">
        <v>0.13316582914572864</v>
      </c>
    </row>
    <row r="228" spans="2:6" outlineLevel="2" x14ac:dyDescent="0.25">
      <c r="C228" t="s">
        <v>22</v>
      </c>
      <c r="D228" s="12">
        <v>1</v>
      </c>
      <c r="E228" s="2">
        <v>1</v>
      </c>
      <c r="F228" s="25">
        <v>6.6666666666666666E-2</v>
      </c>
    </row>
    <row r="229" spans="2:6" outlineLevel="2" x14ac:dyDescent="0.25">
      <c r="C229" t="s">
        <v>27</v>
      </c>
      <c r="D229" s="12">
        <v>3</v>
      </c>
      <c r="E229" s="2">
        <v>3</v>
      </c>
      <c r="F229" s="25">
        <v>0.25</v>
      </c>
    </row>
    <row r="230" spans="2:6" outlineLevel="2" x14ac:dyDescent="0.25">
      <c r="C230" t="s">
        <v>30</v>
      </c>
      <c r="D230" s="12">
        <v>1</v>
      </c>
      <c r="E230" s="2">
        <v>1</v>
      </c>
      <c r="F230" s="25">
        <v>0.16666666666666666</v>
      </c>
    </row>
    <row r="231" spans="2:6" outlineLevel="2" x14ac:dyDescent="0.25">
      <c r="C231" t="s">
        <v>32</v>
      </c>
      <c r="D231" s="12">
        <v>7</v>
      </c>
      <c r="E231" s="2">
        <v>7</v>
      </c>
      <c r="F231" s="25">
        <v>0.14583333333333334</v>
      </c>
    </row>
    <row r="232" spans="2:6" outlineLevel="2" x14ac:dyDescent="0.25">
      <c r="C232" t="s">
        <v>42</v>
      </c>
      <c r="D232" s="12">
        <v>11</v>
      </c>
      <c r="E232" s="2">
        <v>11</v>
      </c>
      <c r="F232" s="25">
        <v>0.28205128205128205</v>
      </c>
    </row>
    <row r="233" spans="2:6" outlineLevel="2" x14ac:dyDescent="0.25">
      <c r="C233" t="s">
        <v>43</v>
      </c>
      <c r="D233" s="12">
        <v>1</v>
      </c>
      <c r="E233" s="2">
        <v>1</v>
      </c>
      <c r="F233" s="25">
        <v>6.25E-2</v>
      </c>
    </row>
    <row r="234" spans="2:6" outlineLevel="2" x14ac:dyDescent="0.25">
      <c r="C234" t="s">
        <v>23</v>
      </c>
      <c r="D234" s="12">
        <v>1</v>
      </c>
      <c r="E234" s="2">
        <v>1</v>
      </c>
      <c r="F234" s="25">
        <v>4.5454545454545456E-2</v>
      </c>
    </row>
    <row r="235" spans="2:6" outlineLevel="2" x14ac:dyDescent="0.25">
      <c r="C235" t="s">
        <v>46</v>
      </c>
      <c r="D235" s="12">
        <v>2</v>
      </c>
      <c r="E235" s="2">
        <v>2</v>
      </c>
      <c r="F235" s="25">
        <v>0.5</v>
      </c>
    </row>
    <row r="236" spans="2:6" outlineLevel="2" x14ac:dyDescent="0.25">
      <c r="C236" t="s">
        <v>44</v>
      </c>
      <c r="D236" s="12">
        <v>1</v>
      </c>
      <c r="E236" s="2">
        <v>1</v>
      </c>
      <c r="F236" s="25">
        <v>0.16666666666666666</v>
      </c>
    </row>
    <row r="237" spans="2:6" outlineLevel="2" x14ac:dyDescent="0.25">
      <c r="C237" t="s">
        <v>16</v>
      </c>
      <c r="D237" s="12">
        <v>1</v>
      </c>
      <c r="E237" s="2">
        <v>1</v>
      </c>
      <c r="F237" s="25">
        <v>0.125</v>
      </c>
    </row>
    <row r="238" spans="2:6" outlineLevel="2" x14ac:dyDescent="0.25">
      <c r="C238" t="s">
        <v>26</v>
      </c>
      <c r="D238" s="12">
        <v>3</v>
      </c>
      <c r="E238" s="2">
        <v>3</v>
      </c>
      <c r="F238" s="25">
        <v>0.23076923076923078</v>
      </c>
    </row>
    <row r="239" spans="2:6" outlineLevel="2" x14ac:dyDescent="0.25">
      <c r="C239" t="s">
        <v>24</v>
      </c>
      <c r="D239" s="12">
        <v>2</v>
      </c>
      <c r="E239" s="2">
        <v>2</v>
      </c>
      <c r="F239" s="25">
        <v>0.5</v>
      </c>
    </row>
    <row r="240" spans="2:6" outlineLevel="2" x14ac:dyDescent="0.25">
      <c r="C240" t="s">
        <v>17</v>
      </c>
      <c r="D240" s="12">
        <v>1</v>
      </c>
      <c r="E240" s="2">
        <v>1</v>
      </c>
      <c r="F240" s="25">
        <v>0.5</v>
      </c>
    </row>
    <row r="241" spans="2:6" outlineLevel="2" x14ac:dyDescent="0.25">
      <c r="C241" t="s">
        <v>18</v>
      </c>
      <c r="D241" s="12">
        <v>15</v>
      </c>
      <c r="E241" s="2">
        <v>15</v>
      </c>
      <c r="F241" s="25">
        <v>0.39473684210526316</v>
      </c>
    </row>
    <row r="242" spans="2:6" outlineLevel="2" x14ac:dyDescent="0.25">
      <c r="C242" t="s">
        <v>13</v>
      </c>
      <c r="D242" s="12">
        <v>52</v>
      </c>
      <c r="E242" s="2">
        <v>52</v>
      </c>
      <c r="F242" s="25">
        <v>0.24299065420560748</v>
      </c>
    </row>
    <row r="243" spans="2:6" outlineLevel="2" x14ac:dyDescent="0.25">
      <c r="C243" t="s">
        <v>14</v>
      </c>
      <c r="D243" s="12">
        <v>28</v>
      </c>
      <c r="E243" s="2">
        <v>28</v>
      </c>
      <c r="F243" s="25">
        <v>0.125</v>
      </c>
    </row>
    <row r="244" spans="2:6" outlineLevel="2" x14ac:dyDescent="0.25">
      <c r="C244" t="s">
        <v>37</v>
      </c>
      <c r="D244" s="12">
        <v>2</v>
      </c>
      <c r="E244" s="2">
        <v>2</v>
      </c>
      <c r="F244" s="25">
        <v>0.33333333333333331</v>
      </c>
    </row>
    <row r="245" spans="2:6" outlineLevel="2" x14ac:dyDescent="0.25">
      <c r="C245" t="s">
        <v>19</v>
      </c>
      <c r="D245" s="12">
        <v>1</v>
      </c>
      <c r="E245" s="2">
        <v>1</v>
      </c>
      <c r="F245" s="25">
        <v>1.9230769230769232E-2</v>
      </c>
    </row>
    <row r="246" spans="2:6" outlineLevel="2" x14ac:dyDescent="0.25">
      <c r="C246" t="s">
        <v>38</v>
      </c>
      <c r="D246" s="12">
        <v>5</v>
      </c>
      <c r="E246" s="2">
        <v>5</v>
      </c>
      <c r="F246" s="25">
        <v>0.25</v>
      </c>
    </row>
    <row r="247" spans="2:6" outlineLevel="2" x14ac:dyDescent="0.25">
      <c r="C247" t="s">
        <v>51</v>
      </c>
      <c r="D247" s="12">
        <v>1</v>
      </c>
      <c r="E247" s="2">
        <v>1</v>
      </c>
      <c r="F247" s="25">
        <v>0.5</v>
      </c>
    </row>
    <row r="248" spans="2:6" outlineLevel="2" x14ac:dyDescent="0.25">
      <c r="C248" t="s">
        <v>21</v>
      </c>
      <c r="D248" s="12">
        <v>3</v>
      </c>
      <c r="E248" s="2">
        <v>3</v>
      </c>
      <c r="F248" s="25">
        <v>0.33333333333333331</v>
      </c>
    </row>
    <row r="249" spans="2:6" outlineLevel="2" x14ac:dyDescent="0.25">
      <c r="C249" t="s">
        <v>15</v>
      </c>
      <c r="D249" s="12">
        <v>6</v>
      </c>
      <c r="E249" s="2">
        <v>6</v>
      </c>
      <c r="F249" s="25">
        <v>7.6923076923076927E-2</v>
      </c>
    </row>
    <row r="250" spans="2:6" outlineLevel="2" x14ac:dyDescent="0.25">
      <c r="C250" t="s">
        <v>31</v>
      </c>
      <c r="D250" s="12">
        <v>9</v>
      </c>
      <c r="E250" s="2">
        <v>9</v>
      </c>
      <c r="F250" s="25">
        <v>0.40909090909090912</v>
      </c>
    </row>
    <row r="251" spans="2:6" outlineLevel="2" x14ac:dyDescent="0.25">
      <c r="C251" t="s">
        <v>39</v>
      </c>
      <c r="D251" s="12">
        <v>2</v>
      </c>
      <c r="E251" s="2">
        <v>2</v>
      </c>
      <c r="F251" s="25">
        <v>0.2</v>
      </c>
    </row>
    <row r="252" spans="2:6" outlineLevel="1" x14ac:dyDescent="0.25">
      <c r="B252" t="s">
        <v>101</v>
      </c>
      <c r="D252" s="12"/>
      <c r="E252" s="17">
        <v>26</v>
      </c>
      <c r="F252" s="24">
        <v>2.1775544388609715E-2</v>
      </c>
    </row>
    <row r="253" spans="2:6" outlineLevel="2" x14ac:dyDescent="0.25">
      <c r="C253" t="s">
        <v>22</v>
      </c>
      <c r="D253" s="12">
        <v>2</v>
      </c>
      <c r="E253" s="2">
        <v>2</v>
      </c>
      <c r="F253" s="25">
        <v>0.13333333333333333</v>
      </c>
    </row>
    <row r="254" spans="2:6" outlineLevel="2" x14ac:dyDescent="0.25">
      <c r="C254" t="s">
        <v>23</v>
      </c>
      <c r="D254" s="12">
        <v>6</v>
      </c>
      <c r="E254" s="2">
        <v>6</v>
      </c>
      <c r="F254" s="25">
        <v>0.27272727272727271</v>
      </c>
    </row>
    <row r="255" spans="2:6" outlineLevel="2" x14ac:dyDescent="0.25">
      <c r="C255" t="s">
        <v>17</v>
      </c>
      <c r="D255" s="12">
        <v>1</v>
      </c>
      <c r="E255" s="2">
        <v>1</v>
      </c>
      <c r="F255" s="25">
        <v>0.5</v>
      </c>
    </row>
    <row r="256" spans="2:6" outlineLevel="2" x14ac:dyDescent="0.25">
      <c r="C256" t="s">
        <v>14</v>
      </c>
      <c r="D256" s="12">
        <v>6</v>
      </c>
      <c r="E256" s="2">
        <v>6</v>
      </c>
      <c r="F256" s="25">
        <v>2.6785714285714284E-2</v>
      </c>
    </row>
    <row r="257" spans="2:6" outlineLevel="2" x14ac:dyDescent="0.25">
      <c r="C257" t="s">
        <v>15</v>
      </c>
      <c r="D257" s="12">
        <v>11</v>
      </c>
      <c r="E257" s="2">
        <v>11</v>
      </c>
      <c r="F257" s="25">
        <v>0.14102564102564102</v>
      </c>
    </row>
    <row r="258" spans="2:6" outlineLevel="1" x14ac:dyDescent="0.25">
      <c r="B258" t="s">
        <v>102</v>
      </c>
      <c r="D258" s="12"/>
      <c r="E258" s="17">
        <v>118</v>
      </c>
      <c r="F258" s="24">
        <v>9.8827470686767172E-2</v>
      </c>
    </row>
    <row r="259" spans="2:6" outlineLevel="2" x14ac:dyDescent="0.25">
      <c r="C259" t="s">
        <v>22</v>
      </c>
      <c r="D259" s="12">
        <v>1</v>
      </c>
      <c r="E259" s="2">
        <v>1</v>
      </c>
      <c r="F259" s="25">
        <v>6.6666666666666666E-2</v>
      </c>
    </row>
    <row r="260" spans="2:6" outlineLevel="2" x14ac:dyDescent="0.25">
      <c r="C260" t="s">
        <v>27</v>
      </c>
      <c r="D260" s="12">
        <v>2</v>
      </c>
      <c r="E260" s="2">
        <v>2</v>
      </c>
      <c r="F260" s="25">
        <v>0.16666666666666666</v>
      </c>
    </row>
    <row r="261" spans="2:6" outlineLevel="2" x14ac:dyDescent="0.25">
      <c r="C261" t="s">
        <v>30</v>
      </c>
      <c r="D261" s="12">
        <v>1</v>
      </c>
      <c r="E261" s="2">
        <v>1</v>
      </c>
      <c r="F261" s="25">
        <v>0.16666666666666666</v>
      </c>
    </row>
    <row r="262" spans="2:6" outlineLevel="2" x14ac:dyDescent="0.25">
      <c r="C262" t="s">
        <v>25</v>
      </c>
      <c r="D262" s="12">
        <v>13</v>
      </c>
      <c r="E262" s="2">
        <v>13</v>
      </c>
      <c r="F262" s="25">
        <v>0.37142857142857144</v>
      </c>
    </row>
    <row r="263" spans="2:6" outlineLevel="2" x14ac:dyDescent="0.25">
      <c r="C263" t="s">
        <v>32</v>
      </c>
      <c r="D263" s="12">
        <v>8</v>
      </c>
      <c r="E263" s="2">
        <v>8</v>
      </c>
      <c r="F263" s="25">
        <v>0.16666666666666666</v>
      </c>
    </row>
    <row r="264" spans="2:6" outlineLevel="2" x14ac:dyDescent="0.25">
      <c r="C264" t="s">
        <v>42</v>
      </c>
      <c r="D264" s="12">
        <v>11</v>
      </c>
      <c r="E264" s="2">
        <v>11</v>
      </c>
      <c r="F264" s="25">
        <v>0.28205128205128205</v>
      </c>
    </row>
    <row r="265" spans="2:6" outlineLevel="2" x14ac:dyDescent="0.25">
      <c r="C265" t="s">
        <v>47</v>
      </c>
      <c r="D265" s="12">
        <v>13</v>
      </c>
      <c r="E265" s="2">
        <v>13</v>
      </c>
      <c r="F265" s="25">
        <v>0.33333333333333331</v>
      </c>
    </row>
    <row r="266" spans="2:6" outlineLevel="2" x14ac:dyDescent="0.25">
      <c r="C266" t="s">
        <v>49</v>
      </c>
      <c r="D266" s="12">
        <v>2</v>
      </c>
      <c r="E266" s="2">
        <v>2</v>
      </c>
      <c r="F266" s="25">
        <v>0.2857142857142857</v>
      </c>
    </row>
    <row r="267" spans="2:6" outlineLevel="2" x14ac:dyDescent="0.25">
      <c r="C267" t="s">
        <v>33</v>
      </c>
      <c r="D267" s="12">
        <v>1</v>
      </c>
      <c r="E267" s="2">
        <v>1</v>
      </c>
      <c r="F267" s="25">
        <v>4.5454545454545456E-2</v>
      </c>
    </row>
    <row r="268" spans="2:6" outlineLevel="2" x14ac:dyDescent="0.25">
      <c r="C268" t="s">
        <v>16</v>
      </c>
      <c r="D268" s="12">
        <v>1</v>
      </c>
      <c r="E268" s="2">
        <v>1</v>
      </c>
      <c r="F268" s="25">
        <v>0.125</v>
      </c>
    </row>
    <row r="269" spans="2:6" outlineLevel="2" x14ac:dyDescent="0.25">
      <c r="C269" t="s">
        <v>35</v>
      </c>
      <c r="D269" s="12">
        <v>2</v>
      </c>
      <c r="E269" s="2">
        <v>2</v>
      </c>
      <c r="F269" s="25">
        <v>0.66666666666666663</v>
      </c>
    </row>
    <row r="270" spans="2:6" outlineLevel="2" x14ac:dyDescent="0.25">
      <c r="C270" t="s">
        <v>14</v>
      </c>
      <c r="D270" s="12">
        <v>31</v>
      </c>
      <c r="E270" s="2">
        <v>31</v>
      </c>
      <c r="F270" s="25">
        <v>0.13839285714285715</v>
      </c>
    </row>
    <row r="271" spans="2:6" outlineLevel="2" x14ac:dyDescent="0.25">
      <c r="C271" t="s">
        <v>38</v>
      </c>
      <c r="D271" s="12">
        <v>8</v>
      </c>
      <c r="E271" s="2">
        <v>8</v>
      </c>
      <c r="F271" s="25">
        <v>0.4</v>
      </c>
    </row>
    <row r="272" spans="2:6" outlineLevel="2" x14ac:dyDescent="0.25">
      <c r="C272" t="s">
        <v>20</v>
      </c>
      <c r="D272" s="12">
        <v>4</v>
      </c>
      <c r="E272" s="2">
        <v>4</v>
      </c>
      <c r="F272" s="25">
        <v>0.18181818181818182</v>
      </c>
    </row>
    <row r="273" spans="1:6" outlineLevel="2" x14ac:dyDescent="0.25">
      <c r="C273" t="s">
        <v>21</v>
      </c>
      <c r="D273" s="12">
        <v>1</v>
      </c>
      <c r="E273" s="2">
        <v>1</v>
      </c>
      <c r="F273" s="25">
        <v>0.1111111111111111</v>
      </c>
    </row>
    <row r="274" spans="1:6" outlineLevel="2" x14ac:dyDescent="0.25">
      <c r="C274" t="s">
        <v>28</v>
      </c>
      <c r="D274" s="12">
        <v>2</v>
      </c>
      <c r="E274" s="2">
        <v>2</v>
      </c>
      <c r="F274" s="25">
        <v>0.22222222222222221</v>
      </c>
    </row>
    <row r="275" spans="1:6" outlineLevel="2" x14ac:dyDescent="0.25">
      <c r="C275" t="s">
        <v>15</v>
      </c>
      <c r="D275" s="12">
        <v>2</v>
      </c>
      <c r="E275" s="2">
        <v>2</v>
      </c>
      <c r="F275" s="25">
        <v>2.564102564102564E-2</v>
      </c>
    </row>
    <row r="276" spans="1:6" outlineLevel="2" x14ac:dyDescent="0.25">
      <c r="C276" t="s">
        <v>31</v>
      </c>
      <c r="D276" s="12">
        <v>8</v>
      </c>
      <c r="E276" s="2">
        <v>8</v>
      </c>
      <c r="F276" s="25">
        <v>0.36363636363636365</v>
      </c>
    </row>
    <row r="277" spans="1:6" outlineLevel="2" x14ac:dyDescent="0.25">
      <c r="C277" t="s">
        <v>48</v>
      </c>
      <c r="D277" s="12">
        <v>1</v>
      </c>
      <c r="E277" s="2">
        <v>1</v>
      </c>
      <c r="F277" s="25">
        <v>0.5</v>
      </c>
    </row>
    <row r="278" spans="1:6" outlineLevel="2" x14ac:dyDescent="0.25">
      <c r="C278" t="s">
        <v>39</v>
      </c>
      <c r="D278" s="12">
        <v>2</v>
      </c>
      <c r="E278" s="2">
        <v>2</v>
      </c>
      <c r="F278" s="25">
        <v>0.2</v>
      </c>
    </row>
    <row r="279" spans="1:6" outlineLevel="2" x14ac:dyDescent="0.25">
      <c r="C279" t="s">
        <v>40</v>
      </c>
      <c r="D279" s="12">
        <v>4</v>
      </c>
      <c r="E279" s="2">
        <v>4</v>
      </c>
      <c r="F279" s="25">
        <v>0.44444444444444442</v>
      </c>
    </row>
    <row r="280" spans="1:6" outlineLevel="1" x14ac:dyDescent="0.25">
      <c r="B280" t="s">
        <v>103</v>
      </c>
      <c r="D280" s="12"/>
      <c r="E280" s="17">
        <v>1</v>
      </c>
      <c r="F280" s="24">
        <v>8.375209380234506E-4</v>
      </c>
    </row>
    <row r="281" spans="1:6" outlineLevel="2" x14ac:dyDescent="0.25">
      <c r="C281" t="s">
        <v>14</v>
      </c>
      <c r="D281" s="12">
        <v>1</v>
      </c>
      <c r="E281" s="2">
        <v>1</v>
      </c>
      <c r="F281" s="25">
        <v>4.464285714285714E-3</v>
      </c>
    </row>
    <row r="282" spans="1:6" outlineLevel="1" x14ac:dyDescent="0.25">
      <c r="B282" t="s">
        <v>104</v>
      </c>
      <c r="D282" s="12"/>
      <c r="E282" s="17">
        <v>10</v>
      </c>
      <c r="F282" s="24">
        <v>8.3752093802345051E-3</v>
      </c>
    </row>
    <row r="283" spans="1:6" outlineLevel="2" x14ac:dyDescent="0.25">
      <c r="C283" t="s">
        <v>23</v>
      </c>
      <c r="D283" s="12">
        <v>9</v>
      </c>
      <c r="E283" s="2">
        <v>9</v>
      </c>
      <c r="F283" s="25">
        <v>0.40909090909090912</v>
      </c>
    </row>
    <row r="284" spans="1:6" outlineLevel="2" x14ac:dyDescent="0.25">
      <c r="C284" t="s">
        <v>17</v>
      </c>
      <c r="D284" s="12">
        <v>1</v>
      </c>
      <c r="E284" s="2">
        <v>1</v>
      </c>
      <c r="F284" s="25">
        <v>0.5</v>
      </c>
    </row>
    <row r="285" spans="1:6" x14ac:dyDescent="0.25">
      <c r="A285" t="s">
        <v>7</v>
      </c>
      <c r="D285" s="12"/>
      <c r="E285" s="16">
        <v>1079</v>
      </c>
      <c r="F285" s="23">
        <v>1.9221276595744682E-2</v>
      </c>
    </row>
    <row r="286" spans="1:6" outlineLevel="1" x14ac:dyDescent="0.25">
      <c r="B286" t="s">
        <v>105</v>
      </c>
      <c r="D286" s="12"/>
      <c r="E286" s="17">
        <v>34</v>
      </c>
      <c r="F286" s="24">
        <v>2.8475711892797319E-2</v>
      </c>
    </row>
    <row r="287" spans="1:6" outlineLevel="2" x14ac:dyDescent="0.25">
      <c r="C287" t="s">
        <v>22</v>
      </c>
      <c r="D287" s="12">
        <v>1</v>
      </c>
      <c r="E287" s="2">
        <v>1</v>
      </c>
      <c r="F287" s="25">
        <v>6.6666666666666666E-2</v>
      </c>
    </row>
    <row r="288" spans="1:6" outlineLevel="2" x14ac:dyDescent="0.25">
      <c r="C288" t="s">
        <v>27</v>
      </c>
      <c r="D288" s="12">
        <v>1</v>
      </c>
      <c r="E288" s="2">
        <v>1</v>
      </c>
      <c r="F288" s="25">
        <v>8.3333333333333329E-2</v>
      </c>
    </row>
    <row r="289" spans="2:6" outlineLevel="2" x14ac:dyDescent="0.25">
      <c r="C289" t="s">
        <v>47</v>
      </c>
      <c r="D289" s="12">
        <v>9</v>
      </c>
      <c r="E289" s="2">
        <v>9</v>
      </c>
      <c r="F289" s="25">
        <v>0.23076923076923078</v>
      </c>
    </row>
    <row r="290" spans="2:6" outlineLevel="2" x14ac:dyDescent="0.25">
      <c r="C290" t="s">
        <v>23</v>
      </c>
      <c r="D290" s="12">
        <v>3</v>
      </c>
      <c r="E290" s="2">
        <v>3</v>
      </c>
      <c r="F290" s="25">
        <v>0.13636363636363635</v>
      </c>
    </row>
    <row r="291" spans="2:6" outlineLevel="2" x14ac:dyDescent="0.25">
      <c r="C291" t="s">
        <v>16</v>
      </c>
      <c r="D291" s="12">
        <v>4</v>
      </c>
      <c r="E291" s="2">
        <v>4</v>
      </c>
      <c r="F291" s="25">
        <v>0.5</v>
      </c>
    </row>
    <row r="292" spans="2:6" outlineLevel="2" x14ac:dyDescent="0.25">
      <c r="C292" t="s">
        <v>17</v>
      </c>
      <c r="D292" s="12">
        <v>1</v>
      </c>
      <c r="E292" s="2">
        <v>1</v>
      </c>
      <c r="F292" s="25">
        <v>0.5</v>
      </c>
    </row>
    <row r="293" spans="2:6" outlineLevel="2" x14ac:dyDescent="0.25">
      <c r="C293" t="s">
        <v>14</v>
      </c>
      <c r="D293" s="12">
        <v>1</v>
      </c>
      <c r="E293" s="2">
        <v>1</v>
      </c>
      <c r="F293" s="25">
        <v>4.464285714285714E-3</v>
      </c>
    </row>
    <row r="294" spans="2:6" outlineLevel="2" x14ac:dyDescent="0.25">
      <c r="C294" t="s">
        <v>37</v>
      </c>
      <c r="D294" s="12">
        <v>1</v>
      </c>
      <c r="E294" s="2">
        <v>1</v>
      </c>
      <c r="F294" s="25">
        <v>0.16666666666666666</v>
      </c>
    </row>
    <row r="295" spans="2:6" outlineLevel="2" x14ac:dyDescent="0.25">
      <c r="C295" t="s">
        <v>38</v>
      </c>
      <c r="D295" s="12">
        <v>5</v>
      </c>
      <c r="E295" s="2">
        <v>5</v>
      </c>
      <c r="F295" s="25">
        <v>0.25</v>
      </c>
    </row>
    <row r="296" spans="2:6" outlineLevel="2" x14ac:dyDescent="0.25">
      <c r="C296" t="s">
        <v>51</v>
      </c>
      <c r="D296" s="12">
        <v>1</v>
      </c>
      <c r="E296" s="2">
        <v>1</v>
      </c>
      <c r="F296" s="25">
        <v>0.5</v>
      </c>
    </row>
    <row r="297" spans="2:6" outlineLevel="2" x14ac:dyDescent="0.25">
      <c r="C297" t="s">
        <v>20</v>
      </c>
      <c r="D297" s="12">
        <v>5</v>
      </c>
      <c r="E297" s="2">
        <v>5</v>
      </c>
      <c r="F297" s="25">
        <v>0.22727272727272727</v>
      </c>
    </row>
    <row r="298" spans="2:6" outlineLevel="2" x14ac:dyDescent="0.25">
      <c r="C298" t="s">
        <v>40</v>
      </c>
      <c r="D298" s="12">
        <v>2</v>
      </c>
      <c r="E298" s="2">
        <v>2</v>
      </c>
      <c r="F298" s="25">
        <v>0.22222222222222221</v>
      </c>
    </row>
    <row r="299" spans="2:6" outlineLevel="1" x14ac:dyDescent="0.25">
      <c r="B299" t="s">
        <v>106</v>
      </c>
      <c r="D299" s="12"/>
      <c r="E299" s="17">
        <v>9</v>
      </c>
      <c r="F299" s="24">
        <v>7.537688442211055E-3</v>
      </c>
    </row>
    <row r="300" spans="2:6" outlineLevel="2" x14ac:dyDescent="0.25">
      <c r="C300" t="s">
        <v>16</v>
      </c>
      <c r="D300" s="12">
        <v>2</v>
      </c>
      <c r="E300" s="2">
        <v>2</v>
      </c>
      <c r="F300" s="25">
        <v>0.25</v>
      </c>
    </row>
    <row r="301" spans="2:6" outlineLevel="2" x14ac:dyDescent="0.25">
      <c r="C301" t="s">
        <v>14</v>
      </c>
      <c r="D301" s="12">
        <v>7</v>
      </c>
      <c r="E301" s="2">
        <v>7</v>
      </c>
      <c r="F301" s="25">
        <v>3.125E-2</v>
      </c>
    </row>
    <row r="302" spans="2:6" outlineLevel="1" x14ac:dyDescent="0.25">
      <c r="B302" t="s">
        <v>107</v>
      </c>
      <c r="D302" s="12"/>
      <c r="E302" s="17">
        <v>9</v>
      </c>
      <c r="F302" s="24">
        <v>7.537688442211055E-3</v>
      </c>
    </row>
    <row r="303" spans="2:6" outlineLevel="2" x14ac:dyDescent="0.25">
      <c r="C303" t="s">
        <v>42</v>
      </c>
      <c r="D303" s="12">
        <v>8</v>
      </c>
      <c r="E303" s="2">
        <v>8</v>
      </c>
      <c r="F303" s="25">
        <v>0.20512820512820512</v>
      </c>
    </row>
    <row r="304" spans="2:6" outlineLevel="2" x14ac:dyDescent="0.25">
      <c r="C304" t="s">
        <v>40</v>
      </c>
      <c r="D304" s="12">
        <v>1</v>
      </c>
      <c r="E304" s="2">
        <v>1</v>
      </c>
      <c r="F304" s="25">
        <v>0.1111111111111111</v>
      </c>
    </row>
    <row r="305" spans="2:6" outlineLevel="1" x14ac:dyDescent="0.25">
      <c r="B305" t="s">
        <v>108</v>
      </c>
      <c r="D305" s="12"/>
      <c r="E305" s="17">
        <v>17</v>
      </c>
      <c r="F305" s="24">
        <v>1.423785594639866E-2</v>
      </c>
    </row>
    <row r="306" spans="2:6" outlineLevel="2" x14ac:dyDescent="0.25">
      <c r="C306" t="s">
        <v>22</v>
      </c>
      <c r="D306" s="12">
        <v>1</v>
      </c>
      <c r="E306" s="2">
        <v>1</v>
      </c>
      <c r="F306" s="25">
        <v>6.6666666666666666E-2</v>
      </c>
    </row>
    <row r="307" spans="2:6" outlineLevel="2" x14ac:dyDescent="0.25">
      <c r="C307" t="s">
        <v>47</v>
      </c>
      <c r="D307" s="12">
        <v>9</v>
      </c>
      <c r="E307" s="2">
        <v>9</v>
      </c>
      <c r="F307" s="25">
        <v>0.23076923076923078</v>
      </c>
    </row>
    <row r="308" spans="2:6" outlineLevel="2" x14ac:dyDescent="0.25">
      <c r="C308" t="s">
        <v>14</v>
      </c>
      <c r="D308" s="12">
        <v>6</v>
      </c>
      <c r="E308" s="2">
        <v>6</v>
      </c>
      <c r="F308" s="25">
        <v>2.6785714285714284E-2</v>
      </c>
    </row>
    <row r="309" spans="2:6" outlineLevel="2" x14ac:dyDescent="0.25">
      <c r="C309" t="s">
        <v>20</v>
      </c>
      <c r="D309" s="12">
        <v>1</v>
      </c>
      <c r="E309" s="2">
        <v>1</v>
      </c>
      <c r="F309" s="25">
        <v>4.5454545454545456E-2</v>
      </c>
    </row>
    <row r="310" spans="2:6" outlineLevel="1" x14ac:dyDescent="0.25">
      <c r="B310" t="s">
        <v>109</v>
      </c>
      <c r="D310" s="12"/>
      <c r="E310" s="17">
        <v>14</v>
      </c>
      <c r="F310" s="24">
        <v>1.1725293132328308E-2</v>
      </c>
    </row>
    <row r="311" spans="2:6" outlineLevel="2" x14ac:dyDescent="0.25">
      <c r="C311" t="s">
        <v>22</v>
      </c>
      <c r="D311" s="12">
        <v>6</v>
      </c>
      <c r="E311" s="2">
        <v>6</v>
      </c>
      <c r="F311" s="25">
        <v>0.4</v>
      </c>
    </row>
    <row r="312" spans="2:6" outlineLevel="2" x14ac:dyDescent="0.25">
      <c r="C312" t="s">
        <v>23</v>
      </c>
      <c r="D312" s="12">
        <v>2</v>
      </c>
      <c r="E312" s="2">
        <v>2</v>
      </c>
      <c r="F312" s="25">
        <v>9.0909090909090912E-2</v>
      </c>
    </row>
    <row r="313" spans="2:6" outlineLevel="2" x14ac:dyDescent="0.25">
      <c r="C313" t="s">
        <v>17</v>
      </c>
      <c r="D313" s="12">
        <v>1</v>
      </c>
      <c r="E313" s="2">
        <v>1</v>
      </c>
      <c r="F313" s="25">
        <v>0.5</v>
      </c>
    </row>
    <row r="314" spans="2:6" outlineLevel="2" x14ac:dyDescent="0.25">
      <c r="C314" t="s">
        <v>11</v>
      </c>
      <c r="D314" s="12">
        <v>1</v>
      </c>
      <c r="E314" s="2">
        <v>1</v>
      </c>
      <c r="F314" s="25">
        <v>7.1428571428571425E-2</v>
      </c>
    </row>
    <row r="315" spans="2:6" outlineLevel="2" x14ac:dyDescent="0.25">
      <c r="C315" t="s">
        <v>14</v>
      </c>
      <c r="D315" s="12">
        <v>2</v>
      </c>
      <c r="E315" s="2">
        <v>2</v>
      </c>
      <c r="F315" s="25">
        <v>8.9285714285714281E-3</v>
      </c>
    </row>
    <row r="316" spans="2:6" outlineLevel="2" x14ac:dyDescent="0.25">
      <c r="C316" t="s">
        <v>15</v>
      </c>
      <c r="D316" s="12">
        <v>2</v>
      </c>
      <c r="E316" s="2">
        <v>2</v>
      </c>
      <c r="F316" s="25">
        <v>2.564102564102564E-2</v>
      </c>
    </row>
    <row r="317" spans="2:6" outlineLevel="1" x14ac:dyDescent="0.25">
      <c r="B317" t="s">
        <v>110</v>
      </c>
      <c r="D317" s="12"/>
      <c r="E317" s="17">
        <v>2</v>
      </c>
      <c r="F317" s="24">
        <v>1.6750418760469012E-3</v>
      </c>
    </row>
    <row r="318" spans="2:6" outlineLevel="2" x14ac:dyDescent="0.25">
      <c r="C318" t="s">
        <v>43</v>
      </c>
      <c r="D318" s="12">
        <v>2</v>
      </c>
      <c r="E318" s="2">
        <v>2</v>
      </c>
      <c r="F318" s="25">
        <v>0.125</v>
      </c>
    </row>
    <row r="319" spans="2:6" outlineLevel="1" x14ac:dyDescent="0.25">
      <c r="B319" t="s">
        <v>111</v>
      </c>
      <c r="D319" s="12"/>
      <c r="E319" s="17">
        <v>38</v>
      </c>
      <c r="F319" s="24">
        <v>3.1825795644891124E-2</v>
      </c>
    </row>
    <row r="320" spans="2:6" outlineLevel="2" x14ac:dyDescent="0.25">
      <c r="C320" t="s">
        <v>18</v>
      </c>
      <c r="D320" s="12">
        <v>2</v>
      </c>
      <c r="E320" s="2">
        <v>2</v>
      </c>
      <c r="F320" s="25">
        <v>5.2631578947368418E-2</v>
      </c>
    </row>
    <row r="321" spans="2:6" outlineLevel="2" x14ac:dyDescent="0.25">
      <c r="C321" t="s">
        <v>14</v>
      </c>
      <c r="D321" s="12">
        <v>25</v>
      </c>
      <c r="E321" s="2">
        <v>25</v>
      </c>
      <c r="F321" s="25">
        <v>0.11160714285714286</v>
      </c>
    </row>
    <row r="322" spans="2:6" outlineLevel="2" x14ac:dyDescent="0.25">
      <c r="C322" t="s">
        <v>38</v>
      </c>
      <c r="D322" s="12">
        <v>6</v>
      </c>
      <c r="E322" s="2">
        <v>6</v>
      </c>
      <c r="F322" s="25">
        <v>0.3</v>
      </c>
    </row>
    <row r="323" spans="2:6" outlineLevel="2" x14ac:dyDescent="0.25">
      <c r="C323" t="s">
        <v>15</v>
      </c>
      <c r="D323" s="12">
        <v>5</v>
      </c>
      <c r="E323" s="2">
        <v>5</v>
      </c>
      <c r="F323" s="25">
        <v>6.4102564102564097E-2</v>
      </c>
    </row>
    <row r="324" spans="2:6" outlineLevel="1" x14ac:dyDescent="0.25">
      <c r="B324" t="s">
        <v>112</v>
      </c>
      <c r="D324" s="12"/>
      <c r="E324" s="17">
        <v>3</v>
      </c>
      <c r="F324" s="24">
        <v>2.5125628140703518E-3</v>
      </c>
    </row>
    <row r="325" spans="2:6" outlineLevel="2" x14ac:dyDescent="0.25">
      <c r="C325" t="s">
        <v>22</v>
      </c>
      <c r="D325" s="12">
        <v>1</v>
      </c>
      <c r="E325" s="2">
        <v>1</v>
      </c>
      <c r="F325" s="25">
        <v>6.6666666666666666E-2</v>
      </c>
    </row>
    <row r="326" spans="2:6" outlineLevel="2" x14ac:dyDescent="0.25">
      <c r="C326" t="s">
        <v>28</v>
      </c>
      <c r="D326" s="12">
        <v>1</v>
      </c>
      <c r="E326" s="2">
        <v>1</v>
      </c>
      <c r="F326" s="25">
        <v>0.1111111111111111</v>
      </c>
    </row>
    <row r="327" spans="2:6" outlineLevel="2" x14ac:dyDescent="0.25">
      <c r="C327" t="s">
        <v>15</v>
      </c>
      <c r="D327" s="12">
        <v>1</v>
      </c>
      <c r="E327" s="2">
        <v>1</v>
      </c>
      <c r="F327" s="25">
        <v>1.282051282051282E-2</v>
      </c>
    </row>
    <row r="328" spans="2:6" outlineLevel="1" x14ac:dyDescent="0.25">
      <c r="B328" t="s">
        <v>113</v>
      </c>
      <c r="D328" s="12"/>
      <c r="E328" s="17">
        <v>21</v>
      </c>
      <c r="F328" s="24">
        <v>1.7587939698492462E-2</v>
      </c>
    </row>
    <row r="329" spans="2:6" outlineLevel="2" x14ac:dyDescent="0.25">
      <c r="C329" t="s">
        <v>23</v>
      </c>
      <c r="D329" s="12">
        <v>7</v>
      </c>
      <c r="E329" s="2">
        <v>7</v>
      </c>
      <c r="F329" s="25">
        <v>0.31818181818181818</v>
      </c>
    </row>
    <row r="330" spans="2:6" outlineLevel="2" x14ac:dyDescent="0.25">
      <c r="C330" t="s">
        <v>46</v>
      </c>
      <c r="D330" s="12">
        <v>1</v>
      </c>
      <c r="E330" s="2">
        <v>1</v>
      </c>
      <c r="F330" s="25">
        <v>0.25</v>
      </c>
    </row>
    <row r="331" spans="2:6" outlineLevel="2" x14ac:dyDescent="0.25">
      <c r="C331" t="s">
        <v>34</v>
      </c>
      <c r="D331" s="12">
        <v>1</v>
      </c>
      <c r="E331" s="2">
        <v>1</v>
      </c>
      <c r="F331" s="25">
        <v>0.25</v>
      </c>
    </row>
    <row r="332" spans="2:6" outlineLevel="2" x14ac:dyDescent="0.25">
      <c r="C332" t="s">
        <v>17</v>
      </c>
      <c r="D332" s="12">
        <v>1</v>
      </c>
      <c r="E332" s="2">
        <v>1</v>
      </c>
      <c r="F332" s="25">
        <v>0.5</v>
      </c>
    </row>
    <row r="333" spans="2:6" outlineLevel="2" x14ac:dyDescent="0.25">
      <c r="C333" t="s">
        <v>37</v>
      </c>
      <c r="D333" s="12">
        <v>1</v>
      </c>
      <c r="E333" s="2">
        <v>1</v>
      </c>
      <c r="F333" s="25">
        <v>0.16666666666666666</v>
      </c>
    </row>
    <row r="334" spans="2:6" outlineLevel="2" x14ac:dyDescent="0.25">
      <c r="C334" t="s">
        <v>51</v>
      </c>
      <c r="D334" s="12">
        <v>1</v>
      </c>
      <c r="E334" s="2">
        <v>1</v>
      </c>
      <c r="F334" s="25">
        <v>0.5</v>
      </c>
    </row>
    <row r="335" spans="2:6" outlineLevel="2" x14ac:dyDescent="0.25">
      <c r="C335" t="s">
        <v>20</v>
      </c>
      <c r="D335" s="12">
        <v>2</v>
      </c>
      <c r="E335" s="2">
        <v>2</v>
      </c>
      <c r="F335" s="25">
        <v>9.0909090909090912E-2</v>
      </c>
    </row>
    <row r="336" spans="2:6" outlineLevel="2" x14ac:dyDescent="0.25">
      <c r="C336" t="s">
        <v>28</v>
      </c>
      <c r="D336" s="12">
        <v>7</v>
      </c>
      <c r="E336" s="2">
        <v>7</v>
      </c>
      <c r="F336" s="25">
        <v>0.77777777777777779</v>
      </c>
    </row>
    <row r="337" spans="2:6" outlineLevel="1" x14ac:dyDescent="0.25">
      <c r="B337" t="s">
        <v>114</v>
      </c>
      <c r="D337" s="12"/>
      <c r="E337" s="17">
        <v>51</v>
      </c>
      <c r="F337" s="24">
        <v>4.2713567839195977E-2</v>
      </c>
    </row>
    <row r="338" spans="2:6" outlineLevel="2" x14ac:dyDescent="0.25">
      <c r="C338" t="s">
        <v>47</v>
      </c>
      <c r="D338" s="12">
        <v>6</v>
      </c>
      <c r="E338" s="2">
        <v>6</v>
      </c>
      <c r="F338" s="25">
        <v>0.15384615384615385</v>
      </c>
    </row>
    <row r="339" spans="2:6" outlineLevel="2" x14ac:dyDescent="0.25">
      <c r="C339" t="s">
        <v>43</v>
      </c>
      <c r="D339" s="12">
        <v>1</v>
      </c>
      <c r="E339" s="2">
        <v>1</v>
      </c>
      <c r="F339" s="25">
        <v>6.25E-2</v>
      </c>
    </row>
    <row r="340" spans="2:6" outlineLevel="2" x14ac:dyDescent="0.25">
      <c r="C340" t="s">
        <v>23</v>
      </c>
      <c r="D340" s="12">
        <v>3</v>
      </c>
      <c r="E340" s="2">
        <v>3</v>
      </c>
      <c r="F340" s="25">
        <v>0.13636363636363635</v>
      </c>
    </row>
    <row r="341" spans="2:6" outlineLevel="2" x14ac:dyDescent="0.25">
      <c r="C341" t="s">
        <v>46</v>
      </c>
      <c r="D341" s="12">
        <v>1</v>
      </c>
      <c r="E341" s="2">
        <v>1</v>
      </c>
      <c r="F341" s="25">
        <v>0.25</v>
      </c>
    </row>
    <row r="342" spans="2:6" outlineLevel="2" x14ac:dyDescent="0.25">
      <c r="C342" t="s">
        <v>24</v>
      </c>
      <c r="D342" s="12">
        <v>2</v>
      </c>
      <c r="E342" s="2">
        <v>2</v>
      </c>
      <c r="F342" s="25">
        <v>0.5</v>
      </c>
    </row>
    <row r="343" spans="2:6" outlineLevel="2" x14ac:dyDescent="0.25">
      <c r="C343" t="s">
        <v>17</v>
      </c>
      <c r="D343" s="12">
        <v>1</v>
      </c>
      <c r="E343" s="2">
        <v>1</v>
      </c>
      <c r="F343" s="25">
        <v>0.5</v>
      </c>
    </row>
    <row r="344" spans="2:6" outlineLevel="2" x14ac:dyDescent="0.25">
      <c r="C344" t="s">
        <v>18</v>
      </c>
      <c r="D344" s="12">
        <v>1</v>
      </c>
      <c r="E344" s="2">
        <v>1</v>
      </c>
      <c r="F344" s="25">
        <v>2.6315789473684209E-2</v>
      </c>
    </row>
    <row r="345" spans="2:6" outlineLevel="2" x14ac:dyDescent="0.25">
      <c r="C345" t="s">
        <v>14</v>
      </c>
      <c r="D345" s="12">
        <v>28</v>
      </c>
      <c r="E345" s="2">
        <v>28</v>
      </c>
      <c r="F345" s="25">
        <v>0.125</v>
      </c>
    </row>
    <row r="346" spans="2:6" outlineLevel="2" x14ac:dyDescent="0.25">
      <c r="C346" t="s">
        <v>20</v>
      </c>
      <c r="D346" s="12">
        <v>3</v>
      </c>
      <c r="E346" s="2">
        <v>3</v>
      </c>
      <c r="F346" s="25">
        <v>0.13636363636363635</v>
      </c>
    </row>
    <row r="347" spans="2:6" outlineLevel="2" x14ac:dyDescent="0.25">
      <c r="C347" t="s">
        <v>28</v>
      </c>
      <c r="D347" s="12">
        <v>1</v>
      </c>
      <c r="E347" s="2">
        <v>1</v>
      </c>
      <c r="F347" s="25">
        <v>0.1111111111111111</v>
      </c>
    </row>
    <row r="348" spans="2:6" outlineLevel="2" x14ac:dyDescent="0.25">
      <c r="C348" t="s">
        <v>15</v>
      </c>
      <c r="D348" s="12">
        <v>3</v>
      </c>
      <c r="E348" s="2">
        <v>3</v>
      </c>
      <c r="F348" s="25">
        <v>3.8461538461538464E-2</v>
      </c>
    </row>
    <row r="349" spans="2:6" outlineLevel="2" x14ac:dyDescent="0.25">
      <c r="C349" t="s">
        <v>48</v>
      </c>
      <c r="D349" s="12">
        <v>1</v>
      </c>
      <c r="E349" s="2">
        <v>1</v>
      </c>
      <c r="F349" s="25">
        <v>0.5</v>
      </c>
    </row>
    <row r="350" spans="2:6" outlineLevel="1" x14ac:dyDescent="0.25">
      <c r="B350" t="s">
        <v>115</v>
      </c>
      <c r="D350" s="12"/>
      <c r="E350" s="17">
        <v>1</v>
      </c>
      <c r="F350" s="24">
        <v>8.375209380234506E-4</v>
      </c>
    </row>
    <row r="351" spans="2:6" outlineLevel="2" x14ac:dyDescent="0.25">
      <c r="C351" t="s">
        <v>14</v>
      </c>
      <c r="D351" s="12">
        <v>1</v>
      </c>
      <c r="E351" s="2">
        <v>1</v>
      </c>
      <c r="F351" s="25">
        <v>4.464285714285714E-3</v>
      </c>
    </row>
    <row r="352" spans="2:6" outlineLevel="1" x14ac:dyDescent="0.25">
      <c r="B352" t="s">
        <v>116</v>
      </c>
      <c r="D352" s="12"/>
      <c r="E352" s="17">
        <v>16</v>
      </c>
      <c r="F352" s="24">
        <v>1.340033500837521E-2</v>
      </c>
    </row>
    <row r="353" spans="2:6" outlineLevel="2" x14ac:dyDescent="0.25">
      <c r="C353" t="s">
        <v>32</v>
      </c>
      <c r="D353" s="12">
        <v>7</v>
      </c>
      <c r="E353" s="2">
        <v>7</v>
      </c>
      <c r="F353" s="25">
        <v>0.14583333333333334</v>
      </c>
    </row>
    <row r="354" spans="2:6" outlineLevel="2" x14ac:dyDescent="0.25">
      <c r="C354" t="s">
        <v>14</v>
      </c>
      <c r="D354" s="12">
        <v>9</v>
      </c>
      <c r="E354" s="2">
        <v>9</v>
      </c>
      <c r="F354" s="25">
        <v>4.0178571428571432E-2</v>
      </c>
    </row>
    <row r="355" spans="2:6" outlineLevel="1" x14ac:dyDescent="0.25">
      <c r="B355" t="s">
        <v>117</v>
      </c>
      <c r="D355" s="12"/>
      <c r="E355" s="17">
        <v>13</v>
      </c>
      <c r="F355" s="24">
        <v>1.0887772194304857E-2</v>
      </c>
    </row>
    <row r="356" spans="2:6" outlineLevel="2" x14ac:dyDescent="0.25">
      <c r="C356" t="s">
        <v>23</v>
      </c>
      <c r="D356" s="12">
        <v>4</v>
      </c>
      <c r="E356" s="2">
        <v>4</v>
      </c>
      <c r="F356" s="25">
        <v>0.18181818181818182</v>
      </c>
    </row>
    <row r="357" spans="2:6" outlineLevel="2" x14ac:dyDescent="0.25">
      <c r="C357" t="s">
        <v>14</v>
      </c>
      <c r="D357" s="12">
        <v>8</v>
      </c>
      <c r="E357" s="2">
        <v>8</v>
      </c>
      <c r="F357" s="25">
        <v>3.5714285714285712E-2</v>
      </c>
    </row>
    <row r="358" spans="2:6" outlineLevel="2" x14ac:dyDescent="0.25">
      <c r="C358" t="s">
        <v>28</v>
      </c>
      <c r="D358" s="12">
        <v>1</v>
      </c>
      <c r="E358" s="2">
        <v>1</v>
      </c>
      <c r="F358" s="25">
        <v>0.1111111111111111</v>
      </c>
    </row>
    <row r="359" spans="2:6" outlineLevel="1" x14ac:dyDescent="0.25">
      <c r="B359" t="s">
        <v>118</v>
      </c>
      <c r="D359" s="12"/>
      <c r="E359" s="17">
        <v>1</v>
      </c>
      <c r="F359" s="24">
        <v>8.375209380234506E-4</v>
      </c>
    </row>
    <row r="360" spans="2:6" outlineLevel="2" x14ac:dyDescent="0.25">
      <c r="C360" t="s">
        <v>14</v>
      </c>
      <c r="D360" s="12">
        <v>1</v>
      </c>
      <c r="E360" s="2">
        <v>1</v>
      </c>
      <c r="F360" s="25">
        <v>4.464285714285714E-3</v>
      </c>
    </row>
    <row r="361" spans="2:6" outlineLevel="1" x14ac:dyDescent="0.25">
      <c r="B361" t="s">
        <v>119</v>
      </c>
      <c r="D361" s="12"/>
      <c r="E361" s="17">
        <v>37</v>
      </c>
      <c r="F361" s="24">
        <v>3.0988274706867672E-2</v>
      </c>
    </row>
    <row r="362" spans="2:6" outlineLevel="2" x14ac:dyDescent="0.25">
      <c r="C362" t="s">
        <v>22</v>
      </c>
      <c r="D362" s="12">
        <v>1</v>
      </c>
      <c r="E362" s="2">
        <v>1</v>
      </c>
      <c r="F362" s="25">
        <v>6.6666666666666666E-2</v>
      </c>
    </row>
    <row r="363" spans="2:6" outlineLevel="2" x14ac:dyDescent="0.25">
      <c r="C363" t="s">
        <v>30</v>
      </c>
      <c r="D363" s="12">
        <v>1</v>
      </c>
      <c r="E363" s="2">
        <v>1</v>
      </c>
      <c r="F363" s="25">
        <v>0.16666666666666666</v>
      </c>
    </row>
    <row r="364" spans="2:6" outlineLevel="2" x14ac:dyDescent="0.25">
      <c r="C364" t="s">
        <v>41</v>
      </c>
      <c r="D364" s="12">
        <v>7</v>
      </c>
      <c r="E364" s="2">
        <v>7</v>
      </c>
      <c r="F364" s="25">
        <v>0.12962962962962962</v>
      </c>
    </row>
    <row r="365" spans="2:6" outlineLevel="2" x14ac:dyDescent="0.25">
      <c r="C365" t="s">
        <v>42</v>
      </c>
      <c r="D365" s="12">
        <v>1</v>
      </c>
      <c r="E365" s="2">
        <v>1</v>
      </c>
      <c r="F365" s="25">
        <v>2.564102564102564E-2</v>
      </c>
    </row>
    <row r="366" spans="2:6" outlineLevel="2" x14ac:dyDescent="0.25">
      <c r="C366" t="s">
        <v>14</v>
      </c>
      <c r="D366" s="12">
        <v>16</v>
      </c>
      <c r="E366" s="2">
        <v>16</v>
      </c>
      <c r="F366" s="25">
        <v>7.1428571428571425E-2</v>
      </c>
    </row>
    <row r="367" spans="2:6" outlineLevel="2" x14ac:dyDescent="0.25">
      <c r="C367" t="s">
        <v>19</v>
      </c>
      <c r="D367" s="12">
        <v>3</v>
      </c>
      <c r="E367" s="2">
        <v>3</v>
      </c>
      <c r="F367" s="25">
        <v>5.7692307692307696E-2</v>
      </c>
    </row>
    <row r="368" spans="2:6" outlineLevel="2" x14ac:dyDescent="0.25">
      <c r="C368" t="s">
        <v>28</v>
      </c>
      <c r="D368" s="12">
        <v>2</v>
      </c>
      <c r="E368" s="2">
        <v>2</v>
      </c>
      <c r="F368" s="25">
        <v>0.22222222222222221</v>
      </c>
    </row>
    <row r="369" spans="2:6" outlineLevel="2" x14ac:dyDescent="0.25">
      <c r="C369" t="s">
        <v>31</v>
      </c>
      <c r="D369" s="12">
        <v>1</v>
      </c>
      <c r="E369" s="2">
        <v>1</v>
      </c>
      <c r="F369" s="25">
        <v>4.5454545454545456E-2</v>
      </c>
    </row>
    <row r="370" spans="2:6" outlineLevel="2" x14ac:dyDescent="0.25">
      <c r="C370" t="s">
        <v>39</v>
      </c>
      <c r="D370" s="12">
        <v>1</v>
      </c>
      <c r="E370" s="2">
        <v>1</v>
      </c>
      <c r="F370" s="25">
        <v>0.1</v>
      </c>
    </row>
    <row r="371" spans="2:6" outlineLevel="2" x14ac:dyDescent="0.25">
      <c r="C371" t="s">
        <v>40</v>
      </c>
      <c r="D371" s="12">
        <v>1</v>
      </c>
      <c r="E371" s="2">
        <v>1</v>
      </c>
      <c r="F371" s="25">
        <v>0.1111111111111111</v>
      </c>
    </row>
    <row r="372" spans="2:6" outlineLevel="2" x14ac:dyDescent="0.25">
      <c r="C372" t="s">
        <v>54</v>
      </c>
      <c r="D372" s="12">
        <v>3</v>
      </c>
      <c r="E372" s="2">
        <v>3</v>
      </c>
      <c r="F372" s="25">
        <v>1</v>
      </c>
    </row>
    <row r="373" spans="2:6" outlineLevel="1" x14ac:dyDescent="0.25">
      <c r="B373" t="s">
        <v>120</v>
      </c>
      <c r="D373" s="12"/>
      <c r="E373" s="17">
        <v>29</v>
      </c>
      <c r="F373" s="24">
        <v>2.4288107202680067E-2</v>
      </c>
    </row>
    <row r="374" spans="2:6" outlineLevel="2" x14ac:dyDescent="0.25">
      <c r="C374" t="s">
        <v>32</v>
      </c>
      <c r="D374" s="12">
        <v>2</v>
      </c>
      <c r="E374" s="2">
        <v>2</v>
      </c>
      <c r="F374" s="25">
        <v>4.1666666666666664E-2</v>
      </c>
    </row>
    <row r="375" spans="2:6" outlineLevel="2" x14ac:dyDescent="0.25">
      <c r="C375" t="s">
        <v>42</v>
      </c>
      <c r="D375" s="12">
        <v>9</v>
      </c>
      <c r="E375" s="2">
        <v>9</v>
      </c>
      <c r="F375" s="25">
        <v>0.23076923076923078</v>
      </c>
    </row>
    <row r="376" spans="2:6" outlineLevel="2" x14ac:dyDescent="0.25">
      <c r="C376" t="s">
        <v>33</v>
      </c>
      <c r="D376" s="12">
        <v>1</v>
      </c>
      <c r="E376" s="2">
        <v>1</v>
      </c>
      <c r="F376" s="25">
        <v>4.5454545454545456E-2</v>
      </c>
    </row>
    <row r="377" spans="2:6" outlineLevel="2" x14ac:dyDescent="0.25">
      <c r="C377" t="s">
        <v>11</v>
      </c>
      <c r="D377" s="12">
        <v>1</v>
      </c>
      <c r="E377" s="2">
        <v>1</v>
      </c>
      <c r="F377" s="25">
        <v>7.1428571428571425E-2</v>
      </c>
    </row>
    <row r="378" spans="2:6" outlineLevel="2" x14ac:dyDescent="0.25">
      <c r="C378" t="s">
        <v>14</v>
      </c>
      <c r="D378" s="12">
        <v>4</v>
      </c>
      <c r="E378" s="2">
        <v>4</v>
      </c>
      <c r="F378" s="25">
        <v>1.7857142857142856E-2</v>
      </c>
    </row>
    <row r="379" spans="2:6" outlineLevel="2" x14ac:dyDescent="0.25">
      <c r="C379" t="s">
        <v>19</v>
      </c>
      <c r="D379" s="12">
        <v>7</v>
      </c>
      <c r="E379" s="2">
        <v>7</v>
      </c>
      <c r="F379" s="25">
        <v>0.13461538461538461</v>
      </c>
    </row>
    <row r="380" spans="2:6" outlineLevel="2" x14ac:dyDescent="0.25">
      <c r="C380" t="s">
        <v>28</v>
      </c>
      <c r="D380" s="12">
        <v>2</v>
      </c>
      <c r="E380" s="2">
        <v>2</v>
      </c>
      <c r="F380" s="25">
        <v>0.22222222222222221</v>
      </c>
    </row>
    <row r="381" spans="2:6" outlineLevel="2" x14ac:dyDescent="0.25">
      <c r="C381" t="s">
        <v>15</v>
      </c>
      <c r="D381" s="12">
        <v>2</v>
      </c>
      <c r="E381" s="2">
        <v>2</v>
      </c>
      <c r="F381" s="25">
        <v>2.564102564102564E-2</v>
      </c>
    </row>
    <row r="382" spans="2:6" outlineLevel="2" x14ac:dyDescent="0.25">
      <c r="C382" t="s">
        <v>48</v>
      </c>
      <c r="D382" s="12">
        <v>1</v>
      </c>
      <c r="E382" s="2">
        <v>1</v>
      </c>
      <c r="F382" s="25">
        <v>0.5</v>
      </c>
    </row>
    <row r="383" spans="2:6" outlineLevel="1" x14ac:dyDescent="0.25">
      <c r="B383" t="s">
        <v>121</v>
      </c>
      <c r="D383" s="12"/>
      <c r="E383" s="17">
        <v>71</v>
      </c>
      <c r="F383" s="24">
        <v>5.9463986599664995E-2</v>
      </c>
    </row>
    <row r="384" spans="2:6" outlineLevel="2" x14ac:dyDescent="0.25">
      <c r="C384" t="s">
        <v>22</v>
      </c>
      <c r="D384" s="12">
        <v>4</v>
      </c>
      <c r="E384" s="2">
        <v>4</v>
      </c>
      <c r="F384" s="25">
        <v>0.26666666666666666</v>
      </c>
    </row>
    <row r="385" spans="3:6" outlineLevel="2" x14ac:dyDescent="0.25">
      <c r="C385" t="s">
        <v>41</v>
      </c>
      <c r="D385" s="12">
        <v>4</v>
      </c>
      <c r="E385" s="2">
        <v>4</v>
      </c>
      <c r="F385" s="25">
        <v>7.407407407407407E-2</v>
      </c>
    </row>
    <row r="386" spans="3:6" outlineLevel="2" x14ac:dyDescent="0.25">
      <c r="C386" t="s">
        <v>25</v>
      </c>
      <c r="D386" s="12">
        <v>15</v>
      </c>
      <c r="E386" s="2">
        <v>15</v>
      </c>
      <c r="F386" s="25">
        <v>0.42857142857142855</v>
      </c>
    </row>
    <row r="387" spans="3:6" outlineLevel="2" x14ac:dyDescent="0.25">
      <c r="C387" t="s">
        <v>32</v>
      </c>
      <c r="D387" s="12">
        <v>6</v>
      </c>
      <c r="E387" s="2">
        <v>6</v>
      </c>
      <c r="F387" s="25">
        <v>0.125</v>
      </c>
    </row>
    <row r="388" spans="3:6" outlineLevel="2" x14ac:dyDescent="0.25">
      <c r="C388" t="s">
        <v>43</v>
      </c>
      <c r="D388" s="12">
        <v>1</v>
      </c>
      <c r="E388" s="2">
        <v>1</v>
      </c>
      <c r="F388" s="25">
        <v>6.25E-2</v>
      </c>
    </row>
    <row r="389" spans="3:6" outlineLevel="2" x14ac:dyDescent="0.25">
      <c r="C389" t="s">
        <v>23</v>
      </c>
      <c r="D389" s="12">
        <v>1</v>
      </c>
      <c r="E389" s="2">
        <v>1</v>
      </c>
      <c r="F389" s="25">
        <v>4.5454545454545456E-2</v>
      </c>
    </row>
    <row r="390" spans="3:6" outlineLevel="2" x14ac:dyDescent="0.25">
      <c r="C390" t="s">
        <v>16</v>
      </c>
      <c r="D390" s="12">
        <v>1</v>
      </c>
      <c r="E390" s="2">
        <v>1</v>
      </c>
      <c r="F390" s="25">
        <v>0.125</v>
      </c>
    </row>
    <row r="391" spans="3:6" outlineLevel="2" x14ac:dyDescent="0.25">
      <c r="C391" t="s">
        <v>35</v>
      </c>
      <c r="D391" s="12">
        <v>2</v>
      </c>
      <c r="E391" s="2">
        <v>2</v>
      </c>
      <c r="F391" s="25">
        <v>0.66666666666666663</v>
      </c>
    </row>
    <row r="392" spans="3:6" outlineLevel="2" x14ac:dyDescent="0.25">
      <c r="C392" t="s">
        <v>24</v>
      </c>
      <c r="D392" s="12">
        <v>1</v>
      </c>
      <c r="E392" s="2">
        <v>1</v>
      </c>
      <c r="F392" s="25">
        <v>0.25</v>
      </c>
    </row>
    <row r="393" spans="3:6" outlineLevel="2" x14ac:dyDescent="0.25">
      <c r="C393" t="s">
        <v>11</v>
      </c>
      <c r="D393" s="12">
        <v>4</v>
      </c>
      <c r="E393" s="2">
        <v>4</v>
      </c>
      <c r="F393" s="25">
        <v>0.2857142857142857</v>
      </c>
    </row>
    <row r="394" spans="3:6" outlineLevel="2" x14ac:dyDescent="0.25">
      <c r="C394" t="s">
        <v>14</v>
      </c>
      <c r="D394" s="12">
        <v>14</v>
      </c>
      <c r="E394" s="2">
        <v>14</v>
      </c>
      <c r="F394" s="25">
        <v>6.25E-2</v>
      </c>
    </row>
    <row r="395" spans="3:6" outlineLevel="2" x14ac:dyDescent="0.25">
      <c r="C395" t="s">
        <v>37</v>
      </c>
      <c r="D395" s="12">
        <v>1</v>
      </c>
      <c r="E395" s="2">
        <v>1</v>
      </c>
      <c r="F395" s="25">
        <v>0.16666666666666666</v>
      </c>
    </row>
    <row r="396" spans="3:6" outlineLevel="2" x14ac:dyDescent="0.25">
      <c r="C396" t="s">
        <v>19</v>
      </c>
      <c r="D396" s="12">
        <v>2</v>
      </c>
      <c r="E396" s="2">
        <v>2</v>
      </c>
      <c r="F396" s="25">
        <v>3.8461538461538464E-2</v>
      </c>
    </row>
    <row r="397" spans="3:6" outlineLevel="2" x14ac:dyDescent="0.25">
      <c r="C397" t="s">
        <v>20</v>
      </c>
      <c r="D397" s="12">
        <v>2</v>
      </c>
      <c r="E397" s="2">
        <v>2</v>
      </c>
      <c r="F397" s="25">
        <v>9.0909090909090912E-2</v>
      </c>
    </row>
    <row r="398" spans="3:6" outlineLevel="2" x14ac:dyDescent="0.25">
      <c r="C398" t="s">
        <v>15</v>
      </c>
      <c r="D398" s="12">
        <v>8</v>
      </c>
      <c r="E398" s="2">
        <v>8</v>
      </c>
      <c r="F398" s="25">
        <v>0.10256410256410256</v>
      </c>
    </row>
    <row r="399" spans="3:6" outlineLevel="2" x14ac:dyDescent="0.25">
      <c r="C399" t="s">
        <v>48</v>
      </c>
      <c r="D399" s="12">
        <v>1</v>
      </c>
      <c r="E399" s="2">
        <v>1</v>
      </c>
      <c r="F399" s="25">
        <v>0.5</v>
      </c>
    </row>
    <row r="400" spans="3:6" outlineLevel="2" x14ac:dyDescent="0.25">
      <c r="C400" t="s">
        <v>40</v>
      </c>
      <c r="D400" s="12">
        <v>3</v>
      </c>
      <c r="E400" s="2">
        <v>3</v>
      </c>
      <c r="F400" s="25">
        <v>0.33333333333333331</v>
      </c>
    </row>
    <row r="401" spans="2:6" outlineLevel="2" x14ac:dyDescent="0.25">
      <c r="C401" t="s">
        <v>52</v>
      </c>
      <c r="D401" s="12">
        <v>1</v>
      </c>
      <c r="E401" s="2">
        <v>1</v>
      </c>
      <c r="F401" s="25">
        <v>1</v>
      </c>
    </row>
    <row r="402" spans="2:6" outlineLevel="1" x14ac:dyDescent="0.25">
      <c r="B402" t="s">
        <v>122</v>
      </c>
      <c r="D402" s="12"/>
      <c r="E402" s="17">
        <v>10</v>
      </c>
      <c r="F402" s="24">
        <v>8.3752093802345051E-3</v>
      </c>
    </row>
    <row r="403" spans="2:6" outlineLevel="2" x14ac:dyDescent="0.25">
      <c r="C403" t="s">
        <v>47</v>
      </c>
      <c r="D403" s="12">
        <v>3</v>
      </c>
      <c r="E403" s="2">
        <v>3</v>
      </c>
      <c r="F403" s="25">
        <v>7.6923076923076927E-2</v>
      </c>
    </row>
    <row r="404" spans="2:6" outlineLevel="2" x14ac:dyDescent="0.25">
      <c r="C404" t="s">
        <v>23</v>
      </c>
      <c r="D404" s="12">
        <v>1</v>
      </c>
      <c r="E404" s="2">
        <v>1</v>
      </c>
      <c r="F404" s="25">
        <v>4.5454545454545456E-2</v>
      </c>
    </row>
    <row r="405" spans="2:6" outlineLevel="2" x14ac:dyDescent="0.25">
      <c r="C405" t="s">
        <v>17</v>
      </c>
      <c r="D405" s="12">
        <v>1</v>
      </c>
      <c r="E405" s="2">
        <v>1</v>
      </c>
      <c r="F405" s="25">
        <v>0.5</v>
      </c>
    </row>
    <row r="406" spans="2:6" outlineLevel="2" x14ac:dyDescent="0.25">
      <c r="C406" t="s">
        <v>18</v>
      </c>
      <c r="D406" s="12">
        <v>3</v>
      </c>
      <c r="E406" s="2">
        <v>3</v>
      </c>
      <c r="F406" s="25">
        <v>7.8947368421052627E-2</v>
      </c>
    </row>
    <row r="407" spans="2:6" outlineLevel="2" x14ac:dyDescent="0.25">
      <c r="C407" t="s">
        <v>14</v>
      </c>
      <c r="D407" s="12">
        <v>2</v>
      </c>
      <c r="E407" s="2">
        <v>2</v>
      </c>
      <c r="F407" s="25">
        <v>8.9285714285714281E-3</v>
      </c>
    </row>
    <row r="408" spans="2:6" outlineLevel="1" x14ac:dyDescent="0.25">
      <c r="B408" t="s">
        <v>123</v>
      </c>
      <c r="D408" s="12"/>
      <c r="E408" s="17">
        <v>14</v>
      </c>
      <c r="F408" s="24">
        <v>1.1725293132328308E-2</v>
      </c>
    </row>
    <row r="409" spans="2:6" outlineLevel="2" x14ac:dyDescent="0.25">
      <c r="C409" t="s">
        <v>25</v>
      </c>
      <c r="D409" s="12">
        <v>4</v>
      </c>
      <c r="E409" s="2">
        <v>4</v>
      </c>
      <c r="F409" s="25">
        <v>0.11428571428571428</v>
      </c>
    </row>
    <row r="410" spans="2:6" outlineLevel="2" x14ac:dyDescent="0.25">
      <c r="C410" t="s">
        <v>42</v>
      </c>
      <c r="D410" s="12">
        <v>5</v>
      </c>
      <c r="E410" s="2">
        <v>5</v>
      </c>
      <c r="F410" s="25">
        <v>0.12820512820512819</v>
      </c>
    </row>
    <row r="411" spans="2:6" outlineLevel="2" x14ac:dyDescent="0.25">
      <c r="C411" t="s">
        <v>13</v>
      </c>
      <c r="D411" s="12">
        <v>1</v>
      </c>
      <c r="E411" s="2">
        <v>1</v>
      </c>
      <c r="F411" s="25">
        <v>4.6728971962616819E-3</v>
      </c>
    </row>
    <row r="412" spans="2:6" outlineLevel="2" x14ac:dyDescent="0.25">
      <c r="C412" t="s">
        <v>14</v>
      </c>
      <c r="D412" s="12">
        <v>3</v>
      </c>
      <c r="E412" s="2">
        <v>3</v>
      </c>
      <c r="F412" s="25">
        <v>1.3392857142857142E-2</v>
      </c>
    </row>
    <row r="413" spans="2:6" outlineLevel="2" x14ac:dyDescent="0.25">
      <c r="C413" t="s">
        <v>40</v>
      </c>
      <c r="D413" s="12">
        <v>1</v>
      </c>
      <c r="E413" s="2">
        <v>1</v>
      </c>
      <c r="F413" s="25">
        <v>0.1111111111111111</v>
      </c>
    </row>
    <row r="414" spans="2:6" outlineLevel="1" x14ac:dyDescent="0.25">
      <c r="B414" t="s">
        <v>124</v>
      </c>
      <c r="D414" s="12"/>
      <c r="E414" s="17">
        <v>11</v>
      </c>
      <c r="F414" s="24">
        <v>9.212730318257957E-3</v>
      </c>
    </row>
    <row r="415" spans="2:6" outlineLevel="2" x14ac:dyDescent="0.25">
      <c r="C415" t="s">
        <v>22</v>
      </c>
      <c r="D415" s="12">
        <v>1</v>
      </c>
      <c r="E415" s="2">
        <v>1</v>
      </c>
      <c r="F415" s="25">
        <v>6.6666666666666666E-2</v>
      </c>
    </row>
    <row r="416" spans="2:6" outlineLevel="2" x14ac:dyDescent="0.25">
      <c r="C416" t="s">
        <v>23</v>
      </c>
      <c r="D416" s="12">
        <v>1</v>
      </c>
      <c r="E416" s="2">
        <v>1</v>
      </c>
      <c r="F416" s="25">
        <v>4.5454545454545456E-2</v>
      </c>
    </row>
    <row r="417" spans="2:6" outlineLevel="2" x14ac:dyDescent="0.25">
      <c r="C417" t="s">
        <v>33</v>
      </c>
      <c r="D417" s="12">
        <v>2</v>
      </c>
      <c r="E417" s="2">
        <v>2</v>
      </c>
      <c r="F417" s="25">
        <v>9.0909090909090912E-2</v>
      </c>
    </row>
    <row r="418" spans="2:6" outlineLevel="2" x14ac:dyDescent="0.25">
      <c r="C418" t="s">
        <v>35</v>
      </c>
      <c r="D418" s="12">
        <v>1</v>
      </c>
      <c r="E418" s="2">
        <v>1</v>
      </c>
      <c r="F418" s="25">
        <v>0.33333333333333331</v>
      </c>
    </row>
    <row r="419" spans="2:6" outlineLevel="2" x14ac:dyDescent="0.25">
      <c r="C419" t="s">
        <v>17</v>
      </c>
      <c r="D419" s="12">
        <v>1</v>
      </c>
      <c r="E419" s="2">
        <v>1</v>
      </c>
      <c r="F419" s="25">
        <v>0.5</v>
      </c>
    </row>
    <row r="420" spans="2:6" outlineLevel="2" x14ac:dyDescent="0.25">
      <c r="C420" t="s">
        <v>14</v>
      </c>
      <c r="D420" s="12">
        <v>4</v>
      </c>
      <c r="E420" s="2">
        <v>4</v>
      </c>
      <c r="F420" s="25">
        <v>1.7857142857142856E-2</v>
      </c>
    </row>
    <row r="421" spans="2:6" outlineLevel="2" x14ac:dyDescent="0.25">
      <c r="C421" t="s">
        <v>28</v>
      </c>
      <c r="D421" s="12">
        <v>1</v>
      </c>
      <c r="E421" s="2">
        <v>1</v>
      </c>
      <c r="F421" s="25">
        <v>0.1111111111111111</v>
      </c>
    </row>
    <row r="422" spans="2:6" outlineLevel="1" x14ac:dyDescent="0.25">
      <c r="B422" t="s">
        <v>125</v>
      </c>
      <c r="D422" s="12"/>
      <c r="E422" s="17">
        <v>1</v>
      </c>
      <c r="F422" s="24">
        <v>8.375209380234506E-4</v>
      </c>
    </row>
    <row r="423" spans="2:6" outlineLevel="2" x14ac:dyDescent="0.25">
      <c r="C423" t="s">
        <v>14</v>
      </c>
      <c r="D423" s="12">
        <v>1</v>
      </c>
      <c r="E423" s="2">
        <v>1</v>
      </c>
      <c r="F423" s="25">
        <v>4.464285714285714E-3</v>
      </c>
    </row>
    <row r="424" spans="2:6" outlineLevel="1" x14ac:dyDescent="0.25">
      <c r="B424" t="s">
        <v>126</v>
      </c>
      <c r="D424" s="12"/>
      <c r="E424" s="17">
        <v>10</v>
      </c>
      <c r="F424" s="24">
        <v>8.3752093802345051E-3</v>
      </c>
    </row>
    <row r="425" spans="2:6" outlineLevel="2" x14ac:dyDescent="0.25">
      <c r="C425" t="s">
        <v>23</v>
      </c>
      <c r="D425" s="12">
        <v>6</v>
      </c>
      <c r="E425" s="2">
        <v>6</v>
      </c>
      <c r="F425" s="25">
        <v>0.27272727272727271</v>
      </c>
    </row>
    <row r="426" spans="2:6" outlineLevel="2" x14ac:dyDescent="0.25">
      <c r="C426" t="s">
        <v>17</v>
      </c>
      <c r="D426" s="12">
        <v>1</v>
      </c>
      <c r="E426" s="2">
        <v>1</v>
      </c>
      <c r="F426" s="25">
        <v>0.5</v>
      </c>
    </row>
    <row r="427" spans="2:6" outlineLevel="2" x14ac:dyDescent="0.25">
      <c r="C427" t="s">
        <v>15</v>
      </c>
      <c r="D427" s="12">
        <v>3</v>
      </c>
      <c r="E427" s="2">
        <v>3</v>
      </c>
      <c r="F427" s="25">
        <v>3.8461538461538464E-2</v>
      </c>
    </row>
    <row r="428" spans="2:6" outlineLevel="1" x14ac:dyDescent="0.25">
      <c r="B428" t="s">
        <v>127</v>
      </c>
      <c r="D428" s="12"/>
      <c r="E428" s="17">
        <v>24</v>
      </c>
      <c r="F428" s="24">
        <v>2.0100502512562814E-2</v>
      </c>
    </row>
    <row r="429" spans="2:6" outlineLevel="2" x14ac:dyDescent="0.25">
      <c r="C429" t="s">
        <v>22</v>
      </c>
      <c r="D429" s="12">
        <v>1</v>
      </c>
      <c r="E429" s="2">
        <v>1</v>
      </c>
      <c r="F429" s="25">
        <v>6.6666666666666666E-2</v>
      </c>
    </row>
    <row r="430" spans="2:6" outlineLevel="2" x14ac:dyDescent="0.25">
      <c r="C430" t="s">
        <v>30</v>
      </c>
      <c r="D430" s="12">
        <v>1</v>
      </c>
      <c r="E430" s="2">
        <v>1</v>
      </c>
      <c r="F430" s="25">
        <v>0.16666666666666666</v>
      </c>
    </row>
    <row r="431" spans="2:6" outlineLevel="2" x14ac:dyDescent="0.25">
      <c r="C431" t="s">
        <v>25</v>
      </c>
      <c r="D431" s="12">
        <v>2</v>
      </c>
      <c r="E431" s="2">
        <v>2</v>
      </c>
      <c r="F431" s="25">
        <v>5.7142857142857141E-2</v>
      </c>
    </row>
    <row r="432" spans="2:6" outlineLevel="2" x14ac:dyDescent="0.25">
      <c r="C432" t="s">
        <v>18</v>
      </c>
      <c r="D432" s="12">
        <v>1</v>
      </c>
      <c r="E432" s="2">
        <v>1</v>
      </c>
      <c r="F432" s="25">
        <v>2.6315789473684209E-2</v>
      </c>
    </row>
    <row r="433" spans="2:6" outlineLevel="2" x14ac:dyDescent="0.25">
      <c r="C433" t="s">
        <v>14</v>
      </c>
      <c r="D433" s="12">
        <v>2</v>
      </c>
      <c r="E433" s="2">
        <v>2</v>
      </c>
      <c r="F433" s="25">
        <v>8.9285714285714281E-3</v>
      </c>
    </row>
    <row r="434" spans="2:6" outlineLevel="2" x14ac:dyDescent="0.25">
      <c r="C434" t="s">
        <v>50</v>
      </c>
      <c r="D434" s="12">
        <v>1</v>
      </c>
      <c r="E434" s="2">
        <v>1</v>
      </c>
      <c r="F434" s="25">
        <v>0.14285714285714285</v>
      </c>
    </row>
    <row r="435" spans="2:6" outlineLevel="2" x14ac:dyDescent="0.25">
      <c r="C435" t="s">
        <v>19</v>
      </c>
      <c r="D435" s="12">
        <v>13</v>
      </c>
      <c r="E435" s="2">
        <v>13</v>
      </c>
      <c r="F435" s="25">
        <v>0.25</v>
      </c>
    </row>
    <row r="436" spans="2:6" outlineLevel="2" x14ac:dyDescent="0.25">
      <c r="C436" t="s">
        <v>20</v>
      </c>
      <c r="D436" s="12">
        <v>1</v>
      </c>
      <c r="E436" s="2">
        <v>1</v>
      </c>
      <c r="F436" s="25">
        <v>4.5454545454545456E-2</v>
      </c>
    </row>
    <row r="437" spans="2:6" outlineLevel="2" x14ac:dyDescent="0.25">
      <c r="C437" t="s">
        <v>39</v>
      </c>
      <c r="D437" s="12">
        <v>2</v>
      </c>
      <c r="E437" s="2">
        <v>2</v>
      </c>
      <c r="F437" s="25">
        <v>0.2</v>
      </c>
    </row>
    <row r="438" spans="2:6" outlineLevel="1" x14ac:dyDescent="0.25">
      <c r="B438" t="s">
        <v>128</v>
      </c>
      <c r="D438" s="12"/>
      <c r="E438" s="17">
        <v>10</v>
      </c>
      <c r="F438" s="24">
        <v>8.3752093802345051E-3</v>
      </c>
    </row>
    <row r="439" spans="2:6" outlineLevel="2" x14ac:dyDescent="0.25">
      <c r="C439" t="s">
        <v>30</v>
      </c>
      <c r="D439" s="12">
        <v>2</v>
      </c>
      <c r="E439" s="2">
        <v>2</v>
      </c>
      <c r="F439" s="25">
        <v>0.33333333333333331</v>
      </c>
    </row>
    <row r="440" spans="2:6" outlineLevel="2" x14ac:dyDescent="0.25">
      <c r="C440" t="s">
        <v>14</v>
      </c>
      <c r="D440" s="12">
        <v>1</v>
      </c>
      <c r="E440" s="2">
        <v>1</v>
      </c>
      <c r="F440" s="25">
        <v>4.464285714285714E-3</v>
      </c>
    </row>
    <row r="441" spans="2:6" outlineLevel="2" x14ac:dyDescent="0.25">
      <c r="C441" t="s">
        <v>28</v>
      </c>
      <c r="D441" s="12">
        <v>4</v>
      </c>
      <c r="E441" s="2">
        <v>4</v>
      </c>
      <c r="F441" s="25">
        <v>0.44444444444444442</v>
      </c>
    </row>
    <row r="442" spans="2:6" outlineLevel="2" x14ac:dyDescent="0.25">
      <c r="C442" t="s">
        <v>40</v>
      </c>
      <c r="D442" s="12">
        <v>3</v>
      </c>
      <c r="E442" s="2">
        <v>3</v>
      </c>
      <c r="F442" s="25">
        <v>0.33333333333333331</v>
      </c>
    </row>
    <row r="443" spans="2:6" outlineLevel="1" x14ac:dyDescent="0.25">
      <c r="B443" t="s">
        <v>129</v>
      </c>
      <c r="D443" s="12"/>
      <c r="E443" s="17">
        <v>42</v>
      </c>
      <c r="F443" s="24">
        <v>3.5175879396984924E-2</v>
      </c>
    </row>
    <row r="444" spans="2:6" outlineLevel="2" x14ac:dyDescent="0.25">
      <c r="C444" t="s">
        <v>22</v>
      </c>
      <c r="D444" s="12">
        <v>7</v>
      </c>
      <c r="E444" s="2">
        <v>7</v>
      </c>
      <c r="F444" s="25">
        <v>0.46666666666666667</v>
      </c>
    </row>
    <row r="445" spans="2:6" outlineLevel="2" x14ac:dyDescent="0.25">
      <c r="C445" t="s">
        <v>32</v>
      </c>
      <c r="D445" s="12">
        <v>3</v>
      </c>
      <c r="E445" s="2">
        <v>3</v>
      </c>
      <c r="F445" s="25">
        <v>6.25E-2</v>
      </c>
    </row>
    <row r="446" spans="2:6" outlineLevel="2" x14ac:dyDescent="0.25">
      <c r="C446" t="s">
        <v>43</v>
      </c>
      <c r="D446" s="12">
        <v>5</v>
      </c>
      <c r="E446" s="2">
        <v>5</v>
      </c>
      <c r="F446" s="25">
        <v>0.3125</v>
      </c>
    </row>
    <row r="447" spans="2:6" outlineLevel="2" x14ac:dyDescent="0.25">
      <c r="C447" t="s">
        <v>23</v>
      </c>
      <c r="D447" s="12">
        <v>10</v>
      </c>
      <c r="E447" s="2">
        <v>10</v>
      </c>
      <c r="F447" s="25">
        <v>0.45454545454545453</v>
      </c>
    </row>
    <row r="448" spans="2:6" outlineLevel="2" x14ac:dyDescent="0.25">
      <c r="C448" t="s">
        <v>46</v>
      </c>
      <c r="D448" s="12">
        <v>1</v>
      </c>
      <c r="E448" s="2">
        <v>1</v>
      </c>
      <c r="F448" s="25">
        <v>0.25</v>
      </c>
    </row>
    <row r="449" spans="2:6" outlineLevel="2" x14ac:dyDescent="0.25">
      <c r="C449" t="s">
        <v>11</v>
      </c>
      <c r="D449" s="12">
        <v>2</v>
      </c>
      <c r="E449" s="2">
        <v>2</v>
      </c>
      <c r="F449" s="25">
        <v>0.14285714285714285</v>
      </c>
    </row>
    <row r="450" spans="2:6" outlineLevel="2" x14ac:dyDescent="0.25">
      <c r="C450" t="s">
        <v>21</v>
      </c>
      <c r="D450" s="12">
        <v>3</v>
      </c>
      <c r="E450" s="2">
        <v>3</v>
      </c>
      <c r="F450" s="25">
        <v>0.33333333333333331</v>
      </c>
    </row>
    <row r="451" spans="2:6" outlineLevel="2" x14ac:dyDescent="0.25">
      <c r="C451" t="s">
        <v>28</v>
      </c>
      <c r="D451" s="12">
        <v>1</v>
      </c>
      <c r="E451" s="2">
        <v>1</v>
      </c>
      <c r="F451" s="25">
        <v>0.1111111111111111</v>
      </c>
    </row>
    <row r="452" spans="2:6" outlineLevel="2" x14ac:dyDescent="0.25">
      <c r="C452" t="s">
        <v>15</v>
      </c>
      <c r="D452" s="12">
        <v>3</v>
      </c>
      <c r="E452" s="2">
        <v>3</v>
      </c>
      <c r="F452" s="25">
        <v>3.8461538461538464E-2</v>
      </c>
    </row>
    <row r="453" spans="2:6" outlineLevel="2" x14ac:dyDescent="0.25">
      <c r="C453" t="s">
        <v>31</v>
      </c>
      <c r="D453" s="12">
        <v>3</v>
      </c>
      <c r="E453" s="2">
        <v>3</v>
      </c>
      <c r="F453" s="25">
        <v>0.13636363636363635</v>
      </c>
    </row>
    <row r="454" spans="2:6" outlineLevel="2" x14ac:dyDescent="0.25">
      <c r="C454" t="s">
        <v>39</v>
      </c>
      <c r="D454" s="12">
        <v>4</v>
      </c>
      <c r="E454" s="2">
        <v>4</v>
      </c>
      <c r="F454" s="25">
        <v>0.4</v>
      </c>
    </row>
    <row r="455" spans="2:6" outlineLevel="1" x14ac:dyDescent="0.25">
      <c r="B455" t="s">
        <v>130</v>
      </c>
      <c r="D455" s="12"/>
      <c r="E455" s="17">
        <v>30</v>
      </c>
      <c r="F455" s="24">
        <v>2.5125628140703519E-2</v>
      </c>
    </row>
    <row r="456" spans="2:6" outlineLevel="2" x14ac:dyDescent="0.25">
      <c r="C456" t="s">
        <v>47</v>
      </c>
      <c r="D456" s="12">
        <v>1</v>
      </c>
      <c r="E456" s="2">
        <v>1</v>
      </c>
      <c r="F456" s="25">
        <v>2.564102564102564E-2</v>
      </c>
    </row>
    <row r="457" spans="2:6" outlineLevel="2" x14ac:dyDescent="0.25">
      <c r="C457" t="s">
        <v>26</v>
      </c>
      <c r="D457" s="12">
        <v>2</v>
      </c>
      <c r="E457" s="2">
        <v>2</v>
      </c>
      <c r="F457" s="25">
        <v>0.15384615384615385</v>
      </c>
    </row>
    <row r="458" spans="2:6" outlineLevel="2" x14ac:dyDescent="0.25">
      <c r="C458" t="s">
        <v>18</v>
      </c>
      <c r="D458" s="12">
        <v>1</v>
      </c>
      <c r="E458" s="2">
        <v>1</v>
      </c>
      <c r="F458" s="25">
        <v>2.6315789473684209E-2</v>
      </c>
    </row>
    <row r="459" spans="2:6" outlineLevel="2" x14ac:dyDescent="0.25">
      <c r="C459" t="s">
        <v>12</v>
      </c>
      <c r="D459" s="12">
        <v>2</v>
      </c>
      <c r="E459" s="2">
        <v>2</v>
      </c>
      <c r="F459" s="25">
        <v>8.3333333333333329E-2</v>
      </c>
    </row>
    <row r="460" spans="2:6" outlineLevel="2" x14ac:dyDescent="0.25">
      <c r="C460" t="s">
        <v>13</v>
      </c>
      <c r="D460" s="12">
        <v>7</v>
      </c>
      <c r="E460" s="2">
        <v>7</v>
      </c>
      <c r="F460" s="25">
        <v>3.2710280373831772E-2</v>
      </c>
    </row>
    <row r="461" spans="2:6" outlineLevel="2" x14ac:dyDescent="0.25">
      <c r="C461" t="s">
        <v>14</v>
      </c>
      <c r="D461" s="12">
        <v>1</v>
      </c>
      <c r="E461" s="2">
        <v>1</v>
      </c>
      <c r="F461" s="25">
        <v>4.464285714285714E-3</v>
      </c>
    </row>
    <row r="462" spans="2:6" outlineLevel="2" x14ac:dyDescent="0.25">
      <c r="C462" t="s">
        <v>37</v>
      </c>
      <c r="D462" s="12">
        <v>1</v>
      </c>
      <c r="E462" s="2">
        <v>1</v>
      </c>
      <c r="F462" s="25">
        <v>0.16666666666666666</v>
      </c>
    </row>
    <row r="463" spans="2:6" outlineLevel="2" x14ac:dyDescent="0.25">
      <c r="C463" t="s">
        <v>28</v>
      </c>
      <c r="D463" s="12">
        <v>3</v>
      </c>
      <c r="E463" s="2">
        <v>3</v>
      </c>
      <c r="F463" s="25">
        <v>0.33333333333333331</v>
      </c>
    </row>
    <row r="464" spans="2:6" outlineLevel="2" x14ac:dyDescent="0.25">
      <c r="C464" t="s">
        <v>15</v>
      </c>
      <c r="D464" s="12">
        <v>9</v>
      </c>
      <c r="E464" s="2">
        <v>9</v>
      </c>
      <c r="F464" s="25">
        <v>0.11538461538461539</v>
      </c>
    </row>
    <row r="465" spans="2:6" outlineLevel="2" x14ac:dyDescent="0.25">
      <c r="C465" t="s">
        <v>31</v>
      </c>
      <c r="D465" s="12">
        <v>2</v>
      </c>
      <c r="E465" s="2">
        <v>2</v>
      </c>
      <c r="F465" s="25">
        <v>9.0909090909090912E-2</v>
      </c>
    </row>
    <row r="466" spans="2:6" outlineLevel="2" x14ac:dyDescent="0.25">
      <c r="C466" t="s">
        <v>52</v>
      </c>
      <c r="D466" s="12">
        <v>1</v>
      </c>
      <c r="E466" s="2">
        <v>1</v>
      </c>
      <c r="F466" s="25">
        <v>1</v>
      </c>
    </row>
    <row r="467" spans="2:6" outlineLevel="1" x14ac:dyDescent="0.25">
      <c r="B467" t="s">
        <v>131</v>
      </c>
      <c r="D467" s="12"/>
      <c r="E467" s="17">
        <v>5</v>
      </c>
      <c r="F467" s="24">
        <v>4.1876046901172526E-3</v>
      </c>
    </row>
    <row r="468" spans="2:6" outlineLevel="2" x14ac:dyDescent="0.25">
      <c r="C468" t="s">
        <v>25</v>
      </c>
      <c r="D468" s="12">
        <v>3</v>
      </c>
      <c r="E468" s="2">
        <v>3</v>
      </c>
      <c r="F468" s="25">
        <v>8.5714285714285715E-2</v>
      </c>
    </row>
    <row r="469" spans="2:6" outlineLevel="2" x14ac:dyDescent="0.25">
      <c r="C469" t="s">
        <v>14</v>
      </c>
      <c r="D469" s="12">
        <v>1</v>
      </c>
      <c r="E469" s="2">
        <v>1</v>
      </c>
      <c r="F469" s="25">
        <v>4.464285714285714E-3</v>
      </c>
    </row>
    <row r="470" spans="2:6" outlineLevel="2" x14ac:dyDescent="0.25">
      <c r="C470" t="s">
        <v>50</v>
      </c>
      <c r="D470" s="12">
        <v>1</v>
      </c>
      <c r="E470" s="2">
        <v>1</v>
      </c>
      <c r="F470" s="25">
        <v>0.14285714285714285</v>
      </c>
    </row>
    <row r="471" spans="2:6" outlineLevel="1" x14ac:dyDescent="0.25">
      <c r="B471" t="s">
        <v>132</v>
      </c>
      <c r="D471" s="12"/>
      <c r="E471" s="17">
        <v>46</v>
      </c>
      <c r="F471" s="24">
        <v>3.8525963149078725E-2</v>
      </c>
    </row>
    <row r="472" spans="2:6" outlineLevel="2" x14ac:dyDescent="0.25">
      <c r="C472" t="s">
        <v>27</v>
      </c>
      <c r="D472" s="12">
        <v>2</v>
      </c>
      <c r="E472" s="2">
        <v>2</v>
      </c>
      <c r="F472" s="25">
        <v>0.16666666666666666</v>
      </c>
    </row>
    <row r="473" spans="2:6" outlineLevel="2" x14ac:dyDescent="0.25">
      <c r="C473" t="s">
        <v>32</v>
      </c>
      <c r="D473" s="12">
        <v>11</v>
      </c>
      <c r="E473" s="2">
        <v>11</v>
      </c>
      <c r="F473" s="25">
        <v>0.22916666666666666</v>
      </c>
    </row>
    <row r="474" spans="2:6" outlineLevel="2" x14ac:dyDescent="0.25">
      <c r="C474" t="s">
        <v>43</v>
      </c>
      <c r="D474" s="12">
        <v>2</v>
      </c>
      <c r="E474" s="2">
        <v>2</v>
      </c>
      <c r="F474" s="25">
        <v>0.125</v>
      </c>
    </row>
    <row r="475" spans="2:6" outlineLevel="2" x14ac:dyDescent="0.25">
      <c r="C475" t="s">
        <v>33</v>
      </c>
      <c r="D475" s="12">
        <v>4</v>
      </c>
      <c r="E475" s="2">
        <v>4</v>
      </c>
      <c r="F475" s="25">
        <v>0.18181818181818182</v>
      </c>
    </row>
    <row r="476" spans="2:6" outlineLevel="2" x14ac:dyDescent="0.25">
      <c r="C476" t="s">
        <v>11</v>
      </c>
      <c r="D476" s="12">
        <v>2</v>
      </c>
      <c r="E476" s="2">
        <v>2</v>
      </c>
      <c r="F476" s="25">
        <v>0.14285714285714285</v>
      </c>
    </row>
    <row r="477" spans="2:6" outlineLevel="2" x14ac:dyDescent="0.25">
      <c r="C477" t="s">
        <v>20</v>
      </c>
      <c r="D477" s="12">
        <v>2</v>
      </c>
      <c r="E477" s="2">
        <v>2</v>
      </c>
      <c r="F477" s="25">
        <v>9.0909090909090912E-2</v>
      </c>
    </row>
    <row r="478" spans="2:6" outlineLevel="2" x14ac:dyDescent="0.25">
      <c r="C478" t="s">
        <v>15</v>
      </c>
      <c r="D478" s="12">
        <v>6</v>
      </c>
      <c r="E478" s="2">
        <v>6</v>
      </c>
      <c r="F478" s="25">
        <v>7.6923076923076927E-2</v>
      </c>
    </row>
    <row r="479" spans="2:6" outlineLevel="2" x14ac:dyDescent="0.25">
      <c r="C479" t="s">
        <v>31</v>
      </c>
      <c r="D479" s="12">
        <v>11</v>
      </c>
      <c r="E479" s="2">
        <v>11</v>
      </c>
      <c r="F479" s="25">
        <v>0.5</v>
      </c>
    </row>
    <row r="480" spans="2:6" outlineLevel="2" x14ac:dyDescent="0.25">
      <c r="C480" t="s">
        <v>39</v>
      </c>
      <c r="D480" s="12">
        <v>6</v>
      </c>
      <c r="E480" s="2">
        <v>6</v>
      </c>
      <c r="F480" s="25">
        <v>0.6</v>
      </c>
    </row>
    <row r="481" spans="2:6" outlineLevel="1" x14ac:dyDescent="0.25">
      <c r="B481" t="s">
        <v>133</v>
      </c>
      <c r="D481" s="12"/>
      <c r="E481" s="17">
        <v>7</v>
      </c>
      <c r="F481" s="24">
        <v>5.8626465661641538E-3</v>
      </c>
    </row>
    <row r="482" spans="2:6" outlineLevel="2" x14ac:dyDescent="0.25">
      <c r="C482" t="s">
        <v>43</v>
      </c>
      <c r="D482" s="12">
        <v>3</v>
      </c>
      <c r="E482" s="2">
        <v>3</v>
      </c>
      <c r="F482" s="25">
        <v>0.1875</v>
      </c>
    </row>
    <row r="483" spans="2:6" outlineLevel="2" x14ac:dyDescent="0.25">
      <c r="C483" t="s">
        <v>23</v>
      </c>
      <c r="D483" s="12">
        <v>3</v>
      </c>
      <c r="E483" s="2">
        <v>3</v>
      </c>
      <c r="F483" s="25">
        <v>0.13636363636363635</v>
      </c>
    </row>
    <row r="484" spans="2:6" outlineLevel="2" x14ac:dyDescent="0.25">
      <c r="C484" t="s">
        <v>34</v>
      </c>
      <c r="D484" s="12">
        <v>1</v>
      </c>
      <c r="E484" s="2">
        <v>1</v>
      </c>
      <c r="F484" s="25">
        <v>0.25</v>
      </c>
    </row>
    <row r="485" spans="2:6" outlineLevel="1" x14ac:dyDescent="0.25">
      <c r="B485" t="s">
        <v>134</v>
      </c>
      <c r="D485" s="12"/>
      <c r="E485" s="17">
        <v>30</v>
      </c>
      <c r="F485" s="24">
        <v>2.5125628140703519E-2</v>
      </c>
    </row>
    <row r="486" spans="2:6" outlineLevel="2" x14ac:dyDescent="0.25">
      <c r="C486" t="s">
        <v>22</v>
      </c>
      <c r="D486" s="12">
        <v>1</v>
      </c>
      <c r="E486" s="2">
        <v>1</v>
      </c>
      <c r="F486" s="25">
        <v>6.6666666666666666E-2</v>
      </c>
    </row>
    <row r="487" spans="2:6" outlineLevel="2" x14ac:dyDescent="0.25">
      <c r="C487" t="s">
        <v>41</v>
      </c>
      <c r="D487" s="12">
        <v>1</v>
      </c>
      <c r="E487" s="2">
        <v>1</v>
      </c>
      <c r="F487" s="25">
        <v>1.8518518518518517E-2</v>
      </c>
    </row>
    <row r="488" spans="2:6" outlineLevel="2" x14ac:dyDescent="0.25">
      <c r="C488" t="s">
        <v>42</v>
      </c>
      <c r="D488" s="12">
        <v>1</v>
      </c>
      <c r="E488" s="2">
        <v>1</v>
      </c>
      <c r="F488" s="25">
        <v>2.564102564102564E-2</v>
      </c>
    </row>
    <row r="489" spans="2:6" outlineLevel="2" x14ac:dyDescent="0.25">
      <c r="C489" t="s">
        <v>23</v>
      </c>
      <c r="D489" s="12">
        <v>2</v>
      </c>
      <c r="E489" s="2">
        <v>2</v>
      </c>
      <c r="F489" s="25">
        <v>9.0909090909090912E-2</v>
      </c>
    </row>
    <row r="490" spans="2:6" outlineLevel="2" x14ac:dyDescent="0.25">
      <c r="C490" t="s">
        <v>33</v>
      </c>
      <c r="D490" s="12">
        <v>2</v>
      </c>
      <c r="E490" s="2">
        <v>2</v>
      </c>
      <c r="F490" s="25">
        <v>9.0909090909090912E-2</v>
      </c>
    </row>
    <row r="491" spans="2:6" outlineLevel="2" x14ac:dyDescent="0.25">
      <c r="C491" t="s">
        <v>17</v>
      </c>
      <c r="D491" s="12">
        <v>1</v>
      </c>
      <c r="E491" s="2">
        <v>1</v>
      </c>
      <c r="F491" s="25">
        <v>0.5</v>
      </c>
    </row>
    <row r="492" spans="2:6" outlineLevel="2" x14ac:dyDescent="0.25">
      <c r="C492" t="s">
        <v>11</v>
      </c>
      <c r="D492" s="12">
        <v>2</v>
      </c>
      <c r="E492" s="2">
        <v>2</v>
      </c>
      <c r="F492" s="25">
        <v>0.14285714285714285</v>
      </c>
    </row>
    <row r="493" spans="2:6" outlineLevel="2" x14ac:dyDescent="0.25">
      <c r="C493" t="s">
        <v>14</v>
      </c>
      <c r="D493" s="12">
        <v>13</v>
      </c>
      <c r="E493" s="2">
        <v>13</v>
      </c>
      <c r="F493" s="25">
        <v>5.8035714285714288E-2</v>
      </c>
    </row>
    <row r="494" spans="2:6" outlineLevel="2" x14ac:dyDescent="0.25">
      <c r="C494" t="s">
        <v>20</v>
      </c>
      <c r="D494" s="12">
        <v>1</v>
      </c>
      <c r="E494" s="2">
        <v>1</v>
      </c>
      <c r="F494" s="25">
        <v>4.5454545454545456E-2</v>
      </c>
    </row>
    <row r="495" spans="2:6" outlineLevel="2" x14ac:dyDescent="0.25">
      <c r="C495" t="s">
        <v>31</v>
      </c>
      <c r="D495" s="12">
        <v>5</v>
      </c>
      <c r="E495" s="2">
        <v>5</v>
      </c>
      <c r="F495" s="25">
        <v>0.22727272727272727</v>
      </c>
    </row>
    <row r="496" spans="2:6" outlineLevel="2" x14ac:dyDescent="0.25">
      <c r="C496" t="s">
        <v>48</v>
      </c>
      <c r="D496" s="12">
        <v>1</v>
      </c>
      <c r="E496" s="2">
        <v>1</v>
      </c>
      <c r="F496" s="25">
        <v>0.5</v>
      </c>
    </row>
    <row r="497" spans="2:6" outlineLevel="1" x14ac:dyDescent="0.25">
      <c r="B497" t="s">
        <v>135</v>
      </c>
      <c r="D497" s="12"/>
      <c r="E497" s="17">
        <v>1</v>
      </c>
      <c r="F497" s="24">
        <v>8.375209380234506E-4</v>
      </c>
    </row>
    <row r="498" spans="2:6" outlineLevel="2" x14ac:dyDescent="0.25">
      <c r="C498" t="s">
        <v>24</v>
      </c>
      <c r="D498" s="12">
        <v>1</v>
      </c>
      <c r="E498" s="2">
        <v>1</v>
      </c>
      <c r="F498" s="25">
        <v>0.25</v>
      </c>
    </row>
    <row r="499" spans="2:6" outlineLevel="1" x14ac:dyDescent="0.25">
      <c r="B499" t="s">
        <v>136</v>
      </c>
      <c r="D499" s="12"/>
      <c r="E499" s="17">
        <v>14</v>
      </c>
      <c r="F499" s="24">
        <v>1.1725293132328308E-2</v>
      </c>
    </row>
    <row r="500" spans="2:6" outlineLevel="2" x14ac:dyDescent="0.25">
      <c r="C500" t="s">
        <v>42</v>
      </c>
      <c r="D500" s="12">
        <v>1</v>
      </c>
      <c r="E500" s="2">
        <v>1</v>
      </c>
      <c r="F500" s="25">
        <v>2.564102564102564E-2</v>
      </c>
    </row>
    <row r="501" spans="2:6" outlineLevel="2" x14ac:dyDescent="0.25">
      <c r="C501" t="s">
        <v>23</v>
      </c>
      <c r="D501" s="12">
        <v>6</v>
      </c>
      <c r="E501" s="2">
        <v>6</v>
      </c>
      <c r="F501" s="25">
        <v>0.27272727272727271</v>
      </c>
    </row>
    <row r="502" spans="2:6" outlineLevel="2" x14ac:dyDescent="0.25">
      <c r="C502" t="s">
        <v>17</v>
      </c>
      <c r="D502" s="12">
        <v>1</v>
      </c>
      <c r="E502" s="2">
        <v>1</v>
      </c>
      <c r="F502" s="25">
        <v>0.5</v>
      </c>
    </row>
    <row r="503" spans="2:6" outlineLevel="2" x14ac:dyDescent="0.25">
      <c r="C503" t="s">
        <v>53</v>
      </c>
      <c r="D503" s="12">
        <v>2</v>
      </c>
      <c r="E503" s="2">
        <v>2</v>
      </c>
      <c r="F503" s="25">
        <v>0.2</v>
      </c>
    </row>
    <row r="504" spans="2:6" outlineLevel="2" x14ac:dyDescent="0.25">
      <c r="C504" t="s">
        <v>28</v>
      </c>
      <c r="D504" s="12">
        <v>4</v>
      </c>
      <c r="E504" s="2">
        <v>4</v>
      </c>
      <c r="F504" s="25">
        <v>0.44444444444444442</v>
      </c>
    </row>
    <row r="505" spans="2:6" outlineLevel="1" x14ac:dyDescent="0.25">
      <c r="B505" t="s">
        <v>137</v>
      </c>
      <c r="D505" s="12"/>
      <c r="E505" s="17">
        <v>77</v>
      </c>
      <c r="F505" s="24">
        <v>6.4489112227805692E-2</v>
      </c>
    </row>
    <row r="506" spans="2:6" outlineLevel="2" x14ac:dyDescent="0.25">
      <c r="C506" t="s">
        <v>22</v>
      </c>
      <c r="D506" s="12">
        <v>1</v>
      </c>
      <c r="E506" s="2">
        <v>1</v>
      </c>
      <c r="F506" s="25">
        <v>6.6666666666666666E-2</v>
      </c>
    </row>
    <row r="507" spans="2:6" outlineLevel="2" x14ac:dyDescent="0.25">
      <c r="C507" t="s">
        <v>27</v>
      </c>
      <c r="D507" s="12">
        <v>1</v>
      </c>
      <c r="E507" s="2">
        <v>1</v>
      </c>
      <c r="F507" s="25">
        <v>8.3333333333333329E-2</v>
      </c>
    </row>
    <row r="508" spans="2:6" outlineLevel="2" x14ac:dyDescent="0.25">
      <c r="C508" t="s">
        <v>42</v>
      </c>
      <c r="D508" s="12">
        <v>12</v>
      </c>
      <c r="E508" s="2">
        <v>12</v>
      </c>
      <c r="F508" s="25">
        <v>0.30769230769230771</v>
      </c>
    </row>
    <row r="509" spans="2:6" outlineLevel="2" x14ac:dyDescent="0.25">
      <c r="C509" t="s">
        <v>33</v>
      </c>
      <c r="D509" s="12">
        <v>2</v>
      </c>
      <c r="E509" s="2">
        <v>2</v>
      </c>
      <c r="F509" s="25">
        <v>9.0909090909090912E-2</v>
      </c>
    </row>
    <row r="510" spans="2:6" outlineLevel="2" x14ac:dyDescent="0.25">
      <c r="C510" t="s">
        <v>26</v>
      </c>
      <c r="D510" s="12">
        <v>1</v>
      </c>
      <c r="E510" s="2">
        <v>1</v>
      </c>
      <c r="F510" s="25">
        <v>7.6923076923076927E-2</v>
      </c>
    </row>
    <row r="511" spans="2:6" outlineLevel="2" x14ac:dyDescent="0.25">
      <c r="C511" t="s">
        <v>18</v>
      </c>
      <c r="D511" s="12">
        <v>5</v>
      </c>
      <c r="E511" s="2">
        <v>5</v>
      </c>
      <c r="F511" s="25">
        <v>0.13157894736842105</v>
      </c>
    </row>
    <row r="512" spans="2:6" outlineLevel="2" x14ac:dyDescent="0.25">
      <c r="C512" t="s">
        <v>12</v>
      </c>
      <c r="D512" s="12">
        <v>1</v>
      </c>
      <c r="E512" s="2">
        <v>1</v>
      </c>
      <c r="F512" s="25">
        <v>4.1666666666666664E-2</v>
      </c>
    </row>
    <row r="513" spans="2:6" outlineLevel="2" x14ac:dyDescent="0.25">
      <c r="C513" t="s">
        <v>13</v>
      </c>
      <c r="D513" s="12">
        <v>12</v>
      </c>
      <c r="E513" s="2">
        <v>12</v>
      </c>
      <c r="F513" s="25">
        <v>5.6074766355140186E-2</v>
      </c>
    </row>
    <row r="514" spans="2:6" outlineLevel="2" x14ac:dyDescent="0.25">
      <c r="C514" t="s">
        <v>14</v>
      </c>
      <c r="D514" s="12">
        <v>18</v>
      </c>
      <c r="E514" s="2">
        <v>18</v>
      </c>
      <c r="F514" s="25">
        <v>8.0357142857142863E-2</v>
      </c>
    </row>
    <row r="515" spans="2:6" outlineLevel="2" x14ac:dyDescent="0.25">
      <c r="C515" t="s">
        <v>50</v>
      </c>
      <c r="D515" s="12">
        <v>3</v>
      </c>
      <c r="E515" s="2">
        <v>3</v>
      </c>
      <c r="F515" s="25">
        <v>0.42857142857142855</v>
      </c>
    </row>
    <row r="516" spans="2:6" outlineLevel="2" x14ac:dyDescent="0.25">
      <c r="C516" t="s">
        <v>38</v>
      </c>
      <c r="D516" s="12">
        <v>13</v>
      </c>
      <c r="E516" s="2">
        <v>13</v>
      </c>
      <c r="F516" s="25">
        <v>0.65</v>
      </c>
    </row>
    <row r="517" spans="2:6" outlineLevel="2" x14ac:dyDescent="0.25">
      <c r="C517" t="s">
        <v>15</v>
      </c>
      <c r="D517" s="12">
        <v>3</v>
      </c>
      <c r="E517" s="2">
        <v>3</v>
      </c>
      <c r="F517" s="25">
        <v>3.8461538461538464E-2</v>
      </c>
    </row>
    <row r="518" spans="2:6" outlineLevel="2" x14ac:dyDescent="0.25">
      <c r="C518" t="s">
        <v>31</v>
      </c>
      <c r="D518" s="12">
        <v>4</v>
      </c>
      <c r="E518" s="2">
        <v>4</v>
      </c>
      <c r="F518" s="25">
        <v>0.18181818181818182</v>
      </c>
    </row>
    <row r="519" spans="2:6" outlineLevel="2" x14ac:dyDescent="0.25">
      <c r="C519" t="s">
        <v>40</v>
      </c>
      <c r="D519" s="12">
        <v>1</v>
      </c>
      <c r="E519" s="2">
        <v>1</v>
      </c>
      <c r="F519" s="25">
        <v>0.1111111111111111</v>
      </c>
    </row>
    <row r="520" spans="2:6" outlineLevel="1" x14ac:dyDescent="0.25">
      <c r="B520" t="s">
        <v>138</v>
      </c>
      <c r="D520" s="12"/>
      <c r="E520" s="17">
        <v>24</v>
      </c>
      <c r="F520" s="24">
        <v>2.0100502512562814E-2</v>
      </c>
    </row>
    <row r="521" spans="2:6" outlineLevel="2" x14ac:dyDescent="0.25">
      <c r="C521" t="s">
        <v>25</v>
      </c>
      <c r="D521" s="12">
        <v>15</v>
      </c>
      <c r="E521" s="2">
        <v>15</v>
      </c>
      <c r="F521" s="25">
        <v>0.42857142857142855</v>
      </c>
    </row>
    <row r="522" spans="2:6" outlineLevel="2" x14ac:dyDescent="0.25">
      <c r="C522" t="s">
        <v>33</v>
      </c>
      <c r="D522" s="12">
        <v>3</v>
      </c>
      <c r="E522" s="2">
        <v>3</v>
      </c>
      <c r="F522" s="25">
        <v>0.13636363636363635</v>
      </c>
    </row>
    <row r="523" spans="2:6" outlineLevel="2" x14ac:dyDescent="0.25">
      <c r="C523" t="s">
        <v>35</v>
      </c>
      <c r="D523" s="12">
        <v>1</v>
      </c>
      <c r="E523" s="2">
        <v>1</v>
      </c>
      <c r="F523" s="25">
        <v>0.33333333333333331</v>
      </c>
    </row>
    <row r="524" spans="2:6" outlineLevel="2" x14ac:dyDescent="0.25">
      <c r="C524" t="s">
        <v>19</v>
      </c>
      <c r="D524" s="12">
        <v>2</v>
      </c>
      <c r="E524" s="2">
        <v>2</v>
      </c>
      <c r="F524" s="25">
        <v>3.8461538461538464E-2</v>
      </c>
    </row>
    <row r="525" spans="2:6" outlineLevel="2" x14ac:dyDescent="0.25">
      <c r="C525" t="s">
        <v>20</v>
      </c>
      <c r="D525" s="12">
        <v>1</v>
      </c>
      <c r="E525" s="2">
        <v>1</v>
      </c>
      <c r="F525" s="25">
        <v>4.5454545454545456E-2</v>
      </c>
    </row>
    <row r="526" spans="2:6" outlineLevel="2" x14ac:dyDescent="0.25">
      <c r="C526" t="s">
        <v>15</v>
      </c>
      <c r="D526" s="12">
        <v>1</v>
      </c>
      <c r="E526" s="2">
        <v>1</v>
      </c>
      <c r="F526" s="25">
        <v>1.282051282051282E-2</v>
      </c>
    </row>
    <row r="527" spans="2:6" outlineLevel="2" x14ac:dyDescent="0.25">
      <c r="C527" t="s">
        <v>48</v>
      </c>
      <c r="D527" s="12">
        <v>1</v>
      </c>
      <c r="E527" s="2">
        <v>1</v>
      </c>
      <c r="F527" s="25">
        <v>0.5</v>
      </c>
    </row>
    <row r="528" spans="2:6" outlineLevel="1" x14ac:dyDescent="0.25">
      <c r="B528" t="s">
        <v>139</v>
      </c>
      <c r="D528" s="12"/>
      <c r="E528" s="17">
        <v>126</v>
      </c>
      <c r="F528" s="24">
        <v>0.10552763819095477</v>
      </c>
    </row>
    <row r="529" spans="3:6" outlineLevel="2" x14ac:dyDescent="0.25">
      <c r="C529" t="s">
        <v>22</v>
      </c>
      <c r="D529" s="12">
        <v>1</v>
      </c>
      <c r="E529" s="2">
        <v>1</v>
      </c>
      <c r="F529" s="25">
        <v>6.6666666666666666E-2</v>
      </c>
    </row>
    <row r="530" spans="3:6" outlineLevel="2" x14ac:dyDescent="0.25">
      <c r="C530" t="s">
        <v>47</v>
      </c>
      <c r="D530" s="12">
        <v>23</v>
      </c>
      <c r="E530" s="2">
        <v>23</v>
      </c>
      <c r="F530" s="25">
        <v>0.58974358974358976</v>
      </c>
    </row>
    <row r="531" spans="3:6" outlineLevel="2" x14ac:dyDescent="0.25">
      <c r="C531" t="s">
        <v>23</v>
      </c>
      <c r="D531" s="12">
        <v>2</v>
      </c>
      <c r="E531" s="2">
        <v>2</v>
      </c>
      <c r="F531" s="25">
        <v>9.0909090909090912E-2</v>
      </c>
    </row>
    <row r="532" spans="3:6" outlineLevel="2" x14ac:dyDescent="0.25">
      <c r="C532" t="s">
        <v>16</v>
      </c>
      <c r="D532" s="12">
        <v>2</v>
      </c>
      <c r="E532" s="2">
        <v>2</v>
      </c>
      <c r="F532" s="25">
        <v>0.25</v>
      </c>
    </row>
    <row r="533" spans="3:6" outlineLevel="2" x14ac:dyDescent="0.25">
      <c r="C533" t="s">
        <v>34</v>
      </c>
      <c r="D533" s="12">
        <v>1</v>
      </c>
      <c r="E533" s="2">
        <v>1</v>
      </c>
      <c r="F533" s="25">
        <v>0.25</v>
      </c>
    </row>
    <row r="534" spans="3:6" outlineLevel="2" x14ac:dyDescent="0.25">
      <c r="C534" t="s">
        <v>35</v>
      </c>
      <c r="D534" s="12">
        <v>3</v>
      </c>
      <c r="E534" s="2">
        <v>3</v>
      </c>
      <c r="F534" s="25">
        <v>1</v>
      </c>
    </row>
    <row r="535" spans="3:6" outlineLevel="2" x14ac:dyDescent="0.25">
      <c r="C535" t="s">
        <v>29</v>
      </c>
      <c r="D535" s="12">
        <v>1</v>
      </c>
      <c r="E535" s="2">
        <v>1</v>
      </c>
      <c r="F535" s="25">
        <v>0.16666666666666666</v>
      </c>
    </row>
    <row r="536" spans="3:6" outlineLevel="2" x14ac:dyDescent="0.25">
      <c r="C536" t="s">
        <v>17</v>
      </c>
      <c r="D536" s="12">
        <v>1</v>
      </c>
      <c r="E536" s="2">
        <v>1</v>
      </c>
      <c r="F536" s="25">
        <v>0.5</v>
      </c>
    </row>
    <row r="537" spans="3:6" outlineLevel="2" x14ac:dyDescent="0.25">
      <c r="C537" t="s">
        <v>18</v>
      </c>
      <c r="D537" s="12">
        <v>2</v>
      </c>
      <c r="E537" s="2">
        <v>2</v>
      </c>
      <c r="F537" s="25">
        <v>5.2631578947368418E-2</v>
      </c>
    </row>
    <row r="538" spans="3:6" outlineLevel="2" x14ac:dyDescent="0.25">
      <c r="C538" t="s">
        <v>11</v>
      </c>
      <c r="D538" s="12">
        <v>5</v>
      </c>
      <c r="E538" s="2">
        <v>5</v>
      </c>
      <c r="F538" s="25">
        <v>0.35714285714285715</v>
      </c>
    </row>
    <row r="539" spans="3:6" outlineLevel="2" x14ac:dyDescent="0.25">
      <c r="C539" t="s">
        <v>13</v>
      </c>
      <c r="D539" s="12">
        <v>1</v>
      </c>
      <c r="E539" s="2">
        <v>1</v>
      </c>
      <c r="F539" s="25">
        <v>4.6728971962616819E-3</v>
      </c>
    </row>
    <row r="540" spans="3:6" outlineLevel="2" x14ac:dyDescent="0.25">
      <c r="C540" t="s">
        <v>36</v>
      </c>
      <c r="D540" s="12">
        <v>1</v>
      </c>
      <c r="E540" s="2">
        <v>1</v>
      </c>
      <c r="F540" s="25">
        <v>0.25</v>
      </c>
    </row>
    <row r="541" spans="3:6" outlineLevel="2" x14ac:dyDescent="0.25">
      <c r="C541" t="s">
        <v>14</v>
      </c>
      <c r="D541" s="12">
        <v>58</v>
      </c>
      <c r="E541" s="2">
        <v>58</v>
      </c>
      <c r="F541" s="25">
        <v>0.25892857142857145</v>
      </c>
    </row>
    <row r="542" spans="3:6" outlineLevel="2" x14ac:dyDescent="0.25">
      <c r="C542" t="s">
        <v>37</v>
      </c>
      <c r="D542" s="12">
        <v>3</v>
      </c>
      <c r="E542" s="2">
        <v>3</v>
      </c>
      <c r="F542" s="25">
        <v>0.5</v>
      </c>
    </row>
    <row r="543" spans="3:6" outlineLevel="2" x14ac:dyDescent="0.25">
      <c r="C543" t="s">
        <v>38</v>
      </c>
      <c r="D543" s="12">
        <v>8</v>
      </c>
      <c r="E543" s="2">
        <v>8</v>
      </c>
      <c r="F543" s="25">
        <v>0.4</v>
      </c>
    </row>
    <row r="544" spans="3:6" outlineLevel="2" x14ac:dyDescent="0.25">
      <c r="C544" t="s">
        <v>20</v>
      </c>
      <c r="D544" s="12">
        <v>1</v>
      </c>
      <c r="E544" s="2">
        <v>1</v>
      </c>
      <c r="F544" s="25">
        <v>4.5454545454545456E-2</v>
      </c>
    </row>
    <row r="545" spans="2:6" outlineLevel="2" x14ac:dyDescent="0.25">
      <c r="C545" t="s">
        <v>15</v>
      </c>
      <c r="D545" s="12">
        <v>12</v>
      </c>
      <c r="E545" s="2">
        <v>12</v>
      </c>
      <c r="F545" s="25">
        <v>0.15384615384615385</v>
      </c>
    </row>
    <row r="546" spans="2:6" outlineLevel="2" x14ac:dyDescent="0.25">
      <c r="C546" t="s">
        <v>40</v>
      </c>
      <c r="D546" s="12">
        <v>1</v>
      </c>
      <c r="E546" s="2">
        <v>1</v>
      </c>
      <c r="F546" s="25">
        <v>0.1111111111111111</v>
      </c>
    </row>
    <row r="547" spans="2:6" outlineLevel="1" x14ac:dyDescent="0.25">
      <c r="B547" t="s">
        <v>140</v>
      </c>
      <c r="D547" s="12"/>
      <c r="E547" s="17">
        <v>19</v>
      </c>
      <c r="F547" s="24">
        <v>1.5912897822445562E-2</v>
      </c>
    </row>
    <row r="548" spans="2:6" outlineLevel="2" x14ac:dyDescent="0.25">
      <c r="C548" t="s">
        <v>42</v>
      </c>
      <c r="D548" s="12">
        <v>4</v>
      </c>
      <c r="E548" s="2">
        <v>4</v>
      </c>
      <c r="F548" s="25">
        <v>0.10256410256410256</v>
      </c>
    </row>
    <row r="549" spans="2:6" outlineLevel="2" x14ac:dyDescent="0.25">
      <c r="C549" t="s">
        <v>14</v>
      </c>
      <c r="D549" s="12">
        <v>12</v>
      </c>
      <c r="E549" s="2">
        <v>12</v>
      </c>
      <c r="F549" s="25">
        <v>5.3571428571428568E-2</v>
      </c>
    </row>
    <row r="550" spans="2:6" outlineLevel="2" x14ac:dyDescent="0.25">
      <c r="C550" t="s">
        <v>37</v>
      </c>
      <c r="D550" s="12">
        <v>1</v>
      </c>
      <c r="E550" s="2">
        <v>1</v>
      </c>
      <c r="F550" s="25">
        <v>0.16666666666666666</v>
      </c>
    </row>
    <row r="551" spans="2:6" outlineLevel="2" x14ac:dyDescent="0.25">
      <c r="C551" t="s">
        <v>40</v>
      </c>
      <c r="D551" s="12">
        <v>2</v>
      </c>
      <c r="E551" s="2">
        <v>2</v>
      </c>
      <c r="F551" s="25">
        <v>0.22222222222222221</v>
      </c>
    </row>
    <row r="552" spans="2:6" outlineLevel="1" x14ac:dyDescent="0.25">
      <c r="B552" t="s">
        <v>141</v>
      </c>
      <c r="D552" s="12"/>
      <c r="E552" s="17">
        <v>41</v>
      </c>
      <c r="F552" s="24">
        <v>3.4338358458961472E-2</v>
      </c>
    </row>
    <row r="553" spans="2:6" outlineLevel="2" x14ac:dyDescent="0.25">
      <c r="C553" t="s">
        <v>22</v>
      </c>
      <c r="D553" s="12">
        <v>2</v>
      </c>
      <c r="E553" s="2">
        <v>2</v>
      </c>
      <c r="F553" s="25">
        <v>0.13333333333333333</v>
      </c>
    </row>
    <row r="554" spans="2:6" outlineLevel="2" x14ac:dyDescent="0.25">
      <c r="C554" t="s">
        <v>27</v>
      </c>
      <c r="D554" s="12">
        <v>1</v>
      </c>
      <c r="E554" s="2">
        <v>1</v>
      </c>
      <c r="F554" s="25">
        <v>8.3333333333333329E-2</v>
      </c>
    </row>
    <row r="555" spans="2:6" outlineLevel="2" x14ac:dyDescent="0.25">
      <c r="C555" t="s">
        <v>30</v>
      </c>
      <c r="D555" s="12">
        <v>1</v>
      </c>
      <c r="E555" s="2">
        <v>1</v>
      </c>
      <c r="F555" s="25">
        <v>0.16666666666666666</v>
      </c>
    </row>
    <row r="556" spans="2:6" outlineLevel="2" x14ac:dyDescent="0.25">
      <c r="C556" t="s">
        <v>25</v>
      </c>
      <c r="D556" s="12">
        <v>2</v>
      </c>
      <c r="E556" s="2">
        <v>2</v>
      </c>
      <c r="F556" s="25">
        <v>5.7142857142857141E-2</v>
      </c>
    </row>
    <row r="557" spans="2:6" outlineLevel="2" x14ac:dyDescent="0.25">
      <c r="C557" t="s">
        <v>32</v>
      </c>
      <c r="D557" s="12">
        <v>1</v>
      </c>
      <c r="E557" s="2">
        <v>1</v>
      </c>
      <c r="F557" s="25">
        <v>2.0833333333333332E-2</v>
      </c>
    </row>
    <row r="558" spans="2:6" outlineLevel="2" x14ac:dyDescent="0.25">
      <c r="C558" t="s">
        <v>42</v>
      </c>
      <c r="D558" s="12">
        <v>1</v>
      </c>
      <c r="E558" s="2">
        <v>1</v>
      </c>
      <c r="F558" s="25">
        <v>2.564102564102564E-2</v>
      </c>
    </row>
    <row r="559" spans="2:6" outlineLevel="2" x14ac:dyDescent="0.25">
      <c r="C559" t="s">
        <v>47</v>
      </c>
      <c r="D559" s="12">
        <v>7</v>
      </c>
      <c r="E559" s="2">
        <v>7</v>
      </c>
      <c r="F559" s="25">
        <v>0.17948717948717949</v>
      </c>
    </row>
    <row r="560" spans="2:6" outlineLevel="2" x14ac:dyDescent="0.25">
      <c r="C560" t="s">
        <v>33</v>
      </c>
      <c r="D560" s="12">
        <v>1</v>
      </c>
      <c r="E560" s="2">
        <v>1</v>
      </c>
      <c r="F560" s="25">
        <v>4.5454545454545456E-2</v>
      </c>
    </row>
    <row r="561" spans="2:6" outlineLevel="2" x14ac:dyDescent="0.25">
      <c r="C561" t="s">
        <v>18</v>
      </c>
      <c r="D561" s="12">
        <v>1</v>
      </c>
      <c r="E561" s="2">
        <v>1</v>
      </c>
      <c r="F561" s="25">
        <v>2.6315789473684209E-2</v>
      </c>
    </row>
    <row r="562" spans="2:6" outlineLevel="2" x14ac:dyDescent="0.25">
      <c r="C562" t="s">
        <v>11</v>
      </c>
      <c r="D562" s="12">
        <v>1</v>
      </c>
      <c r="E562" s="2">
        <v>1</v>
      </c>
      <c r="F562" s="25">
        <v>7.1428571428571425E-2</v>
      </c>
    </row>
    <row r="563" spans="2:6" outlineLevel="2" x14ac:dyDescent="0.25">
      <c r="C563" t="s">
        <v>14</v>
      </c>
      <c r="D563" s="12">
        <v>8</v>
      </c>
      <c r="E563" s="2">
        <v>8</v>
      </c>
      <c r="F563" s="25">
        <v>3.5714285714285712E-2</v>
      </c>
    </row>
    <row r="564" spans="2:6" outlineLevel="2" x14ac:dyDescent="0.25">
      <c r="C564" t="s">
        <v>19</v>
      </c>
      <c r="D564" s="12">
        <v>4</v>
      </c>
      <c r="E564" s="2">
        <v>4</v>
      </c>
      <c r="F564" s="25">
        <v>7.6923076923076927E-2</v>
      </c>
    </row>
    <row r="565" spans="2:6" outlineLevel="2" x14ac:dyDescent="0.25">
      <c r="C565" t="s">
        <v>38</v>
      </c>
      <c r="D565" s="12">
        <v>3</v>
      </c>
      <c r="E565" s="2">
        <v>3</v>
      </c>
      <c r="F565" s="25">
        <v>0.15</v>
      </c>
    </row>
    <row r="566" spans="2:6" outlineLevel="2" x14ac:dyDescent="0.25">
      <c r="C566" t="s">
        <v>15</v>
      </c>
      <c r="D566" s="12">
        <v>7</v>
      </c>
      <c r="E566" s="2">
        <v>7</v>
      </c>
      <c r="F566" s="25">
        <v>8.9743589743589744E-2</v>
      </c>
    </row>
    <row r="567" spans="2:6" outlineLevel="2" x14ac:dyDescent="0.25">
      <c r="C567" t="s">
        <v>31</v>
      </c>
      <c r="D567" s="12">
        <v>1</v>
      </c>
      <c r="E567" s="2">
        <v>1</v>
      </c>
      <c r="F567" s="25">
        <v>4.5454545454545456E-2</v>
      </c>
    </row>
    <row r="568" spans="2:6" outlineLevel="1" x14ac:dyDescent="0.25">
      <c r="B568" t="s">
        <v>142</v>
      </c>
      <c r="D568" s="12"/>
      <c r="E568" s="17">
        <v>9</v>
      </c>
      <c r="F568" s="24">
        <v>7.537688442211055E-3</v>
      </c>
    </row>
    <row r="569" spans="2:6" outlineLevel="2" x14ac:dyDescent="0.25">
      <c r="C569" t="s">
        <v>13</v>
      </c>
      <c r="D569" s="12">
        <v>2</v>
      </c>
      <c r="E569" s="2">
        <v>2</v>
      </c>
      <c r="F569" s="25">
        <v>9.3457943925233638E-3</v>
      </c>
    </row>
    <row r="570" spans="2:6" outlineLevel="2" x14ac:dyDescent="0.25">
      <c r="C570" t="s">
        <v>14</v>
      </c>
      <c r="D570" s="12">
        <v>1</v>
      </c>
      <c r="E570" s="2">
        <v>1</v>
      </c>
      <c r="F570" s="25">
        <v>4.464285714285714E-3</v>
      </c>
    </row>
    <row r="571" spans="2:6" outlineLevel="2" x14ac:dyDescent="0.25">
      <c r="C571" t="s">
        <v>19</v>
      </c>
      <c r="D571" s="12">
        <v>1</v>
      </c>
      <c r="E571" s="2">
        <v>1</v>
      </c>
      <c r="F571" s="25">
        <v>1.9230769230769232E-2</v>
      </c>
    </row>
    <row r="572" spans="2:6" outlineLevel="2" x14ac:dyDescent="0.25">
      <c r="C572" t="s">
        <v>51</v>
      </c>
      <c r="D572" s="12">
        <v>1</v>
      </c>
      <c r="E572" s="2">
        <v>1</v>
      </c>
      <c r="F572" s="25">
        <v>0.5</v>
      </c>
    </row>
    <row r="573" spans="2:6" outlineLevel="2" x14ac:dyDescent="0.25">
      <c r="C573" t="s">
        <v>31</v>
      </c>
      <c r="D573" s="12">
        <v>4</v>
      </c>
      <c r="E573" s="2">
        <v>4</v>
      </c>
      <c r="F573" s="25">
        <v>0.18181818181818182</v>
      </c>
    </row>
    <row r="574" spans="2:6" outlineLevel="1" x14ac:dyDescent="0.25">
      <c r="B574" t="s">
        <v>143</v>
      </c>
      <c r="D574" s="12"/>
      <c r="E574" s="17">
        <v>67</v>
      </c>
      <c r="F574" s="24">
        <v>5.6113902847571187E-2</v>
      </c>
    </row>
    <row r="575" spans="2:6" outlineLevel="2" x14ac:dyDescent="0.25">
      <c r="C575" t="s">
        <v>47</v>
      </c>
      <c r="D575" s="12">
        <v>15</v>
      </c>
      <c r="E575" s="2">
        <v>15</v>
      </c>
      <c r="F575" s="25">
        <v>0.38461538461538464</v>
      </c>
    </row>
    <row r="576" spans="2:6" outlineLevel="2" x14ac:dyDescent="0.25">
      <c r="C576" t="s">
        <v>13</v>
      </c>
      <c r="D576" s="12">
        <v>1</v>
      </c>
      <c r="E576" s="2">
        <v>1</v>
      </c>
      <c r="F576" s="25">
        <v>4.6728971962616819E-3</v>
      </c>
    </row>
    <row r="577" spans="2:6" outlineLevel="2" x14ac:dyDescent="0.25">
      <c r="C577" t="s">
        <v>14</v>
      </c>
      <c r="D577" s="12">
        <v>42</v>
      </c>
      <c r="E577" s="2">
        <v>42</v>
      </c>
      <c r="F577" s="25">
        <v>0.1875</v>
      </c>
    </row>
    <row r="578" spans="2:6" outlineLevel="2" x14ac:dyDescent="0.25">
      <c r="C578" t="s">
        <v>37</v>
      </c>
      <c r="D578" s="12">
        <v>1</v>
      </c>
      <c r="E578" s="2">
        <v>1</v>
      </c>
      <c r="F578" s="25">
        <v>0.16666666666666666</v>
      </c>
    </row>
    <row r="579" spans="2:6" outlineLevel="2" x14ac:dyDescent="0.25">
      <c r="C579" t="s">
        <v>19</v>
      </c>
      <c r="D579" s="12">
        <v>3</v>
      </c>
      <c r="E579" s="2">
        <v>3</v>
      </c>
      <c r="F579" s="25">
        <v>5.7692307692307696E-2</v>
      </c>
    </row>
    <row r="580" spans="2:6" outlineLevel="2" x14ac:dyDescent="0.25">
      <c r="C580" t="s">
        <v>15</v>
      </c>
      <c r="D580" s="12">
        <v>1</v>
      </c>
      <c r="E580" s="2">
        <v>1</v>
      </c>
      <c r="F580" s="25">
        <v>1.282051282051282E-2</v>
      </c>
    </row>
    <row r="581" spans="2:6" outlineLevel="2" x14ac:dyDescent="0.25">
      <c r="C581" t="s">
        <v>31</v>
      </c>
      <c r="D581" s="12">
        <v>4</v>
      </c>
      <c r="E581" s="2">
        <v>4</v>
      </c>
      <c r="F581" s="25">
        <v>0.18181818181818182</v>
      </c>
    </row>
    <row r="582" spans="2:6" outlineLevel="1" x14ac:dyDescent="0.25">
      <c r="B582" t="s">
        <v>144</v>
      </c>
      <c r="D582" s="12"/>
      <c r="E582" s="17">
        <v>1</v>
      </c>
      <c r="F582" s="24">
        <v>8.375209380234506E-4</v>
      </c>
    </row>
    <row r="583" spans="2:6" outlineLevel="2" x14ac:dyDescent="0.25">
      <c r="C583" t="s">
        <v>43</v>
      </c>
      <c r="D583" s="12">
        <v>1</v>
      </c>
      <c r="E583" s="2">
        <v>1</v>
      </c>
      <c r="F583" s="25">
        <v>6.25E-2</v>
      </c>
    </row>
    <row r="584" spans="2:6" outlineLevel="1" x14ac:dyDescent="0.25">
      <c r="B584" t="s">
        <v>145</v>
      </c>
      <c r="D584" s="12"/>
      <c r="E584" s="17">
        <v>6</v>
      </c>
      <c r="F584" s="24">
        <v>5.0251256281407036E-3</v>
      </c>
    </row>
    <row r="585" spans="2:6" outlineLevel="2" x14ac:dyDescent="0.25">
      <c r="C585" t="s">
        <v>46</v>
      </c>
      <c r="D585" s="12">
        <v>1</v>
      </c>
      <c r="E585" s="2">
        <v>1</v>
      </c>
      <c r="F585" s="25">
        <v>0.25</v>
      </c>
    </row>
    <row r="586" spans="2:6" outlineLevel="2" x14ac:dyDescent="0.25">
      <c r="C586" t="s">
        <v>24</v>
      </c>
      <c r="D586" s="12">
        <v>3</v>
      </c>
      <c r="E586" s="2">
        <v>3</v>
      </c>
      <c r="F586" s="25">
        <v>0.75</v>
      </c>
    </row>
    <row r="587" spans="2:6" outlineLevel="2" x14ac:dyDescent="0.25">
      <c r="C587" t="s">
        <v>51</v>
      </c>
      <c r="D587" s="12">
        <v>2</v>
      </c>
      <c r="E587" s="2">
        <v>2</v>
      </c>
      <c r="F587" s="25">
        <v>1</v>
      </c>
    </row>
    <row r="588" spans="2:6" outlineLevel="1" x14ac:dyDescent="0.25">
      <c r="B588" t="s">
        <v>146</v>
      </c>
      <c r="D588" s="12"/>
      <c r="E588" s="17">
        <v>1</v>
      </c>
      <c r="F588" s="24">
        <v>8.375209380234506E-4</v>
      </c>
    </row>
    <row r="589" spans="2:6" outlineLevel="2" x14ac:dyDescent="0.25">
      <c r="C589" t="s">
        <v>17</v>
      </c>
      <c r="D589" s="12">
        <v>1</v>
      </c>
      <c r="E589" s="2">
        <v>1</v>
      </c>
      <c r="F589" s="25">
        <v>0.5</v>
      </c>
    </row>
    <row r="590" spans="2:6" outlineLevel="1" x14ac:dyDescent="0.25">
      <c r="B590" t="s">
        <v>147</v>
      </c>
      <c r="D590" s="12"/>
      <c r="E590" s="17">
        <v>16</v>
      </c>
      <c r="F590" s="24">
        <v>1.340033500837521E-2</v>
      </c>
    </row>
    <row r="591" spans="2:6" outlineLevel="2" x14ac:dyDescent="0.25">
      <c r="C591" t="s">
        <v>45</v>
      </c>
      <c r="D591" s="12">
        <v>1</v>
      </c>
      <c r="E591" s="2">
        <v>1</v>
      </c>
      <c r="F591" s="25">
        <v>0.25</v>
      </c>
    </row>
    <row r="592" spans="2:6" outlineLevel="2" x14ac:dyDescent="0.25">
      <c r="C592" t="s">
        <v>22</v>
      </c>
      <c r="D592" s="12">
        <v>1</v>
      </c>
      <c r="E592" s="2">
        <v>1</v>
      </c>
      <c r="F592" s="25">
        <v>6.6666666666666666E-2</v>
      </c>
    </row>
    <row r="593" spans="2:6" outlineLevel="2" x14ac:dyDescent="0.25">
      <c r="C593" t="s">
        <v>23</v>
      </c>
      <c r="D593" s="12">
        <v>3</v>
      </c>
      <c r="E593" s="2">
        <v>3</v>
      </c>
      <c r="F593" s="25">
        <v>0.13636363636363635</v>
      </c>
    </row>
    <row r="594" spans="2:6" outlineLevel="2" x14ac:dyDescent="0.25">
      <c r="C594" t="s">
        <v>17</v>
      </c>
      <c r="D594" s="12">
        <v>1</v>
      </c>
      <c r="E594" s="2">
        <v>1</v>
      </c>
      <c r="F594" s="25">
        <v>0.5</v>
      </c>
    </row>
    <row r="595" spans="2:6" outlineLevel="2" x14ac:dyDescent="0.25">
      <c r="C595" t="s">
        <v>53</v>
      </c>
      <c r="D595" s="12">
        <v>8</v>
      </c>
      <c r="E595" s="2">
        <v>8</v>
      </c>
      <c r="F595" s="25">
        <v>0.8</v>
      </c>
    </row>
    <row r="596" spans="2:6" outlineLevel="2" x14ac:dyDescent="0.25">
      <c r="C596" t="s">
        <v>51</v>
      </c>
      <c r="D596" s="12">
        <v>1</v>
      </c>
      <c r="E596" s="2">
        <v>1</v>
      </c>
      <c r="F596" s="25">
        <v>0.5</v>
      </c>
    </row>
    <row r="597" spans="2:6" outlineLevel="2" x14ac:dyDescent="0.25">
      <c r="C597" t="s">
        <v>15</v>
      </c>
      <c r="D597" s="12">
        <v>1</v>
      </c>
      <c r="E597" s="2">
        <v>1</v>
      </c>
      <c r="F597" s="25">
        <v>1.282051282051282E-2</v>
      </c>
    </row>
    <row r="598" spans="2:6" outlineLevel="1" x14ac:dyDescent="0.25">
      <c r="B598" t="s">
        <v>148</v>
      </c>
      <c r="D598" s="12"/>
      <c r="E598" s="17">
        <v>4</v>
      </c>
      <c r="F598" s="24">
        <v>3.3500837520938024E-3</v>
      </c>
    </row>
    <row r="599" spans="2:6" outlineLevel="2" x14ac:dyDescent="0.25">
      <c r="C599" t="s">
        <v>28</v>
      </c>
      <c r="D599" s="12">
        <v>4</v>
      </c>
      <c r="E599" s="2">
        <v>4</v>
      </c>
      <c r="F599" s="25">
        <v>0.44444444444444442</v>
      </c>
    </row>
    <row r="600" spans="2:6" outlineLevel="1" x14ac:dyDescent="0.25">
      <c r="B600" t="s">
        <v>149</v>
      </c>
      <c r="D600" s="12"/>
      <c r="E600" s="17">
        <v>50</v>
      </c>
      <c r="F600" s="24">
        <v>4.1876046901172533E-2</v>
      </c>
    </row>
    <row r="601" spans="2:6" outlineLevel="2" x14ac:dyDescent="0.25">
      <c r="C601" t="s">
        <v>32</v>
      </c>
      <c r="D601" s="12">
        <v>5</v>
      </c>
      <c r="E601" s="2">
        <v>5</v>
      </c>
      <c r="F601" s="25">
        <v>0.10416666666666667</v>
      </c>
    </row>
    <row r="602" spans="2:6" outlineLevel="2" x14ac:dyDescent="0.25">
      <c r="C602" t="s">
        <v>11</v>
      </c>
      <c r="D602" s="12">
        <v>1</v>
      </c>
      <c r="E602" s="2">
        <v>1</v>
      </c>
      <c r="F602" s="25">
        <v>7.1428571428571425E-2</v>
      </c>
    </row>
    <row r="603" spans="2:6" outlineLevel="2" x14ac:dyDescent="0.25">
      <c r="C603" t="s">
        <v>14</v>
      </c>
      <c r="D603" s="12">
        <v>27</v>
      </c>
      <c r="E603" s="2">
        <v>27</v>
      </c>
      <c r="F603" s="25">
        <v>0.12053571428571429</v>
      </c>
    </row>
    <row r="604" spans="2:6" outlineLevel="2" x14ac:dyDescent="0.25">
      <c r="C604" t="s">
        <v>19</v>
      </c>
      <c r="D604" s="12">
        <v>7</v>
      </c>
      <c r="E604" s="2">
        <v>7</v>
      </c>
      <c r="F604" s="25">
        <v>0.13461538461538461</v>
      </c>
    </row>
    <row r="605" spans="2:6" outlineLevel="2" x14ac:dyDescent="0.25">
      <c r="C605" t="s">
        <v>38</v>
      </c>
      <c r="D605" s="12">
        <v>2</v>
      </c>
      <c r="E605" s="2">
        <v>2</v>
      </c>
      <c r="F605" s="25">
        <v>0.1</v>
      </c>
    </row>
    <row r="606" spans="2:6" outlineLevel="2" x14ac:dyDescent="0.25">
      <c r="C606" t="s">
        <v>15</v>
      </c>
      <c r="D606" s="12">
        <v>8</v>
      </c>
      <c r="E606" s="2">
        <v>8</v>
      </c>
      <c r="F606" s="25">
        <v>0.10256410256410256</v>
      </c>
    </row>
    <row r="607" spans="2:6" outlineLevel="1" x14ac:dyDescent="0.25">
      <c r="B607" t="s">
        <v>150</v>
      </c>
      <c r="D607" s="12"/>
      <c r="E607" s="17">
        <v>7</v>
      </c>
      <c r="F607" s="24">
        <v>5.8626465661641538E-3</v>
      </c>
    </row>
    <row r="608" spans="2:6" outlineLevel="2" x14ac:dyDescent="0.25">
      <c r="C608" t="s">
        <v>23</v>
      </c>
      <c r="D608" s="12">
        <v>6</v>
      </c>
      <c r="E608" s="2">
        <v>6</v>
      </c>
      <c r="F608" s="25">
        <v>0.27272727272727271</v>
      </c>
    </row>
    <row r="609" spans="1:6" outlineLevel="2" x14ac:dyDescent="0.25">
      <c r="C609" t="s">
        <v>17</v>
      </c>
      <c r="D609" s="12">
        <v>1</v>
      </c>
      <c r="E609" s="2">
        <v>1</v>
      </c>
      <c r="F609" s="25">
        <v>0.5</v>
      </c>
    </row>
    <row r="610" spans="1:6" outlineLevel="1" x14ac:dyDescent="0.25">
      <c r="B610" t="s">
        <v>151</v>
      </c>
      <c r="D610" s="12"/>
      <c r="E610" s="17">
        <v>10</v>
      </c>
      <c r="F610" s="24">
        <v>8.3752093802345051E-3</v>
      </c>
    </row>
    <row r="611" spans="1:6" outlineLevel="2" x14ac:dyDescent="0.25">
      <c r="C611" t="s">
        <v>16</v>
      </c>
      <c r="D611" s="12">
        <v>1</v>
      </c>
      <c r="E611" s="2">
        <v>1</v>
      </c>
      <c r="F611" s="25">
        <v>0.125</v>
      </c>
    </row>
    <row r="612" spans="1:6" outlineLevel="2" x14ac:dyDescent="0.25">
      <c r="C612" t="s">
        <v>15</v>
      </c>
      <c r="D612" s="12">
        <v>5</v>
      </c>
      <c r="E612" s="2">
        <v>5</v>
      </c>
      <c r="F612" s="25">
        <v>6.4102564102564097E-2</v>
      </c>
    </row>
    <row r="613" spans="1:6" outlineLevel="2" x14ac:dyDescent="0.25">
      <c r="C613" t="s">
        <v>31</v>
      </c>
      <c r="D613" s="12">
        <v>4</v>
      </c>
      <c r="E613" s="2">
        <v>4</v>
      </c>
      <c r="F613" s="25">
        <v>0.18181818181818182</v>
      </c>
    </row>
    <row r="614" spans="1:6" x14ac:dyDescent="0.25">
      <c r="A614" t="s">
        <v>6</v>
      </c>
      <c r="D614" s="12"/>
      <c r="E614" s="16">
        <v>1522</v>
      </c>
      <c r="F614" s="23">
        <v>2.5003921568627453E-2</v>
      </c>
    </row>
    <row r="615" spans="1:6" outlineLevel="1" x14ac:dyDescent="0.25">
      <c r="B615" t="s">
        <v>152</v>
      </c>
      <c r="D615" s="12"/>
      <c r="E615" s="17">
        <v>23</v>
      </c>
      <c r="F615" s="24">
        <v>1.9262981574539362E-2</v>
      </c>
    </row>
    <row r="616" spans="1:6" outlineLevel="2" x14ac:dyDescent="0.25">
      <c r="C616" t="s">
        <v>32</v>
      </c>
      <c r="D616" s="12">
        <v>2</v>
      </c>
      <c r="E616" s="2">
        <v>2</v>
      </c>
      <c r="F616" s="25">
        <v>4.1666666666666664E-2</v>
      </c>
    </row>
    <row r="617" spans="1:6" outlineLevel="2" x14ac:dyDescent="0.25">
      <c r="C617" t="s">
        <v>47</v>
      </c>
      <c r="D617" s="12">
        <v>13</v>
      </c>
      <c r="E617" s="2">
        <v>13</v>
      </c>
      <c r="F617" s="25">
        <v>0.33333333333333331</v>
      </c>
    </row>
    <row r="618" spans="1:6" outlineLevel="2" x14ac:dyDescent="0.25">
      <c r="C618" t="s">
        <v>35</v>
      </c>
      <c r="D618" s="12">
        <v>2</v>
      </c>
      <c r="E618" s="2">
        <v>2</v>
      </c>
      <c r="F618" s="25">
        <v>0.66666666666666663</v>
      </c>
    </row>
    <row r="619" spans="1:6" outlineLevel="2" x14ac:dyDescent="0.25">
      <c r="C619" t="s">
        <v>40</v>
      </c>
      <c r="D619" s="12">
        <v>6</v>
      </c>
      <c r="E619" s="2">
        <v>6</v>
      </c>
      <c r="F619" s="25">
        <v>0.66666666666666663</v>
      </c>
    </row>
    <row r="620" spans="1:6" outlineLevel="1" x14ac:dyDescent="0.25">
      <c r="B620" t="s">
        <v>153</v>
      </c>
      <c r="D620" s="12"/>
      <c r="E620" s="17">
        <v>42</v>
      </c>
      <c r="F620" s="24">
        <v>3.5175879396984924E-2</v>
      </c>
    </row>
    <row r="621" spans="1:6" outlineLevel="2" x14ac:dyDescent="0.25">
      <c r="C621" t="s">
        <v>32</v>
      </c>
      <c r="D621" s="12">
        <v>2</v>
      </c>
      <c r="E621" s="2">
        <v>2</v>
      </c>
      <c r="F621" s="25">
        <v>4.1666666666666664E-2</v>
      </c>
    </row>
    <row r="622" spans="1:6" outlineLevel="2" x14ac:dyDescent="0.25">
      <c r="C622" t="s">
        <v>14</v>
      </c>
      <c r="D622" s="12">
        <v>32</v>
      </c>
      <c r="E622" s="2">
        <v>32</v>
      </c>
      <c r="F622" s="25">
        <v>0.14285714285714285</v>
      </c>
    </row>
    <row r="623" spans="1:6" outlineLevel="2" x14ac:dyDescent="0.25">
      <c r="C623" t="s">
        <v>37</v>
      </c>
      <c r="D623" s="12">
        <v>1</v>
      </c>
      <c r="E623" s="2">
        <v>1</v>
      </c>
      <c r="F623" s="25">
        <v>0.16666666666666666</v>
      </c>
    </row>
    <row r="624" spans="1:6" outlineLevel="2" x14ac:dyDescent="0.25">
      <c r="C624" t="s">
        <v>19</v>
      </c>
      <c r="D624" s="12">
        <v>5</v>
      </c>
      <c r="E624" s="2">
        <v>5</v>
      </c>
      <c r="F624" s="25">
        <v>9.6153846153846159E-2</v>
      </c>
    </row>
    <row r="625" spans="2:6" outlineLevel="2" x14ac:dyDescent="0.25">
      <c r="C625" t="s">
        <v>28</v>
      </c>
      <c r="D625" s="12">
        <v>2</v>
      </c>
      <c r="E625" s="2">
        <v>2</v>
      </c>
      <c r="F625" s="25">
        <v>0.22222222222222221</v>
      </c>
    </row>
    <row r="626" spans="2:6" outlineLevel="1" x14ac:dyDescent="0.25">
      <c r="B626" t="s">
        <v>154</v>
      </c>
      <c r="D626" s="12"/>
      <c r="E626" s="17">
        <v>14</v>
      </c>
      <c r="F626" s="24">
        <v>1.1725293132328308E-2</v>
      </c>
    </row>
    <row r="627" spans="2:6" outlineLevel="2" x14ac:dyDescent="0.25">
      <c r="C627" t="s">
        <v>43</v>
      </c>
      <c r="D627" s="12">
        <v>2</v>
      </c>
      <c r="E627" s="2">
        <v>2</v>
      </c>
      <c r="F627" s="25">
        <v>0.125</v>
      </c>
    </row>
    <row r="628" spans="2:6" outlineLevel="2" x14ac:dyDescent="0.25">
      <c r="C628" t="s">
        <v>35</v>
      </c>
      <c r="D628" s="12">
        <v>2</v>
      </c>
      <c r="E628" s="2">
        <v>2</v>
      </c>
      <c r="F628" s="25">
        <v>0.66666666666666663</v>
      </c>
    </row>
    <row r="629" spans="2:6" outlineLevel="2" x14ac:dyDescent="0.25">
      <c r="C629" t="s">
        <v>14</v>
      </c>
      <c r="D629" s="12">
        <v>3</v>
      </c>
      <c r="E629" s="2">
        <v>3</v>
      </c>
      <c r="F629" s="25">
        <v>1.3392857142857142E-2</v>
      </c>
    </row>
    <row r="630" spans="2:6" outlineLevel="2" x14ac:dyDescent="0.25">
      <c r="C630" t="s">
        <v>37</v>
      </c>
      <c r="D630" s="12">
        <v>1</v>
      </c>
      <c r="E630" s="2">
        <v>1</v>
      </c>
      <c r="F630" s="25">
        <v>0.16666666666666666</v>
      </c>
    </row>
    <row r="631" spans="2:6" outlineLevel="2" x14ac:dyDescent="0.25">
      <c r="C631" t="s">
        <v>15</v>
      </c>
      <c r="D631" s="12">
        <v>3</v>
      </c>
      <c r="E631" s="2">
        <v>3</v>
      </c>
      <c r="F631" s="25">
        <v>3.8461538461538464E-2</v>
      </c>
    </row>
    <row r="632" spans="2:6" outlineLevel="2" x14ac:dyDescent="0.25">
      <c r="C632" t="s">
        <v>40</v>
      </c>
      <c r="D632" s="12">
        <v>3</v>
      </c>
      <c r="E632" s="2">
        <v>3</v>
      </c>
      <c r="F632" s="25">
        <v>0.33333333333333331</v>
      </c>
    </row>
    <row r="633" spans="2:6" outlineLevel="1" x14ac:dyDescent="0.25">
      <c r="B633" t="s">
        <v>155</v>
      </c>
      <c r="D633" s="12"/>
      <c r="E633" s="17">
        <v>54</v>
      </c>
      <c r="F633" s="24">
        <v>4.5226130653266333E-2</v>
      </c>
    </row>
    <row r="634" spans="2:6" outlineLevel="2" x14ac:dyDescent="0.25">
      <c r="C634" t="s">
        <v>22</v>
      </c>
      <c r="D634" s="12">
        <v>6</v>
      </c>
      <c r="E634" s="2">
        <v>6</v>
      </c>
      <c r="F634" s="25">
        <v>0.4</v>
      </c>
    </row>
    <row r="635" spans="2:6" outlineLevel="2" x14ac:dyDescent="0.25">
      <c r="C635" t="s">
        <v>30</v>
      </c>
      <c r="D635" s="12">
        <v>1</v>
      </c>
      <c r="E635" s="2">
        <v>1</v>
      </c>
      <c r="F635" s="25">
        <v>0.16666666666666666</v>
      </c>
    </row>
    <row r="636" spans="2:6" outlineLevel="2" x14ac:dyDescent="0.25">
      <c r="C636" t="s">
        <v>32</v>
      </c>
      <c r="D636" s="12">
        <v>14</v>
      </c>
      <c r="E636" s="2">
        <v>14</v>
      </c>
      <c r="F636" s="25">
        <v>0.29166666666666669</v>
      </c>
    </row>
    <row r="637" spans="2:6" outlineLevel="2" x14ac:dyDescent="0.25">
      <c r="C637" t="s">
        <v>42</v>
      </c>
      <c r="D637" s="12">
        <v>3</v>
      </c>
      <c r="E637" s="2">
        <v>3</v>
      </c>
      <c r="F637" s="25">
        <v>7.6923076923076927E-2</v>
      </c>
    </row>
    <row r="638" spans="2:6" outlineLevel="2" x14ac:dyDescent="0.25">
      <c r="C638" t="s">
        <v>14</v>
      </c>
      <c r="D638" s="12">
        <v>3</v>
      </c>
      <c r="E638" s="2">
        <v>3</v>
      </c>
      <c r="F638" s="25">
        <v>1.3392857142857142E-2</v>
      </c>
    </row>
    <row r="639" spans="2:6" outlineLevel="2" x14ac:dyDescent="0.25">
      <c r="C639" t="s">
        <v>19</v>
      </c>
      <c r="D639" s="12">
        <v>11</v>
      </c>
      <c r="E639" s="2">
        <v>11</v>
      </c>
      <c r="F639" s="25">
        <v>0.21153846153846154</v>
      </c>
    </row>
    <row r="640" spans="2:6" outlineLevel="2" x14ac:dyDescent="0.25">
      <c r="C640" t="s">
        <v>20</v>
      </c>
      <c r="D640" s="12">
        <v>13</v>
      </c>
      <c r="E640" s="2">
        <v>13</v>
      </c>
      <c r="F640" s="25">
        <v>0.59090909090909094</v>
      </c>
    </row>
    <row r="641" spans="2:6" outlineLevel="2" x14ac:dyDescent="0.25">
      <c r="C641" t="s">
        <v>28</v>
      </c>
      <c r="D641" s="12">
        <v>1</v>
      </c>
      <c r="E641" s="2">
        <v>1</v>
      </c>
      <c r="F641" s="25">
        <v>0.1111111111111111</v>
      </c>
    </row>
    <row r="642" spans="2:6" outlineLevel="2" x14ac:dyDescent="0.25">
      <c r="C642" t="s">
        <v>39</v>
      </c>
      <c r="D642" s="12">
        <v>2</v>
      </c>
      <c r="E642" s="2">
        <v>2</v>
      </c>
      <c r="F642" s="25">
        <v>0.2</v>
      </c>
    </row>
    <row r="643" spans="2:6" outlineLevel="1" x14ac:dyDescent="0.25">
      <c r="B643" t="s">
        <v>156</v>
      </c>
      <c r="D643" s="12"/>
      <c r="E643" s="17">
        <v>1</v>
      </c>
      <c r="F643" s="24">
        <v>8.375209380234506E-4</v>
      </c>
    </row>
    <row r="644" spans="2:6" outlineLevel="2" x14ac:dyDescent="0.25">
      <c r="C644" t="s">
        <v>51</v>
      </c>
      <c r="D644" s="12">
        <v>1</v>
      </c>
      <c r="E644" s="2">
        <v>1</v>
      </c>
      <c r="F644" s="25">
        <v>0.5</v>
      </c>
    </row>
    <row r="645" spans="2:6" outlineLevel="1" x14ac:dyDescent="0.25">
      <c r="B645" t="s">
        <v>157</v>
      </c>
      <c r="D645" s="12"/>
      <c r="E645" s="17">
        <v>4</v>
      </c>
      <c r="F645" s="24">
        <v>3.3500837520938024E-3</v>
      </c>
    </row>
    <row r="646" spans="2:6" outlineLevel="2" x14ac:dyDescent="0.25">
      <c r="C646" t="s">
        <v>43</v>
      </c>
      <c r="D646" s="12">
        <v>1</v>
      </c>
      <c r="E646" s="2">
        <v>1</v>
      </c>
      <c r="F646" s="25">
        <v>6.25E-2</v>
      </c>
    </row>
    <row r="647" spans="2:6" outlineLevel="2" x14ac:dyDescent="0.25">
      <c r="C647" t="s">
        <v>14</v>
      </c>
      <c r="D647" s="12">
        <v>1</v>
      </c>
      <c r="E647" s="2">
        <v>1</v>
      </c>
      <c r="F647" s="25">
        <v>4.464285714285714E-3</v>
      </c>
    </row>
    <row r="648" spans="2:6" outlineLevel="2" x14ac:dyDescent="0.25">
      <c r="C648" t="s">
        <v>15</v>
      </c>
      <c r="D648" s="12">
        <v>2</v>
      </c>
      <c r="E648" s="2">
        <v>2</v>
      </c>
      <c r="F648" s="25">
        <v>2.564102564102564E-2</v>
      </c>
    </row>
    <row r="649" spans="2:6" outlineLevel="1" x14ac:dyDescent="0.25">
      <c r="B649" t="s">
        <v>158</v>
      </c>
      <c r="D649" s="12"/>
      <c r="E649" s="17">
        <v>7</v>
      </c>
      <c r="F649" s="24">
        <v>5.8626465661641538E-3</v>
      </c>
    </row>
    <row r="650" spans="2:6" outlineLevel="2" x14ac:dyDescent="0.25">
      <c r="C650" t="s">
        <v>23</v>
      </c>
      <c r="D650" s="12">
        <v>3</v>
      </c>
      <c r="E650" s="2">
        <v>3</v>
      </c>
      <c r="F650" s="25">
        <v>0.13636363636363635</v>
      </c>
    </row>
    <row r="651" spans="2:6" outlineLevel="2" x14ac:dyDescent="0.25">
      <c r="C651" t="s">
        <v>46</v>
      </c>
      <c r="D651" s="12">
        <v>1</v>
      </c>
      <c r="E651" s="2">
        <v>1</v>
      </c>
      <c r="F651" s="25">
        <v>0.25</v>
      </c>
    </row>
    <row r="652" spans="2:6" outlineLevel="2" x14ac:dyDescent="0.25">
      <c r="C652" t="s">
        <v>31</v>
      </c>
      <c r="D652" s="12">
        <v>3</v>
      </c>
      <c r="E652" s="2">
        <v>3</v>
      </c>
      <c r="F652" s="25">
        <v>0.13636363636363635</v>
      </c>
    </row>
    <row r="653" spans="2:6" outlineLevel="1" x14ac:dyDescent="0.25">
      <c r="B653" t="s">
        <v>159</v>
      </c>
      <c r="D653" s="12"/>
      <c r="E653" s="17">
        <v>29</v>
      </c>
      <c r="F653" s="24">
        <v>2.4288107202680067E-2</v>
      </c>
    </row>
    <row r="654" spans="2:6" outlineLevel="2" x14ac:dyDescent="0.25">
      <c r="C654" t="s">
        <v>22</v>
      </c>
      <c r="D654" s="12">
        <v>1</v>
      </c>
      <c r="E654" s="2">
        <v>1</v>
      </c>
      <c r="F654" s="25">
        <v>6.6666666666666666E-2</v>
      </c>
    </row>
    <row r="655" spans="2:6" outlineLevel="2" x14ac:dyDescent="0.25">
      <c r="C655" t="s">
        <v>23</v>
      </c>
      <c r="D655" s="12">
        <v>10</v>
      </c>
      <c r="E655" s="2">
        <v>10</v>
      </c>
      <c r="F655" s="25">
        <v>0.45454545454545453</v>
      </c>
    </row>
    <row r="656" spans="2:6" outlineLevel="2" x14ac:dyDescent="0.25">
      <c r="C656" t="s">
        <v>37</v>
      </c>
      <c r="D656" s="12">
        <v>1</v>
      </c>
      <c r="E656" s="2">
        <v>1</v>
      </c>
      <c r="F656" s="25">
        <v>0.16666666666666666</v>
      </c>
    </row>
    <row r="657" spans="2:6" outlineLevel="2" x14ac:dyDescent="0.25">
      <c r="C657" t="s">
        <v>19</v>
      </c>
      <c r="D657" s="12">
        <v>11</v>
      </c>
      <c r="E657" s="2">
        <v>11</v>
      </c>
      <c r="F657" s="25">
        <v>0.21153846153846154</v>
      </c>
    </row>
    <row r="658" spans="2:6" outlineLevel="2" x14ac:dyDescent="0.25">
      <c r="C658" t="s">
        <v>38</v>
      </c>
      <c r="D658" s="12">
        <v>6</v>
      </c>
      <c r="E658" s="2">
        <v>6</v>
      </c>
      <c r="F658" s="25">
        <v>0.3</v>
      </c>
    </row>
    <row r="659" spans="2:6" outlineLevel="1" x14ac:dyDescent="0.25">
      <c r="B659" t="s">
        <v>160</v>
      </c>
      <c r="D659" s="12"/>
      <c r="E659" s="17">
        <v>21</v>
      </c>
      <c r="F659" s="24">
        <v>1.7587939698492462E-2</v>
      </c>
    </row>
    <row r="660" spans="2:6" outlineLevel="2" x14ac:dyDescent="0.25">
      <c r="C660" t="s">
        <v>42</v>
      </c>
      <c r="D660" s="12">
        <v>7</v>
      </c>
      <c r="E660" s="2">
        <v>7</v>
      </c>
      <c r="F660" s="25">
        <v>0.17948717948717949</v>
      </c>
    </row>
    <row r="661" spans="2:6" outlineLevel="2" x14ac:dyDescent="0.25">
      <c r="C661" t="s">
        <v>34</v>
      </c>
      <c r="D661" s="12">
        <v>1</v>
      </c>
      <c r="E661" s="2">
        <v>1</v>
      </c>
      <c r="F661" s="25">
        <v>0.25</v>
      </c>
    </row>
    <row r="662" spans="2:6" outlineLevel="2" x14ac:dyDescent="0.25">
      <c r="C662" t="s">
        <v>14</v>
      </c>
      <c r="D662" s="12">
        <v>12</v>
      </c>
      <c r="E662" s="2">
        <v>12</v>
      </c>
      <c r="F662" s="25">
        <v>5.3571428571428568E-2</v>
      </c>
    </row>
    <row r="663" spans="2:6" outlineLevel="2" x14ac:dyDescent="0.25">
      <c r="C663" t="s">
        <v>40</v>
      </c>
      <c r="D663" s="12">
        <v>1</v>
      </c>
      <c r="E663" s="2">
        <v>1</v>
      </c>
      <c r="F663" s="25">
        <v>0.1111111111111111</v>
      </c>
    </row>
    <row r="664" spans="2:6" outlineLevel="1" x14ac:dyDescent="0.25">
      <c r="B664" t="s">
        <v>161</v>
      </c>
      <c r="D664" s="12"/>
      <c r="E664" s="17">
        <v>31</v>
      </c>
      <c r="F664" s="24">
        <v>2.5963149078726967E-2</v>
      </c>
    </row>
    <row r="665" spans="2:6" outlineLevel="2" x14ac:dyDescent="0.25">
      <c r="C665" t="s">
        <v>32</v>
      </c>
      <c r="D665" s="12">
        <v>14</v>
      </c>
      <c r="E665" s="2">
        <v>14</v>
      </c>
      <c r="F665" s="25">
        <v>0.29166666666666669</v>
      </c>
    </row>
    <row r="666" spans="2:6" outlineLevel="2" x14ac:dyDescent="0.25">
      <c r="C666" t="s">
        <v>42</v>
      </c>
      <c r="D666" s="12">
        <v>12</v>
      </c>
      <c r="E666" s="2">
        <v>12</v>
      </c>
      <c r="F666" s="25">
        <v>0.30769230769230771</v>
      </c>
    </row>
    <row r="667" spans="2:6" outlineLevel="2" x14ac:dyDescent="0.25">
      <c r="C667" t="s">
        <v>53</v>
      </c>
      <c r="D667" s="12">
        <v>3</v>
      </c>
      <c r="E667" s="2">
        <v>3</v>
      </c>
      <c r="F667" s="25">
        <v>0.3</v>
      </c>
    </row>
    <row r="668" spans="2:6" outlineLevel="2" x14ac:dyDescent="0.25">
      <c r="C668" t="s">
        <v>15</v>
      </c>
      <c r="D668" s="12">
        <v>2</v>
      </c>
      <c r="E668" s="2">
        <v>2</v>
      </c>
      <c r="F668" s="25">
        <v>2.564102564102564E-2</v>
      </c>
    </row>
    <row r="669" spans="2:6" outlineLevel="1" x14ac:dyDescent="0.25">
      <c r="B669" t="s">
        <v>162</v>
      </c>
      <c r="D669" s="12"/>
      <c r="E669" s="17">
        <v>37</v>
      </c>
      <c r="F669" s="24">
        <v>3.0988274706867672E-2</v>
      </c>
    </row>
    <row r="670" spans="2:6" outlineLevel="2" x14ac:dyDescent="0.25">
      <c r="C670" t="s">
        <v>22</v>
      </c>
      <c r="D670" s="12">
        <v>2</v>
      </c>
      <c r="E670" s="2">
        <v>2</v>
      </c>
      <c r="F670" s="25">
        <v>0.13333333333333333</v>
      </c>
    </row>
    <row r="671" spans="2:6" outlineLevel="2" x14ac:dyDescent="0.25">
      <c r="C671" t="s">
        <v>43</v>
      </c>
      <c r="D671" s="12">
        <v>2</v>
      </c>
      <c r="E671" s="2">
        <v>2</v>
      </c>
      <c r="F671" s="25">
        <v>0.125</v>
      </c>
    </row>
    <row r="672" spans="2:6" outlineLevel="2" x14ac:dyDescent="0.25">
      <c r="C672" t="s">
        <v>16</v>
      </c>
      <c r="D672" s="12">
        <v>2</v>
      </c>
      <c r="E672" s="2">
        <v>2</v>
      </c>
      <c r="F672" s="25">
        <v>0.25</v>
      </c>
    </row>
    <row r="673" spans="2:6" outlineLevel="2" x14ac:dyDescent="0.25">
      <c r="C673" t="s">
        <v>34</v>
      </c>
      <c r="D673" s="12">
        <v>1</v>
      </c>
      <c r="E673" s="2">
        <v>1</v>
      </c>
      <c r="F673" s="25">
        <v>0.25</v>
      </c>
    </row>
    <row r="674" spans="2:6" outlineLevel="2" x14ac:dyDescent="0.25">
      <c r="C674" t="s">
        <v>11</v>
      </c>
      <c r="D674" s="12">
        <v>2</v>
      </c>
      <c r="E674" s="2">
        <v>2</v>
      </c>
      <c r="F674" s="25">
        <v>0.14285714285714285</v>
      </c>
    </row>
    <row r="675" spans="2:6" outlineLevel="2" x14ac:dyDescent="0.25">
      <c r="C675" t="s">
        <v>14</v>
      </c>
      <c r="D675" s="12">
        <v>13</v>
      </c>
      <c r="E675" s="2">
        <v>13</v>
      </c>
      <c r="F675" s="25">
        <v>5.8035714285714288E-2</v>
      </c>
    </row>
    <row r="676" spans="2:6" outlineLevel="2" x14ac:dyDescent="0.25">
      <c r="C676" t="s">
        <v>21</v>
      </c>
      <c r="D676" s="12">
        <v>4</v>
      </c>
      <c r="E676" s="2">
        <v>4</v>
      </c>
      <c r="F676" s="25">
        <v>0.44444444444444442</v>
      </c>
    </row>
    <row r="677" spans="2:6" outlineLevel="2" x14ac:dyDescent="0.25">
      <c r="C677" t="s">
        <v>28</v>
      </c>
      <c r="D677" s="12">
        <v>4</v>
      </c>
      <c r="E677" s="2">
        <v>4</v>
      </c>
      <c r="F677" s="25">
        <v>0.44444444444444442</v>
      </c>
    </row>
    <row r="678" spans="2:6" outlineLevel="2" x14ac:dyDescent="0.25">
      <c r="C678" t="s">
        <v>15</v>
      </c>
      <c r="D678" s="12">
        <v>7</v>
      </c>
      <c r="E678" s="2">
        <v>7</v>
      </c>
      <c r="F678" s="25">
        <v>8.9743589743589744E-2</v>
      </c>
    </row>
    <row r="679" spans="2:6" outlineLevel="1" x14ac:dyDescent="0.25">
      <c r="B679" t="s">
        <v>163</v>
      </c>
      <c r="D679" s="12"/>
      <c r="E679" s="17">
        <v>103</v>
      </c>
      <c r="F679" s="24">
        <v>8.6264656616415414E-2</v>
      </c>
    </row>
    <row r="680" spans="2:6" outlineLevel="2" x14ac:dyDescent="0.25">
      <c r="C680" t="s">
        <v>22</v>
      </c>
      <c r="D680" s="12">
        <v>2</v>
      </c>
      <c r="E680" s="2">
        <v>2</v>
      </c>
      <c r="F680" s="25">
        <v>0.13333333333333333</v>
      </c>
    </row>
    <row r="681" spans="2:6" outlineLevel="2" x14ac:dyDescent="0.25">
      <c r="C681" t="s">
        <v>47</v>
      </c>
      <c r="D681" s="12">
        <v>6</v>
      </c>
      <c r="E681" s="2">
        <v>6</v>
      </c>
      <c r="F681" s="25">
        <v>0.15384615384615385</v>
      </c>
    </row>
    <row r="682" spans="2:6" outlineLevel="2" x14ac:dyDescent="0.25">
      <c r="C682" t="s">
        <v>33</v>
      </c>
      <c r="D682" s="12">
        <v>1</v>
      </c>
      <c r="E682" s="2">
        <v>1</v>
      </c>
      <c r="F682" s="25">
        <v>4.5454545454545456E-2</v>
      </c>
    </row>
    <row r="683" spans="2:6" outlineLevel="2" x14ac:dyDescent="0.25">
      <c r="C683" t="s">
        <v>26</v>
      </c>
      <c r="D683" s="12">
        <v>2</v>
      </c>
      <c r="E683" s="2">
        <v>2</v>
      </c>
      <c r="F683" s="25">
        <v>0.15384615384615385</v>
      </c>
    </row>
    <row r="684" spans="2:6" outlineLevel="2" x14ac:dyDescent="0.25">
      <c r="C684" t="s">
        <v>35</v>
      </c>
      <c r="D684" s="12">
        <v>3</v>
      </c>
      <c r="E684" s="2">
        <v>3</v>
      </c>
      <c r="F684" s="25">
        <v>1</v>
      </c>
    </row>
    <row r="685" spans="2:6" outlineLevel="2" x14ac:dyDescent="0.25">
      <c r="C685" t="s">
        <v>18</v>
      </c>
      <c r="D685" s="12">
        <v>4</v>
      </c>
      <c r="E685" s="2">
        <v>4</v>
      </c>
      <c r="F685" s="25">
        <v>0.10526315789473684</v>
      </c>
    </row>
    <row r="686" spans="2:6" outlineLevel="2" x14ac:dyDescent="0.25">
      <c r="C686" t="s">
        <v>12</v>
      </c>
      <c r="D686" s="12">
        <v>2</v>
      </c>
      <c r="E686" s="2">
        <v>2</v>
      </c>
      <c r="F686" s="25">
        <v>8.3333333333333329E-2</v>
      </c>
    </row>
    <row r="687" spans="2:6" outlineLevel="2" x14ac:dyDescent="0.25">
      <c r="C687" t="s">
        <v>13</v>
      </c>
      <c r="D687" s="12">
        <v>16</v>
      </c>
      <c r="E687" s="2">
        <v>16</v>
      </c>
      <c r="F687" s="25">
        <v>7.476635514018691E-2</v>
      </c>
    </row>
    <row r="688" spans="2:6" outlineLevel="2" x14ac:dyDescent="0.25">
      <c r="C688" t="s">
        <v>14</v>
      </c>
      <c r="D688" s="12">
        <v>40</v>
      </c>
      <c r="E688" s="2">
        <v>40</v>
      </c>
      <c r="F688" s="25">
        <v>0.17857142857142858</v>
      </c>
    </row>
    <row r="689" spans="2:6" outlineLevel="2" x14ac:dyDescent="0.25">
      <c r="C689" t="s">
        <v>38</v>
      </c>
      <c r="D689" s="12">
        <v>3</v>
      </c>
      <c r="E689" s="2">
        <v>3</v>
      </c>
      <c r="F689" s="25">
        <v>0.15</v>
      </c>
    </row>
    <row r="690" spans="2:6" outlineLevel="2" x14ac:dyDescent="0.25">
      <c r="C690" t="s">
        <v>20</v>
      </c>
      <c r="D690" s="12">
        <v>3</v>
      </c>
      <c r="E690" s="2">
        <v>3</v>
      </c>
      <c r="F690" s="25">
        <v>0.13636363636363635</v>
      </c>
    </row>
    <row r="691" spans="2:6" outlineLevel="2" x14ac:dyDescent="0.25">
      <c r="C691" t="s">
        <v>15</v>
      </c>
      <c r="D691" s="12">
        <v>20</v>
      </c>
      <c r="E691" s="2">
        <v>20</v>
      </c>
      <c r="F691" s="25">
        <v>0.25641025641025639</v>
      </c>
    </row>
    <row r="692" spans="2:6" outlineLevel="2" x14ac:dyDescent="0.25">
      <c r="C692" t="s">
        <v>39</v>
      </c>
      <c r="D692" s="12">
        <v>1</v>
      </c>
      <c r="E692" s="2">
        <v>1</v>
      </c>
      <c r="F692" s="25">
        <v>0.1</v>
      </c>
    </row>
    <row r="693" spans="2:6" outlineLevel="1" x14ac:dyDescent="0.25">
      <c r="B693" t="s">
        <v>164</v>
      </c>
      <c r="D693" s="12"/>
      <c r="E693" s="17">
        <v>13</v>
      </c>
      <c r="F693" s="24">
        <v>1.0887772194304857E-2</v>
      </c>
    </row>
    <row r="694" spans="2:6" outlineLevel="2" x14ac:dyDescent="0.25">
      <c r="C694" t="s">
        <v>47</v>
      </c>
      <c r="D694" s="12">
        <v>2</v>
      </c>
      <c r="E694" s="2">
        <v>2</v>
      </c>
      <c r="F694" s="25">
        <v>5.128205128205128E-2</v>
      </c>
    </row>
    <row r="695" spans="2:6" outlineLevel="2" x14ac:dyDescent="0.25">
      <c r="C695" t="s">
        <v>36</v>
      </c>
      <c r="D695" s="12">
        <v>1</v>
      </c>
      <c r="E695" s="2">
        <v>1</v>
      </c>
      <c r="F695" s="25">
        <v>0.25</v>
      </c>
    </row>
    <row r="696" spans="2:6" outlineLevel="2" x14ac:dyDescent="0.25">
      <c r="C696" t="s">
        <v>14</v>
      </c>
      <c r="D696" s="12">
        <v>9</v>
      </c>
      <c r="E696" s="2">
        <v>9</v>
      </c>
      <c r="F696" s="25">
        <v>4.0178571428571432E-2</v>
      </c>
    </row>
    <row r="697" spans="2:6" outlineLevel="2" x14ac:dyDescent="0.25">
      <c r="C697" t="s">
        <v>37</v>
      </c>
      <c r="D697" s="12">
        <v>1</v>
      </c>
      <c r="E697" s="2">
        <v>1</v>
      </c>
      <c r="F697" s="25">
        <v>0.16666666666666666</v>
      </c>
    </row>
    <row r="698" spans="2:6" outlineLevel="1" x14ac:dyDescent="0.25">
      <c r="B698" t="s">
        <v>165</v>
      </c>
      <c r="D698" s="12"/>
      <c r="E698" s="17">
        <v>26</v>
      </c>
      <c r="F698" s="24">
        <v>2.1775544388609715E-2</v>
      </c>
    </row>
    <row r="699" spans="2:6" outlineLevel="2" x14ac:dyDescent="0.25">
      <c r="C699" t="s">
        <v>25</v>
      </c>
      <c r="D699" s="12">
        <v>1</v>
      </c>
      <c r="E699" s="2">
        <v>1</v>
      </c>
      <c r="F699" s="25">
        <v>2.8571428571428571E-2</v>
      </c>
    </row>
    <row r="700" spans="2:6" outlineLevel="2" x14ac:dyDescent="0.25">
      <c r="C700" t="s">
        <v>42</v>
      </c>
      <c r="D700" s="12">
        <v>4</v>
      </c>
      <c r="E700" s="2">
        <v>4</v>
      </c>
      <c r="F700" s="25">
        <v>0.10256410256410256</v>
      </c>
    </row>
    <row r="701" spans="2:6" outlineLevel="2" x14ac:dyDescent="0.25">
      <c r="C701" t="s">
        <v>12</v>
      </c>
      <c r="D701" s="12">
        <v>3</v>
      </c>
      <c r="E701" s="2">
        <v>3</v>
      </c>
      <c r="F701" s="25">
        <v>0.125</v>
      </c>
    </row>
    <row r="702" spans="2:6" outlineLevel="2" x14ac:dyDescent="0.25">
      <c r="C702" t="s">
        <v>13</v>
      </c>
      <c r="D702" s="12">
        <v>5</v>
      </c>
      <c r="E702" s="2">
        <v>5</v>
      </c>
      <c r="F702" s="25">
        <v>2.336448598130841E-2</v>
      </c>
    </row>
    <row r="703" spans="2:6" outlineLevel="2" x14ac:dyDescent="0.25">
      <c r="C703" t="s">
        <v>20</v>
      </c>
      <c r="D703" s="12">
        <v>5</v>
      </c>
      <c r="E703" s="2">
        <v>5</v>
      </c>
      <c r="F703" s="25">
        <v>0.22727272727272727</v>
      </c>
    </row>
    <row r="704" spans="2:6" outlineLevel="2" x14ac:dyDescent="0.25">
      <c r="C704" t="s">
        <v>15</v>
      </c>
      <c r="D704" s="12">
        <v>7</v>
      </c>
      <c r="E704" s="2">
        <v>7</v>
      </c>
      <c r="F704" s="25">
        <v>8.9743589743589744E-2</v>
      </c>
    </row>
    <row r="705" spans="2:6" outlineLevel="2" x14ac:dyDescent="0.25">
      <c r="C705" t="s">
        <v>31</v>
      </c>
      <c r="D705" s="12">
        <v>1</v>
      </c>
      <c r="E705" s="2">
        <v>1</v>
      </c>
      <c r="F705" s="25">
        <v>4.5454545454545456E-2</v>
      </c>
    </row>
    <row r="706" spans="2:6" outlineLevel="1" x14ac:dyDescent="0.25">
      <c r="B706" t="s">
        <v>166</v>
      </c>
      <c r="D706" s="12"/>
      <c r="E706" s="17">
        <v>1</v>
      </c>
      <c r="F706" s="24">
        <v>8.375209380234506E-4</v>
      </c>
    </row>
    <row r="707" spans="2:6" outlineLevel="2" x14ac:dyDescent="0.25">
      <c r="C707" t="s">
        <v>14</v>
      </c>
      <c r="D707" s="12">
        <v>1</v>
      </c>
      <c r="E707" s="2">
        <v>1</v>
      </c>
      <c r="F707" s="25">
        <v>4.464285714285714E-3</v>
      </c>
    </row>
    <row r="708" spans="2:6" outlineLevel="1" x14ac:dyDescent="0.25">
      <c r="B708" t="s">
        <v>167</v>
      </c>
      <c r="D708" s="12"/>
      <c r="E708" s="17">
        <v>15</v>
      </c>
      <c r="F708" s="24">
        <v>1.2562814070351759E-2</v>
      </c>
    </row>
    <row r="709" spans="2:6" outlineLevel="2" x14ac:dyDescent="0.25">
      <c r="C709" t="s">
        <v>42</v>
      </c>
      <c r="D709" s="12">
        <v>2</v>
      </c>
      <c r="E709" s="2">
        <v>2</v>
      </c>
      <c r="F709" s="25">
        <v>5.128205128205128E-2</v>
      </c>
    </row>
    <row r="710" spans="2:6" outlineLevel="2" x14ac:dyDescent="0.25">
      <c r="C710" t="s">
        <v>43</v>
      </c>
      <c r="D710" s="12">
        <v>2</v>
      </c>
      <c r="E710" s="2">
        <v>2</v>
      </c>
      <c r="F710" s="25">
        <v>0.125</v>
      </c>
    </row>
    <row r="711" spans="2:6" outlineLevel="2" x14ac:dyDescent="0.25">
      <c r="C711" t="s">
        <v>26</v>
      </c>
      <c r="D711" s="12">
        <v>3</v>
      </c>
      <c r="E711" s="2">
        <v>3</v>
      </c>
      <c r="F711" s="25">
        <v>0.23076923076923078</v>
      </c>
    </row>
    <row r="712" spans="2:6" outlineLevel="2" x14ac:dyDescent="0.25">
      <c r="C712" t="s">
        <v>21</v>
      </c>
      <c r="D712" s="12">
        <v>7</v>
      </c>
      <c r="E712" s="2">
        <v>7</v>
      </c>
      <c r="F712" s="25">
        <v>0.77777777777777779</v>
      </c>
    </row>
    <row r="713" spans="2:6" outlineLevel="2" x14ac:dyDescent="0.25">
      <c r="C713" t="s">
        <v>15</v>
      </c>
      <c r="D713" s="12">
        <v>1</v>
      </c>
      <c r="E713" s="2">
        <v>1</v>
      </c>
      <c r="F713" s="25">
        <v>1.282051282051282E-2</v>
      </c>
    </row>
    <row r="714" spans="2:6" outlineLevel="1" x14ac:dyDescent="0.25">
      <c r="B714" t="s">
        <v>168</v>
      </c>
      <c r="D714" s="12"/>
      <c r="E714" s="17">
        <v>23</v>
      </c>
      <c r="F714" s="24">
        <v>1.9262981574539362E-2</v>
      </c>
    </row>
    <row r="715" spans="2:6" outlineLevel="2" x14ac:dyDescent="0.25">
      <c r="C715" t="s">
        <v>16</v>
      </c>
      <c r="D715" s="12">
        <v>2</v>
      </c>
      <c r="E715" s="2">
        <v>2</v>
      </c>
      <c r="F715" s="25">
        <v>0.25</v>
      </c>
    </row>
    <row r="716" spans="2:6" outlineLevel="2" x14ac:dyDescent="0.25">
      <c r="C716" t="s">
        <v>18</v>
      </c>
      <c r="D716" s="12">
        <v>4</v>
      </c>
      <c r="E716" s="2">
        <v>4</v>
      </c>
      <c r="F716" s="25">
        <v>0.10526315789473684</v>
      </c>
    </row>
    <row r="717" spans="2:6" outlineLevel="2" x14ac:dyDescent="0.25">
      <c r="C717" t="s">
        <v>11</v>
      </c>
      <c r="D717" s="12">
        <v>3</v>
      </c>
      <c r="E717" s="2">
        <v>3</v>
      </c>
      <c r="F717" s="25">
        <v>0.21428571428571427</v>
      </c>
    </row>
    <row r="718" spans="2:6" outlineLevel="2" x14ac:dyDescent="0.25">
      <c r="C718" t="s">
        <v>37</v>
      </c>
      <c r="D718" s="12">
        <v>1</v>
      </c>
      <c r="E718" s="2">
        <v>1</v>
      </c>
      <c r="F718" s="25">
        <v>0.16666666666666666</v>
      </c>
    </row>
    <row r="719" spans="2:6" outlineLevel="2" x14ac:dyDescent="0.25">
      <c r="C719" t="s">
        <v>51</v>
      </c>
      <c r="D719" s="12">
        <v>1</v>
      </c>
      <c r="E719" s="2">
        <v>1</v>
      </c>
      <c r="F719" s="25">
        <v>0.5</v>
      </c>
    </row>
    <row r="720" spans="2:6" outlineLevel="2" x14ac:dyDescent="0.25">
      <c r="C720" t="s">
        <v>20</v>
      </c>
      <c r="D720" s="12">
        <v>2</v>
      </c>
      <c r="E720" s="2">
        <v>2</v>
      </c>
      <c r="F720" s="25">
        <v>9.0909090909090912E-2</v>
      </c>
    </row>
    <row r="721" spans="2:6" outlineLevel="2" x14ac:dyDescent="0.25">
      <c r="C721" t="s">
        <v>28</v>
      </c>
      <c r="D721" s="12">
        <v>4</v>
      </c>
      <c r="E721" s="2">
        <v>4</v>
      </c>
      <c r="F721" s="25">
        <v>0.44444444444444442</v>
      </c>
    </row>
    <row r="722" spans="2:6" outlineLevel="2" x14ac:dyDescent="0.25">
      <c r="C722" t="s">
        <v>15</v>
      </c>
      <c r="D722" s="12">
        <v>5</v>
      </c>
      <c r="E722" s="2">
        <v>5</v>
      </c>
      <c r="F722" s="25">
        <v>6.4102564102564097E-2</v>
      </c>
    </row>
    <row r="723" spans="2:6" outlineLevel="2" x14ac:dyDescent="0.25">
      <c r="C723" t="s">
        <v>48</v>
      </c>
      <c r="D723" s="12">
        <v>1</v>
      </c>
      <c r="E723" s="2">
        <v>1</v>
      </c>
      <c r="F723" s="25">
        <v>0.5</v>
      </c>
    </row>
    <row r="724" spans="2:6" outlineLevel="1" x14ac:dyDescent="0.25">
      <c r="B724" t="s">
        <v>169</v>
      </c>
      <c r="D724" s="12"/>
      <c r="E724" s="17">
        <v>12</v>
      </c>
      <c r="F724" s="24">
        <v>1.0050251256281407E-2</v>
      </c>
    </row>
    <row r="725" spans="2:6" outlineLevel="2" x14ac:dyDescent="0.25">
      <c r="C725" t="s">
        <v>22</v>
      </c>
      <c r="D725" s="12">
        <v>2</v>
      </c>
      <c r="E725" s="2">
        <v>2</v>
      </c>
      <c r="F725" s="25">
        <v>0.13333333333333333</v>
      </c>
    </row>
    <row r="726" spans="2:6" outlineLevel="2" x14ac:dyDescent="0.25">
      <c r="C726" t="s">
        <v>49</v>
      </c>
      <c r="D726" s="12">
        <v>1</v>
      </c>
      <c r="E726" s="2">
        <v>1</v>
      </c>
      <c r="F726" s="25">
        <v>0.14285714285714285</v>
      </c>
    </row>
    <row r="727" spans="2:6" outlineLevel="2" x14ac:dyDescent="0.25">
      <c r="C727" t="s">
        <v>14</v>
      </c>
      <c r="D727" s="12">
        <v>6</v>
      </c>
      <c r="E727" s="2">
        <v>6</v>
      </c>
      <c r="F727" s="25">
        <v>2.6785714285714284E-2</v>
      </c>
    </row>
    <row r="728" spans="2:6" outlineLevel="2" x14ac:dyDescent="0.25">
      <c r="C728" t="s">
        <v>28</v>
      </c>
      <c r="D728" s="12">
        <v>3</v>
      </c>
      <c r="E728" s="2">
        <v>3</v>
      </c>
      <c r="F728" s="25">
        <v>0.33333333333333331</v>
      </c>
    </row>
    <row r="729" spans="2:6" outlineLevel="1" x14ac:dyDescent="0.25">
      <c r="B729" t="s">
        <v>170</v>
      </c>
      <c r="D729" s="12"/>
      <c r="E729" s="17">
        <v>57</v>
      </c>
      <c r="F729" s="24">
        <v>4.7738693467336682E-2</v>
      </c>
    </row>
    <row r="730" spans="2:6" outlineLevel="2" x14ac:dyDescent="0.25">
      <c r="C730" t="s">
        <v>25</v>
      </c>
      <c r="D730" s="12">
        <v>4</v>
      </c>
      <c r="E730" s="2">
        <v>4</v>
      </c>
      <c r="F730" s="25">
        <v>0.11428571428571428</v>
      </c>
    </row>
    <row r="731" spans="2:6" outlineLevel="2" x14ac:dyDescent="0.25">
      <c r="C731" t="s">
        <v>32</v>
      </c>
      <c r="D731" s="12">
        <v>10</v>
      </c>
      <c r="E731" s="2">
        <v>10</v>
      </c>
      <c r="F731" s="25">
        <v>0.20833333333333334</v>
      </c>
    </row>
    <row r="732" spans="2:6" outlineLevel="2" x14ac:dyDescent="0.25">
      <c r="C732" t="s">
        <v>23</v>
      </c>
      <c r="D732" s="12">
        <v>2</v>
      </c>
      <c r="E732" s="2">
        <v>2</v>
      </c>
      <c r="F732" s="25">
        <v>9.0909090909090912E-2</v>
      </c>
    </row>
    <row r="733" spans="2:6" outlineLevel="2" x14ac:dyDescent="0.25">
      <c r="C733" t="s">
        <v>46</v>
      </c>
      <c r="D733" s="12">
        <v>1</v>
      </c>
      <c r="E733" s="2">
        <v>1</v>
      </c>
      <c r="F733" s="25">
        <v>0.25</v>
      </c>
    </row>
    <row r="734" spans="2:6" outlineLevel="2" x14ac:dyDescent="0.25">
      <c r="C734" t="s">
        <v>16</v>
      </c>
      <c r="D734" s="12">
        <v>1</v>
      </c>
      <c r="E734" s="2">
        <v>1</v>
      </c>
      <c r="F734" s="25">
        <v>0.125</v>
      </c>
    </row>
    <row r="735" spans="2:6" outlineLevel="2" x14ac:dyDescent="0.25">
      <c r="C735" t="s">
        <v>35</v>
      </c>
      <c r="D735" s="12">
        <v>1</v>
      </c>
      <c r="E735" s="2">
        <v>1</v>
      </c>
      <c r="F735" s="25">
        <v>0.33333333333333331</v>
      </c>
    </row>
    <row r="736" spans="2:6" outlineLevel="2" x14ac:dyDescent="0.25">
      <c r="C736" t="s">
        <v>19</v>
      </c>
      <c r="D736" s="12">
        <v>7</v>
      </c>
      <c r="E736" s="2">
        <v>7</v>
      </c>
      <c r="F736" s="25">
        <v>0.13461538461538461</v>
      </c>
    </row>
    <row r="737" spans="2:6" outlineLevel="2" x14ac:dyDescent="0.25">
      <c r="C737" t="s">
        <v>38</v>
      </c>
      <c r="D737" s="12">
        <v>11</v>
      </c>
      <c r="E737" s="2">
        <v>11</v>
      </c>
      <c r="F737" s="25">
        <v>0.55000000000000004</v>
      </c>
    </row>
    <row r="738" spans="2:6" outlineLevel="2" x14ac:dyDescent="0.25">
      <c r="C738" t="s">
        <v>51</v>
      </c>
      <c r="D738" s="12">
        <v>1</v>
      </c>
      <c r="E738" s="2">
        <v>1</v>
      </c>
      <c r="F738" s="25">
        <v>0.5</v>
      </c>
    </row>
    <row r="739" spans="2:6" outlineLevel="2" x14ac:dyDescent="0.25">
      <c r="C739" t="s">
        <v>20</v>
      </c>
      <c r="D739" s="12">
        <v>1</v>
      </c>
      <c r="E739" s="2">
        <v>1</v>
      </c>
      <c r="F739" s="25">
        <v>4.5454545454545456E-2</v>
      </c>
    </row>
    <row r="740" spans="2:6" outlineLevel="2" x14ac:dyDescent="0.25">
      <c r="C740" t="s">
        <v>28</v>
      </c>
      <c r="D740" s="12">
        <v>4</v>
      </c>
      <c r="E740" s="2">
        <v>4</v>
      </c>
      <c r="F740" s="25">
        <v>0.44444444444444442</v>
      </c>
    </row>
    <row r="741" spans="2:6" outlineLevel="2" x14ac:dyDescent="0.25">
      <c r="C741" t="s">
        <v>15</v>
      </c>
      <c r="D741" s="12">
        <v>6</v>
      </c>
      <c r="E741" s="2">
        <v>6</v>
      </c>
      <c r="F741" s="25">
        <v>7.6923076923076927E-2</v>
      </c>
    </row>
    <row r="742" spans="2:6" outlineLevel="2" x14ac:dyDescent="0.25">
      <c r="C742" t="s">
        <v>39</v>
      </c>
      <c r="D742" s="12">
        <v>7</v>
      </c>
      <c r="E742" s="2">
        <v>7</v>
      </c>
      <c r="F742" s="25">
        <v>0.7</v>
      </c>
    </row>
    <row r="743" spans="2:6" outlineLevel="2" x14ac:dyDescent="0.25">
      <c r="C743" t="s">
        <v>40</v>
      </c>
      <c r="D743" s="12">
        <v>1</v>
      </c>
      <c r="E743" s="2">
        <v>1</v>
      </c>
      <c r="F743" s="25">
        <v>0.1111111111111111</v>
      </c>
    </row>
    <row r="744" spans="2:6" outlineLevel="1" x14ac:dyDescent="0.25">
      <c r="B744" t="s">
        <v>171</v>
      </c>
      <c r="D744" s="12"/>
      <c r="E744" s="17">
        <v>48</v>
      </c>
      <c r="F744" s="24">
        <v>4.0201005025125629E-2</v>
      </c>
    </row>
    <row r="745" spans="2:6" outlineLevel="2" x14ac:dyDescent="0.25">
      <c r="C745" t="s">
        <v>41</v>
      </c>
      <c r="D745" s="12">
        <v>1</v>
      </c>
      <c r="E745" s="2">
        <v>1</v>
      </c>
      <c r="F745" s="25">
        <v>1.8518518518518517E-2</v>
      </c>
    </row>
    <row r="746" spans="2:6" outlineLevel="2" x14ac:dyDescent="0.25">
      <c r="C746" t="s">
        <v>47</v>
      </c>
      <c r="D746" s="12">
        <v>16</v>
      </c>
      <c r="E746" s="2">
        <v>16</v>
      </c>
      <c r="F746" s="25">
        <v>0.41025641025641024</v>
      </c>
    </row>
    <row r="747" spans="2:6" outlineLevel="2" x14ac:dyDescent="0.25">
      <c r="C747" t="s">
        <v>35</v>
      </c>
      <c r="D747" s="12">
        <v>1</v>
      </c>
      <c r="E747" s="2">
        <v>1</v>
      </c>
      <c r="F747" s="25">
        <v>0.33333333333333331</v>
      </c>
    </row>
    <row r="748" spans="2:6" outlineLevel="2" x14ac:dyDescent="0.25">
      <c r="C748" t="s">
        <v>11</v>
      </c>
      <c r="D748" s="12">
        <v>2</v>
      </c>
      <c r="E748" s="2">
        <v>2</v>
      </c>
      <c r="F748" s="25">
        <v>0.14285714285714285</v>
      </c>
    </row>
    <row r="749" spans="2:6" outlineLevel="2" x14ac:dyDescent="0.25">
      <c r="C749" t="s">
        <v>13</v>
      </c>
      <c r="D749" s="12">
        <v>4</v>
      </c>
      <c r="E749" s="2">
        <v>4</v>
      </c>
      <c r="F749" s="25">
        <v>1.8691588785046728E-2</v>
      </c>
    </row>
    <row r="750" spans="2:6" outlineLevel="2" x14ac:dyDescent="0.25">
      <c r="C750" t="s">
        <v>14</v>
      </c>
      <c r="D750" s="12">
        <v>16</v>
      </c>
      <c r="E750" s="2">
        <v>16</v>
      </c>
      <c r="F750" s="25">
        <v>7.1428571428571425E-2</v>
      </c>
    </row>
    <row r="751" spans="2:6" outlineLevel="2" x14ac:dyDescent="0.25">
      <c r="C751" t="s">
        <v>19</v>
      </c>
      <c r="D751" s="12">
        <v>3</v>
      </c>
      <c r="E751" s="2">
        <v>3</v>
      </c>
      <c r="F751" s="25">
        <v>5.7692307692307696E-2</v>
      </c>
    </row>
    <row r="752" spans="2:6" outlineLevel="2" x14ac:dyDescent="0.25">
      <c r="C752" t="s">
        <v>31</v>
      </c>
      <c r="D752" s="12">
        <v>3</v>
      </c>
      <c r="E752" s="2">
        <v>3</v>
      </c>
      <c r="F752" s="25">
        <v>0.13636363636363635</v>
      </c>
    </row>
    <row r="753" spans="2:6" outlineLevel="2" x14ac:dyDescent="0.25">
      <c r="C753" t="s">
        <v>40</v>
      </c>
      <c r="D753" s="12">
        <v>2</v>
      </c>
      <c r="E753" s="2">
        <v>2</v>
      </c>
      <c r="F753" s="25">
        <v>0.22222222222222221</v>
      </c>
    </row>
    <row r="754" spans="2:6" outlineLevel="1" x14ac:dyDescent="0.25">
      <c r="B754" t="s">
        <v>172</v>
      </c>
      <c r="D754" s="12"/>
      <c r="E754" s="17">
        <v>29</v>
      </c>
      <c r="F754" s="24">
        <v>2.4288107202680067E-2</v>
      </c>
    </row>
    <row r="755" spans="2:6" outlineLevel="2" x14ac:dyDescent="0.25">
      <c r="C755" t="s">
        <v>32</v>
      </c>
      <c r="D755" s="12">
        <v>7</v>
      </c>
      <c r="E755" s="2">
        <v>7</v>
      </c>
      <c r="F755" s="25">
        <v>0.14583333333333334</v>
      </c>
    </row>
    <row r="756" spans="2:6" outlineLevel="2" x14ac:dyDescent="0.25">
      <c r="C756" t="s">
        <v>23</v>
      </c>
      <c r="D756" s="12">
        <v>4</v>
      </c>
      <c r="E756" s="2">
        <v>4</v>
      </c>
      <c r="F756" s="25">
        <v>0.18181818181818182</v>
      </c>
    </row>
    <row r="757" spans="2:6" outlineLevel="2" x14ac:dyDescent="0.25">
      <c r="C757" t="s">
        <v>26</v>
      </c>
      <c r="D757" s="12">
        <v>1</v>
      </c>
      <c r="E757" s="2">
        <v>1</v>
      </c>
      <c r="F757" s="25">
        <v>7.6923076923076927E-2</v>
      </c>
    </row>
    <row r="758" spans="2:6" outlineLevel="2" x14ac:dyDescent="0.25">
      <c r="C758" t="s">
        <v>13</v>
      </c>
      <c r="D758" s="12">
        <v>8</v>
      </c>
      <c r="E758" s="2">
        <v>8</v>
      </c>
      <c r="F758" s="25">
        <v>3.7383177570093455E-2</v>
      </c>
    </row>
    <row r="759" spans="2:6" outlineLevel="2" x14ac:dyDescent="0.25">
      <c r="C759" t="s">
        <v>19</v>
      </c>
      <c r="D759" s="12">
        <v>8</v>
      </c>
      <c r="E759" s="2">
        <v>8</v>
      </c>
      <c r="F759" s="25">
        <v>0.15384615384615385</v>
      </c>
    </row>
    <row r="760" spans="2:6" outlineLevel="2" x14ac:dyDescent="0.25">
      <c r="C760" t="s">
        <v>48</v>
      </c>
      <c r="D760" s="12">
        <v>1</v>
      </c>
      <c r="E760" s="2">
        <v>1</v>
      </c>
      <c r="F760" s="25">
        <v>0.5</v>
      </c>
    </row>
    <row r="761" spans="2:6" outlineLevel="1" x14ac:dyDescent="0.25">
      <c r="B761" t="s">
        <v>173</v>
      </c>
      <c r="D761" s="12"/>
      <c r="E761" s="17">
        <v>18</v>
      </c>
      <c r="F761" s="24">
        <v>1.507537688442211E-2</v>
      </c>
    </row>
    <row r="762" spans="2:6" outlineLevel="2" x14ac:dyDescent="0.25">
      <c r="C762" t="s">
        <v>22</v>
      </c>
      <c r="D762" s="12">
        <v>1</v>
      </c>
      <c r="E762" s="2">
        <v>1</v>
      </c>
      <c r="F762" s="25">
        <v>6.6666666666666666E-2</v>
      </c>
    </row>
    <row r="763" spans="2:6" outlineLevel="2" x14ac:dyDescent="0.25">
      <c r="C763" t="s">
        <v>41</v>
      </c>
      <c r="D763" s="12">
        <v>1</v>
      </c>
      <c r="E763" s="2">
        <v>1</v>
      </c>
      <c r="F763" s="25">
        <v>1.8518518518518517E-2</v>
      </c>
    </row>
    <row r="764" spans="2:6" outlineLevel="2" x14ac:dyDescent="0.25">
      <c r="C764" t="s">
        <v>32</v>
      </c>
      <c r="D764" s="12">
        <v>1</v>
      </c>
      <c r="E764" s="2">
        <v>1</v>
      </c>
      <c r="F764" s="25">
        <v>2.0833333333333332E-2</v>
      </c>
    </row>
    <row r="765" spans="2:6" outlineLevel="2" x14ac:dyDescent="0.25">
      <c r="C765" t="s">
        <v>33</v>
      </c>
      <c r="D765" s="12">
        <v>2</v>
      </c>
      <c r="E765" s="2">
        <v>2</v>
      </c>
      <c r="F765" s="25">
        <v>9.0909090909090912E-2</v>
      </c>
    </row>
    <row r="766" spans="2:6" outlineLevel="2" x14ac:dyDescent="0.25">
      <c r="C766" t="s">
        <v>14</v>
      </c>
      <c r="D766" s="12">
        <v>1</v>
      </c>
      <c r="E766" s="2">
        <v>1</v>
      </c>
      <c r="F766" s="25">
        <v>4.464285714285714E-3</v>
      </c>
    </row>
    <row r="767" spans="2:6" outlineLevel="2" x14ac:dyDescent="0.25">
      <c r="C767" t="s">
        <v>28</v>
      </c>
      <c r="D767" s="12">
        <v>6</v>
      </c>
      <c r="E767" s="2">
        <v>6</v>
      </c>
      <c r="F767" s="25">
        <v>0.66666666666666663</v>
      </c>
    </row>
    <row r="768" spans="2:6" outlineLevel="2" x14ac:dyDescent="0.25">
      <c r="C768" t="s">
        <v>15</v>
      </c>
      <c r="D768" s="12">
        <v>2</v>
      </c>
      <c r="E768" s="2">
        <v>2</v>
      </c>
      <c r="F768" s="25">
        <v>2.564102564102564E-2</v>
      </c>
    </row>
    <row r="769" spans="2:6" outlineLevel="2" x14ac:dyDescent="0.25">
      <c r="C769" t="s">
        <v>31</v>
      </c>
      <c r="D769" s="12">
        <v>3</v>
      </c>
      <c r="E769" s="2">
        <v>3</v>
      </c>
      <c r="F769" s="25">
        <v>0.13636363636363635</v>
      </c>
    </row>
    <row r="770" spans="2:6" outlineLevel="2" x14ac:dyDescent="0.25">
      <c r="C770" t="s">
        <v>48</v>
      </c>
      <c r="D770" s="12">
        <v>1</v>
      </c>
      <c r="E770" s="2">
        <v>1</v>
      </c>
      <c r="F770" s="25">
        <v>0.5</v>
      </c>
    </row>
    <row r="771" spans="2:6" outlineLevel="1" x14ac:dyDescent="0.25">
      <c r="B771" t="s">
        <v>174</v>
      </c>
      <c r="D771" s="12"/>
      <c r="E771" s="17">
        <v>30</v>
      </c>
      <c r="F771" s="24">
        <v>2.5125628140703519E-2</v>
      </c>
    </row>
    <row r="772" spans="2:6" outlineLevel="2" x14ac:dyDescent="0.25">
      <c r="C772" t="s">
        <v>41</v>
      </c>
      <c r="D772" s="12">
        <v>1</v>
      </c>
      <c r="E772" s="2">
        <v>1</v>
      </c>
      <c r="F772" s="25">
        <v>1.8518518518518517E-2</v>
      </c>
    </row>
    <row r="773" spans="2:6" outlineLevel="2" x14ac:dyDescent="0.25">
      <c r="C773" t="s">
        <v>43</v>
      </c>
      <c r="D773" s="12">
        <v>3</v>
      </c>
      <c r="E773" s="2">
        <v>3</v>
      </c>
      <c r="F773" s="25">
        <v>0.1875</v>
      </c>
    </row>
    <row r="774" spans="2:6" outlineLevel="2" x14ac:dyDescent="0.25">
      <c r="C774" t="s">
        <v>23</v>
      </c>
      <c r="D774" s="12">
        <v>4</v>
      </c>
      <c r="E774" s="2">
        <v>4</v>
      </c>
      <c r="F774" s="25">
        <v>0.18181818181818182</v>
      </c>
    </row>
    <row r="775" spans="2:6" outlineLevel="2" x14ac:dyDescent="0.25">
      <c r="C775" t="s">
        <v>33</v>
      </c>
      <c r="D775" s="12">
        <v>1</v>
      </c>
      <c r="E775" s="2">
        <v>1</v>
      </c>
      <c r="F775" s="25">
        <v>4.5454545454545456E-2</v>
      </c>
    </row>
    <row r="776" spans="2:6" outlineLevel="2" x14ac:dyDescent="0.25">
      <c r="C776" t="s">
        <v>46</v>
      </c>
      <c r="D776" s="12">
        <v>2</v>
      </c>
      <c r="E776" s="2">
        <v>2</v>
      </c>
      <c r="F776" s="25">
        <v>0.5</v>
      </c>
    </row>
    <row r="777" spans="2:6" outlineLevel="2" x14ac:dyDescent="0.25">
      <c r="C777" t="s">
        <v>35</v>
      </c>
      <c r="D777" s="12">
        <v>2</v>
      </c>
      <c r="E777" s="2">
        <v>2</v>
      </c>
      <c r="F777" s="25">
        <v>0.66666666666666663</v>
      </c>
    </row>
    <row r="778" spans="2:6" outlineLevel="2" x14ac:dyDescent="0.25">
      <c r="C778" t="s">
        <v>24</v>
      </c>
      <c r="D778" s="12">
        <v>1</v>
      </c>
      <c r="E778" s="2">
        <v>1</v>
      </c>
      <c r="F778" s="25">
        <v>0.25</v>
      </c>
    </row>
    <row r="779" spans="2:6" outlineLevel="2" x14ac:dyDescent="0.25">
      <c r="C779" t="s">
        <v>17</v>
      </c>
      <c r="D779" s="12">
        <v>1</v>
      </c>
      <c r="E779" s="2">
        <v>1</v>
      </c>
      <c r="F779" s="25">
        <v>0.5</v>
      </c>
    </row>
    <row r="780" spans="2:6" outlineLevel="2" x14ac:dyDescent="0.25">
      <c r="C780" t="s">
        <v>53</v>
      </c>
      <c r="D780" s="12">
        <v>4</v>
      </c>
      <c r="E780" s="2">
        <v>4</v>
      </c>
      <c r="F780" s="25">
        <v>0.4</v>
      </c>
    </row>
    <row r="781" spans="2:6" outlineLevel="2" x14ac:dyDescent="0.25">
      <c r="C781" t="s">
        <v>37</v>
      </c>
      <c r="D781" s="12">
        <v>1</v>
      </c>
      <c r="E781" s="2">
        <v>1</v>
      </c>
      <c r="F781" s="25">
        <v>0.16666666666666666</v>
      </c>
    </row>
    <row r="782" spans="2:6" outlineLevel="2" x14ac:dyDescent="0.25">
      <c r="C782" t="s">
        <v>38</v>
      </c>
      <c r="D782" s="12">
        <v>7</v>
      </c>
      <c r="E782" s="2">
        <v>7</v>
      </c>
      <c r="F782" s="25">
        <v>0.35</v>
      </c>
    </row>
    <row r="783" spans="2:6" outlineLevel="2" x14ac:dyDescent="0.25">
      <c r="C783" t="s">
        <v>51</v>
      </c>
      <c r="D783" s="12">
        <v>1</v>
      </c>
      <c r="E783" s="2">
        <v>1</v>
      </c>
      <c r="F783" s="25">
        <v>0.5</v>
      </c>
    </row>
    <row r="784" spans="2:6" outlineLevel="2" x14ac:dyDescent="0.25">
      <c r="C784" t="s">
        <v>28</v>
      </c>
      <c r="D784" s="12">
        <v>2</v>
      </c>
      <c r="E784" s="2">
        <v>2</v>
      </c>
      <c r="F784" s="25">
        <v>0.22222222222222221</v>
      </c>
    </row>
    <row r="785" spans="2:6" outlineLevel="1" x14ac:dyDescent="0.25">
      <c r="B785" t="s">
        <v>175</v>
      </c>
      <c r="D785" s="12"/>
      <c r="E785" s="17">
        <v>14</v>
      </c>
      <c r="F785" s="24">
        <v>1.1725293132328308E-2</v>
      </c>
    </row>
    <row r="786" spans="2:6" outlineLevel="2" x14ac:dyDescent="0.25">
      <c r="C786" t="s">
        <v>41</v>
      </c>
      <c r="D786" s="12">
        <v>1</v>
      </c>
      <c r="E786" s="2">
        <v>1</v>
      </c>
      <c r="F786" s="25">
        <v>1.8518518518518517E-2</v>
      </c>
    </row>
    <row r="787" spans="2:6" outlineLevel="2" x14ac:dyDescent="0.25">
      <c r="C787" t="s">
        <v>29</v>
      </c>
      <c r="D787" s="12">
        <v>1</v>
      </c>
      <c r="E787" s="2">
        <v>1</v>
      </c>
      <c r="F787" s="25">
        <v>0.16666666666666666</v>
      </c>
    </row>
    <row r="788" spans="2:6" outlineLevel="2" x14ac:dyDescent="0.25">
      <c r="C788" t="s">
        <v>37</v>
      </c>
      <c r="D788" s="12">
        <v>1</v>
      </c>
      <c r="E788" s="2">
        <v>1</v>
      </c>
      <c r="F788" s="25">
        <v>0.16666666666666666</v>
      </c>
    </row>
    <row r="789" spans="2:6" outlineLevel="2" x14ac:dyDescent="0.25">
      <c r="C789" t="s">
        <v>38</v>
      </c>
      <c r="D789" s="12">
        <v>7</v>
      </c>
      <c r="E789" s="2">
        <v>7</v>
      </c>
      <c r="F789" s="25">
        <v>0.35</v>
      </c>
    </row>
    <row r="790" spans="2:6" outlineLevel="2" x14ac:dyDescent="0.25">
      <c r="C790" t="s">
        <v>28</v>
      </c>
      <c r="D790" s="12">
        <v>2</v>
      </c>
      <c r="E790" s="2">
        <v>2</v>
      </c>
      <c r="F790" s="25">
        <v>0.22222222222222221</v>
      </c>
    </row>
    <row r="791" spans="2:6" outlineLevel="2" x14ac:dyDescent="0.25">
      <c r="C791" t="s">
        <v>54</v>
      </c>
      <c r="D791" s="12">
        <v>2</v>
      </c>
      <c r="E791" s="2">
        <v>2</v>
      </c>
      <c r="F791" s="25">
        <v>0.66666666666666663</v>
      </c>
    </row>
    <row r="792" spans="2:6" outlineLevel="1" x14ac:dyDescent="0.25">
      <c r="B792" t="s">
        <v>176</v>
      </c>
      <c r="D792" s="12"/>
      <c r="E792" s="17">
        <v>15</v>
      </c>
      <c r="F792" s="24">
        <v>1.2562814070351759E-2</v>
      </c>
    </row>
    <row r="793" spans="2:6" outlineLevel="2" x14ac:dyDescent="0.25">
      <c r="C793" t="s">
        <v>25</v>
      </c>
      <c r="D793" s="12">
        <v>8</v>
      </c>
      <c r="E793" s="2">
        <v>8</v>
      </c>
      <c r="F793" s="25">
        <v>0.22857142857142856</v>
      </c>
    </row>
    <row r="794" spans="2:6" outlineLevel="2" x14ac:dyDescent="0.25">
      <c r="C794" t="s">
        <v>47</v>
      </c>
      <c r="D794" s="12">
        <v>1</v>
      </c>
      <c r="E794" s="2">
        <v>1</v>
      </c>
      <c r="F794" s="25">
        <v>2.564102564102564E-2</v>
      </c>
    </row>
    <row r="795" spans="2:6" outlineLevel="2" x14ac:dyDescent="0.25">
      <c r="C795" t="s">
        <v>35</v>
      </c>
      <c r="D795" s="12">
        <v>1</v>
      </c>
      <c r="E795" s="2">
        <v>1</v>
      </c>
      <c r="F795" s="25">
        <v>0.33333333333333331</v>
      </c>
    </row>
    <row r="796" spans="2:6" outlineLevel="2" x14ac:dyDescent="0.25">
      <c r="C796" t="s">
        <v>17</v>
      </c>
      <c r="D796" s="12">
        <v>1</v>
      </c>
      <c r="E796" s="2">
        <v>1</v>
      </c>
      <c r="F796" s="25">
        <v>0.5</v>
      </c>
    </row>
    <row r="797" spans="2:6" outlineLevel="2" x14ac:dyDescent="0.25">
      <c r="C797" t="s">
        <v>28</v>
      </c>
      <c r="D797" s="12">
        <v>1</v>
      </c>
      <c r="E797" s="2">
        <v>1</v>
      </c>
      <c r="F797" s="25">
        <v>0.1111111111111111</v>
      </c>
    </row>
    <row r="798" spans="2:6" outlineLevel="2" x14ac:dyDescent="0.25">
      <c r="C798" t="s">
        <v>40</v>
      </c>
      <c r="D798" s="12">
        <v>3</v>
      </c>
      <c r="E798" s="2">
        <v>3</v>
      </c>
      <c r="F798" s="25">
        <v>0.33333333333333331</v>
      </c>
    </row>
    <row r="799" spans="2:6" outlineLevel="1" x14ac:dyDescent="0.25">
      <c r="B799" t="s">
        <v>177</v>
      </c>
      <c r="D799" s="12"/>
      <c r="E799" s="17">
        <v>10</v>
      </c>
      <c r="F799" s="24">
        <v>8.3752093802345051E-3</v>
      </c>
    </row>
    <row r="800" spans="2:6" outlineLevel="2" x14ac:dyDescent="0.25">
      <c r="C800" t="s">
        <v>22</v>
      </c>
      <c r="D800" s="12">
        <v>1</v>
      </c>
      <c r="E800" s="2">
        <v>1</v>
      </c>
      <c r="F800" s="25">
        <v>6.6666666666666666E-2</v>
      </c>
    </row>
    <row r="801" spans="2:6" outlineLevel="2" x14ac:dyDescent="0.25">
      <c r="C801" t="s">
        <v>32</v>
      </c>
      <c r="D801" s="12">
        <v>6</v>
      </c>
      <c r="E801" s="2">
        <v>6</v>
      </c>
      <c r="F801" s="25">
        <v>0.125</v>
      </c>
    </row>
    <row r="802" spans="2:6" outlineLevel="2" x14ac:dyDescent="0.25">
      <c r="C802" t="s">
        <v>23</v>
      </c>
      <c r="D802" s="12">
        <v>2</v>
      </c>
      <c r="E802" s="2">
        <v>2</v>
      </c>
      <c r="F802" s="25">
        <v>9.0909090909090912E-2</v>
      </c>
    </row>
    <row r="803" spans="2:6" outlineLevel="2" x14ac:dyDescent="0.25">
      <c r="C803" t="s">
        <v>17</v>
      </c>
      <c r="D803" s="12">
        <v>1</v>
      </c>
      <c r="E803" s="2">
        <v>1</v>
      </c>
      <c r="F803" s="25">
        <v>0.5</v>
      </c>
    </row>
    <row r="804" spans="2:6" outlineLevel="1" x14ac:dyDescent="0.25">
      <c r="B804" t="s">
        <v>178</v>
      </c>
      <c r="D804" s="12"/>
      <c r="E804" s="17">
        <v>15</v>
      </c>
      <c r="F804" s="24">
        <v>1.2562814070351759E-2</v>
      </c>
    </row>
    <row r="805" spans="2:6" outlineLevel="2" x14ac:dyDescent="0.25">
      <c r="C805" t="s">
        <v>45</v>
      </c>
      <c r="D805" s="12">
        <v>1</v>
      </c>
      <c r="E805" s="2">
        <v>1</v>
      </c>
      <c r="F805" s="25">
        <v>0.25</v>
      </c>
    </row>
    <row r="806" spans="2:6" outlineLevel="2" x14ac:dyDescent="0.25">
      <c r="C806" t="s">
        <v>26</v>
      </c>
      <c r="D806" s="12">
        <v>1</v>
      </c>
      <c r="E806" s="2">
        <v>1</v>
      </c>
      <c r="F806" s="25">
        <v>7.6923076923076927E-2</v>
      </c>
    </row>
    <row r="807" spans="2:6" outlineLevel="2" x14ac:dyDescent="0.25">
      <c r="C807" t="s">
        <v>13</v>
      </c>
      <c r="D807" s="12">
        <v>13</v>
      </c>
      <c r="E807" s="2">
        <v>13</v>
      </c>
      <c r="F807" s="25">
        <v>6.0747663551401869E-2</v>
      </c>
    </row>
    <row r="808" spans="2:6" outlineLevel="1" x14ac:dyDescent="0.25">
      <c r="B808" t="s">
        <v>179</v>
      </c>
      <c r="D808" s="12"/>
      <c r="E808" s="17">
        <v>2</v>
      </c>
      <c r="F808" s="24">
        <v>1.6750418760469012E-3</v>
      </c>
    </row>
    <row r="809" spans="2:6" outlineLevel="2" x14ac:dyDescent="0.25">
      <c r="C809" t="s">
        <v>14</v>
      </c>
      <c r="D809" s="12">
        <v>2</v>
      </c>
      <c r="E809" s="2">
        <v>2</v>
      </c>
      <c r="F809" s="25">
        <v>8.9285714285714281E-3</v>
      </c>
    </row>
    <row r="810" spans="2:6" outlineLevel="1" x14ac:dyDescent="0.25">
      <c r="B810" t="s">
        <v>180</v>
      </c>
      <c r="D810" s="12"/>
      <c r="E810" s="17">
        <v>26</v>
      </c>
      <c r="F810" s="24">
        <v>2.1775544388609715E-2</v>
      </c>
    </row>
    <row r="811" spans="2:6" outlineLevel="2" x14ac:dyDescent="0.25">
      <c r="C811" t="s">
        <v>22</v>
      </c>
      <c r="D811" s="12">
        <v>2</v>
      </c>
      <c r="E811" s="2">
        <v>2</v>
      </c>
      <c r="F811" s="25">
        <v>0.13333333333333333</v>
      </c>
    </row>
    <row r="812" spans="2:6" outlineLevel="2" x14ac:dyDescent="0.25">
      <c r="C812" t="s">
        <v>25</v>
      </c>
      <c r="D812" s="12">
        <v>1</v>
      </c>
      <c r="E812" s="2">
        <v>1</v>
      </c>
      <c r="F812" s="25">
        <v>2.8571428571428571E-2</v>
      </c>
    </row>
    <row r="813" spans="2:6" outlineLevel="2" x14ac:dyDescent="0.25">
      <c r="C813" t="s">
        <v>43</v>
      </c>
      <c r="D813" s="12">
        <v>1</v>
      </c>
      <c r="E813" s="2">
        <v>1</v>
      </c>
      <c r="F813" s="25">
        <v>6.25E-2</v>
      </c>
    </row>
    <row r="814" spans="2:6" outlineLevel="2" x14ac:dyDescent="0.25">
      <c r="C814" t="s">
        <v>23</v>
      </c>
      <c r="D814" s="12">
        <v>1</v>
      </c>
      <c r="E814" s="2">
        <v>1</v>
      </c>
      <c r="F814" s="25">
        <v>4.5454545454545456E-2</v>
      </c>
    </row>
    <row r="815" spans="2:6" outlineLevel="2" x14ac:dyDescent="0.25">
      <c r="C815" t="s">
        <v>17</v>
      </c>
      <c r="D815" s="12">
        <v>1</v>
      </c>
      <c r="E815" s="2">
        <v>1</v>
      </c>
      <c r="F815" s="25">
        <v>0.5</v>
      </c>
    </row>
    <row r="816" spans="2:6" outlineLevel="2" x14ac:dyDescent="0.25">
      <c r="C816" t="s">
        <v>11</v>
      </c>
      <c r="D816" s="12">
        <v>1</v>
      </c>
      <c r="E816" s="2">
        <v>1</v>
      </c>
      <c r="F816" s="25">
        <v>7.1428571428571425E-2</v>
      </c>
    </row>
    <row r="817" spans="2:6" outlineLevel="2" x14ac:dyDescent="0.25">
      <c r="C817" t="s">
        <v>13</v>
      </c>
      <c r="D817" s="12">
        <v>3</v>
      </c>
      <c r="E817" s="2">
        <v>3</v>
      </c>
      <c r="F817" s="25">
        <v>1.4018691588785047E-2</v>
      </c>
    </row>
    <row r="818" spans="2:6" outlineLevel="2" x14ac:dyDescent="0.25">
      <c r="C818" t="s">
        <v>14</v>
      </c>
      <c r="D818" s="12">
        <v>4</v>
      </c>
      <c r="E818" s="2">
        <v>4</v>
      </c>
      <c r="F818" s="25">
        <v>1.7857142857142856E-2</v>
      </c>
    </row>
    <row r="819" spans="2:6" outlineLevel="2" x14ac:dyDescent="0.25">
      <c r="C819" t="s">
        <v>15</v>
      </c>
      <c r="D819" s="12">
        <v>7</v>
      </c>
      <c r="E819" s="2">
        <v>7</v>
      </c>
      <c r="F819" s="25">
        <v>8.9743589743589744E-2</v>
      </c>
    </row>
    <row r="820" spans="2:6" outlineLevel="2" x14ac:dyDescent="0.25">
      <c r="C820" t="s">
        <v>31</v>
      </c>
      <c r="D820" s="12">
        <v>5</v>
      </c>
      <c r="E820" s="2">
        <v>5</v>
      </c>
      <c r="F820" s="25">
        <v>0.22727272727272727</v>
      </c>
    </row>
    <row r="821" spans="2:6" outlineLevel="1" x14ac:dyDescent="0.25">
      <c r="B821" t="s">
        <v>181</v>
      </c>
      <c r="D821" s="12"/>
      <c r="E821" s="17">
        <v>42</v>
      </c>
      <c r="F821" s="24">
        <v>3.5175879396984924E-2</v>
      </c>
    </row>
    <row r="822" spans="2:6" outlineLevel="2" x14ac:dyDescent="0.25">
      <c r="C822" t="s">
        <v>22</v>
      </c>
      <c r="D822" s="12">
        <v>1</v>
      </c>
      <c r="E822" s="2">
        <v>1</v>
      </c>
      <c r="F822" s="25">
        <v>6.6666666666666666E-2</v>
      </c>
    </row>
    <row r="823" spans="2:6" outlineLevel="2" x14ac:dyDescent="0.25">
      <c r="C823" t="s">
        <v>27</v>
      </c>
      <c r="D823" s="12">
        <v>1</v>
      </c>
      <c r="E823" s="2">
        <v>1</v>
      </c>
      <c r="F823" s="25">
        <v>8.3333333333333329E-2</v>
      </c>
    </row>
    <row r="824" spans="2:6" outlineLevel="2" x14ac:dyDescent="0.25">
      <c r="C824" t="s">
        <v>41</v>
      </c>
      <c r="D824" s="12">
        <v>2</v>
      </c>
      <c r="E824" s="2">
        <v>2</v>
      </c>
      <c r="F824" s="25">
        <v>3.7037037037037035E-2</v>
      </c>
    </row>
    <row r="825" spans="2:6" outlineLevel="2" x14ac:dyDescent="0.25">
      <c r="C825" t="s">
        <v>32</v>
      </c>
      <c r="D825" s="12">
        <v>3</v>
      </c>
      <c r="E825" s="2">
        <v>3</v>
      </c>
      <c r="F825" s="25">
        <v>6.25E-2</v>
      </c>
    </row>
    <row r="826" spans="2:6" outlineLevel="2" x14ac:dyDescent="0.25">
      <c r="C826" t="s">
        <v>33</v>
      </c>
      <c r="D826" s="12">
        <v>1</v>
      </c>
      <c r="E826" s="2">
        <v>1</v>
      </c>
      <c r="F826" s="25">
        <v>4.5454545454545456E-2</v>
      </c>
    </row>
    <row r="827" spans="2:6" outlineLevel="2" x14ac:dyDescent="0.25">
      <c r="C827" t="s">
        <v>44</v>
      </c>
      <c r="D827" s="12">
        <v>1</v>
      </c>
      <c r="E827" s="2">
        <v>1</v>
      </c>
      <c r="F827" s="25">
        <v>0.16666666666666666</v>
      </c>
    </row>
    <row r="828" spans="2:6" outlineLevel="2" x14ac:dyDescent="0.25">
      <c r="C828" t="s">
        <v>16</v>
      </c>
      <c r="D828" s="12">
        <v>2</v>
      </c>
      <c r="E828" s="2">
        <v>2</v>
      </c>
      <c r="F828" s="25">
        <v>0.25</v>
      </c>
    </row>
    <row r="829" spans="2:6" outlineLevel="2" x14ac:dyDescent="0.25">
      <c r="C829" t="s">
        <v>26</v>
      </c>
      <c r="D829" s="12">
        <v>1</v>
      </c>
      <c r="E829" s="2">
        <v>1</v>
      </c>
      <c r="F829" s="25">
        <v>7.6923076923076927E-2</v>
      </c>
    </row>
    <row r="830" spans="2:6" outlineLevel="2" x14ac:dyDescent="0.25">
      <c r="C830" t="s">
        <v>35</v>
      </c>
      <c r="D830" s="12">
        <v>3</v>
      </c>
      <c r="E830" s="2">
        <v>3</v>
      </c>
      <c r="F830" s="25">
        <v>1</v>
      </c>
    </row>
    <row r="831" spans="2:6" outlineLevel="2" x14ac:dyDescent="0.25">
      <c r="C831" t="s">
        <v>17</v>
      </c>
      <c r="D831" s="12">
        <v>1</v>
      </c>
      <c r="E831" s="2">
        <v>1</v>
      </c>
      <c r="F831" s="25">
        <v>0.5</v>
      </c>
    </row>
    <row r="832" spans="2:6" outlineLevel="2" x14ac:dyDescent="0.25">
      <c r="C832" t="s">
        <v>18</v>
      </c>
      <c r="D832" s="12">
        <v>4</v>
      </c>
      <c r="E832" s="2">
        <v>4</v>
      </c>
      <c r="F832" s="25">
        <v>0.10526315789473684</v>
      </c>
    </row>
    <row r="833" spans="2:6" outlineLevel="2" x14ac:dyDescent="0.25">
      <c r="C833" t="s">
        <v>11</v>
      </c>
      <c r="D833" s="12">
        <v>1</v>
      </c>
      <c r="E833" s="2">
        <v>1</v>
      </c>
      <c r="F833" s="25">
        <v>7.1428571428571425E-2</v>
      </c>
    </row>
    <row r="834" spans="2:6" outlineLevel="2" x14ac:dyDescent="0.25">
      <c r="C834" t="s">
        <v>13</v>
      </c>
      <c r="D834" s="12">
        <v>5</v>
      </c>
      <c r="E834" s="2">
        <v>5</v>
      </c>
      <c r="F834" s="25">
        <v>2.336448598130841E-2</v>
      </c>
    </row>
    <row r="835" spans="2:6" outlineLevel="2" x14ac:dyDescent="0.25">
      <c r="C835" t="s">
        <v>14</v>
      </c>
      <c r="D835" s="12">
        <v>9</v>
      </c>
      <c r="E835" s="2">
        <v>9</v>
      </c>
      <c r="F835" s="25">
        <v>4.0178571428571432E-2</v>
      </c>
    </row>
    <row r="836" spans="2:6" outlineLevel="2" x14ac:dyDescent="0.25">
      <c r="C836" t="s">
        <v>50</v>
      </c>
      <c r="D836" s="12">
        <v>1</v>
      </c>
      <c r="E836" s="2">
        <v>1</v>
      </c>
      <c r="F836" s="25">
        <v>0.14285714285714285</v>
      </c>
    </row>
    <row r="837" spans="2:6" outlineLevel="2" x14ac:dyDescent="0.25">
      <c r="C837" t="s">
        <v>37</v>
      </c>
      <c r="D837" s="12">
        <v>1</v>
      </c>
      <c r="E837" s="2">
        <v>1</v>
      </c>
      <c r="F837" s="25">
        <v>0.16666666666666666</v>
      </c>
    </row>
    <row r="838" spans="2:6" outlineLevel="2" x14ac:dyDescent="0.25">
      <c r="C838" t="s">
        <v>38</v>
      </c>
      <c r="D838" s="12">
        <v>1</v>
      </c>
      <c r="E838" s="2">
        <v>1</v>
      </c>
      <c r="F838" s="25">
        <v>0.05</v>
      </c>
    </row>
    <row r="839" spans="2:6" outlineLevel="2" x14ac:dyDescent="0.25">
      <c r="C839" t="s">
        <v>28</v>
      </c>
      <c r="D839" s="12">
        <v>1</v>
      </c>
      <c r="E839" s="2">
        <v>1</v>
      </c>
      <c r="F839" s="25">
        <v>0.1111111111111111</v>
      </c>
    </row>
    <row r="840" spans="2:6" outlineLevel="2" x14ac:dyDescent="0.25">
      <c r="C840" t="s">
        <v>15</v>
      </c>
      <c r="D840" s="12">
        <v>1</v>
      </c>
      <c r="E840" s="2">
        <v>1</v>
      </c>
      <c r="F840" s="25">
        <v>1.282051282051282E-2</v>
      </c>
    </row>
    <row r="841" spans="2:6" outlineLevel="2" x14ac:dyDescent="0.25">
      <c r="C841" t="s">
        <v>39</v>
      </c>
      <c r="D841" s="12">
        <v>2</v>
      </c>
      <c r="E841" s="2">
        <v>2</v>
      </c>
      <c r="F841" s="25">
        <v>0.2</v>
      </c>
    </row>
    <row r="842" spans="2:6" outlineLevel="1" x14ac:dyDescent="0.25">
      <c r="B842" t="s">
        <v>182</v>
      </c>
      <c r="D842" s="12"/>
      <c r="E842" s="17">
        <v>50</v>
      </c>
      <c r="F842" s="24">
        <v>4.1876046901172533E-2</v>
      </c>
    </row>
    <row r="843" spans="2:6" outlineLevel="2" x14ac:dyDescent="0.25">
      <c r="C843" t="s">
        <v>45</v>
      </c>
      <c r="D843" s="12">
        <v>1</v>
      </c>
      <c r="E843" s="2">
        <v>1</v>
      </c>
      <c r="F843" s="25">
        <v>0.25</v>
      </c>
    </row>
    <row r="844" spans="2:6" outlineLevel="2" x14ac:dyDescent="0.25">
      <c r="C844" t="s">
        <v>22</v>
      </c>
      <c r="D844" s="12">
        <v>1</v>
      </c>
      <c r="E844" s="2">
        <v>1</v>
      </c>
      <c r="F844" s="25">
        <v>6.6666666666666666E-2</v>
      </c>
    </row>
    <row r="845" spans="2:6" outlineLevel="2" x14ac:dyDescent="0.25">
      <c r="C845" t="s">
        <v>25</v>
      </c>
      <c r="D845" s="12">
        <v>8</v>
      </c>
      <c r="E845" s="2">
        <v>8</v>
      </c>
      <c r="F845" s="25">
        <v>0.22857142857142856</v>
      </c>
    </row>
    <row r="846" spans="2:6" outlineLevel="2" x14ac:dyDescent="0.25">
      <c r="C846" t="s">
        <v>32</v>
      </c>
      <c r="D846" s="12">
        <v>7</v>
      </c>
      <c r="E846" s="2">
        <v>7</v>
      </c>
      <c r="F846" s="25">
        <v>0.14583333333333334</v>
      </c>
    </row>
    <row r="847" spans="2:6" outlineLevel="2" x14ac:dyDescent="0.25">
      <c r="C847" t="s">
        <v>23</v>
      </c>
      <c r="D847" s="12">
        <v>12</v>
      </c>
      <c r="E847" s="2">
        <v>12</v>
      </c>
      <c r="F847" s="25">
        <v>0.54545454545454541</v>
      </c>
    </row>
    <row r="848" spans="2:6" outlineLevel="2" x14ac:dyDescent="0.25">
      <c r="C848" t="s">
        <v>33</v>
      </c>
      <c r="D848" s="12">
        <v>2</v>
      </c>
      <c r="E848" s="2">
        <v>2</v>
      </c>
      <c r="F848" s="25">
        <v>9.0909090909090912E-2</v>
      </c>
    </row>
    <row r="849" spans="2:6" outlineLevel="2" x14ac:dyDescent="0.25">
      <c r="C849" t="s">
        <v>46</v>
      </c>
      <c r="D849" s="12">
        <v>1</v>
      </c>
      <c r="E849" s="2">
        <v>1</v>
      </c>
      <c r="F849" s="25">
        <v>0.25</v>
      </c>
    </row>
    <row r="850" spans="2:6" outlineLevel="2" x14ac:dyDescent="0.25">
      <c r="C850" t="s">
        <v>17</v>
      </c>
      <c r="D850" s="12">
        <v>1</v>
      </c>
      <c r="E850" s="2">
        <v>1</v>
      </c>
      <c r="F850" s="25">
        <v>0.5</v>
      </c>
    </row>
    <row r="851" spans="2:6" outlineLevel="2" x14ac:dyDescent="0.25">
      <c r="C851" t="s">
        <v>18</v>
      </c>
      <c r="D851" s="12">
        <v>2</v>
      </c>
      <c r="E851" s="2">
        <v>2</v>
      </c>
      <c r="F851" s="25">
        <v>5.2631578947368418E-2</v>
      </c>
    </row>
    <row r="852" spans="2:6" outlineLevel="2" x14ac:dyDescent="0.25">
      <c r="C852" t="s">
        <v>11</v>
      </c>
      <c r="D852" s="12">
        <v>6</v>
      </c>
      <c r="E852" s="2">
        <v>6</v>
      </c>
      <c r="F852" s="25">
        <v>0.42857142857142855</v>
      </c>
    </row>
    <row r="853" spans="2:6" outlineLevel="2" x14ac:dyDescent="0.25">
      <c r="C853" t="s">
        <v>13</v>
      </c>
      <c r="D853" s="12">
        <v>2</v>
      </c>
      <c r="E853" s="2">
        <v>2</v>
      </c>
      <c r="F853" s="25">
        <v>9.3457943925233638E-3</v>
      </c>
    </row>
    <row r="854" spans="2:6" outlineLevel="2" x14ac:dyDescent="0.25">
      <c r="C854" t="s">
        <v>53</v>
      </c>
      <c r="D854" s="12">
        <v>3</v>
      </c>
      <c r="E854" s="2">
        <v>3</v>
      </c>
      <c r="F854" s="25">
        <v>0.3</v>
      </c>
    </row>
    <row r="855" spans="2:6" outlineLevel="2" x14ac:dyDescent="0.25">
      <c r="C855" t="s">
        <v>14</v>
      </c>
      <c r="D855" s="12">
        <v>2</v>
      </c>
      <c r="E855" s="2">
        <v>2</v>
      </c>
      <c r="F855" s="25">
        <v>8.9285714285714281E-3</v>
      </c>
    </row>
    <row r="856" spans="2:6" outlineLevel="2" x14ac:dyDescent="0.25">
      <c r="C856" t="s">
        <v>50</v>
      </c>
      <c r="D856" s="12">
        <v>1</v>
      </c>
      <c r="E856" s="2">
        <v>1</v>
      </c>
      <c r="F856" s="25">
        <v>0.14285714285714285</v>
      </c>
    </row>
    <row r="857" spans="2:6" outlineLevel="2" x14ac:dyDescent="0.25">
      <c r="C857" t="s">
        <v>54</v>
      </c>
      <c r="D857" s="12">
        <v>1</v>
      </c>
      <c r="E857" s="2">
        <v>1</v>
      </c>
      <c r="F857" s="25">
        <v>0.33333333333333331</v>
      </c>
    </row>
    <row r="858" spans="2:6" outlineLevel="1" x14ac:dyDescent="0.25">
      <c r="B858" t="s">
        <v>183</v>
      </c>
      <c r="D858" s="12"/>
      <c r="E858" s="17">
        <v>45</v>
      </c>
      <c r="F858" s="24">
        <v>3.7688442211055273E-2</v>
      </c>
    </row>
    <row r="859" spans="2:6" outlineLevel="2" x14ac:dyDescent="0.25">
      <c r="C859" t="s">
        <v>22</v>
      </c>
      <c r="D859" s="12">
        <v>2</v>
      </c>
      <c r="E859" s="2">
        <v>2</v>
      </c>
      <c r="F859" s="25">
        <v>0.13333333333333333</v>
      </c>
    </row>
    <row r="860" spans="2:6" outlineLevel="2" x14ac:dyDescent="0.25">
      <c r="C860" t="s">
        <v>47</v>
      </c>
      <c r="D860" s="12">
        <v>18</v>
      </c>
      <c r="E860" s="2">
        <v>18</v>
      </c>
      <c r="F860" s="25">
        <v>0.46153846153846156</v>
      </c>
    </row>
    <row r="861" spans="2:6" outlineLevel="2" x14ac:dyDescent="0.25">
      <c r="C861" t="s">
        <v>23</v>
      </c>
      <c r="D861" s="12">
        <v>9</v>
      </c>
      <c r="E861" s="2">
        <v>9</v>
      </c>
      <c r="F861" s="25">
        <v>0.40909090909090912</v>
      </c>
    </row>
    <row r="862" spans="2:6" outlineLevel="2" x14ac:dyDescent="0.25">
      <c r="C862" t="s">
        <v>16</v>
      </c>
      <c r="D862" s="12">
        <v>2</v>
      </c>
      <c r="E862" s="2">
        <v>2</v>
      </c>
      <c r="F862" s="25">
        <v>0.25</v>
      </c>
    </row>
    <row r="863" spans="2:6" outlineLevel="2" x14ac:dyDescent="0.25">
      <c r="C863" t="s">
        <v>37</v>
      </c>
      <c r="D863" s="12">
        <v>1</v>
      </c>
      <c r="E863" s="2">
        <v>1</v>
      </c>
      <c r="F863" s="25">
        <v>0.16666666666666666</v>
      </c>
    </row>
    <row r="864" spans="2:6" outlineLevel="2" x14ac:dyDescent="0.25">
      <c r="C864" t="s">
        <v>38</v>
      </c>
      <c r="D864" s="12">
        <v>8</v>
      </c>
      <c r="E864" s="2">
        <v>8</v>
      </c>
      <c r="F864" s="25">
        <v>0.4</v>
      </c>
    </row>
    <row r="865" spans="2:6" outlineLevel="2" x14ac:dyDescent="0.25">
      <c r="C865" t="s">
        <v>28</v>
      </c>
      <c r="D865" s="12">
        <v>4</v>
      </c>
      <c r="E865" s="2">
        <v>4</v>
      </c>
      <c r="F865" s="25">
        <v>0.44444444444444442</v>
      </c>
    </row>
    <row r="866" spans="2:6" outlineLevel="2" x14ac:dyDescent="0.25">
      <c r="C866" t="s">
        <v>15</v>
      </c>
      <c r="D866" s="12">
        <v>1</v>
      </c>
      <c r="E866" s="2">
        <v>1</v>
      </c>
      <c r="F866" s="25">
        <v>1.282051282051282E-2</v>
      </c>
    </row>
    <row r="867" spans="2:6" outlineLevel="1" x14ac:dyDescent="0.25">
      <c r="B867" t="s">
        <v>184</v>
      </c>
      <c r="D867" s="12"/>
      <c r="E867" s="17">
        <v>2</v>
      </c>
      <c r="F867" s="24">
        <v>1.6750418760469012E-3</v>
      </c>
    </row>
    <row r="868" spans="2:6" outlineLevel="2" x14ac:dyDescent="0.25">
      <c r="C868" t="s">
        <v>23</v>
      </c>
      <c r="D868" s="12">
        <v>1</v>
      </c>
      <c r="E868" s="2">
        <v>1</v>
      </c>
      <c r="F868" s="25">
        <v>4.5454545454545456E-2</v>
      </c>
    </row>
    <row r="869" spans="2:6" outlineLevel="2" x14ac:dyDescent="0.25">
      <c r="C869" t="s">
        <v>17</v>
      </c>
      <c r="D869" s="12">
        <v>1</v>
      </c>
      <c r="E869" s="2">
        <v>1</v>
      </c>
      <c r="F869" s="25">
        <v>0.5</v>
      </c>
    </row>
    <row r="870" spans="2:6" outlineLevel="1" x14ac:dyDescent="0.25">
      <c r="B870" t="s">
        <v>185</v>
      </c>
      <c r="D870" s="12"/>
      <c r="E870" s="17">
        <v>22</v>
      </c>
      <c r="F870" s="24">
        <v>1.8425460636515914E-2</v>
      </c>
    </row>
    <row r="871" spans="2:6" outlineLevel="2" x14ac:dyDescent="0.25">
      <c r="C871" t="s">
        <v>22</v>
      </c>
      <c r="D871" s="12">
        <v>1</v>
      </c>
      <c r="E871" s="2">
        <v>1</v>
      </c>
      <c r="F871" s="25">
        <v>6.6666666666666666E-2</v>
      </c>
    </row>
    <row r="872" spans="2:6" outlineLevel="2" x14ac:dyDescent="0.25">
      <c r="C872" t="s">
        <v>14</v>
      </c>
      <c r="D872" s="12">
        <v>14</v>
      </c>
      <c r="E872" s="2">
        <v>14</v>
      </c>
      <c r="F872" s="25">
        <v>6.25E-2</v>
      </c>
    </row>
    <row r="873" spans="2:6" outlineLevel="2" x14ac:dyDescent="0.25">
      <c r="C873" t="s">
        <v>37</v>
      </c>
      <c r="D873" s="12">
        <v>1</v>
      </c>
      <c r="E873" s="2">
        <v>1</v>
      </c>
      <c r="F873" s="25">
        <v>0.16666666666666666</v>
      </c>
    </row>
    <row r="874" spans="2:6" outlineLevel="2" x14ac:dyDescent="0.25">
      <c r="C874" t="s">
        <v>20</v>
      </c>
      <c r="D874" s="12">
        <v>5</v>
      </c>
      <c r="E874" s="2">
        <v>5</v>
      </c>
      <c r="F874" s="25">
        <v>0.22727272727272727</v>
      </c>
    </row>
    <row r="875" spans="2:6" outlineLevel="2" x14ac:dyDescent="0.25">
      <c r="C875" t="s">
        <v>15</v>
      </c>
      <c r="D875" s="12">
        <v>1</v>
      </c>
      <c r="E875" s="2">
        <v>1</v>
      </c>
      <c r="F875" s="25">
        <v>1.282051282051282E-2</v>
      </c>
    </row>
    <row r="876" spans="2:6" outlineLevel="1" x14ac:dyDescent="0.25">
      <c r="B876" t="s">
        <v>186</v>
      </c>
      <c r="D876" s="12"/>
      <c r="E876" s="17">
        <v>1</v>
      </c>
      <c r="F876" s="24">
        <v>8.375209380234506E-4</v>
      </c>
    </row>
    <row r="877" spans="2:6" outlineLevel="2" x14ac:dyDescent="0.25">
      <c r="C877" t="s">
        <v>14</v>
      </c>
      <c r="D877" s="12">
        <v>1</v>
      </c>
      <c r="E877" s="2">
        <v>1</v>
      </c>
      <c r="F877" s="25">
        <v>4.464285714285714E-3</v>
      </c>
    </row>
    <row r="878" spans="2:6" outlineLevel="1" x14ac:dyDescent="0.25">
      <c r="B878" t="s">
        <v>187</v>
      </c>
      <c r="D878" s="12"/>
      <c r="E878" s="17">
        <v>29</v>
      </c>
      <c r="F878" s="24">
        <v>2.4288107202680067E-2</v>
      </c>
    </row>
    <row r="879" spans="2:6" outlineLevel="2" x14ac:dyDescent="0.25">
      <c r="C879" t="s">
        <v>45</v>
      </c>
      <c r="D879" s="12">
        <v>1</v>
      </c>
      <c r="E879" s="2">
        <v>1</v>
      </c>
      <c r="F879" s="25">
        <v>0.25</v>
      </c>
    </row>
    <row r="880" spans="2:6" outlineLevel="2" x14ac:dyDescent="0.25">
      <c r="C880" t="s">
        <v>41</v>
      </c>
      <c r="D880" s="12">
        <v>3</v>
      </c>
      <c r="E880" s="2">
        <v>3</v>
      </c>
      <c r="F880" s="25">
        <v>5.5555555555555552E-2</v>
      </c>
    </row>
    <row r="881" spans="2:6" outlineLevel="2" x14ac:dyDescent="0.25">
      <c r="C881" t="s">
        <v>47</v>
      </c>
      <c r="D881" s="12">
        <v>12</v>
      </c>
      <c r="E881" s="2">
        <v>12</v>
      </c>
      <c r="F881" s="25">
        <v>0.30769230769230771</v>
      </c>
    </row>
    <row r="882" spans="2:6" outlineLevel="2" x14ac:dyDescent="0.25">
      <c r="C882" t="s">
        <v>33</v>
      </c>
      <c r="D882" s="12">
        <v>2</v>
      </c>
      <c r="E882" s="2">
        <v>2</v>
      </c>
      <c r="F882" s="25">
        <v>9.0909090909090912E-2</v>
      </c>
    </row>
    <row r="883" spans="2:6" outlineLevel="2" x14ac:dyDescent="0.25">
      <c r="C883" t="s">
        <v>34</v>
      </c>
      <c r="D883" s="12">
        <v>1</v>
      </c>
      <c r="E883" s="2">
        <v>1</v>
      </c>
      <c r="F883" s="25">
        <v>0.25</v>
      </c>
    </row>
    <row r="884" spans="2:6" outlineLevel="2" x14ac:dyDescent="0.25">
      <c r="C884" t="s">
        <v>11</v>
      </c>
      <c r="D884" s="12">
        <v>2</v>
      </c>
      <c r="E884" s="2">
        <v>2</v>
      </c>
      <c r="F884" s="25">
        <v>0.14285714285714285</v>
      </c>
    </row>
    <row r="885" spans="2:6" outlineLevel="2" x14ac:dyDescent="0.25">
      <c r="C885" t="s">
        <v>14</v>
      </c>
      <c r="D885" s="12">
        <v>8</v>
      </c>
      <c r="E885" s="2">
        <v>8</v>
      </c>
      <c r="F885" s="25">
        <v>3.5714285714285712E-2</v>
      </c>
    </row>
    <row r="886" spans="2:6" outlineLevel="1" x14ac:dyDescent="0.25">
      <c r="B886" t="s">
        <v>188</v>
      </c>
      <c r="D886" s="12"/>
      <c r="E886" s="17">
        <v>21</v>
      </c>
      <c r="F886" s="24">
        <v>1.7587939698492462E-2</v>
      </c>
    </row>
    <row r="887" spans="2:6" outlineLevel="2" x14ac:dyDescent="0.25">
      <c r="C887" t="s">
        <v>22</v>
      </c>
      <c r="D887" s="12">
        <v>2</v>
      </c>
      <c r="E887" s="2">
        <v>2</v>
      </c>
      <c r="F887" s="25">
        <v>0.13333333333333333</v>
      </c>
    </row>
    <row r="888" spans="2:6" outlineLevel="2" x14ac:dyDescent="0.25">
      <c r="C888" t="s">
        <v>27</v>
      </c>
      <c r="D888" s="12">
        <v>3</v>
      </c>
      <c r="E888" s="2">
        <v>3</v>
      </c>
      <c r="F888" s="25">
        <v>0.25</v>
      </c>
    </row>
    <row r="889" spans="2:6" outlineLevel="2" x14ac:dyDescent="0.25">
      <c r="C889" t="s">
        <v>23</v>
      </c>
      <c r="D889" s="12">
        <v>1</v>
      </c>
      <c r="E889" s="2">
        <v>1</v>
      </c>
      <c r="F889" s="25">
        <v>4.5454545454545456E-2</v>
      </c>
    </row>
    <row r="890" spans="2:6" outlineLevel="2" x14ac:dyDescent="0.25">
      <c r="C890" t="s">
        <v>26</v>
      </c>
      <c r="D890" s="12">
        <v>1</v>
      </c>
      <c r="E890" s="2">
        <v>1</v>
      </c>
      <c r="F890" s="25">
        <v>7.6923076923076927E-2</v>
      </c>
    </row>
    <row r="891" spans="2:6" outlineLevel="2" x14ac:dyDescent="0.25">
      <c r="C891" t="s">
        <v>17</v>
      </c>
      <c r="D891" s="12">
        <v>1</v>
      </c>
      <c r="E891" s="2">
        <v>1</v>
      </c>
      <c r="F891" s="25">
        <v>0.5</v>
      </c>
    </row>
    <row r="892" spans="2:6" outlineLevel="2" x14ac:dyDescent="0.25">
      <c r="C892" t="s">
        <v>11</v>
      </c>
      <c r="D892" s="12">
        <v>6</v>
      </c>
      <c r="E892" s="2">
        <v>6</v>
      </c>
      <c r="F892" s="25">
        <v>0.42857142857142855</v>
      </c>
    </row>
    <row r="893" spans="2:6" outlineLevel="2" x14ac:dyDescent="0.25">
      <c r="C893" t="s">
        <v>14</v>
      </c>
      <c r="D893" s="12">
        <v>5</v>
      </c>
      <c r="E893" s="2">
        <v>5</v>
      </c>
      <c r="F893" s="25">
        <v>2.2321428571428572E-2</v>
      </c>
    </row>
    <row r="894" spans="2:6" outlineLevel="2" x14ac:dyDescent="0.25">
      <c r="C894" t="s">
        <v>28</v>
      </c>
      <c r="D894" s="12">
        <v>1</v>
      </c>
      <c r="E894" s="2">
        <v>1</v>
      </c>
      <c r="F894" s="25">
        <v>0.1111111111111111</v>
      </c>
    </row>
    <row r="895" spans="2:6" outlineLevel="2" x14ac:dyDescent="0.25">
      <c r="C895" t="s">
        <v>15</v>
      </c>
      <c r="D895" s="12">
        <v>1</v>
      </c>
      <c r="E895" s="2">
        <v>1</v>
      </c>
      <c r="F895" s="25">
        <v>1.282051282051282E-2</v>
      </c>
    </row>
    <row r="896" spans="2:6" outlineLevel="1" x14ac:dyDescent="0.25">
      <c r="B896" t="s">
        <v>189</v>
      </c>
      <c r="D896" s="12"/>
      <c r="E896" s="17">
        <v>36</v>
      </c>
      <c r="F896" s="24">
        <v>3.015075376884422E-2</v>
      </c>
    </row>
    <row r="897" spans="2:6" outlineLevel="2" x14ac:dyDescent="0.25">
      <c r="C897" t="s">
        <v>22</v>
      </c>
      <c r="D897" s="12">
        <v>1</v>
      </c>
      <c r="E897" s="2">
        <v>1</v>
      </c>
      <c r="F897" s="25">
        <v>6.6666666666666666E-2</v>
      </c>
    </row>
    <row r="898" spans="2:6" outlineLevel="2" x14ac:dyDescent="0.25">
      <c r="C898" t="s">
        <v>16</v>
      </c>
      <c r="D898" s="12">
        <v>2</v>
      </c>
      <c r="E898" s="2">
        <v>2</v>
      </c>
      <c r="F898" s="25">
        <v>0.25</v>
      </c>
    </row>
    <row r="899" spans="2:6" outlineLevel="2" x14ac:dyDescent="0.25">
      <c r="C899" t="s">
        <v>11</v>
      </c>
      <c r="D899" s="12">
        <v>3</v>
      </c>
      <c r="E899" s="2">
        <v>3</v>
      </c>
      <c r="F899" s="25">
        <v>0.21428571428571427</v>
      </c>
    </row>
    <row r="900" spans="2:6" outlineLevel="2" x14ac:dyDescent="0.25">
      <c r="C900" t="s">
        <v>14</v>
      </c>
      <c r="D900" s="12">
        <v>30</v>
      </c>
      <c r="E900" s="2">
        <v>30</v>
      </c>
      <c r="F900" s="25">
        <v>0.13392857142857142</v>
      </c>
    </row>
    <row r="901" spans="2:6" outlineLevel="1" x14ac:dyDescent="0.25">
      <c r="B901" t="s">
        <v>190</v>
      </c>
      <c r="D901" s="12"/>
      <c r="E901" s="17">
        <v>58</v>
      </c>
      <c r="F901" s="24">
        <v>4.8576214405360134E-2</v>
      </c>
    </row>
    <row r="902" spans="2:6" outlineLevel="2" x14ac:dyDescent="0.25">
      <c r="C902" t="s">
        <v>27</v>
      </c>
      <c r="D902" s="12">
        <v>2</v>
      </c>
      <c r="E902" s="2">
        <v>2</v>
      </c>
      <c r="F902" s="25">
        <v>0.16666666666666666</v>
      </c>
    </row>
    <row r="903" spans="2:6" outlineLevel="2" x14ac:dyDescent="0.25">
      <c r="C903" t="s">
        <v>47</v>
      </c>
      <c r="D903" s="12">
        <v>8</v>
      </c>
      <c r="E903" s="2">
        <v>8</v>
      </c>
      <c r="F903" s="25">
        <v>0.20512820512820512</v>
      </c>
    </row>
    <row r="904" spans="2:6" outlineLevel="2" x14ac:dyDescent="0.25">
      <c r="C904" t="s">
        <v>43</v>
      </c>
      <c r="D904" s="12">
        <v>1</v>
      </c>
      <c r="E904" s="2">
        <v>1</v>
      </c>
      <c r="F904" s="25">
        <v>6.25E-2</v>
      </c>
    </row>
    <row r="905" spans="2:6" outlineLevel="2" x14ac:dyDescent="0.25">
      <c r="C905" t="s">
        <v>23</v>
      </c>
      <c r="D905" s="12">
        <v>6</v>
      </c>
      <c r="E905" s="2">
        <v>6</v>
      </c>
      <c r="F905" s="25">
        <v>0.27272727272727271</v>
      </c>
    </row>
    <row r="906" spans="2:6" outlineLevel="2" x14ac:dyDescent="0.25">
      <c r="C906" t="s">
        <v>33</v>
      </c>
      <c r="D906" s="12">
        <v>1</v>
      </c>
      <c r="E906" s="2">
        <v>1</v>
      </c>
      <c r="F906" s="25">
        <v>4.5454545454545456E-2</v>
      </c>
    </row>
    <row r="907" spans="2:6" outlineLevel="2" x14ac:dyDescent="0.25">
      <c r="C907" t="s">
        <v>16</v>
      </c>
      <c r="D907" s="12">
        <v>2</v>
      </c>
      <c r="E907" s="2">
        <v>2</v>
      </c>
      <c r="F907" s="25">
        <v>0.25</v>
      </c>
    </row>
    <row r="908" spans="2:6" outlineLevel="2" x14ac:dyDescent="0.25">
      <c r="C908" t="s">
        <v>35</v>
      </c>
      <c r="D908" s="12">
        <v>2</v>
      </c>
      <c r="E908" s="2">
        <v>2</v>
      </c>
      <c r="F908" s="25">
        <v>0.66666666666666663</v>
      </c>
    </row>
    <row r="909" spans="2:6" outlineLevel="2" x14ac:dyDescent="0.25">
      <c r="C909" t="s">
        <v>18</v>
      </c>
      <c r="D909" s="12">
        <v>5</v>
      </c>
      <c r="E909" s="2">
        <v>5</v>
      </c>
      <c r="F909" s="25">
        <v>0.13157894736842105</v>
      </c>
    </row>
    <row r="910" spans="2:6" outlineLevel="2" x14ac:dyDescent="0.25">
      <c r="C910" t="s">
        <v>11</v>
      </c>
      <c r="D910" s="12">
        <v>1</v>
      </c>
      <c r="E910" s="2">
        <v>1</v>
      </c>
      <c r="F910" s="25">
        <v>7.1428571428571425E-2</v>
      </c>
    </row>
    <row r="911" spans="2:6" outlineLevel="2" x14ac:dyDescent="0.25">
      <c r="C911" t="s">
        <v>14</v>
      </c>
      <c r="D911" s="12">
        <v>16</v>
      </c>
      <c r="E911" s="2">
        <v>16</v>
      </c>
      <c r="F911" s="25">
        <v>7.1428571428571425E-2</v>
      </c>
    </row>
    <row r="912" spans="2:6" outlineLevel="2" x14ac:dyDescent="0.25">
      <c r="C912" t="s">
        <v>19</v>
      </c>
      <c r="D912" s="12">
        <v>6</v>
      </c>
      <c r="E912" s="2">
        <v>6</v>
      </c>
      <c r="F912" s="25">
        <v>0.11538461538461539</v>
      </c>
    </row>
    <row r="913" spans="2:6" outlineLevel="2" x14ac:dyDescent="0.25">
      <c r="C913" t="s">
        <v>38</v>
      </c>
      <c r="D913" s="12">
        <v>1</v>
      </c>
      <c r="E913" s="2">
        <v>1</v>
      </c>
      <c r="F913" s="25">
        <v>0.05</v>
      </c>
    </row>
    <row r="914" spans="2:6" outlineLevel="2" x14ac:dyDescent="0.25">
      <c r="C914" t="s">
        <v>28</v>
      </c>
      <c r="D914" s="12">
        <v>1</v>
      </c>
      <c r="E914" s="2">
        <v>1</v>
      </c>
      <c r="F914" s="25">
        <v>0.1111111111111111</v>
      </c>
    </row>
    <row r="915" spans="2:6" outlineLevel="2" x14ac:dyDescent="0.25">
      <c r="C915" t="s">
        <v>15</v>
      </c>
      <c r="D915" s="12">
        <v>3</v>
      </c>
      <c r="E915" s="2">
        <v>3</v>
      </c>
      <c r="F915" s="25">
        <v>3.8461538461538464E-2</v>
      </c>
    </row>
    <row r="916" spans="2:6" outlineLevel="2" x14ac:dyDescent="0.25">
      <c r="C916" t="s">
        <v>31</v>
      </c>
      <c r="D916" s="12">
        <v>3</v>
      </c>
      <c r="E916" s="2">
        <v>3</v>
      </c>
      <c r="F916" s="25">
        <v>0.13636363636363635</v>
      </c>
    </row>
    <row r="917" spans="2:6" outlineLevel="1" x14ac:dyDescent="0.25">
      <c r="B917" t="s">
        <v>191</v>
      </c>
      <c r="D917" s="12"/>
      <c r="E917" s="17">
        <v>26</v>
      </c>
      <c r="F917" s="24">
        <v>2.1775544388609715E-2</v>
      </c>
    </row>
    <row r="918" spans="2:6" outlineLevel="2" x14ac:dyDescent="0.25">
      <c r="C918" t="s">
        <v>16</v>
      </c>
      <c r="D918" s="12">
        <v>2</v>
      </c>
      <c r="E918" s="2">
        <v>2</v>
      </c>
      <c r="F918" s="25">
        <v>0.25</v>
      </c>
    </row>
    <row r="919" spans="2:6" outlineLevel="2" x14ac:dyDescent="0.25">
      <c r="C919" t="s">
        <v>14</v>
      </c>
      <c r="D919" s="12">
        <v>18</v>
      </c>
      <c r="E919" s="2">
        <v>18</v>
      </c>
      <c r="F919" s="25">
        <v>8.0357142857142863E-2</v>
      </c>
    </row>
    <row r="920" spans="2:6" outlineLevel="2" x14ac:dyDescent="0.25">
      <c r="C920" t="s">
        <v>20</v>
      </c>
      <c r="D920" s="12">
        <v>4</v>
      </c>
      <c r="E920" s="2">
        <v>4</v>
      </c>
      <c r="F920" s="25">
        <v>0.18181818181818182</v>
      </c>
    </row>
    <row r="921" spans="2:6" outlineLevel="2" x14ac:dyDescent="0.25">
      <c r="C921" t="s">
        <v>15</v>
      </c>
      <c r="D921" s="12">
        <v>2</v>
      </c>
      <c r="E921" s="2">
        <v>2</v>
      </c>
      <c r="F921" s="25">
        <v>2.564102564102564E-2</v>
      </c>
    </row>
    <row r="922" spans="2:6" outlineLevel="1" x14ac:dyDescent="0.25">
      <c r="B922" t="s">
        <v>192</v>
      </c>
      <c r="D922" s="12"/>
      <c r="E922" s="17">
        <v>3</v>
      </c>
      <c r="F922" s="24">
        <v>2.5125628140703518E-3</v>
      </c>
    </row>
    <row r="923" spans="2:6" outlineLevel="2" x14ac:dyDescent="0.25">
      <c r="C923" t="s">
        <v>23</v>
      </c>
      <c r="D923" s="12">
        <v>1</v>
      </c>
      <c r="E923" s="2">
        <v>1</v>
      </c>
      <c r="F923" s="25">
        <v>4.5454545454545456E-2</v>
      </c>
    </row>
    <row r="924" spans="2:6" outlineLevel="2" x14ac:dyDescent="0.25">
      <c r="C924" t="s">
        <v>17</v>
      </c>
      <c r="D924" s="12">
        <v>1</v>
      </c>
      <c r="E924" s="2">
        <v>1</v>
      </c>
      <c r="F924" s="25">
        <v>0.5</v>
      </c>
    </row>
    <row r="925" spans="2:6" outlineLevel="2" x14ac:dyDescent="0.25">
      <c r="C925" t="s">
        <v>28</v>
      </c>
      <c r="D925" s="12">
        <v>1</v>
      </c>
      <c r="E925" s="2">
        <v>1</v>
      </c>
      <c r="F925" s="25">
        <v>0.1111111111111111</v>
      </c>
    </row>
    <row r="926" spans="2:6" outlineLevel="1" x14ac:dyDescent="0.25">
      <c r="B926" t="s">
        <v>193</v>
      </c>
      <c r="D926" s="12"/>
      <c r="E926" s="17">
        <v>27</v>
      </c>
      <c r="F926" s="24">
        <v>2.2613065326633167E-2</v>
      </c>
    </row>
    <row r="927" spans="2:6" outlineLevel="2" x14ac:dyDescent="0.25">
      <c r="C927" t="s">
        <v>22</v>
      </c>
      <c r="D927" s="12">
        <v>3</v>
      </c>
      <c r="E927" s="2">
        <v>3</v>
      </c>
      <c r="F927" s="25">
        <v>0.2</v>
      </c>
    </row>
    <row r="928" spans="2:6" outlineLevel="2" x14ac:dyDescent="0.25">
      <c r="C928" t="s">
        <v>23</v>
      </c>
      <c r="D928" s="12">
        <v>10</v>
      </c>
      <c r="E928" s="2">
        <v>10</v>
      </c>
      <c r="F928" s="25">
        <v>0.45454545454545453</v>
      </c>
    </row>
    <row r="929" spans="2:6" outlineLevel="2" x14ac:dyDescent="0.25">
      <c r="C929" t="s">
        <v>17</v>
      </c>
      <c r="D929" s="12">
        <v>1</v>
      </c>
      <c r="E929" s="2">
        <v>1</v>
      </c>
      <c r="F929" s="25">
        <v>0.5</v>
      </c>
    </row>
    <row r="930" spans="2:6" outlineLevel="2" x14ac:dyDescent="0.25">
      <c r="C930" t="s">
        <v>13</v>
      </c>
      <c r="D930" s="12">
        <v>12</v>
      </c>
      <c r="E930" s="2">
        <v>12</v>
      </c>
      <c r="F930" s="25">
        <v>5.6074766355140186E-2</v>
      </c>
    </row>
    <row r="931" spans="2:6" outlineLevel="2" x14ac:dyDescent="0.25">
      <c r="C931" t="s">
        <v>37</v>
      </c>
      <c r="D931" s="12">
        <v>1</v>
      </c>
      <c r="E931" s="2">
        <v>1</v>
      </c>
      <c r="F931" s="25">
        <v>0.16666666666666666</v>
      </c>
    </row>
    <row r="932" spans="2:6" outlineLevel="1" x14ac:dyDescent="0.25">
      <c r="B932" t="s">
        <v>194</v>
      </c>
      <c r="D932" s="12"/>
      <c r="E932" s="17">
        <v>36</v>
      </c>
      <c r="F932" s="24">
        <v>3.015075376884422E-2</v>
      </c>
    </row>
    <row r="933" spans="2:6" outlineLevel="2" x14ac:dyDescent="0.25">
      <c r="C933" t="s">
        <v>22</v>
      </c>
      <c r="D933" s="12">
        <v>1</v>
      </c>
      <c r="E933" s="2">
        <v>1</v>
      </c>
      <c r="F933" s="25">
        <v>6.6666666666666666E-2</v>
      </c>
    </row>
    <row r="934" spans="2:6" outlineLevel="2" x14ac:dyDescent="0.25">
      <c r="C934" t="s">
        <v>27</v>
      </c>
      <c r="D934" s="12">
        <v>5</v>
      </c>
      <c r="E934" s="2">
        <v>5</v>
      </c>
      <c r="F934" s="25">
        <v>0.41666666666666669</v>
      </c>
    </row>
    <row r="935" spans="2:6" outlineLevel="2" x14ac:dyDescent="0.25">
      <c r="C935" t="s">
        <v>41</v>
      </c>
      <c r="D935" s="12">
        <v>2</v>
      </c>
      <c r="E935" s="2">
        <v>2</v>
      </c>
      <c r="F935" s="25">
        <v>3.7037037037037035E-2</v>
      </c>
    </row>
    <row r="936" spans="2:6" outlineLevel="2" x14ac:dyDescent="0.25">
      <c r="C936" t="s">
        <v>32</v>
      </c>
      <c r="D936" s="12">
        <v>5</v>
      </c>
      <c r="E936" s="2">
        <v>5</v>
      </c>
      <c r="F936" s="25">
        <v>0.10416666666666667</v>
      </c>
    </row>
    <row r="937" spans="2:6" outlineLevel="2" x14ac:dyDescent="0.25">
      <c r="C937" t="s">
        <v>47</v>
      </c>
      <c r="D937" s="12">
        <v>11</v>
      </c>
      <c r="E937" s="2">
        <v>11</v>
      </c>
      <c r="F937" s="25">
        <v>0.28205128205128205</v>
      </c>
    </row>
    <row r="938" spans="2:6" outlineLevel="2" x14ac:dyDescent="0.25">
      <c r="C938" t="s">
        <v>43</v>
      </c>
      <c r="D938" s="12">
        <v>1</v>
      </c>
      <c r="E938" s="2">
        <v>1</v>
      </c>
      <c r="F938" s="25">
        <v>6.25E-2</v>
      </c>
    </row>
    <row r="939" spans="2:6" outlineLevel="2" x14ac:dyDescent="0.25">
      <c r="C939" t="s">
        <v>23</v>
      </c>
      <c r="D939" s="12">
        <v>1</v>
      </c>
      <c r="E939" s="2">
        <v>1</v>
      </c>
      <c r="F939" s="25">
        <v>4.5454545454545456E-2</v>
      </c>
    </row>
    <row r="940" spans="2:6" outlineLevel="2" x14ac:dyDescent="0.25">
      <c r="C940" t="s">
        <v>11</v>
      </c>
      <c r="D940" s="12">
        <v>1</v>
      </c>
      <c r="E940" s="2">
        <v>1</v>
      </c>
      <c r="F940" s="25">
        <v>7.1428571428571425E-2</v>
      </c>
    </row>
    <row r="941" spans="2:6" outlineLevel="2" x14ac:dyDescent="0.25">
      <c r="C941" t="s">
        <v>14</v>
      </c>
      <c r="D941" s="12">
        <v>1</v>
      </c>
      <c r="E941" s="2">
        <v>1</v>
      </c>
      <c r="F941" s="25">
        <v>4.464285714285714E-3</v>
      </c>
    </row>
    <row r="942" spans="2:6" outlineLevel="2" x14ac:dyDescent="0.25">
      <c r="C942" t="s">
        <v>37</v>
      </c>
      <c r="D942" s="12">
        <v>1</v>
      </c>
      <c r="E942" s="2">
        <v>1</v>
      </c>
      <c r="F942" s="25">
        <v>0.16666666666666666</v>
      </c>
    </row>
    <row r="943" spans="2:6" outlineLevel="2" x14ac:dyDescent="0.25">
      <c r="C943" t="s">
        <v>19</v>
      </c>
      <c r="D943" s="12">
        <v>4</v>
      </c>
      <c r="E943" s="2">
        <v>4</v>
      </c>
      <c r="F943" s="25">
        <v>7.6923076923076927E-2</v>
      </c>
    </row>
    <row r="944" spans="2:6" outlineLevel="2" x14ac:dyDescent="0.25">
      <c r="C944" t="s">
        <v>20</v>
      </c>
      <c r="D944" s="12">
        <v>1</v>
      </c>
      <c r="E944" s="2">
        <v>1</v>
      </c>
      <c r="F944" s="25">
        <v>4.5454545454545456E-2</v>
      </c>
    </row>
    <row r="945" spans="2:6" outlineLevel="2" x14ac:dyDescent="0.25">
      <c r="C945" t="s">
        <v>28</v>
      </c>
      <c r="D945" s="12">
        <v>2</v>
      </c>
      <c r="E945" s="2">
        <v>2</v>
      </c>
      <c r="F945" s="25">
        <v>0.22222222222222221</v>
      </c>
    </row>
    <row r="946" spans="2:6" outlineLevel="1" x14ac:dyDescent="0.25">
      <c r="B946" t="s">
        <v>195</v>
      </c>
      <c r="D946" s="12"/>
      <c r="E946" s="17">
        <v>22</v>
      </c>
      <c r="F946" s="24">
        <v>1.8425460636515914E-2</v>
      </c>
    </row>
    <row r="947" spans="2:6" outlineLevel="2" x14ac:dyDescent="0.25">
      <c r="C947" t="s">
        <v>27</v>
      </c>
      <c r="D947" s="12">
        <v>2</v>
      </c>
      <c r="E947" s="2">
        <v>2</v>
      </c>
      <c r="F947" s="25">
        <v>0.16666666666666666</v>
      </c>
    </row>
    <row r="948" spans="2:6" outlineLevel="2" x14ac:dyDescent="0.25">
      <c r="C948" t="s">
        <v>41</v>
      </c>
      <c r="D948" s="12">
        <v>1</v>
      </c>
      <c r="E948" s="2">
        <v>1</v>
      </c>
      <c r="F948" s="25">
        <v>1.8518518518518517E-2</v>
      </c>
    </row>
    <row r="949" spans="2:6" outlineLevel="2" x14ac:dyDescent="0.25">
      <c r="C949" t="s">
        <v>25</v>
      </c>
      <c r="D949" s="12">
        <v>8</v>
      </c>
      <c r="E949" s="2">
        <v>8</v>
      </c>
      <c r="F949" s="25">
        <v>0.22857142857142856</v>
      </c>
    </row>
    <row r="950" spans="2:6" outlineLevel="2" x14ac:dyDescent="0.25">
      <c r="C950" t="s">
        <v>16</v>
      </c>
      <c r="D950" s="12">
        <v>1</v>
      </c>
      <c r="E950" s="2">
        <v>1</v>
      </c>
      <c r="F950" s="25">
        <v>0.125</v>
      </c>
    </row>
    <row r="951" spans="2:6" outlineLevel="2" x14ac:dyDescent="0.25">
      <c r="C951" t="s">
        <v>14</v>
      </c>
      <c r="D951" s="12">
        <v>7</v>
      </c>
      <c r="E951" s="2">
        <v>7</v>
      </c>
      <c r="F951" s="25">
        <v>3.125E-2</v>
      </c>
    </row>
    <row r="952" spans="2:6" outlineLevel="2" x14ac:dyDescent="0.25">
      <c r="C952" t="s">
        <v>19</v>
      </c>
      <c r="D952" s="12">
        <v>1</v>
      </c>
      <c r="E952" s="2">
        <v>1</v>
      </c>
      <c r="F952" s="25">
        <v>1.9230769230769232E-2</v>
      </c>
    </row>
    <row r="953" spans="2:6" outlineLevel="2" x14ac:dyDescent="0.25">
      <c r="C953" t="s">
        <v>39</v>
      </c>
      <c r="D953" s="12">
        <v>2</v>
      </c>
      <c r="E953" s="2">
        <v>2</v>
      </c>
      <c r="F953" s="25">
        <v>0.2</v>
      </c>
    </row>
    <row r="954" spans="2:6" outlineLevel="1" x14ac:dyDescent="0.25">
      <c r="B954" t="s">
        <v>196</v>
      </c>
      <c r="D954" s="12"/>
      <c r="E954" s="17">
        <v>217</v>
      </c>
      <c r="F954" s="24">
        <v>0.18174204355108878</v>
      </c>
    </row>
    <row r="955" spans="2:6" outlineLevel="2" x14ac:dyDescent="0.25">
      <c r="C955" t="s">
        <v>32</v>
      </c>
      <c r="D955" s="12">
        <v>9</v>
      </c>
      <c r="E955" s="2">
        <v>9</v>
      </c>
      <c r="F955" s="25">
        <v>0.1875</v>
      </c>
    </row>
    <row r="956" spans="2:6" outlineLevel="2" x14ac:dyDescent="0.25">
      <c r="C956" t="s">
        <v>47</v>
      </c>
      <c r="D956" s="12">
        <v>26</v>
      </c>
      <c r="E956" s="2">
        <v>26</v>
      </c>
      <c r="F956" s="25">
        <v>0.66666666666666663</v>
      </c>
    </row>
    <row r="957" spans="2:6" outlineLevel="2" x14ac:dyDescent="0.25">
      <c r="C957" t="s">
        <v>43</v>
      </c>
      <c r="D957" s="12">
        <v>4</v>
      </c>
      <c r="E957" s="2">
        <v>4</v>
      </c>
      <c r="F957" s="25">
        <v>0.25</v>
      </c>
    </row>
    <row r="958" spans="2:6" outlineLevel="2" x14ac:dyDescent="0.25">
      <c r="C958" t="s">
        <v>33</v>
      </c>
      <c r="D958" s="12">
        <v>14</v>
      </c>
      <c r="E958" s="2">
        <v>14</v>
      </c>
      <c r="F958" s="25">
        <v>0.63636363636363635</v>
      </c>
    </row>
    <row r="959" spans="2:6" outlineLevel="2" x14ac:dyDescent="0.25">
      <c r="C959" t="s">
        <v>34</v>
      </c>
      <c r="D959" s="12">
        <v>2</v>
      </c>
      <c r="E959" s="2">
        <v>2</v>
      </c>
      <c r="F959" s="25">
        <v>0.5</v>
      </c>
    </row>
    <row r="960" spans="2:6" outlineLevel="2" x14ac:dyDescent="0.25">
      <c r="C960" t="s">
        <v>18</v>
      </c>
      <c r="D960" s="12">
        <v>6</v>
      </c>
      <c r="E960" s="2">
        <v>6</v>
      </c>
      <c r="F960" s="25">
        <v>0.15789473684210525</v>
      </c>
    </row>
    <row r="961" spans="2:6" outlineLevel="2" x14ac:dyDescent="0.25">
      <c r="C961" t="s">
        <v>12</v>
      </c>
      <c r="D961" s="12">
        <v>6</v>
      </c>
      <c r="E961" s="2">
        <v>6</v>
      </c>
      <c r="F961" s="25">
        <v>0.25</v>
      </c>
    </row>
    <row r="962" spans="2:6" outlineLevel="2" x14ac:dyDescent="0.25">
      <c r="C962" t="s">
        <v>13</v>
      </c>
      <c r="D962" s="12">
        <v>71</v>
      </c>
      <c r="E962" s="2">
        <v>71</v>
      </c>
      <c r="F962" s="25">
        <v>0.33177570093457942</v>
      </c>
    </row>
    <row r="963" spans="2:6" outlineLevel="2" x14ac:dyDescent="0.25">
      <c r="C963" t="s">
        <v>14</v>
      </c>
      <c r="D963" s="12">
        <v>45</v>
      </c>
      <c r="E963" s="2">
        <v>45</v>
      </c>
      <c r="F963" s="25">
        <v>0.20089285714285715</v>
      </c>
    </row>
    <row r="964" spans="2:6" outlineLevel="2" x14ac:dyDescent="0.25">
      <c r="C964" t="s">
        <v>38</v>
      </c>
      <c r="D964" s="12">
        <v>8</v>
      </c>
      <c r="E964" s="2">
        <v>8</v>
      </c>
      <c r="F964" s="25">
        <v>0.4</v>
      </c>
    </row>
    <row r="965" spans="2:6" outlineLevel="2" x14ac:dyDescent="0.25">
      <c r="C965" t="s">
        <v>20</v>
      </c>
      <c r="D965" s="12">
        <v>4</v>
      </c>
      <c r="E965" s="2">
        <v>4</v>
      </c>
      <c r="F965" s="25">
        <v>0.18181818181818182</v>
      </c>
    </row>
    <row r="966" spans="2:6" outlineLevel="2" x14ac:dyDescent="0.25">
      <c r="C966" t="s">
        <v>15</v>
      </c>
      <c r="D966" s="12">
        <v>19</v>
      </c>
      <c r="E966" s="2">
        <v>19</v>
      </c>
      <c r="F966" s="25">
        <v>0.24358974358974358</v>
      </c>
    </row>
    <row r="967" spans="2:6" outlineLevel="2" x14ac:dyDescent="0.25">
      <c r="C967" t="s">
        <v>39</v>
      </c>
      <c r="D967" s="12">
        <v>3</v>
      </c>
      <c r="E967" s="2">
        <v>3</v>
      </c>
      <c r="F967" s="25">
        <v>0.3</v>
      </c>
    </row>
    <row r="968" spans="2:6" outlineLevel="1" x14ac:dyDescent="0.25">
      <c r="B968" t="s">
        <v>197</v>
      </c>
      <c r="D968" s="12"/>
      <c r="E968" s="17">
        <v>19</v>
      </c>
      <c r="F968" s="24">
        <v>1.5912897822445562E-2</v>
      </c>
    </row>
    <row r="969" spans="2:6" outlineLevel="2" x14ac:dyDescent="0.25">
      <c r="C969" t="s">
        <v>42</v>
      </c>
      <c r="D969" s="12">
        <v>5</v>
      </c>
      <c r="E969" s="2">
        <v>5</v>
      </c>
      <c r="F969" s="25">
        <v>0.12820512820512819</v>
      </c>
    </row>
    <row r="970" spans="2:6" outlineLevel="2" x14ac:dyDescent="0.25">
      <c r="C970" t="s">
        <v>16</v>
      </c>
      <c r="D970" s="12">
        <v>1</v>
      </c>
      <c r="E970" s="2">
        <v>1</v>
      </c>
      <c r="F970" s="25">
        <v>0.125</v>
      </c>
    </row>
    <row r="971" spans="2:6" outlineLevel="2" x14ac:dyDescent="0.25">
      <c r="C971" t="s">
        <v>14</v>
      </c>
      <c r="D971" s="12">
        <v>8</v>
      </c>
      <c r="E971" s="2">
        <v>8</v>
      </c>
      <c r="F971" s="25">
        <v>3.5714285714285712E-2</v>
      </c>
    </row>
    <row r="972" spans="2:6" outlineLevel="2" x14ac:dyDescent="0.25">
      <c r="C972" t="s">
        <v>20</v>
      </c>
      <c r="D972" s="12">
        <v>1</v>
      </c>
      <c r="E972" s="2">
        <v>1</v>
      </c>
      <c r="F972" s="25">
        <v>4.5454545454545456E-2</v>
      </c>
    </row>
    <row r="973" spans="2:6" outlineLevel="2" x14ac:dyDescent="0.25">
      <c r="C973" t="s">
        <v>28</v>
      </c>
      <c r="D973" s="12">
        <v>1</v>
      </c>
      <c r="E973" s="2">
        <v>1</v>
      </c>
      <c r="F973" s="25">
        <v>0.1111111111111111</v>
      </c>
    </row>
    <row r="974" spans="2:6" outlineLevel="2" x14ac:dyDescent="0.25">
      <c r="C974" t="s">
        <v>15</v>
      </c>
      <c r="D974" s="12">
        <v>3</v>
      </c>
      <c r="E974" s="2">
        <v>3</v>
      </c>
      <c r="F974" s="25">
        <v>3.8461538461538464E-2</v>
      </c>
    </row>
    <row r="975" spans="2:6" outlineLevel="1" x14ac:dyDescent="0.25">
      <c r="B975" t="s">
        <v>198</v>
      </c>
      <c r="D975" s="12"/>
      <c r="E975" s="17">
        <v>7</v>
      </c>
      <c r="F975" s="24">
        <v>5.8626465661641538E-3</v>
      </c>
    </row>
    <row r="976" spans="2:6" outlineLevel="2" x14ac:dyDescent="0.25">
      <c r="C976" t="s">
        <v>22</v>
      </c>
      <c r="D976" s="12">
        <v>2</v>
      </c>
      <c r="E976" s="2">
        <v>2</v>
      </c>
      <c r="F976" s="25">
        <v>0.13333333333333333</v>
      </c>
    </row>
    <row r="977" spans="2:6" outlineLevel="2" x14ac:dyDescent="0.25">
      <c r="C977" t="s">
        <v>32</v>
      </c>
      <c r="D977" s="12">
        <v>2</v>
      </c>
      <c r="E977" s="2">
        <v>2</v>
      </c>
      <c r="F977" s="25">
        <v>4.1666666666666664E-2</v>
      </c>
    </row>
    <row r="978" spans="2:6" outlineLevel="2" x14ac:dyDescent="0.25">
      <c r="C978" t="s">
        <v>43</v>
      </c>
      <c r="D978" s="12">
        <v>1</v>
      </c>
      <c r="E978" s="2">
        <v>1</v>
      </c>
      <c r="F978" s="25">
        <v>6.25E-2</v>
      </c>
    </row>
    <row r="979" spans="2:6" outlineLevel="2" x14ac:dyDescent="0.25">
      <c r="C979" t="s">
        <v>23</v>
      </c>
      <c r="D979" s="12">
        <v>1</v>
      </c>
      <c r="E979" s="2">
        <v>1</v>
      </c>
      <c r="F979" s="25">
        <v>4.5454545454545456E-2</v>
      </c>
    </row>
    <row r="980" spans="2:6" outlineLevel="2" x14ac:dyDescent="0.25">
      <c r="C980" t="s">
        <v>17</v>
      </c>
      <c r="D980" s="12">
        <v>1</v>
      </c>
      <c r="E980" s="2">
        <v>1</v>
      </c>
      <c r="F980" s="25">
        <v>0.5</v>
      </c>
    </row>
    <row r="981" spans="2:6" outlineLevel="1" x14ac:dyDescent="0.25">
      <c r="B981" t="s">
        <v>199</v>
      </c>
      <c r="D981" s="12"/>
      <c r="E981" s="17">
        <v>40</v>
      </c>
      <c r="F981" s="24">
        <v>3.350083752093802E-2</v>
      </c>
    </row>
    <row r="982" spans="2:6" outlineLevel="2" x14ac:dyDescent="0.25">
      <c r="C982" t="s">
        <v>32</v>
      </c>
      <c r="D982" s="12">
        <v>6</v>
      </c>
      <c r="E982" s="2">
        <v>6</v>
      </c>
      <c r="F982" s="25">
        <v>0.125</v>
      </c>
    </row>
    <row r="983" spans="2:6" outlineLevel="2" x14ac:dyDescent="0.25">
      <c r="C983" t="s">
        <v>34</v>
      </c>
      <c r="D983" s="12">
        <v>1</v>
      </c>
      <c r="E983" s="2">
        <v>1</v>
      </c>
      <c r="F983" s="25">
        <v>0.25</v>
      </c>
    </row>
    <row r="984" spans="2:6" outlineLevel="2" x14ac:dyDescent="0.25">
      <c r="C984" t="s">
        <v>35</v>
      </c>
      <c r="D984" s="12">
        <v>1</v>
      </c>
      <c r="E984" s="2">
        <v>1</v>
      </c>
      <c r="F984" s="25">
        <v>0.33333333333333331</v>
      </c>
    </row>
    <row r="985" spans="2:6" outlineLevel="2" x14ac:dyDescent="0.25">
      <c r="C985" t="s">
        <v>18</v>
      </c>
      <c r="D985" s="12">
        <v>3</v>
      </c>
      <c r="E985" s="2">
        <v>3</v>
      </c>
      <c r="F985" s="25">
        <v>7.8947368421052627E-2</v>
      </c>
    </row>
    <row r="986" spans="2:6" outlineLevel="2" x14ac:dyDescent="0.25">
      <c r="C986" t="s">
        <v>12</v>
      </c>
      <c r="D986" s="12">
        <v>1</v>
      </c>
      <c r="E986" s="2">
        <v>1</v>
      </c>
      <c r="F986" s="25">
        <v>4.1666666666666664E-2</v>
      </c>
    </row>
    <row r="987" spans="2:6" outlineLevel="2" x14ac:dyDescent="0.25">
      <c r="C987" t="s">
        <v>13</v>
      </c>
      <c r="D987" s="12">
        <v>4</v>
      </c>
      <c r="E987" s="2">
        <v>4</v>
      </c>
      <c r="F987" s="25">
        <v>1.8691588785046728E-2</v>
      </c>
    </row>
    <row r="988" spans="2:6" outlineLevel="2" x14ac:dyDescent="0.25">
      <c r="C988" t="s">
        <v>53</v>
      </c>
      <c r="D988" s="12">
        <v>1</v>
      </c>
      <c r="E988" s="2">
        <v>1</v>
      </c>
      <c r="F988" s="25">
        <v>0.1</v>
      </c>
    </row>
    <row r="989" spans="2:6" outlineLevel="2" x14ac:dyDescent="0.25">
      <c r="C989" t="s">
        <v>14</v>
      </c>
      <c r="D989" s="12">
        <v>9</v>
      </c>
      <c r="E989" s="2">
        <v>9</v>
      </c>
      <c r="F989" s="25">
        <v>4.0178571428571432E-2</v>
      </c>
    </row>
    <row r="990" spans="2:6" outlineLevel="2" x14ac:dyDescent="0.25">
      <c r="C990" t="s">
        <v>37</v>
      </c>
      <c r="D990" s="12">
        <v>1</v>
      </c>
      <c r="E990" s="2">
        <v>1</v>
      </c>
      <c r="F990" s="25">
        <v>0.16666666666666666</v>
      </c>
    </row>
    <row r="991" spans="2:6" outlineLevel="2" x14ac:dyDescent="0.25">
      <c r="C991" t="s">
        <v>20</v>
      </c>
      <c r="D991" s="12">
        <v>2</v>
      </c>
      <c r="E991" s="2">
        <v>2</v>
      </c>
      <c r="F991" s="25">
        <v>9.0909090909090912E-2</v>
      </c>
    </row>
    <row r="992" spans="2:6" outlineLevel="2" x14ac:dyDescent="0.25">
      <c r="C992" t="s">
        <v>15</v>
      </c>
      <c r="D992" s="12">
        <v>6</v>
      </c>
      <c r="E992" s="2">
        <v>6</v>
      </c>
      <c r="F992" s="25">
        <v>7.6923076923076927E-2</v>
      </c>
    </row>
    <row r="993" spans="2:6" outlineLevel="2" x14ac:dyDescent="0.25">
      <c r="C993" t="s">
        <v>31</v>
      </c>
      <c r="D993" s="12">
        <v>4</v>
      </c>
      <c r="E993" s="2">
        <v>4</v>
      </c>
      <c r="F993" s="25">
        <v>0.18181818181818182</v>
      </c>
    </row>
    <row r="994" spans="2:6" outlineLevel="2" x14ac:dyDescent="0.25">
      <c r="C994" t="s">
        <v>40</v>
      </c>
      <c r="D994" s="12">
        <v>1</v>
      </c>
      <c r="E994" s="2">
        <v>1</v>
      </c>
      <c r="F994" s="25">
        <v>0.1111111111111111</v>
      </c>
    </row>
    <row r="995" spans="2:6" outlineLevel="1" x14ac:dyDescent="0.25">
      <c r="B995" t="s">
        <v>200</v>
      </c>
      <c r="D995" s="12"/>
      <c r="E995" s="17">
        <v>77</v>
      </c>
      <c r="F995" s="24">
        <v>6.4489112227805692E-2</v>
      </c>
    </row>
    <row r="996" spans="2:6" outlineLevel="2" x14ac:dyDescent="0.25">
      <c r="C996" t="s">
        <v>22</v>
      </c>
      <c r="D996" s="12">
        <v>3</v>
      </c>
      <c r="E996" s="2">
        <v>3</v>
      </c>
      <c r="F996" s="25">
        <v>0.2</v>
      </c>
    </row>
    <row r="997" spans="2:6" outlineLevel="2" x14ac:dyDescent="0.25">
      <c r="C997" t="s">
        <v>32</v>
      </c>
      <c r="D997" s="12">
        <v>7</v>
      </c>
      <c r="E997" s="2">
        <v>7</v>
      </c>
      <c r="F997" s="25">
        <v>0.14583333333333334</v>
      </c>
    </row>
    <row r="998" spans="2:6" outlineLevel="2" x14ac:dyDescent="0.25">
      <c r="C998" t="s">
        <v>47</v>
      </c>
      <c r="D998" s="12">
        <v>4</v>
      </c>
      <c r="E998" s="2">
        <v>4</v>
      </c>
      <c r="F998" s="25">
        <v>0.10256410256410256</v>
      </c>
    </row>
    <row r="999" spans="2:6" outlineLevel="2" x14ac:dyDescent="0.25">
      <c r="C999" t="s">
        <v>16</v>
      </c>
      <c r="D999" s="12">
        <v>2</v>
      </c>
      <c r="E999" s="2">
        <v>2</v>
      </c>
      <c r="F999" s="25">
        <v>0.25</v>
      </c>
    </row>
    <row r="1000" spans="2:6" outlineLevel="2" x14ac:dyDescent="0.25">
      <c r="C1000" t="s">
        <v>26</v>
      </c>
      <c r="D1000" s="12">
        <v>1</v>
      </c>
      <c r="E1000" s="2">
        <v>1</v>
      </c>
      <c r="F1000" s="25">
        <v>7.6923076923076927E-2</v>
      </c>
    </row>
    <row r="1001" spans="2:6" outlineLevel="2" x14ac:dyDescent="0.25">
      <c r="C1001" t="s">
        <v>35</v>
      </c>
      <c r="D1001" s="12">
        <v>1</v>
      </c>
      <c r="E1001" s="2">
        <v>1</v>
      </c>
      <c r="F1001" s="25">
        <v>0.33333333333333331</v>
      </c>
    </row>
    <row r="1002" spans="2:6" outlineLevel="2" x14ac:dyDescent="0.25">
      <c r="C1002" t="s">
        <v>18</v>
      </c>
      <c r="D1002" s="12">
        <v>1</v>
      </c>
      <c r="E1002" s="2">
        <v>1</v>
      </c>
      <c r="F1002" s="25">
        <v>2.6315789473684209E-2</v>
      </c>
    </row>
    <row r="1003" spans="2:6" outlineLevel="2" x14ac:dyDescent="0.25">
      <c r="C1003" t="s">
        <v>11</v>
      </c>
      <c r="D1003" s="12">
        <v>1</v>
      </c>
      <c r="E1003" s="2">
        <v>1</v>
      </c>
      <c r="F1003" s="25">
        <v>7.1428571428571425E-2</v>
      </c>
    </row>
    <row r="1004" spans="2:6" outlineLevel="2" x14ac:dyDescent="0.25">
      <c r="C1004" t="s">
        <v>13</v>
      </c>
      <c r="D1004" s="12">
        <v>10</v>
      </c>
      <c r="E1004" s="2">
        <v>10</v>
      </c>
      <c r="F1004" s="25">
        <v>4.6728971962616821E-2</v>
      </c>
    </row>
    <row r="1005" spans="2:6" outlineLevel="2" x14ac:dyDescent="0.25">
      <c r="C1005" t="s">
        <v>53</v>
      </c>
      <c r="D1005" s="12">
        <v>2</v>
      </c>
      <c r="E1005" s="2">
        <v>2</v>
      </c>
      <c r="F1005" s="25">
        <v>0.2</v>
      </c>
    </row>
    <row r="1006" spans="2:6" outlineLevel="2" x14ac:dyDescent="0.25">
      <c r="C1006" t="s">
        <v>14</v>
      </c>
      <c r="D1006" s="12">
        <v>23</v>
      </c>
      <c r="E1006" s="2">
        <v>23</v>
      </c>
      <c r="F1006" s="25">
        <v>0.10267857142857142</v>
      </c>
    </row>
    <row r="1007" spans="2:6" outlineLevel="2" x14ac:dyDescent="0.25">
      <c r="C1007" t="s">
        <v>20</v>
      </c>
      <c r="D1007" s="12">
        <v>4</v>
      </c>
      <c r="E1007" s="2">
        <v>4</v>
      </c>
      <c r="F1007" s="25">
        <v>0.18181818181818182</v>
      </c>
    </row>
    <row r="1008" spans="2:6" outlineLevel="2" x14ac:dyDescent="0.25">
      <c r="C1008" t="s">
        <v>28</v>
      </c>
      <c r="D1008" s="12">
        <v>5</v>
      </c>
      <c r="E1008" s="2">
        <v>5</v>
      </c>
      <c r="F1008" s="25">
        <v>0.55555555555555558</v>
      </c>
    </row>
    <row r="1009" spans="1:6" outlineLevel="2" x14ac:dyDescent="0.25">
      <c r="C1009" t="s">
        <v>15</v>
      </c>
      <c r="D1009" s="12">
        <v>3</v>
      </c>
      <c r="E1009" s="2">
        <v>3</v>
      </c>
      <c r="F1009" s="25">
        <v>3.8461538461538464E-2</v>
      </c>
    </row>
    <row r="1010" spans="1:6" outlineLevel="2" x14ac:dyDescent="0.25">
      <c r="C1010" t="s">
        <v>31</v>
      </c>
      <c r="D1010" s="12">
        <v>6</v>
      </c>
      <c r="E1010" s="2">
        <v>6</v>
      </c>
      <c r="F1010" s="25">
        <v>0.27272727272727271</v>
      </c>
    </row>
    <row r="1011" spans="1:6" outlineLevel="2" x14ac:dyDescent="0.25">
      <c r="C1011" t="s">
        <v>40</v>
      </c>
      <c r="D1011" s="12">
        <v>4</v>
      </c>
      <c r="E1011" s="2">
        <v>4</v>
      </c>
      <c r="F1011" s="25">
        <v>0.44444444444444442</v>
      </c>
    </row>
    <row r="1012" spans="1:6" outlineLevel="1" x14ac:dyDescent="0.25">
      <c r="B1012" t="s">
        <v>201</v>
      </c>
      <c r="D1012" s="12"/>
      <c r="E1012" s="17">
        <v>14</v>
      </c>
      <c r="F1012" s="24">
        <v>1.1725293132328308E-2</v>
      </c>
    </row>
    <row r="1013" spans="1:6" outlineLevel="2" x14ac:dyDescent="0.25">
      <c r="C1013" t="s">
        <v>41</v>
      </c>
      <c r="D1013" s="12">
        <v>3</v>
      </c>
      <c r="E1013" s="2">
        <v>3</v>
      </c>
      <c r="F1013" s="25">
        <v>5.5555555555555552E-2</v>
      </c>
    </row>
    <row r="1014" spans="1:6" outlineLevel="2" x14ac:dyDescent="0.25">
      <c r="C1014" t="s">
        <v>42</v>
      </c>
      <c r="D1014" s="12">
        <v>1</v>
      </c>
      <c r="E1014" s="2">
        <v>1</v>
      </c>
      <c r="F1014" s="25">
        <v>2.564102564102564E-2</v>
      </c>
    </row>
    <row r="1015" spans="1:6" outlineLevel="2" x14ac:dyDescent="0.25">
      <c r="C1015" t="s">
        <v>35</v>
      </c>
      <c r="D1015" s="12">
        <v>1</v>
      </c>
      <c r="E1015" s="2">
        <v>1</v>
      </c>
      <c r="F1015" s="25">
        <v>0.33333333333333331</v>
      </c>
    </row>
    <row r="1016" spans="1:6" outlineLevel="2" x14ac:dyDescent="0.25">
      <c r="C1016" t="s">
        <v>14</v>
      </c>
      <c r="D1016" s="12">
        <v>1</v>
      </c>
      <c r="E1016" s="2">
        <v>1</v>
      </c>
      <c r="F1016" s="25">
        <v>4.464285714285714E-3</v>
      </c>
    </row>
    <row r="1017" spans="1:6" outlineLevel="2" x14ac:dyDescent="0.25">
      <c r="C1017" t="s">
        <v>19</v>
      </c>
      <c r="D1017" s="12">
        <v>8</v>
      </c>
      <c r="E1017" s="2">
        <v>8</v>
      </c>
      <c r="F1017" s="25">
        <v>0.15384615384615385</v>
      </c>
    </row>
    <row r="1018" spans="1:6" outlineLevel="1" x14ac:dyDescent="0.25">
      <c r="B1018" t="s">
        <v>202</v>
      </c>
      <c r="D1018" s="12"/>
      <c r="E1018" s="17">
        <v>8</v>
      </c>
      <c r="F1018" s="24">
        <v>6.7001675041876048E-3</v>
      </c>
    </row>
    <row r="1019" spans="1:6" outlineLevel="2" x14ac:dyDescent="0.25">
      <c r="C1019" t="s">
        <v>23</v>
      </c>
      <c r="D1019" s="12">
        <v>6</v>
      </c>
      <c r="E1019" s="2">
        <v>6</v>
      </c>
      <c r="F1019" s="25">
        <v>0.27272727272727271</v>
      </c>
    </row>
    <row r="1020" spans="1:6" outlineLevel="2" x14ac:dyDescent="0.25">
      <c r="C1020" t="s">
        <v>17</v>
      </c>
      <c r="D1020" s="12">
        <v>1</v>
      </c>
      <c r="E1020" s="2">
        <v>1</v>
      </c>
      <c r="F1020" s="25">
        <v>0.5</v>
      </c>
    </row>
    <row r="1021" spans="1:6" outlineLevel="2" x14ac:dyDescent="0.25">
      <c r="C1021" t="s">
        <v>19</v>
      </c>
      <c r="D1021" s="12">
        <v>1</v>
      </c>
      <c r="E1021" s="2">
        <v>1</v>
      </c>
      <c r="F1021" s="25">
        <v>1.9230769230769232E-2</v>
      </c>
    </row>
    <row r="1022" spans="1:6" x14ac:dyDescent="0.25">
      <c r="A1022" t="s">
        <v>3</v>
      </c>
      <c r="D1022" s="12"/>
      <c r="E1022" s="16">
        <v>1234</v>
      </c>
      <c r="F1022" s="23">
        <v>3.4456666666666663E-2</v>
      </c>
    </row>
    <row r="1023" spans="1:6" outlineLevel="1" x14ac:dyDescent="0.25">
      <c r="B1023" t="s">
        <v>203</v>
      </c>
      <c r="D1023" s="12"/>
      <c r="E1023" s="17">
        <v>109</v>
      </c>
      <c r="F1023" s="24">
        <v>9.1289782244556111E-2</v>
      </c>
    </row>
    <row r="1024" spans="1:6" outlineLevel="2" x14ac:dyDescent="0.25">
      <c r="C1024" t="s">
        <v>22</v>
      </c>
      <c r="D1024" s="12">
        <v>1</v>
      </c>
      <c r="E1024" s="2">
        <v>1</v>
      </c>
      <c r="F1024" s="25">
        <v>6.6666666666666666E-2</v>
      </c>
    </row>
    <row r="1025" spans="3:6" outlineLevel="2" x14ac:dyDescent="0.25">
      <c r="C1025" t="s">
        <v>27</v>
      </c>
      <c r="D1025" s="12">
        <v>2</v>
      </c>
      <c r="E1025" s="2">
        <v>2</v>
      </c>
      <c r="F1025" s="25">
        <v>0.16666666666666666</v>
      </c>
    </row>
    <row r="1026" spans="3:6" outlineLevel="2" x14ac:dyDescent="0.25">
      <c r="C1026" t="s">
        <v>32</v>
      </c>
      <c r="D1026" s="12">
        <v>1</v>
      </c>
      <c r="E1026" s="2">
        <v>1</v>
      </c>
      <c r="F1026" s="25">
        <v>2.0833333333333332E-2</v>
      </c>
    </row>
    <row r="1027" spans="3:6" outlineLevel="2" x14ac:dyDescent="0.25">
      <c r="C1027" t="s">
        <v>33</v>
      </c>
      <c r="D1027" s="12">
        <v>1</v>
      </c>
      <c r="E1027" s="2">
        <v>1</v>
      </c>
      <c r="F1027" s="25">
        <v>4.5454545454545456E-2</v>
      </c>
    </row>
    <row r="1028" spans="3:6" outlineLevel="2" x14ac:dyDescent="0.25">
      <c r="C1028" t="s">
        <v>16</v>
      </c>
      <c r="D1028" s="12">
        <v>2</v>
      </c>
      <c r="E1028" s="2">
        <v>2</v>
      </c>
      <c r="F1028" s="25">
        <v>0.25</v>
      </c>
    </row>
    <row r="1029" spans="3:6" outlineLevel="2" x14ac:dyDescent="0.25">
      <c r="C1029" t="s">
        <v>26</v>
      </c>
      <c r="D1029" s="12">
        <v>2</v>
      </c>
      <c r="E1029" s="2">
        <v>2</v>
      </c>
      <c r="F1029" s="25">
        <v>0.15384615384615385</v>
      </c>
    </row>
    <row r="1030" spans="3:6" outlineLevel="2" x14ac:dyDescent="0.25">
      <c r="C1030" t="s">
        <v>18</v>
      </c>
      <c r="D1030" s="12">
        <v>4</v>
      </c>
      <c r="E1030" s="2">
        <v>4</v>
      </c>
      <c r="F1030" s="25">
        <v>0.10526315789473684</v>
      </c>
    </row>
    <row r="1031" spans="3:6" outlineLevel="2" x14ac:dyDescent="0.25">
      <c r="C1031" t="s">
        <v>12</v>
      </c>
      <c r="D1031" s="12">
        <v>4</v>
      </c>
      <c r="E1031" s="2">
        <v>4</v>
      </c>
      <c r="F1031" s="25">
        <v>0.16666666666666666</v>
      </c>
    </row>
    <row r="1032" spans="3:6" outlineLevel="2" x14ac:dyDescent="0.25">
      <c r="C1032" t="s">
        <v>13</v>
      </c>
      <c r="D1032" s="12">
        <v>26</v>
      </c>
      <c r="E1032" s="2">
        <v>26</v>
      </c>
      <c r="F1032" s="25">
        <v>0.12149532710280374</v>
      </c>
    </row>
    <row r="1033" spans="3:6" outlineLevel="2" x14ac:dyDescent="0.25">
      <c r="C1033" t="s">
        <v>36</v>
      </c>
      <c r="D1033" s="12">
        <v>1</v>
      </c>
      <c r="E1033" s="2">
        <v>1</v>
      </c>
      <c r="F1033" s="25">
        <v>0.25</v>
      </c>
    </row>
    <row r="1034" spans="3:6" outlineLevel="2" x14ac:dyDescent="0.25">
      <c r="C1034" t="s">
        <v>14</v>
      </c>
      <c r="D1034" s="12">
        <v>31</v>
      </c>
      <c r="E1034" s="2">
        <v>31</v>
      </c>
      <c r="F1034" s="25">
        <v>0.13839285714285715</v>
      </c>
    </row>
    <row r="1035" spans="3:6" outlineLevel="2" x14ac:dyDescent="0.25">
      <c r="C1035" t="s">
        <v>38</v>
      </c>
      <c r="D1035" s="12">
        <v>13</v>
      </c>
      <c r="E1035" s="2">
        <v>13</v>
      </c>
      <c r="F1035" s="25">
        <v>0.65</v>
      </c>
    </row>
    <row r="1036" spans="3:6" outlineLevel="2" x14ac:dyDescent="0.25">
      <c r="C1036" t="s">
        <v>20</v>
      </c>
      <c r="D1036" s="12">
        <v>2</v>
      </c>
      <c r="E1036" s="2">
        <v>2</v>
      </c>
      <c r="F1036" s="25">
        <v>9.0909090909090912E-2</v>
      </c>
    </row>
    <row r="1037" spans="3:6" outlineLevel="2" x14ac:dyDescent="0.25">
      <c r="C1037" t="s">
        <v>21</v>
      </c>
      <c r="D1037" s="12">
        <v>2</v>
      </c>
      <c r="E1037" s="2">
        <v>2</v>
      </c>
      <c r="F1037" s="25">
        <v>0.22222222222222221</v>
      </c>
    </row>
    <row r="1038" spans="3:6" outlineLevel="2" x14ac:dyDescent="0.25">
      <c r="C1038" t="s">
        <v>15</v>
      </c>
      <c r="D1038" s="12">
        <v>15</v>
      </c>
      <c r="E1038" s="2">
        <v>15</v>
      </c>
      <c r="F1038" s="25">
        <v>0.19230769230769232</v>
      </c>
    </row>
    <row r="1039" spans="3:6" outlineLevel="2" x14ac:dyDescent="0.25">
      <c r="C1039" t="s">
        <v>40</v>
      </c>
      <c r="D1039" s="12">
        <v>1</v>
      </c>
      <c r="E1039" s="2">
        <v>1</v>
      </c>
      <c r="F1039" s="25">
        <v>0.1111111111111111</v>
      </c>
    </row>
    <row r="1040" spans="3:6" outlineLevel="2" x14ac:dyDescent="0.25">
      <c r="C1040" t="s">
        <v>52</v>
      </c>
      <c r="D1040" s="12">
        <v>1</v>
      </c>
      <c r="E1040" s="2">
        <v>1</v>
      </c>
      <c r="F1040" s="25">
        <v>1</v>
      </c>
    </row>
    <row r="1041" spans="2:6" outlineLevel="1" x14ac:dyDescent="0.25">
      <c r="B1041" t="s">
        <v>204</v>
      </c>
      <c r="D1041" s="12"/>
      <c r="E1041" s="17">
        <v>20</v>
      </c>
      <c r="F1041" s="24">
        <v>1.675041876046901E-2</v>
      </c>
    </row>
    <row r="1042" spans="2:6" outlineLevel="2" x14ac:dyDescent="0.25">
      <c r="C1042" t="s">
        <v>22</v>
      </c>
      <c r="D1042" s="12">
        <v>2</v>
      </c>
      <c r="E1042" s="2">
        <v>2</v>
      </c>
      <c r="F1042" s="25">
        <v>0.13333333333333333</v>
      </c>
    </row>
    <row r="1043" spans="2:6" outlineLevel="2" x14ac:dyDescent="0.25">
      <c r="C1043" t="s">
        <v>41</v>
      </c>
      <c r="D1043" s="12">
        <v>2</v>
      </c>
      <c r="E1043" s="2">
        <v>2</v>
      </c>
      <c r="F1043" s="25">
        <v>3.7037037037037035E-2</v>
      </c>
    </row>
    <row r="1044" spans="2:6" outlineLevel="2" x14ac:dyDescent="0.25">
      <c r="C1044" t="s">
        <v>33</v>
      </c>
      <c r="D1044" s="12">
        <v>1</v>
      </c>
      <c r="E1044" s="2">
        <v>1</v>
      </c>
      <c r="F1044" s="25">
        <v>4.5454545454545456E-2</v>
      </c>
    </row>
    <row r="1045" spans="2:6" outlineLevel="2" x14ac:dyDescent="0.25">
      <c r="C1045" t="s">
        <v>24</v>
      </c>
      <c r="D1045" s="12">
        <v>1</v>
      </c>
      <c r="E1045" s="2">
        <v>1</v>
      </c>
      <c r="F1045" s="25">
        <v>0.25</v>
      </c>
    </row>
    <row r="1046" spans="2:6" outlineLevel="2" x14ac:dyDescent="0.25">
      <c r="C1046" t="s">
        <v>11</v>
      </c>
      <c r="D1046" s="12">
        <v>1</v>
      </c>
      <c r="E1046" s="2">
        <v>1</v>
      </c>
      <c r="F1046" s="25">
        <v>7.1428571428571425E-2</v>
      </c>
    </row>
    <row r="1047" spans="2:6" outlineLevel="2" x14ac:dyDescent="0.25">
      <c r="C1047" t="s">
        <v>36</v>
      </c>
      <c r="D1047" s="12">
        <v>1</v>
      </c>
      <c r="E1047" s="2">
        <v>1</v>
      </c>
      <c r="F1047" s="25">
        <v>0.25</v>
      </c>
    </row>
    <row r="1048" spans="2:6" outlineLevel="2" x14ac:dyDescent="0.25">
      <c r="C1048" t="s">
        <v>14</v>
      </c>
      <c r="D1048" s="12">
        <v>8</v>
      </c>
      <c r="E1048" s="2">
        <v>8</v>
      </c>
      <c r="F1048" s="25">
        <v>3.5714285714285712E-2</v>
      </c>
    </row>
    <row r="1049" spans="2:6" outlineLevel="2" x14ac:dyDescent="0.25">
      <c r="C1049" t="s">
        <v>20</v>
      </c>
      <c r="D1049" s="12">
        <v>4</v>
      </c>
      <c r="E1049" s="2">
        <v>4</v>
      </c>
      <c r="F1049" s="25">
        <v>0.18181818181818182</v>
      </c>
    </row>
    <row r="1050" spans="2:6" outlineLevel="1" x14ac:dyDescent="0.25">
      <c r="B1050" t="s">
        <v>205</v>
      </c>
      <c r="D1050" s="12"/>
      <c r="E1050" s="17">
        <v>9</v>
      </c>
      <c r="F1050" s="24">
        <v>7.537688442211055E-3</v>
      </c>
    </row>
    <row r="1051" spans="2:6" outlineLevel="2" x14ac:dyDescent="0.25">
      <c r="C1051" t="s">
        <v>22</v>
      </c>
      <c r="D1051" s="12">
        <v>1</v>
      </c>
      <c r="E1051" s="2">
        <v>1</v>
      </c>
      <c r="F1051" s="25">
        <v>6.6666666666666666E-2</v>
      </c>
    </row>
    <row r="1052" spans="2:6" outlineLevel="2" x14ac:dyDescent="0.25">
      <c r="C1052" t="s">
        <v>14</v>
      </c>
      <c r="D1052" s="12">
        <v>8</v>
      </c>
      <c r="E1052" s="2">
        <v>8</v>
      </c>
      <c r="F1052" s="25">
        <v>3.5714285714285712E-2</v>
      </c>
    </row>
    <row r="1053" spans="2:6" outlineLevel="1" x14ac:dyDescent="0.25">
      <c r="B1053" t="s">
        <v>206</v>
      </c>
      <c r="D1053" s="12"/>
      <c r="E1053" s="17">
        <v>111</v>
      </c>
      <c r="F1053" s="24">
        <v>9.2964824120603015E-2</v>
      </c>
    </row>
    <row r="1054" spans="2:6" outlineLevel="2" x14ac:dyDescent="0.25">
      <c r="C1054" t="s">
        <v>22</v>
      </c>
      <c r="D1054" s="12">
        <v>4</v>
      </c>
      <c r="E1054" s="2">
        <v>4</v>
      </c>
      <c r="F1054" s="25">
        <v>0.26666666666666666</v>
      </c>
    </row>
    <row r="1055" spans="2:6" outlineLevel="2" x14ac:dyDescent="0.25">
      <c r="C1055" t="s">
        <v>49</v>
      </c>
      <c r="D1055" s="12">
        <v>1</v>
      </c>
      <c r="E1055" s="2">
        <v>1</v>
      </c>
      <c r="F1055" s="25">
        <v>0.14285714285714285</v>
      </c>
    </row>
    <row r="1056" spans="2:6" outlineLevel="2" x14ac:dyDescent="0.25">
      <c r="C1056" t="s">
        <v>43</v>
      </c>
      <c r="D1056" s="12">
        <v>2</v>
      </c>
      <c r="E1056" s="2">
        <v>2</v>
      </c>
      <c r="F1056" s="25">
        <v>0.125</v>
      </c>
    </row>
    <row r="1057" spans="3:6" outlineLevel="2" x14ac:dyDescent="0.25">
      <c r="C1057" t="s">
        <v>23</v>
      </c>
      <c r="D1057" s="12">
        <v>4</v>
      </c>
      <c r="E1057" s="2">
        <v>4</v>
      </c>
      <c r="F1057" s="25">
        <v>0.18181818181818182</v>
      </c>
    </row>
    <row r="1058" spans="3:6" outlineLevel="2" x14ac:dyDescent="0.25">
      <c r="C1058" t="s">
        <v>33</v>
      </c>
      <c r="D1058" s="12">
        <v>2</v>
      </c>
      <c r="E1058" s="2">
        <v>2</v>
      </c>
      <c r="F1058" s="25">
        <v>9.0909090909090912E-2</v>
      </c>
    </row>
    <row r="1059" spans="3:6" outlineLevel="2" x14ac:dyDescent="0.25">
      <c r="C1059" t="s">
        <v>46</v>
      </c>
      <c r="D1059" s="12">
        <v>1</v>
      </c>
      <c r="E1059" s="2">
        <v>1</v>
      </c>
      <c r="F1059" s="25">
        <v>0.25</v>
      </c>
    </row>
    <row r="1060" spans="3:6" outlineLevel="2" x14ac:dyDescent="0.25">
      <c r="C1060" t="s">
        <v>16</v>
      </c>
      <c r="D1060" s="12">
        <v>3</v>
      </c>
      <c r="E1060" s="2">
        <v>3</v>
      </c>
      <c r="F1060" s="25">
        <v>0.375</v>
      </c>
    </row>
    <row r="1061" spans="3:6" outlineLevel="2" x14ac:dyDescent="0.25">
      <c r="C1061" t="s">
        <v>26</v>
      </c>
      <c r="D1061" s="12">
        <v>3</v>
      </c>
      <c r="E1061" s="2">
        <v>3</v>
      </c>
      <c r="F1061" s="25">
        <v>0.23076923076923078</v>
      </c>
    </row>
    <row r="1062" spans="3:6" outlineLevel="2" x14ac:dyDescent="0.25">
      <c r="C1062" t="s">
        <v>17</v>
      </c>
      <c r="D1062" s="12">
        <v>1</v>
      </c>
      <c r="E1062" s="2">
        <v>1</v>
      </c>
      <c r="F1062" s="25">
        <v>0.5</v>
      </c>
    </row>
    <row r="1063" spans="3:6" outlineLevel="2" x14ac:dyDescent="0.25">
      <c r="C1063" t="s">
        <v>11</v>
      </c>
      <c r="D1063" s="12">
        <v>2</v>
      </c>
      <c r="E1063" s="2">
        <v>2</v>
      </c>
      <c r="F1063" s="25">
        <v>0.14285714285714285</v>
      </c>
    </row>
    <row r="1064" spans="3:6" outlineLevel="2" x14ac:dyDescent="0.25">
      <c r="C1064" t="s">
        <v>13</v>
      </c>
      <c r="D1064" s="12">
        <v>43</v>
      </c>
      <c r="E1064" s="2">
        <v>43</v>
      </c>
      <c r="F1064" s="25">
        <v>0.20093457943925233</v>
      </c>
    </row>
    <row r="1065" spans="3:6" outlineLevel="2" x14ac:dyDescent="0.25">
      <c r="C1065" t="s">
        <v>14</v>
      </c>
      <c r="D1065" s="12">
        <v>31</v>
      </c>
      <c r="E1065" s="2">
        <v>31</v>
      </c>
      <c r="F1065" s="25">
        <v>0.13839285714285715</v>
      </c>
    </row>
    <row r="1066" spans="3:6" outlineLevel="2" x14ac:dyDescent="0.25">
      <c r="C1066" t="s">
        <v>50</v>
      </c>
      <c r="D1066" s="12">
        <v>1</v>
      </c>
      <c r="E1066" s="2">
        <v>1</v>
      </c>
      <c r="F1066" s="25">
        <v>0.14285714285714285</v>
      </c>
    </row>
    <row r="1067" spans="3:6" outlineLevel="2" x14ac:dyDescent="0.25">
      <c r="C1067" t="s">
        <v>51</v>
      </c>
      <c r="D1067" s="12">
        <v>1</v>
      </c>
      <c r="E1067" s="2">
        <v>1</v>
      </c>
      <c r="F1067" s="25">
        <v>0.5</v>
      </c>
    </row>
    <row r="1068" spans="3:6" outlineLevel="2" x14ac:dyDescent="0.25">
      <c r="C1068" t="s">
        <v>20</v>
      </c>
      <c r="D1068" s="12">
        <v>1</v>
      </c>
      <c r="E1068" s="2">
        <v>1</v>
      </c>
      <c r="F1068" s="25">
        <v>4.5454545454545456E-2</v>
      </c>
    </row>
    <row r="1069" spans="3:6" outlineLevel="2" x14ac:dyDescent="0.25">
      <c r="C1069" t="s">
        <v>21</v>
      </c>
      <c r="D1069" s="12">
        <v>1</v>
      </c>
      <c r="E1069" s="2">
        <v>1</v>
      </c>
      <c r="F1069" s="25">
        <v>0.1111111111111111</v>
      </c>
    </row>
    <row r="1070" spans="3:6" outlineLevel="2" x14ac:dyDescent="0.25">
      <c r="C1070" t="s">
        <v>28</v>
      </c>
      <c r="D1070" s="12">
        <v>4</v>
      </c>
      <c r="E1070" s="2">
        <v>4</v>
      </c>
      <c r="F1070" s="25">
        <v>0.44444444444444442</v>
      </c>
    </row>
    <row r="1071" spans="3:6" outlineLevel="2" x14ac:dyDescent="0.25">
      <c r="C1071" t="s">
        <v>15</v>
      </c>
      <c r="D1071" s="12">
        <v>5</v>
      </c>
      <c r="E1071" s="2">
        <v>5</v>
      </c>
      <c r="F1071" s="25">
        <v>6.4102564102564097E-2</v>
      </c>
    </row>
    <row r="1072" spans="3:6" outlineLevel="2" x14ac:dyDescent="0.25">
      <c r="C1072" t="s">
        <v>48</v>
      </c>
      <c r="D1072" s="12">
        <v>1</v>
      </c>
      <c r="E1072" s="2">
        <v>1</v>
      </c>
      <c r="F1072" s="25">
        <v>0.5</v>
      </c>
    </row>
    <row r="1073" spans="2:6" outlineLevel="1" x14ac:dyDescent="0.25">
      <c r="B1073" t="s">
        <v>207</v>
      </c>
      <c r="D1073" s="12"/>
      <c r="E1073" s="17">
        <v>34</v>
      </c>
      <c r="F1073" s="24">
        <v>2.8475711892797319E-2</v>
      </c>
    </row>
    <row r="1074" spans="2:6" outlineLevel="2" x14ac:dyDescent="0.25">
      <c r="C1074" t="s">
        <v>27</v>
      </c>
      <c r="D1074" s="12">
        <v>1</v>
      </c>
      <c r="E1074" s="2">
        <v>1</v>
      </c>
      <c r="F1074" s="25">
        <v>8.3333333333333329E-2</v>
      </c>
    </row>
    <row r="1075" spans="2:6" outlineLevel="2" x14ac:dyDescent="0.25">
      <c r="C1075" t="s">
        <v>32</v>
      </c>
      <c r="D1075" s="12">
        <v>8</v>
      </c>
      <c r="E1075" s="2">
        <v>8</v>
      </c>
      <c r="F1075" s="25">
        <v>0.16666666666666666</v>
      </c>
    </row>
    <row r="1076" spans="2:6" outlineLevel="2" x14ac:dyDescent="0.25">
      <c r="C1076" t="s">
        <v>47</v>
      </c>
      <c r="D1076" s="12">
        <v>11</v>
      </c>
      <c r="E1076" s="2">
        <v>11</v>
      </c>
      <c r="F1076" s="25">
        <v>0.28205128205128205</v>
      </c>
    </row>
    <row r="1077" spans="2:6" outlineLevel="2" x14ac:dyDescent="0.25">
      <c r="C1077" t="s">
        <v>33</v>
      </c>
      <c r="D1077" s="12">
        <v>1</v>
      </c>
      <c r="E1077" s="2">
        <v>1</v>
      </c>
      <c r="F1077" s="25">
        <v>4.5454545454545456E-2</v>
      </c>
    </row>
    <row r="1078" spans="2:6" outlineLevel="2" x14ac:dyDescent="0.25">
      <c r="C1078" t="s">
        <v>26</v>
      </c>
      <c r="D1078" s="12">
        <v>1</v>
      </c>
      <c r="E1078" s="2">
        <v>1</v>
      </c>
      <c r="F1078" s="25">
        <v>7.6923076923076927E-2</v>
      </c>
    </row>
    <row r="1079" spans="2:6" outlineLevel="2" x14ac:dyDescent="0.25">
      <c r="C1079" t="s">
        <v>34</v>
      </c>
      <c r="D1079" s="12">
        <v>2</v>
      </c>
      <c r="E1079" s="2">
        <v>2</v>
      </c>
      <c r="F1079" s="25">
        <v>0.5</v>
      </c>
    </row>
    <row r="1080" spans="2:6" outlineLevel="2" x14ac:dyDescent="0.25">
      <c r="C1080" t="s">
        <v>13</v>
      </c>
      <c r="D1080" s="12">
        <v>2</v>
      </c>
      <c r="E1080" s="2">
        <v>2</v>
      </c>
      <c r="F1080" s="25">
        <v>9.3457943925233638E-3</v>
      </c>
    </row>
    <row r="1081" spans="2:6" outlineLevel="2" x14ac:dyDescent="0.25">
      <c r="C1081" t="s">
        <v>14</v>
      </c>
      <c r="D1081" s="12">
        <v>1</v>
      </c>
      <c r="E1081" s="2">
        <v>1</v>
      </c>
      <c r="F1081" s="25">
        <v>4.464285714285714E-3</v>
      </c>
    </row>
    <row r="1082" spans="2:6" outlineLevel="2" x14ac:dyDescent="0.25">
      <c r="C1082" t="s">
        <v>37</v>
      </c>
      <c r="D1082" s="12">
        <v>2</v>
      </c>
      <c r="E1082" s="2">
        <v>2</v>
      </c>
      <c r="F1082" s="25">
        <v>0.33333333333333331</v>
      </c>
    </row>
    <row r="1083" spans="2:6" outlineLevel="2" x14ac:dyDescent="0.25">
      <c r="C1083" t="s">
        <v>20</v>
      </c>
      <c r="D1083" s="12">
        <v>3</v>
      </c>
      <c r="E1083" s="2">
        <v>3</v>
      </c>
      <c r="F1083" s="25">
        <v>0.13636363636363635</v>
      </c>
    </row>
    <row r="1084" spans="2:6" outlineLevel="2" x14ac:dyDescent="0.25">
      <c r="C1084" t="s">
        <v>28</v>
      </c>
      <c r="D1084" s="12">
        <v>1</v>
      </c>
      <c r="E1084" s="2">
        <v>1</v>
      </c>
      <c r="F1084" s="25">
        <v>0.1111111111111111</v>
      </c>
    </row>
    <row r="1085" spans="2:6" outlineLevel="2" x14ac:dyDescent="0.25">
      <c r="C1085" t="s">
        <v>15</v>
      </c>
      <c r="D1085" s="12">
        <v>1</v>
      </c>
      <c r="E1085" s="2">
        <v>1</v>
      </c>
      <c r="F1085" s="25">
        <v>1.282051282051282E-2</v>
      </c>
    </row>
    <row r="1086" spans="2:6" outlineLevel="1" x14ac:dyDescent="0.25">
      <c r="B1086" t="s">
        <v>208</v>
      </c>
      <c r="D1086" s="12"/>
      <c r="E1086" s="17">
        <v>40</v>
      </c>
      <c r="F1086" s="24">
        <v>3.350083752093802E-2</v>
      </c>
    </row>
    <row r="1087" spans="2:6" outlineLevel="2" x14ac:dyDescent="0.25">
      <c r="C1087" t="s">
        <v>22</v>
      </c>
      <c r="D1087" s="12">
        <v>2</v>
      </c>
      <c r="E1087" s="2">
        <v>2</v>
      </c>
      <c r="F1087" s="25">
        <v>0.13333333333333333</v>
      </c>
    </row>
    <row r="1088" spans="2:6" outlineLevel="2" x14ac:dyDescent="0.25">
      <c r="C1088" t="s">
        <v>41</v>
      </c>
      <c r="D1088" s="12">
        <v>3</v>
      </c>
      <c r="E1088" s="2">
        <v>3</v>
      </c>
      <c r="F1088" s="25">
        <v>5.5555555555555552E-2</v>
      </c>
    </row>
    <row r="1089" spans="2:6" outlineLevel="2" x14ac:dyDescent="0.25">
      <c r="C1089" t="s">
        <v>46</v>
      </c>
      <c r="D1089" s="12">
        <v>1</v>
      </c>
      <c r="E1089" s="2">
        <v>1</v>
      </c>
      <c r="F1089" s="25">
        <v>0.25</v>
      </c>
    </row>
    <row r="1090" spans="2:6" outlineLevel="2" x14ac:dyDescent="0.25">
      <c r="C1090" t="s">
        <v>44</v>
      </c>
      <c r="D1090" s="12">
        <v>2</v>
      </c>
      <c r="E1090" s="2">
        <v>2</v>
      </c>
      <c r="F1090" s="25">
        <v>0.33333333333333331</v>
      </c>
    </row>
    <row r="1091" spans="2:6" outlineLevel="2" x14ac:dyDescent="0.25">
      <c r="C1091" t="s">
        <v>11</v>
      </c>
      <c r="D1091" s="12">
        <v>3</v>
      </c>
      <c r="E1091" s="2">
        <v>3</v>
      </c>
      <c r="F1091" s="25">
        <v>0.21428571428571427</v>
      </c>
    </row>
    <row r="1092" spans="2:6" outlineLevel="2" x14ac:dyDescent="0.25">
      <c r="C1092" t="s">
        <v>14</v>
      </c>
      <c r="D1092" s="12">
        <v>24</v>
      </c>
      <c r="E1092" s="2">
        <v>24</v>
      </c>
      <c r="F1092" s="25">
        <v>0.10714285714285714</v>
      </c>
    </row>
    <row r="1093" spans="2:6" outlineLevel="2" x14ac:dyDescent="0.25">
      <c r="C1093" t="s">
        <v>37</v>
      </c>
      <c r="D1093" s="12">
        <v>2</v>
      </c>
      <c r="E1093" s="2">
        <v>2</v>
      </c>
      <c r="F1093" s="25">
        <v>0.33333333333333331</v>
      </c>
    </row>
    <row r="1094" spans="2:6" outlineLevel="2" x14ac:dyDescent="0.25">
      <c r="C1094" t="s">
        <v>15</v>
      </c>
      <c r="D1094" s="12">
        <v>3</v>
      </c>
      <c r="E1094" s="2">
        <v>3</v>
      </c>
      <c r="F1094" s="25">
        <v>3.8461538461538464E-2</v>
      </c>
    </row>
    <row r="1095" spans="2:6" outlineLevel="1" x14ac:dyDescent="0.25">
      <c r="B1095" t="s">
        <v>209</v>
      </c>
      <c r="D1095" s="12"/>
      <c r="E1095" s="17">
        <v>22</v>
      </c>
      <c r="F1095" s="24">
        <v>1.8425460636515914E-2</v>
      </c>
    </row>
    <row r="1096" spans="2:6" outlineLevel="2" x14ac:dyDescent="0.25">
      <c r="C1096" t="s">
        <v>23</v>
      </c>
      <c r="D1096" s="12">
        <v>4</v>
      </c>
      <c r="E1096" s="2">
        <v>4</v>
      </c>
      <c r="F1096" s="25">
        <v>0.18181818181818182</v>
      </c>
    </row>
    <row r="1097" spans="2:6" outlineLevel="2" x14ac:dyDescent="0.25">
      <c r="C1097" t="s">
        <v>17</v>
      </c>
      <c r="D1097" s="12">
        <v>1</v>
      </c>
      <c r="E1097" s="2">
        <v>1</v>
      </c>
      <c r="F1097" s="25">
        <v>0.5</v>
      </c>
    </row>
    <row r="1098" spans="2:6" outlineLevel="2" x14ac:dyDescent="0.25">
      <c r="C1098" t="s">
        <v>11</v>
      </c>
      <c r="D1098" s="12">
        <v>4</v>
      </c>
      <c r="E1098" s="2">
        <v>4</v>
      </c>
      <c r="F1098" s="25">
        <v>0.2857142857142857</v>
      </c>
    </row>
    <row r="1099" spans="2:6" outlineLevel="2" x14ac:dyDescent="0.25">
      <c r="C1099" t="s">
        <v>14</v>
      </c>
      <c r="D1099" s="12">
        <v>10</v>
      </c>
      <c r="E1099" s="2">
        <v>10</v>
      </c>
      <c r="F1099" s="25">
        <v>4.4642857142857144E-2</v>
      </c>
    </row>
    <row r="1100" spans="2:6" outlineLevel="2" x14ac:dyDescent="0.25">
      <c r="C1100" t="s">
        <v>39</v>
      </c>
      <c r="D1100" s="12">
        <v>3</v>
      </c>
      <c r="E1100" s="2">
        <v>3</v>
      </c>
      <c r="F1100" s="25">
        <v>0.3</v>
      </c>
    </row>
    <row r="1101" spans="2:6" outlineLevel="1" x14ac:dyDescent="0.25">
      <c r="B1101" t="s">
        <v>210</v>
      </c>
      <c r="D1101" s="12"/>
      <c r="E1101" s="17">
        <v>1</v>
      </c>
      <c r="F1101" s="24">
        <v>8.375209380234506E-4</v>
      </c>
    </row>
    <row r="1102" spans="2:6" outlineLevel="2" x14ac:dyDescent="0.25">
      <c r="C1102" t="s">
        <v>21</v>
      </c>
      <c r="D1102" s="12">
        <v>1</v>
      </c>
      <c r="E1102" s="2">
        <v>1</v>
      </c>
      <c r="F1102" s="25">
        <v>0.1111111111111111</v>
      </c>
    </row>
    <row r="1103" spans="2:6" outlineLevel="1" x14ac:dyDescent="0.25">
      <c r="B1103" t="s">
        <v>211</v>
      </c>
      <c r="D1103" s="12"/>
      <c r="E1103" s="17">
        <v>22</v>
      </c>
      <c r="F1103" s="24">
        <v>1.8425460636515914E-2</v>
      </c>
    </row>
    <row r="1104" spans="2:6" outlineLevel="2" x14ac:dyDescent="0.25">
      <c r="C1104" t="s">
        <v>22</v>
      </c>
      <c r="D1104" s="12">
        <v>2</v>
      </c>
      <c r="E1104" s="2">
        <v>2</v>
      </c>
      <c r="F1104" s="25">
        <v>0.13333333333333333</v>
      </c>
    </row>
    <row r="1105" spans="2:6" outlineLevel="2" x14ac:dyDescent="0.25">
      <c r="C1105" t="s">
        <v>26</v>
      </c>
      <c r="D1105" s="12">
        <v>1</v>
      </c>
      <c r="E1105" s="2">
        <v>1</v>
      </c>
      <c r="F1105" s="25">
        <v>7.6923076923076927E-2</v>
      </c>
    </row>
    <row r="1106" spans="2:6" outlineLevel="2" x14ac:dyDescent="0.25">
      <c r="C1106" t="s">
        <v>29</v>
      </c>
      <c r="D1106" s="12">
        <v>1</v>
      </c>
      <c r="E1106" s="2">
        <v>1</v>
      </c>
      <c r="F1106" s="25">
        <v>0.16666666666666666</v>
      </c>
    </row>
    <row r="1107" spans="2:6" outlineLevel="2" x14ac:dyDescent="0.25">
      <c r="C1107" t="s">
        <v>11</v>
      </c>
      <c r="D1107" s="12">
        <v>2</v>
      </c>
      <c r="E1107" s="2">
        <v>2</v>
      </c>
      <c r="F1107" s="25">
        <v>0.14285714285714285</v>
      </c>
    </row>
    <row r="1108" spans="2:6" outlineLevel="2" x14ac:dyDescent="0.25">
      <c r="C1108" t="s">
        <v>12</v>
      </c>
      <c r="D1108" s="12">
        <v>2</v>
      </c>
      <c r="E1108" s="2">
        <v>2</v>
      </c>
      <c r="F1108" s="25">
        <v>8.3333333333333329E-2</v>
      </c>
    </row>
    <row r="1109" spans="2:6" outlineLevel="2" x14ac:dyDescent="0.25">
      <c r="C1109" t="s">
        <v>13</v>
      </c>
      <c r="D1109" s="12">
        <v>3</v>
      </c>
      <c r="E1109" s="2">
        <v>3</v>
      </c>
      <c r="F1109" s="25">
        <v>1.4018691588785047E-2</v>
      </c>
    </row>
    <row r="1110" spans="2:6" outlineLevel="2" x14ac:dyDescent="0.25">
      <c r="C1110" t="s">
        <v>14</v>
      </c>
      <c r="D1110" s="12">
        <v>6</v>
      </c>
      <c r="E1110" s="2">
        <v>6</v>
      </c>
      <c r="F1110" s="25">
        <v>2.6785714285714284E-2</v>
      </c>
    </row>
    <row r="1111" spans="2:6" outlineLevel="2" x14ac:dyDescent="0.25">
      <c r="C1111" t="s">
        <v>28</v>
      </c>
      <c r="D1111" s="12">
        <v>1</v>
      </c>
      <c r="E1111" s="2">
        <v>1</v>
      </c>
      <c r="F1111" s="25">
        <v>0.1111111111111111</v>
      </c>
    </row>
    <row r="1112" spans="2:6" outlineLevel="2" x14ac:dyDescent="0.25">
      <c r="C1112" t="s">
        <v>15</v>
      </c>
      <c r="D1112" s="12">
        <v>4</v>
      </c>
      <c r="E1112" s="2">
        <v>4</v>
      </c>
      <c r="F1112" s="25">
        <v>5.128205128205128E-2</v>
      </c>
    </row>
    <row r="1113" spans="2:6" outlineLevel="1" x14ac:dyDescent="0.25">
      <c r="B1113" t="s">
        <v>212</v>
      </c>
      <c r="D1113" s="12"/>
      <c r="E1113" s="17">
        <v>47</v>
      </c>
      <c r="F1113" s="24">
        <v>3.9363484087102177E-2</v>
      </c>
    </row>
    <row r="1114" spans="2:6" outlineLevel="2" x14ac:dyDescent="0.25">
      <c r="C1114" t="s">
        <v>22</v>
      </c>
      <c r="D1114" s="12">
        <v>2</v>
      </c>
      <c r="E1114" s="2">
        <v>2</v>
      </c>
      <c r="F1114" s="25">
        <v>0.13333333333333333</v>
      </c>
    </row>
    <row r="1115" spans="2:6" outlineLevel="2" x14ac:dyDescent="0.25">
      <c r="C1115" t="s">
        <v>35</v>
      </c>
      <c r="D1115" s="12">
        <v>2</v>
      </c>
      <c r="E1115" s="2">
        <v>2</v>
      </c>
      <c r="F1115" s="25">
        <v>0.66666666666666663</v>
      </c>
    </row>
    <row r="1116" spans="2:6" outlineLevel="2" x14ac:dyDescent="0.25">
      <c r="C1116" t="s">
        <v>24</v>
      </c>
      <c r="D1116" s="12">
        <v>1</v>
      </c>
      <c r="E1116" s="2">
        <v>1</v>
      </c>
      <c r="F1116" s="25">
        <v>0.25</v>
      </c>
    </row>
    <row r="1117" spans="2:6" outlineLevel="2" x14ac:dyDescent="0.25">
      <c r="C1117" t="s">
        <v>17</v>
      </c>
      <c r="D1117" s="12">
        <v>1</v>
      </c>
      <c r="E1117" s="2">
        <v>1</v>
      </c>
      <c r="F1117" s="25">
        <v>0.5</v>
      </c>
    </row>
    <row r="1118" spans="2:6" outlineLevel="2" x14ac:dyDescent="0.25">
      <c r="C1118" t="s">
        <v>18</v>
      </c>
      <c r="D1118" s="12">
        <v>6</v>
      </c>
      <c r="E1118" s="2">
        <v>6</v>
      </c>
      <c r="F1118" s="25">
        <v>0.15789473684210525</v>
      </c>
    </row>
    <row r="1119" spans="2:6" outlineLevel="2" x14ac:dyDescent="0.25">
      <c r="C1119" t="s">
        <v>14</v>
      </c>
      <c r="D1119" s="12">
        <v>27</v>
      </c>
      <c r="E1119" s="2">
        <v>27</v>
      </c>
      <c r="F1119" s="25">
        <v>0.12053571428571429</v>
      </c>
    </row>
    <row r="1120" spans="2:6" outlineLevel="2" x14ac:dyDescent="0.25">
      <c r="C1120" t="s">
        <v>38</v>
      </c>
      <c r="D1120" s="12">
        <v>4</v>
      </c>
      <c r="E1120" s="2">
        <v>4</v>
      </c>
      <c r="F1120" s="25">
        <v>0.2</v>
      </c>
    </row>
    <row r="1121" spans="2:6" outlineLevel="2" x14ac:dyDescent="0.25">
      <c r="C1121" t="s">
        <v>20</v>
      </c>
      <c r="D1121" s="12">
        <v>2</v>
      </c>
      <c r="E1121" s="2">
        <v>2</v>
      </c>
      <c r="F1121" s="25">
        <v>9.0909090909090912E-2</v>
      </c>
    </row>
    <row r="1122" spans="2:6" outlineLevel="2" x14ac:dyDescent="0.25">
      <c r="C1122" t="s">
        <v>15</v>
      </c>
      <c r="D1122" s="12">
        <v>1</v>
      </c>
      <c r="E1122" s="2">
        <v>1</v>
      </c>
      <c r="F1122" s="25">
        <v>1.282051282051282E-2</v>
      </c>
    </row>
    <row r="1123" spans="2:6" outlineLevel="2" x14ac:dyDescent="0.25">
      <c r="C1123" t="s">
        <v>40</v>
      </c>
      <c r="D1123" s="12">
        <v>1</v>
      </c>
      <c r="E1123" s="2">
        <v>1</v>
      </c>
      <c r="F1123" s="25">
        <v>0.1111111111111111</v>
      </c>
    </row>
    <row r="1124" spans="2:6" outlineLevel="1" x14ac:dyDescent="0.25">
      <c r="B1124" t="s">
        <v>213</v>
      </c>
      <c r="D1124" s="12"/>
      <c r="E1124" s="17">
        <v>1</v>
      </c>
      <c r="F1124" s="24">
        <v>8.375209380234506E-4</v>
      </c>
    </row>
    <row r="1125" spans="2:6" outlineLevel="2" x14ac:dyDescent="0.25">
      <c r="C1125" t="s">
        <v>19</v>
      </c>
      <c r="D1125" s="12">
        <v>1</v>
      </c>
      <c r="E1125" s="2">
        <v>1</v>
      </c>
      <c r="F1125" s="25">
        <v>1.9230769230769232E-2</v>
      </c>
    </row>
    <row r="1126" spans="2:6" outlineLevel="1" x14ac:dyDescent="0.25">
      <c r="B1126" t="s">
        <v>214</v>
      </c>
      <c r="D1126" s="12"/>
      <c r="E1126" s="17">
        <v>148</v>
      </c>
      <c r="F1126" s="24">
        <v>0.12395309882747069</v>
      </c>
    </row>
    <row r="1127" spans="2:6" outlineLevel="2" x14ac:dyDescent="0.25">
      <c r="C1127" t="s">
        <v>22</v>
      </c>
      <c r="D1127" s="12">
        <v>1</v>
      </c>
      <c r="E1127" s="2">
        <v>1</v>
      </c>
      <c r="F1127" s="25">
        <v>6.6666666666666666E-2</v>
      </c>
    </row>
    <row r="1128" spans="2:6" outlineLevel="2" x14ac:dyDescent="0.25">
      <c r="C1128" t="s">
        <v>43</v>
      </c>
      <c r="D1128" s="12">
        <v>1</v>
      </c>
      <c r="E1128" s="2">
        <v>1</v>
      </c>
      <c r="F1128" s="25">
        <v>6.25E-2</v>
      </c>
    </row>
    <row r="1129" spans="2:6" outlineLevel="2" x14ac:dyDescent="0.25">
      <c r="C1129" t="s">
        <v>33</v>
      </c>
      <c r="D1129" s="12">
        <v>1</v>
      </c>
      <c r="E1129" s="2">
        <v>1</v>
      </c>
      <c r="F1129" s="25">
        <v>4.5454545454545456E-2</v>
      </c>
    </row>
    <row r="1130" spans="2:6" outlineLevel="2" x14ac:dyDescent="0.25">
      <c r="C1130" t="s">
        <v>16</v>
      </c>
      <c r="D1130" s="12">
        <v>1</v>
      </c>
      <c r="E1130" s="2">
        <v>1</v>
      </c>
      <c r="F1130" s="25">
        <v>0.125</v>
      </c>
    </row>
    <row r="1131" spans="2:6" outlineLevel="2" x14ac:dyDescent="0.25">
      <c r="C1131" t="s">
        <v>34</v>
      </c>
      <c r="D1131" s="12">
        <v>1</v>
      </c>
      <c r="E1131" s="2">
        <v>1</v>
      </c>
      <c r="F1131" s="25">
        <v>0.25</v>
      </c>
    </row>
    <row r="1132" spans="2:6" outlineLevel="2" x14ac:dyDescent="0.25">
      <c r="C1132" t="s">
        <v>11</v>
      </c>
      <c r="D1132" s="12">
        <v>4</v>
      </c>
      <c r="E1132" s="2">
        <v>4</v>
      </c>
      <c r="F1132" s="25">
        <v>0.2857142857142857</v>
      </c>
    </row>
    <row r="1133" spans="2:6" outlineLevel="2" x14ac:dyDescent="0.25">
      <c r="C1133" t="s">
        <v>14</v>
      </c>
      <c r="D1133" s="12">
        <v>131</v>
      </c>
      <c r="E1133" s="2">
        <v>131</v>
      </c>
      <c r="F1133" s="25">
        <v>0.5848214285714286</v>
      </c>
    </row>
    <row r="1134" spans="2:6" outlineLevel="2" x14ac:dyDescent="0.25">
      <c r="C1134" t="s">
        <v>20</v>
      </c>
      <c r="D1134" s="12">
        <v>2</v>
      </c>
      <c r="E1134" s="2">
        <v>2</v>
      </c>
      <c r="F1134" s="25">
        <v>9.0909090909090912E-2</v>
      </c>
    </row>
    <row r="1135" spans="2:6" outlineLevel="2" x14ac:dyDescent="0.25">
      <c r="C1135" t="s">
        <v>15</v>
      </c>
      <c r="D1135" s="12">
        <v>3</v>
      </c>
      <c r="E1135" s="2">
        <v>3</v>
      </c>
      <c r="F1135" s="25">
        <v>3.8461538461538464E-2</v>
      </c>
    </row>
    <row r="1136" spans="2:6" outlineLevel="2" x14ac:dyDescent="0.25">
      <c r="C1136" t="s">
        <v>31</v>
      </c>
      <c r="D1136" s="12">
        <v>2</v>
      </c>
      <c r="E1136" s="2">
        <v>2</v>
      </c>
      <c r="F1136" s="25">
        <v>9.0909090909090912E-2</v>
      </c>
    </row>
    <row r="1137" spans="2:6" outlineLevel="2" x14ac:dyDescent="0.25">
      <c r="C1137" t="s">
        <v>48</v>
      </c>
      <c r="D1137" s="12">
        <v>1</v>
      </c>
      <c r="E1137" s="2">
        <v>1</v>
      </c>
      <c r="F1137" s="25">
        <v>0.5</v>
      </c>
    </row>
    <row r="1138" spans="2:6" outlineLevel="1" x14ac:dyDescent="0.25">
      <c r="B1138" t="s">
        <v>215</v>
      </c>
      <c r="D1138" s="12"/>
      <c r="E1138" s="17">
        <v>14</v>
      </c>
      <c r="F1138" s="24">
        <v>1.1725293132328308E-2</v>
      </c>
    </row>
    <row r="1139" spans="2:6" outlineLevel="2" x14ac:dyDescent="0.25">
      <c r="C1139" t="s">
        <v>13</v>
      </c>
      <c r="D1139" s="12">
        <v>5</v>
      </c>
      <c r="E1139" s="2">
        <v>5</v>
      </c>
      <c r="F1139" s="25">
        <v>2.336448598130841E-2</v>
      </c>
    </row>
    <row r="1140" spans="2:6" outlineLevel="2" x14ac:dyDescent="0.25">
      <c r="C1140" t="s">
        <v>14</v>
      </c>
      <c r="D1140" s="12">
        <v>9</v>
      </c>
      <c r="E1140" s="2">
        <v>9</v>
      </c>
      <c r="F1140" s="25">
        <v>4.0178571428571432E-2</v>
      </c>
    </row>
    <row r="1141" spans="2:6" outlineLevel="1" x14ac:dyDescent="0.25">
      <c r="B1141" t="s">
        <v>216</v>
      </c>
      <c r="D1141" s="12"/>
      <c r="E1141" s="17">
        <v>4</v>
      </c>
      <c r="F1141" s="24">
        <v>3.3500837520938024E-3</v>
      </c>
    </row>
    <row r="1142" spans="2:6" outlineLevel="2" x14ac:dyDescent="0.25">
      <c r="C1142" t="s">
        <v>47</v>
      </c>
      <c r="D1142" s="12">
        <v>1</v>
      </c>
      <c r="E1142" s="2">
        <v>1</v>
      </c>
      <c r="F1142" s="25">
        <v>2.564102564102564E-2</v>
      </c>
    </row>
    <row r="1143" spans="2:6" outlineLevel="2" x14ac:dyDescent="0.25">
      <c r="C1143" t="s">
        <v>23</v>
      </c>
      <c r="D1143" s="12">
        <v>1</v>
      </c>
      <c r="E1143" s="2">
        <v>1</v>
      </c>
      <c r="F1143" s="25">
        <v>4.5454545454545456E-2</v>
      </c>
    </row>
    <row r="1144" spans="2:6" outlineLevel="2" x14ac:dyDescent="0.25">
      <c r="C1144" t="s">
        <v>12</v>
      </c>
      <c r="D1144" s="12">
        <v>1</v>
      </c>
      <c r="E1144" s="2">
        <v>1</v>
      </c>
      <c r="F1144" s="25">
        <v>4.1666666666666664E-2</v>
      </c>
    </row>
    <row r="1145" spans="2:6" outlineLevel="2" x14ac:dyDescent="0.25">
      <c r="C1145" t="s">
        <v>13</v>
      </c>
      <c r="D1145" s="12">
        <v>1</v>
      </c>
      <c r="E1145" s="2">
        <v>1</v>
      </c>
      <c r="F1145" s="25">
        <v>4.6728971962616819E-3</v>
      </c>
    </row>
    <row r="1146" spans="2:6" outlineLevel="1" x14ac:dyDescent="0.25">
      <c r="B1146" t="s">
        <v>217</v>
      </c>
      <c r="D1146" s="12"/>
      <c r="E1146" s="17">
        <v>32</v>
      </c>
      <c r="F1146" s="24">
        <v>2.6800670016750419E-2</v>
      </c>
    </row>
    <row r="1147" spans="2:6" outlineLevel="2" x14ac:dyDescent="0.25">
      <c r="C1147" t="s">
        <v>25</v>
      </c>
      <c r="D1147" s="12">
        <v>2</v>
      </c>
      <c r="E1147" s="2">
        <v>2</v>
      </c>
      <c r="F1147" s="25">
        <v>5.7142857142857141E-2</v>
      </c>
    </row>
    <row r="1148" spans="2:6" outlineLevel="2" x14ac:dyDescent="0.25">
      <c r="C1148" t="s">
        <v>32</v>
      </c>
      <c r="D1148" s="12">
        <v>5</v>
      </c>
      <c r="E1148" s="2">
        <v>5</v>
      </c>
      <c r="F1148" s="25">
        <v>0.10416666666666667</v>
      </c>
    </row>
    <row r="1149" spans="2:6" outlineLevel="2" x14ac:dyDescent="0.25">
      <c r="C1149" t="s">
        <v>33</v>
      </c>
      <c r="D1149" s="12">
        <v>2</v>
      </c>
      <c r="E1149" s="2">
        <v>2</v>
      </c>
      <c r="F1149" s="25">
        <v>9.0909090909090912E-2</v>
      </c>
    </row>
    <row r="1150" spans="2:6" outlineLevel="2" x14ac:dyDescent="0.25">
      <c r="C1150" t="s">
        <v>34</v>
      </c>
      <c r="D1150" s="12">
        <v>1</v>
      </c>
      <c r="E1150" s="2">
        <v>1</v>
      </c>
      <c r="F1150" s="25">
        <v>0.25</v>
      </c>
    </row>
    <row r="1151" spans="2:6" outlineLevel="2" x14ac:dyDescent="0.25">
      <c r="C1151" t="s">
        <v>18</v>
      </c>
      <c r="D1151" s="12">
        <v>2</v>
      </c>
      <c r="E1151" s="2">
        <v>2</v>
      </c>
      <c r="F1151" s="25">
        <v>5.2631578947368418E-2</v>
      </c>
    </row>
    <row r="1152" spans="2:6" outlineLevel="2" x14ac:dyDescent="0.25">
      <c r="C1152" t="s">
        <v>14</v>
      </c>
      <c r="D1152" s="12">
        <v>11</v>
      </c>
      <c r="E1152" s="2">
        <v>11</v>
      </c>
      <c r="F1152" s="25">
        <v>4.9107142857142856E-2</v>
      </c>
    </row>
    <row r="1153" spans="2:6" outlineLevel="2" x14ac:dyDescent="0.25">
      <c r="C1153" t="s">
        <v>19</v>
      </c>
      <c r="D1153" s="12">
        <v>6</v>
      </c>
      <c r="E1153" s="2">
        <v>6</v>
      </c>
      <c r="F1153" s="25">
        <v>0.11538461538461539</v>
      </c>
    </row>
    <row r="1154" spans="2:6" outlineLevel="2" x14ac:dyDescent="0.25">
      <c r="C1154" t="s">
        <v>20</v>
      </c>
      <c r="D1154" s="12">
        <v>1</v>
      </c>
      <c r="E1154" s="2">
        <v>1</v>
      </c>
      <c r="F1154" s="25">
        <v>4.5454545454545456E-2</v>
      </c>
    </row>
    <row r="1155" spans="2:6" outlineLevel="2" x14ac:dyDescent="0.25">
      <c r="C1155" t="s">
        <v>21</v>
      </c>
      <c r="D1155" s="12">
        <v>1</v>
      </c>
      <c r="E1155" s="2">
        <v>1</v>
      </c>
      <c r="F1155" s="25">
        <v>0.1111111111111111</v>
      </c>
    </row>
    <row r="1156" spans="2:6" outlineLevel="2" x14ac:dyDescent="0.25">
      <c r="C1156" t="s">
        <v>28</v>
      </c>
      <c r="D1156" s="12">
        <v>1</v>
      </c>
      <c r="E1156" s="2">
        <v>1</v>
      </c>
      <c r="F1156" s="25">
        <v>0.1111111111111111</v>
      </c>
    </row>
    <row r="1157" spans="2:6" outlineLevel="1" x14ac:dyDescent="0.25">
      <c r="B1157" t="s">
        <v>218</v>
      </c>
      <c r="D1157" s="12"/>
      <c r="E1157" s="17">
        <v>42</v>
      </c>
      <c r="F1157" s="24">
        <v>3.5175879396984924E-2</v>
      </c>
    </row>
    <row r="1158" spans="2:6" outlineLevel="2" x14ac:dyDescent="0.25">
      <c r="C1158" t="s">
        <v>22</v>
      </c>
      <c r="D1158" s="12">
        <v>1</v>
      </c>
      <c r="E1158" s="2">
        <v>1</v>
      </c>
      <c r="F1158" s="25">
        <v>6.6666666666666666E-2</v>
      </c>
    </row>
    <row r="1159" spans="2:6" outlineLevel="2" x14ac:dyDescent="0.25">
      <c r="C1159" t="s">
        <v>41</v>
      </c>
      <c r="D1159" s="12">
        <v>6</v>
      </c>
      <c r="E1159" s="2">
        <v>6</v>
      </c>
      <c r="F1159" s="25">
        <v>0.1111111111111111</v>
      </c>
    </row>
    <row r="1160" spans="2:6" outlineLevel="2" x14ac:dyDescent="0.25">
      <c r="C1160" t="s">
        <v>23</v>
      </c>
      <c r="D1160" s="12">
        <v>1</v>
      </c>
      <c r="E1160" s="2">
        <v>1</v>
      </c>
      <c r="F1160" s="25">
        <v>4.5454545454545456E-2</v>
      </c>
    </row>
    <row r="1161" spans="2:6" outlineLevel="2" x14ac:dyDescent="0.25">
      <c r="C1161" t="s">
        <v>26</v>
      </c>
      <c r="D1161" s="12">
        <v>2</v>
      </c>
      <c r="E1161" s="2">
        <v>2</v>
      </c>
      <c r="F1161" s="25">
        <v>0.15384615384615385</v>
      </c>
    </row>
    <row r="1162" spans="2:6" outlineLevel="2" x14ac:dyDescent="0.25">
      <c r="C1162" t="s">
        <v>17</v>
      </c>
      <c r="D1162" s="12">
        <v>1</v>
      </c>
      <c r="E1162" s="2">
        <v>1</v>
      </c>
      <c r="F1162" s="25">
        <v>0.5</v>
      </c>
    </row>
    <row r="1163" spans="2:6" outlineLevel="2" x14ac:dyDescent="0.25">
      <c r="C1163" t="s">
        <v>13</v>
      </c>
      <c r="D1163" s="12">
        <v>3</v>
      </c>
      <c r="E1163" s="2">
        <v>3</v>
      </c>
      <c r="F1163" s="25">
        <v>1.4018691588785047E-2</v>
      </c>
    </row>
    <row r="1164" spans="2:6" outlineLevel="2" x14ac:dyDescent="0.25">
      <c r="C1164" t="s">
        <v>14</v>
      </c>
      <c r="D1164" s="12">
        <v>22</v>
      </c>
      <c r="E1164" s="2">
        <v>22</v>
      </c>
      <c r="F1164" s="25">
        <v>9.8214285714285712E-2</v>
      </c>
    </row>
    <row r="1165" spans="2:6" outlineLevel="2" x14ac:dyDescent="0.25">
      <c r="C1165" t="s">
        <v>28</v>
      </c>
      <c r="D1165" s="12">
        <v>2</v>
      </c>
      <c r="E1165" s="2">
        <v>2</v>
      </c>
      <c r="F1165" s="25">
        <v>0.22222222222222221</v>
      </c>
    </row>
    <row r="1166" spans="2:6" outlineLevel="2" x14ac:dyDescent="0.25">
      <c r="C1166" t="s">
        <v>15</v>
      </c>
      <c r="D1166" s="12">
        <v>2</v>
      </c>
      <c r="E1166" s="2">
        <v>2</v>
      </c>
      <c r="F1166" s="25">
        <v>2.564102564102564E-2</v>
      </c>
    </row>
    <row r="1167" spans="2:6" outlineLevel="2" x14ac:dyDescent="0.25">
      <c r="C1167" t="s">
        <v>31</v>
      </c>
      <c r="D1167" s="12">
        <v>1</v>
      </c>
      <c r="E1167" s="2">
        <v>1</v>
      </c>
      <c r="F1167" s="25">
        <v>4.5454545454545456E-2</v>
      </c>
    </row>
    <row r="1168" spans="2:6" outlineLevel="2" x14ac:dyDescent="0.25">
      <c r="C1168" t="s">
        <v>48</v>
      </c>
      <c r="D1168" s="12">
        <v>1</v>
      </c>
      <c r="E1168" s="2">
        <v>1</v>
      </c>
      <c r="F1168" s="25">
        <v>0.5</v>
      </c>
    </row>
    <row r="1169" spans="2:6" outlineLevel="1" x14ac:dyDescent="0.25">
      <c r="B1169" t="s">
        <v>219</v>
      </c>
      <c r="D1169" s="12"/>
      <c r="E1169" s="17">
        <v>2</v>
      </c>
      <c r="F1169" s="24">
        <v>1.6750418760469012E-3</v>
      </c>
    </row>
    <row r="1170" spans="2:6" outlineLevel="2" x14ac:dyDescent="0.25">
      <c r="C1170" t="s">
        <v>37</v>
      </c>
      <c r="D1170" s="12">
        <v>2</v>
      </c>
      <c r="E1170" s="2">
        <v>2</v>
      </c>
      <c r="F1170" s="25">
        <v>0.33333333333333331</v>
      </c>
    </row>
    <row r="1171" spans="2:6" outlineLevel="1" x14ac:dyDescent="0.25">
      <c r="B1171" t="s">
        <v>220</v>
      </c>
      <c r="D1171" s="12"/>
      <c r="E1171" s="17">
        <v>114</v>
      </c>
      <c r="F1171" s="24">
        <v>9.5477386934673364E-2</v>
      </c>
    </row>
    <row r="1172" spans="2:6" outlineLevel="2" x14ac:dyDescent="0.25">
      <c r="C1172" t="s">
        <v>22</v>
      </c>
      <c r="D1172" s="12">
        <v>1</v>
      </c>
      <c r="E1172" s="2">
        <v>1</v>
      </c>
      <c r="F1172" s="25">
        <v>6.6666666666666666E-2</v>
      </c>
    </row>
    <row r="1173" spans="2:6" outlineLevel="2" x14ac:dyDescent="0.25">
      <c r="C1173" t="s">
        <v>47</v>
      </c>
      <c r="D1173" s="12">
        <v>1</v>
      </c>
      <c r="E1173" s="2">
        <v>1</v>
      </c>
      <c r="F1173" s="25">
        <v>2.564102564102564E-2</v>
      </c>
    </row>
    <row r="1174" spans="2:6" outlineLevel="2" x14ac:dyDescent="0.25">
      <c r="C1174" t="s">
        <v>12</v>
      </c>
      <c r="D1174" s="12">
        <v>14</v>
      </c>
      <c r="E1174" s="2">
        <v>14</v>
      </c>
      <c r="F1174" s="25">
        <v>0.58333333333333337</v>
      </c>
    </row>
    <row r="1175" spans="2:6" outlineLevel="2" x14ac:dyDescent="0.25">
      <c r="C1175" t="s">
        <v>13</v>
      </c>
      <c r="D1175" s="12">
        <v>67</v>
      </c>
      <c r="E1175" s="2">
        <v>67</v>
      </c>
      <c r="F1175" s="25">
        <v>0.31308411214953269</v>
      </c>
    </row>
    <row r="1176" spans="2:6" outlineLevel="2" x14ac:dyDescent="0.25">
      <c r="C1176" t="s">
        <v>14</v>
      </c>
      <c r="D1176" s="12">
        <v>22</v>
      </c>
      <c r="E1176" s="2">
        <v>22</v>
      </c>
      <c r="F1176" s="25">
        <v>9.8214285714285712E-2</v>
      </c>
    </row>
    <row r="1177" spans="2:6" outlineLevel="2" x14ac:dyDescent="0.25">
      <c r="C1177" t="s">
        <v>15</v>
      </c>
      <c r="D1177" s="12">
        <v>9</v>
      </c>
      <c r="E1177" s="2">
        <v>9</v>
      </c>
      <c r="F1177" s="25">
        <v>0.11538461538461539</v>
      </c>
    </row>
    <row r="1178" spans="2:6" outlineLevel="1" x14ac:dyDescent="0.25">
      <c r="B1178" t="s">
        <v>221</v>
      </c>
      <c r="D1178" s="12"/>
      <c r="E1178" s="17">
        <v>42</v>
      </c>
      <c r="F1178" s="24">
        <v>3.5175879396984924E-2</v>
      </c>
    </row>
    <row r="1179" spans="2:6" outlineLevel="2" x14ac:dyDescent="0.25">
      <c r="C1179" t="s">
        <v>43</v>
      </c>
      <c r="D1179" s="12">
        <v>2</v>
      </c>
      <c r="E1179" s="2">
        <v>2</v>
      </c>
      <c r="F1179" s="25">
        <v>0.125</v>
      </c>
    </row>
    <row r="1180" spans="2:6" outlineLevel="2" x14ac:dyDescent="0.25">
      <c r="C1180" t="s">
        <v>33</v>
      </c>
      <c r="D1180" s="12">
        <v>1</v>
      </c>
      <c r="E1180" s="2">
        <v>1</v>
      </c>
      <c r="F1180" s="25">
        <v>4.5454545454545456E-2</v>
      </c>
    </row>
    <row r="1181" spans="2:6" outlineLevel="2" x14ac:dyDescent="0.25">
      <c r="C1181" t="s">
        <v>34</v>
      </c>
      <c r="D1181" s="12">
        <v>1</v>
      </c>
      <c r="E1181" s="2">
        <v>1</v>
      </c>
      <c r="F1181" s="25">
        <v>0.25</v>
      </c>
    </row>
    <row r="1182" spans="2:6" outlineLevel="2" x14ac:dyDescent="0.25">
      <c r="C1182" t="s">
        <v>12</v>
      </c>
      <c r="D1182" s="12">
        <v>4</v>
      </c>
      <c r="E1182" s="2">
        <v>4</v>
      </c>
      <c r="F1182" s="25">
        <v>0.16666666666666666</v>
      </c>
    </row>
    <row r="1183" spans="2:6" outlineLevel="2" x14ac:dyDescent="0.25">
      <c r="C1183" t="s">
        <v>13</v>
      </c>
      <c r="D1183" s="12">
        <v>24</v>
      </c>
      <c r="E1183" s="2">
        <v>24</v>
      </c>
      <c r="F1183" s="25">
        <v>0.11214953271028037</v>
      </c>
    </row>
    <row r="1184" spans="2:6" outlineLevel="2" x14ac:dyDescent="0.25">
      <c r="C1184" t="s">
        <v>53</v>
      </c>
      <c r="D1184" s="12">
        <v>1</v>
      </c>
      <c r="E1184" s="2">
        <v>1</v>
      </c>
      <c r="F1184" s="25">
        <v>0.1</v>
      </c>
    </row>
    <row r="1185" spans="2:6" outlineLevel="2" x14ac:dyDescent="0.25">
      <c r="C1185" t="s">
        <v>20</v>
      </c>
      <c r="D1185" s="12">
        <v>2</v>
      </c>
      <c r="E1185" s="2">
        <v>2</v>
      </c>
      <c r="F1185" s="25">
        <v>9.0909090909090912E-2</v>
      </c>
    </row>
    <row r="1186" spans="2:6" outlineLevel="2" x14ac:dyDescent="0.25">
      <c r="C1186" t="s">
        <v>21</v>
      </c>
      <c r="D1186" s="12">
        <v>4</v>
      </c>
      <c r="E1186" s="2">
        <v>4</v>
      </c>
      <c r="F1186" s="25">
        <v>0.44444444444444442</v>
      </c>
    </row>
    <row r="1187" spans="2:6" outlineLevel="2" x14ac:dyDescent="0.25">
      <c r="C1187" t="s">
        <v>15</v>
      </c>
      <c r="D1187" s="12">
        <v>3</v>
      </c>
      <c r="E1187" s="2">
        <v>3</v>
      </c>
      <c r="F1187" s="25">
        <v>3.8461538461538464E-2</v>
      </c>
    </row>
    <row r="1188" spans="2:6" outlineLevel="1" x14ac:dyDescent="0.25">
      <c r="B1188" t="s">
        <v>222</v>
      </c>
      <c r="D1188" s="12"/>
      <c r="E1188" s="17">
        <v>22</v>
      </c>
      <c r="F1188" s="24">
        <v>1.8425460636515914E-2</v>
      </c>
    </row>
    <row r="1189" spans="2:6" outlineLevel="2" x14ac:dyDescent="0.25">
      <c r="C1189" t="s">
        <v>41</v>
      </c>
      <c r="D1189" s="12">
        <v>5</v>
      </c>
      <c r="E1189" s="2">
        <v>5</v>
      </c>
      <c r="F1189" s="25">
        <v>9.2592592592592587E-2</v>
      </c>
    </row>
    <row r="1190" spans="2:6" outlineLevel="2" x14ac:dyDescent="0.25">
      <c r="C1190" t="s">
        <v>42</v>
      </c>
      <c r="D1190" s="12">
        <v>17</v>
      </c>
      <c r="E1190" s="2">
        <v>17</v>
      </c>
      <c r="F1190" s="25">
        <v>0.4358974358974359</v>
      </c>
    </row>
    <row r="1191" spans="2:6" outlineLevel="1" x14ac:dyDescent="0.25">
      <c r="B1191" t="s">
        <v>223</v>
      </c>
      <c r="D1191" s="12"/>
      <c r="E1191" s="17">
        <v>17</v>
      </c>
      <c r="F1191" s="24">
        <v>1.423785594639866E-2</v>
      </c>
    </row>
    <row r="1192" spans="2:6" outlineLevel="2" x14ac:dyDescent="0.25">
      <c r="C1192" t="s">
        <v>33</v>
      </c>
      <c r="D1192" s="12">
        <v>1</v>
      </c>
      <c r="E1192" s="2">
        <v>1</v>
      </c>
      <c r="F1192" s="25">
        <v>4.5454545454545456E-2</v>
      </c>
    </row>
    <row r="1193" spans="2:6" outlineLevel="2" x14ac:dyDescent="0.25">
      <c r="C1193" t="s">
        <v>16</v>
      </c>
      <c r="D1193" s="12">
        <v>2</v>
      </c>
      <c r="E1193" s="2">
        <v>2</v>
      </c>
      <c r="F1193" s="25">
        <v>0.25</v>
      </c>
    </row>
    <row r="1194" spans="2:6" outlineLevel="2" x14ac:dyDescent="0.25">
      <c r="C1194" t="s">
        <v>11</v>
      </c>
      <c r="D1194" s="12">
        <v>1</v>
      </c>
      <c r="E1194" s="2">
        <v>1</v>
      </c>
      <c r="F1194" s="25">
        <v>7.1428571428571425E-2</v>
      </c>
    </row>
    <row r="1195" spans="2:6" outlineLevel="2" x14ac:dyDescent="0.25">
      <c r="C1195" t="s">
        <v>14</v>
      </c>
      <c r="D1195" s="12">
        <v>12</v>
      </c>
      <c r="E1195" s="2">
        <v>12</v>
      </c>
      <c r="F1195" s="25">
        <v>5.3571428571428568E-2</v>
      </c>
    </row>
    <row r="1196" spans="2:6" outlineLevel="2" x14ac:dyDescent="0.25">
      <c r="C1196" t="s">
        <v>15</v>
      </c>
      <c r="D1196" s="12">
        <v>1</v>
      </c>
      <c r="E1196" s="2">
        <v>1</v>
      </c>
      <c r="F1196" s="25">
        <v>1.282051282051282E-2</v>
      </c>
    </row>
    <row r="1197" spans="2:6" outlineLevel="1" x14ac:dyDescent="0.25">
      <c r="B1197" t="s">
        <v>224</v>
      </c>
      <c r="D1197" s="12"/>
      <c r="E1197" s="17">
        <v>10</v>
      </c>
      <c r="F1197" s="24">
        <v>8.3752093802345051E-3</v>
      </c>
    </row>
    <row r="1198" spans="2:6" outlineLevel="2" x14ac:dyDescent="0.25">
      <c r="C1198" t="s">
        <v>23</v>
      </c>
      <c r="D1198" s="12">
        <v>9</v>
      </c>
      <c r="E1198" s="2">
        <v>9</v>
      </c>
      <c r="F1198" s="25">
        <v>0.40909090909090912</v>
      </c>
    </row>
    <row r="1199" spans="2:6" outlineLevel="2" x14ac:dyDescent="0.25">
      <c r="C1199" t="s">
        <v>17</v>
      </c>
      <c r="D1199" s="12">
        <v>1</v>
      </c>
      <c r="E1199" s="2">
        <v>1</v>
      </c>
      <c r="F1199" s="25">
        <v>0.5</v>
      </c>
    </row>
    <row r="1200" spans="2:6" outlineLevel="1" x14ac:dyDescent="0.25">
      <c r="B1200" t="s">
        <v>225</v>
      </c>
      <c r="D1200" s="12"/>
      <c r="E1200" s="17">
        <v>24</v>
      </c>
      <c r="F1200" s="24">
        <v>2.0100502512562814E-2</v>
      </c>
    </row>
    <row r="1201" spans="2:6" outlineLevel="2" x14ac:dyDescent="0.25">
      <c r="C1201" t="s">
        <v>41</v>
      </c>
      <c r="D1201" s="12">
        <v>6</v>
      </c>
      <c r="E1201" s="2">
        <v>6</v>
      </c>
      <c r="F1201" s="25">
        <v>0.1111111111111111</v>
      </c>
    </row>
    <row r="1202" spans="2:6" outlineLevel="2" x14ac:dyDescent="0.25">
      <c r="C1202" t="s">
        <v>47</v>
      </c>
      <c r="D1202" s="12">
        <v>7</v>
      </c>
      <c r="E1202" s="2">
        <v>7</v>
      </c>
      <c r="F1202" s="25">
        <v>0.17948717948717949</v>
      </c>
    </row>
    <row r="1203" spans="2:6" outlineLevel="2" x14ac:dyDescent="0.25">
      <c r="C1203" t="s">
        <v>18</v>
      </c>
      <c r="D1203" s="12">
        <v>4</v>
      </c>
      <c r="E1203" s="2">
        <v>4</v>
      </c>
      <c r="F1203" s="25">
        <v>0.10526315789473684</v>
      </c>
    </row>
    <row r="1204" spans="2:6" outlineLevel="2" x14ac:dyDescent="0.25">
      <c r="C1204" t="s">
        <v>14</v>
      </c>
      <c r="D1204" s="12">
        <v>6</v>
      </c>
      <c r="E1204" s="2">
        <v>6</v>
      </c>
      <c r="F1204" s="25">
        <v>2.6785714285714284E-2</v>
      </c>
    </row>
    <row r="1205" spans="2:6" outlineLevel="2" x14ac:dyDescent="0.25">
      <c r="C1205" t="s">
        <v>15</v>
      </c>
      <c r="D1205" s="12">
        <v>1</v>
      </c>
      <c r="E1205" s="2">
        <v>1</v>
      </c>
      <c r="F1205" s="25">
        <v>1.282051282051282E-2</v>
      </c>
    </row>
    <row r="1206" spans="2:6" outlineLevel="1" x14ac:dyDescent="0.25">
      <c r="B1206" t="s">
        <v>226</v>
      </c>
      <c r="D1206" s="12"/>
      <c r="E1206" s="17">
        <v>4</v>
      </c>
      <c r="F1206" s="24">
        <v>3.3500837520938024E-3</v>
      </c>
    </row>
    <row r="1207" spans="2:6" outlineLevel="2" x14ac:dyDescent="0.25">
      <c r="C1207" t="s">
        <v>13</v>
      </c>
      <c r="D1207" s="12">
        <v>4</v>
      </c>
      <c r="E1207" s="2">
        <v>4</v>
      </c>
      <c r="F1207" s="25">
        <v>1.8691588785046728E-2</v>
      </c>
    </row>
    <row r="1208" spans="2:6" outlineLevel="1" x14ac:dyDescent="0.25">
      <c r="B1208" t="s">
        <v>227</v>
      </c>
      <c r="D1208" s="12"/>
      <c r="E1208" s="17">
        <v>131</v>
      </c>
      <c r="F1208" s="24">
        <v>0.10971524288107203</v>
      </c>
    </row>
    <row r="1209" spans="2:6" outlineLevel="2" x14ac:dyDescent="0.25">
      <c r="C1209" t="s">
        <v>42</v>
      </c>
      <c r="D1209" s="12">
        <v>25</v>
      </c>
      <c r="E1209" s="2">
        <v>25</v>
      </c>
      <c r="F1209" s="25">
        <v>0.64102564102564108</v>
      </c>
    </row>
    <row r="1210" spans="2:6" outlineLevel="2" x14ac:dyDescent="0.25">
      <c r="C1210" t="s">
        <v>33</v>
      </c>
      <c r="D1210" s="12">
        <v>1</v>
      </c>
      <c r="E1210" s="2">
        <v>1</v>
      </c>
      <c r="F1210" s="25">
        <v>4.5454545454545456E-2</v>
      </c>
    </row>
    <row r="1211" spans="2:6" outlineLevel="2" x14ac:dyDescent="0.25">
      <c r="C1211" t="s">
        <v>16</v>
      </c>
      <c r="D1211" s="12">
        <v>5</v>
      </c>
      <c r="E1211" s="2">
        <v>5</v>
      </c>
      <c r="F1211" s="25">
        <v>0.625</v>
      </c>
    </row>
    <row r="1212" spans="2:6" outlineLevel="2" x14ac:dyDescent="0.25">
      <c r="C1212" t="s">
        <v>18</v>
      </c>
      <c r="D1212" s="12">
        <v>4</v>
      </c>
      <c r="E1212" s="2">
        <v>4</v>
      </c>
      <c r="F1212" s="25">
        <v>0.10526315789473684</v>
      </c>
    </row>
    <row r="1213" spans="2:6" outlineLevel="2" x14ac:dyDescent="0.25">
      <c r="C1213" t="s">
        <v>11</v>
      </c>
      <c r="D1213" s="12">
        <v>7</v>
      </c>
      <c r="E1213" s="2">
        <v>7</v>
      </c>
      <c r="F1213" s="25">
        <v>0.5</v>
      </c>
    </row>
    <row r="1214" spans="2:6" outlineLevel="2" x14ac:dyDescent="0.25">
      <c r="C1214" t="s">
        <v>36</v>
      </c>
      <c r="D1214" s="12">
        <v>1</v>
      </c>
      <c r="E1214" s="2">
        <v>1</v>
      </c>
      <c r="F1214" s="25">
        <v>0.25</v>
      </c>
    </row>
    <row r="1215" spans="2:6" outlineLevel="2" x14ac:dyDescent="0.25">
      <c r="C1215" t="s">
        <v>14</v>
      </c>
      <c r="D1215" s="12">
        <v>49</v>
      </c>
      <c r="E1215" s="2">
        <v>49</v>
      </c>
      <c r="F1215" s="25">
        <v>0.21875</v>
      </c>
    </row>
    <row r="1216" spans="2:6" outlineLevel="2" x14ac:dyDescent="0.25">
      <c r="C1216" t="s">
        <v>37</v>
      </c>
      <c r="D1216" s="12">
        <v>1</v>
      </c>
      <c r="E1216" s="2">
        <v>1</v>
      </c>
      <c r="F1216" s="25">
        <v>0.16666666666666666</v>
      </c>
    </row>
    <row r="1217" spans="2:6" outlineLevel="2" x14ac:dyDescent="0.25">
      <c r="C1217" t="s">
        <v>38</v>
      </c>
      <c r="D1217" s="12">
        <v>4</v>
      </c>
      <c r="E1217" s="2">
        <v>4</v>
      </c>
      <c r="F1217" s="25">
        <v>0.2</v>
      </c>
    </row>
    <row r="1218" spans="2:6" outlineLevel="2" x14ac:dyDescent="0.25">
      <c r="C1218" t="s">
        <v>20</v>
      </c>
      <c r="D1218" s="12">
        <v>2</v>
      </c>
      <c r="E1218" s="2">
        <v>2</v>
      </c>
      <c r="F1218" s="25">
        <v>9.0909090909090912E-2</v>
      </c>
    </row>
    <row r="1219" spans="2:6" outlineLevel="2" x14ac:dyDescent="0.25">
      <c r="C1219" t="s">
        <v>28</v>
      </c>
      <c r="D1219" s="12">
        <v>2</v>
      </c>
      <c r="E1219" s="2">
        <v>2</v>
      </c>
      <c r="F1219" s="25">
        <v>0.22222222222222221</v>
      </c>
    </row>
    <row r="1220" spans="2:6" outlineLevel="2" x14ac:dyDescent="0.25">
      <c r="C1220" t="s">
        <v>15</v>
      </c>
      <c r="D1220" s="12">
        <v>19</v>
      </c>
      <c r="E1220" s="2">
        <v>19</v>
      </c>
      <c r="F1220" s="25">
        <v>0.24358974358974358</v>
      </c>
    </row>
    <row r="1221" spans="2:6" outlineLevel="2" x14ac:dyDescent="0.25">
      <c r="C1221" t="s">
        <v>31</v>
      </c>
      <c r="D1221" s="12">
        <v>4</v>
      </c>
      <c r="E1221" s="2">
        <v>4</v>
      </c>
      <c r="F1221" s="25">
        <v>0.18181818181818182</v>
      </c>
    </row>
    <row r="1222" spans="2:6" outlineLevel="2" x14ac:dyDescent="0.25">
      <c r="C1222" t="s">
        <v>48</v>
      </c>
      <c r="D1222" s="12">
        <v>1</v>
      </c>
      <c r="E1222" s="2">
        <v>1</v>
      </c>
      <c r="F1222" s="25">
        <v>0.5</v>
      </c>
    </row>
    <row r="1223" spans="2:6" outlineLevel="2" x14ac:dyDescent="0.25">
      <c r="C1223" t="s">
        <v>39</v>
      </c>
      <c r="D1223" s="12">
        <v>5</v>
      </c>
      <c r="E1223" s="2">
        <v>5</v>
      </c>
      <c r="F1223" s="25">
        <v>0.5</v>
      </c>
    </row>
    <row r="1224" spans="2:6" outlineLevel="2" x14ac:dyDescent="0.25">
      <c r="C1224" t="s">
        <v>40</v>
      </c>
      <c r="D1224" s="12">
        <v>1</v>
      </c>
      <c r="E1224" s="2">
        <v>1</v>
      </c>
      <c r="F1224" s="25">
        <v>0.1111111111111111</v>
      </c>
    </row>
    <row r="1225" spans="2:6" outlineLevel="1" x14ac:dyDescent="0.25">
      <c r="B1225" t="s">
        <v>228</v>
      </c>
      <c r="D1225" s="12"/>
      <c r="E1225" s="17">
        <v>179</v>
      </c>
      <c r="F1225" s="24">
        <v>0.14991624790619765</v>
      </c>
    </row>
    <row r="1226" spans="2:6" outlineLevel="2" x14ac:dyDescent="0.25">
      <c r="C1226" t="s">
        <v>45</v>
      </c>
      <c r="D1226" s="12">
        <v>1</v>
      </c>
      <c r="E1226" s="2">
        <v>1</v>
      </c>
      <c r="F1226" s="25">
        <v>0.25</v>
      </c>
    </row>
    <row r="1227" spans="2:6" outlineLevel="2" x14ac:dyDescent="0.25">
      <c r="C1227" t="s">
        <v>22</v>
      </c>
      <c r="D1227" s="12">
        <v>5</v>
      </c>
      <c r="E1227" s="2">
        <v>5</v>
      </c>
      <c r="F1227" s="25">
        <v>0.33333333333333331</v>
      </c>
    </row>
    <row r="1228" spans="2:6" outlineLevel="2" x14ac:dyDescent="0.25">
      <c r="C1228" t="s">
        <v>30</v>
      </c>
      <c r="D1228" s="12">
        <v>1</v>
      </c>
      <c r="E1228" s="2">
        <v>1</v>
      </c>
      <c r="F1228" s="25">
        <v>0.16666666666666666</v>
      </c>
    </row>
    <row r="1229" spans="2:6" outlineLevel="2" x14ac:dyDescent="0.25">
      <c r="C1229" t="s">
        <v>32</v>
      </c>
      <c r="D1229" s="12">
        <v>12</v>
      </c>
      <c r="E1229" s="2">
        <v>12</v>
      </c>
      <c r="F1229" s="25">
        <v>0.25</v>
      </c>
    </row>
    <row r="1230" spans="2:6" outlineLevel="2" x14ac:dyDescent="0.25">
      <c r="C1230" t="s">
        <v>42</v>
      </c>
      <c r="D1230" s="12">
        <v>31</v>
      </c>
      <c r="E1230" s="2">
        <v>31</v>
      </c>
      <c r="F1230" s="25">
        <v>0.79487179487179482</v>
      </c>
    </row>
    <row r="1231" spans="2:6" outlineLevel="2" x14ac:dyDescent="0.25">
      <c r="C1231" t="s">
        <v>47</v>
      </c>
      <c r="D1231" s="12">
        <v>5</v>
      </c>
      <c r="E1231" s="2">
        <v>5</v>
      </c>
      <c r="F1231" s="25">
        <v>0.12820512820512819</v>
      </c>
    </row>
    <row r="1232" spans="2:6" outlineLevel="2" x14ac:dyDescent="0.25">
      <c r="C1232" t="s">
        <v>23</v>
      </c>
      <c r="D1232" s="12">
        <v>6</v>
      </c>
      <c r="E1232" s="2">
        <v>6</v>
      </c>
      <c r="F1232" s="25">
        <v>0.27272727272727271</v>
      </c>
    </row>
    <row r="1233" spans="2:6" outlineLevel="2" x14ac:dyDescent="0.25">
      <c r="C1233" t="s">
        <v>16</v>
      </c>
      <c r="D1233" s="12">
        <v>1</v>
      </c>
      <c r="E1233" s="2">
        <v>1</v>
      </c>
      <c r="F1233" s="25">
        <v>0.125</v>
      </c>
    </row>
    <row r="1234" spans="2:6" outlineLevel="2" x14ac:dyDescent="0.25">
      <c r="C1234" t="s">
        <v>17</v>
      </c>
      <c r="D1234" s="12">
        <v>1</v>
      </c>
      <c r="E1234" s="2">
        <v>1</v>
      </c>
      <c r="F1234" s="25">
        <v>0.5</v>
      </c>
    </row>
    <row r="1235" spans="2:6" outlineLevel="2" x14ac:dyDescent="0.25">
      <c r="C1235" t="s">
        <v>18</v>
      </c>
      <c r="D1235" s="12">
        <v>3</v>
      </c>
      <c r="E1235" s="2">
        <v>3</v>
      </c>
      <c r="F1235" s="25">
        <v>7.8947368421052627E-2</v>
      </c>
    </row>
    <row r="1236" spans="2:6" outlineLevel="2" x14ac:dyDescent="0.25">
      <c r="C1236" t="s">
        <v>11</v>
      </c>
      <c r="D1236" s="12">
        <v>7</v>
      </c>
      <c r="E1236" s="2">
        <v>7</v>
      </c>
      <c r="F1236" s="25">
        <v>0.5</v>
      </c>
    </row>
    <row r="1237" spans="2:6" outlineLevel="2" x14ac:dyDescent="0.25">
      <c r="C1237" t="s">
        <v>36</v>
      </c>
      <c r="D1237" s="12">
        <v>1</v>
      </c>
      <c r="E1237" s="2">
        <v>1</v>
      </c>
      <c r="F1237" s="25">
        <v>0.25</v>
      </c>
    </row>
    <row r="1238" spans="2:6" outlineLevel="2" x14ac:dyDescent="0.25">
      <c r="C1238" t="s">
        <v>14</v>
      </c>
      <c r="D1238" s="12">
        <v>60</v>
      </c>
      <c r="E1238" s="2">
        <v>60</v>
      </c>
      <c r="F1238" s="25">
        <v>0.26785714285714285</v>
      </c>
    </row>
    <row r="1239" spans="2:6" outlineLevel="2" x14ac:dyDescent="0.25">
      <c r="C1239" t="s">
        <v>37</v>
      </c>
      <c r="D1239" s="12">
        <v>3</v>
      </c>
      <c r="E1239" s="2">
        <v>3</v>
      </c>
      <c r="F1239" s="25">
        <v>0.5</v>
      </c>
    </row>
    <row r="1240" spans="2:6" outlineLevel="2" x14ac:dyDescent="0.25">
      <c r="C1240" t="s">
        <v>19</v>
      </c>
      <c r="D1240" s="12">
        <v>1</v>
      </c>
      <c r="E1240" s="2">
        <v>1</v>
      </c>
      <c r="F1240" s="25">
        <v>1.9230769230769232E-2</v>
      </c>
    </row>
    <row r="1241" spans="2:6" outlineLevel="2" x14ac:dyDescent="0.25">
      <c r="C1241" t="s">
        <v>38</v>
      </c>
      <c r="D1241" s="12">
        <v>9</v>
      </c>
      <c r="E1241" s="2">
        <v>9</v>
      </c>
      <c r="F1241" s="25">
        <v>0.45</v>
      </c>
    </row>
    <row r="1242" spans="2:6" outlineLevel="2" x14ac:dyDescent="0.25">
      <c r="C1242" t="s">
        <v>20</v>
      </c>
      <c r="D1242" s="12">
        <v>6</v>
      </c>
      <c r="E1242" s="2">
        <v>6</v>
      </c>
      <c r="F1242" s="25">
        <v>0.27272727272727271</v>
      </c>
    </row>
    <row r="1243" spans="2:6" outlineLevel="2" x14ac:dyDescent="0.25">
      <c r="C1243" t="s">
        <v>28</v>
      </c>
      <c r="D1243" s="12">
        <v>1</v>
      </c>
      <c r="E1243" s="2">
        <v>1</v>
      </c>
      <c r="F1243" s="25">
        <v>0.1111111111111111</v>
      </c>
    </row>
    <row r="1244" spans="2:6" outlineLevel="2" x14ac:dyDescent="0.25">
      <c r="C1244" t="s">
        <v>15</v>
      </c>
      <c r="D1244" s="12">
        <v>23</v>
      </c>
      <c r="E1244" s="2">
        <v>23</v>
      </c>
      <c r="F1244" s="25">
        <v>0.29487179487179488</v>
      </c>
    </row>
    <row r="1245" spans="2:6" outlineLevel="2" x14ac:dyDescent="0.25">
      <c r="C1245" t="s">
        <v>31</v>
      </c>
      <c r="D1245" s="12">
        <v>1</v>
      </c>
      <c r="E1245" s="2">
        <v>1</v>
      </c>
      <c r="F1245" s="25">
        <v>4.5454545454545456E-2</v>
      </c>
    </row>
    <row r="1246" spans="2:6" outlineLevel="2" x14ac:dyDescent="0.25">
      <c r="C1246" t="s">
        <v>48</v>
      </c>
      <c r="D1246" s="12">
        <v>1</v>
      </c>
      <c r="E1246" s="2">
        <v>1</v>
      </c>
      <c r="F1246" s="25">
        <v>0.5</v>
      </c>
    </row>
    <row r="1247" spans="2:6" outlineLevel="1" x14ac:dyDescent="0.25">
      <c r="B1247" t="s">
        <v>229</v>
      </c>
      <c r="D1247" s="12"/>
      <c r="E1247" s="17">
        <v>1</v>
      </c>
      <c r="F1247" s="24">
        <v>8.375209380234506E-4</v>
      </c>
    </row>
    <row r="1248" spans="2:6" outlineLevel="2" x14ac:dyDescent="0.25">
      <c r="C1248" t="s">
        <v>14</v>
      </c>
      <c r="D1248" s="12">
        <v>1</v>
      </c>
      <c r="E1248" s="2">
        <v>1</v>
      </c>
      <c r="F1248" s="25">
        <v>4.464285714285714E-3</v>
      </c>
    </row>
    <row r="1249" spans="1:6" outlineLevel="1" x14ac:dyDescent="0.25">
      <c r="B1249" t="s">
        <v>230</v>
      </c>
      <c r="D1249" s="12"/>
      <c r="E1249" s="17">
        <v>5</v>
      </c>
      <c r="F1249" s="24">
        <v>4.1876046901172526E-3</v>
      </c>
    </row>
    <row r="1250" spans="1:6" outlineLevel="2" x14ac:dyDescent="0.25">
      <c r="C1250" t="s">
        <v>47</v>
      </c>
      <c r="D1250" s="12">
        <v>5</v>
      </c>
      <c r="E1250" s="2">
        <v>5</v>
      </c>
      <c r="F1250" s="25">
        <v>0.12820512820512819</v>
      </c>
    </row>
    <row r="1251" spans="1:6" outlineLevel="1" x14ac:dyDescent="0.25">
      <c r="B1251" t="s">
        <v>231</v>
      </c>
      <c r="D1251" s="12"/>
      <c r="E1251" s="17">
        <v>12</v>
      </c>
      <c r="F1251" s="24">
        <v>1.0050251256281407E-2</v>
      </c>
    </row>
    <row r="1252" spans="1:6" outlineLevel="2" x14ac:dyDescent="0.25">
      <c r="C1252" t="s">
        <v>17</v>
      </c>
      <c r="D1252" s="12">
        <v>1</v>
      </c>
      <c r="E1252" s="2">
        <v>1</v>
      </c>
      <c r="F1252" s="25">
        <v>0.5</v>
      </c>
    </row>
    <row r="1253" spans="1:6" outlineLevel="2" x14ac:dyDescent="0.25">
      <c r="C1253" t="s">
        <v>38</v>
      </c>
      <c r="D1253" s="12">
        <v>11</v>
      </c>
      <c r="E1253" s="2">
        <v>11</v>
      </c>
      <c r="F1253" s="25">
        <v>0.55000000000000004</v>
      </c>
    </row>
    <row r="1254" spans="1:6" outlineLevel="1" x14ac:dyDescent="0.25">
      <c r="B1254" t="s">
        <v>232</v>
      </c>
      <c r="D1254" s="12"/>
      <c r="E1254" s="17">
        <v>15</v>
      </c>
      <c r="F1254" s="24">
        <v>1.2562814070351759E-2</v>
      </c>
    </row>
    <row r="1255" spans="1:6" outlineLevel="2" x14ac:dyDescent="0.25">
      <c r="C1255" t="s">
        <v>22</v>
      </c>
      <c r="D1255" s="12">
        <v>1</v>
      </c>
      <c r="E1255" s="2">
        <v>1</v>
      </c>
      <c r="F1255" s="25">
        <v>6.6666666666666666E-2</v>
      </c>
    </row>
    <row r="1256" spans="1:6" outlineLevel="2" x14ac:dyDescent="0.25">
      <c r="C1256" t="s">
        <v>42</v>
      </c>
      <c r="D1256" s="12">
        <v>1</v>
      </c>
      <c r="E1256" s="2">
        <v>1</v>
      </c>
      <c r="F1256" s="25">
        <v>2.564102564102564E-2</v>
      </c>
    </row>
    <row r="1257" spans="1:6" outlineLevel="2" x14ac:dyDescent="0.25">
      <c r="C1257" t="s">
        <v>18</v>
      </c>
      <c r="D1257" s="12">
        <v>1</v>
      </c>
      <c r="E1257" s="2">
        <v>1</v>
      </c>
      <c r="F1257" s="25">
        <v>2.6315789473684209E-2</v>
      </c>
    </row>
    <row r="1258" spans="1:6" outlineLevel="2" x14ac:dyDescent="0.25">
      <c r="C1258" t="s">
        <v>13</v>
      </c>
      <c r="D1258" s="12">
        <v>1</v>
      </c>
      <c r="E1258" s="2">
        <v>1</v>
      </c>
      <c r="F1258" s="25">
        <v>4.6728971962616819E-3</v>
      </c>
    </row>
    <row r="1259" spans="1:6" outlineLevel="2" x14ac:dyDescent="0.25">
      <c r="C1259" t="s">
        <v>14</v>
      </c>
      <c r="D1259" s="12">
        <v>3</v>
      </c>
      <c r="E1259" s="2">
        <v>3</v>
      </c>
      <c r="F1259" s="25">
        <v>1.3392857142857142E-2</v>
      </c>
    </row>
    <row r="1260" spans="1:6" outlineLevel="2" x14ac:dyDescent="0.25">
      <c r="C1260" t="s">
        <v>50</v>
      </c>
      <c r="D1260" s="12">
        <v>3</v>
      </c>
      <c r="E1260" s="2">
        <v>3</v>
      </c>
      <c r="F1260" s="25">
        <v>0.42857142857142855</v>
      </c>
    </row>
    <row r="1261" spans="1:6" outlineLevel="2" x14ac:dyDescent="0.25">
      <c r="C1261" t="s">
        <v>20</v>
      </c>
      <c r="D1261" s="12">
        <v>1</v>
      </c>
      <c r="E1261" s="2">
        <v>1</v>
      </c>
      <c r="F1261" s="25">
        <v>4.5454545454545456E-2</v>
      </c>
    </row>
    <row r="1262" spans="1:6" outlineLevel="2" x14ac:dyDescent="0.25">
      <c r="C1262" t="s">
        <v>28</v>
      </c>
      <c r="D1262" s="12">
        <v>2</v>
      </c>
      <c r="E1262" s="2">
        <v>2</v>
      </c>
      <c r="F1262" s="25">
        <v>0.22222222222222221</v>
      </c>
    </row>
    <row r="1263" spans="1:6" outlineLevel="2" x14ac:dyDescent="0.25">
      <c r="C1263" t="s">
        <v>31</v>
      </c>
      <c r="D1263" s="12">
        <v>2</v>
      </c>
      <c r="E1263" s="2">
        <v>2</v>
      </c>
      <c r="F1263" s="25">
        <v>9.0909090909090912E-2</v>
      </c>
    </row>
    <row r="1264" spans="1:6" x14ac:dyDescent="0.25">
      <c r="A1264" t="s">
        <v>4</v>
      </c>
      <c r="D1264" s="12"/>
      <c r="E1264" s="16">
        <v>887</v>
      </c>
      <c r="F1264" s="23">
        <v>3.0958333333333334E-2</v>
      </c>
    </row>
    <row r="1265" spans="2:6" outlineLevel="1" x14ac:dyDescent="0.25">
      <c r="B1265" t="s">
        <v>233</v>
      </c>
      <c r="D1265" s="12"/>
      <c r="E1265" s="17">
        <v>2</v>
      </c>
      <c r="F1265" s="24">
        <v>1.6750418760469012E-3</v>
      </c>
    </row>
    <row r="1266" spans="2:6" outlineLevel="2" x14ac:dyDescent="0.25">
      <c r="C1266" t="s">
        <v>43</v>
      </c>
      <c r="D1266" s="12">
        <v>2</v>
      </c>
      <c r="E1266" s="2">
        <v>2</v>
      </c>
      <c r="F1266" s="25">
        <v>0.125</v>
      </c>
    </row>
    <row r="1267" spans="2:6" outlineLevel="1" x14ac:dyDescent="0.25">
      <c r="B1267" t="s">
        <v>234</v>
      </c>
      <c r="D1267" s="12"/>
      <c r="E1267" s="17">
        <v>36</v>
      </c>
      <c r="F1267" s="24">
        <v>3.015075376884422E-2</v>
      </c>
    </row>
    <row r="1268" spans="2:6" outlineLevel="2" x14ac:dyDescent="0.25">
      <c r="C1268" t="s">
        <v>22</v>
      </c>
      <c r="D1268" s="12">
        <v>1</v>
      </c>
      <c r="E1268" s="2">
        <v>1</v>
      </c>
      <c r="F1268" s="25">
        <v>6.6666666666666666E-2</v>
      </c>
    </row>
    <row r="1269" spans="2:6" outlineLevel="2" x14ac:dyDescent="0.25">
      <c r="C1269" t="s">
        <v>35</v>
      </c>
      <c r="D1269" s="12">
        <v>1</v>
      </c>
      <c r="E1269" s="2">
        <v>1</v>
      </c>
      <c r="F1269" s="25">
        <v>0.33333333333333331</v>
      </c>
    </row>
    <row r="1270" spans="2:6" outlineLevel="2" x14ac:dyDescent="0.25">
      <c r="C1270" t="s">
        <v>11</v>
      </c>
      <c r="D1270" s="12">
        <v>3</v>
      </c>
      <c r="E1270" s="2">
        <v>3</v>
      </c>
      <c r="F1270" s="25">
        <v>0.21428571428571427</v>
      </c>
    </row>
    <row r="1271" spans="2:6" outlineLevel="2" x14ac:dyDescent="0.25">
      <c r="C1271" t="s">
        <v>14</v>
      </c>
      <c r="D1271" s="12">
        <v>9</v>
      </c>
      <c r="E1271" s="2">
        <v>9</v>
      </c>
      <c r="F1271" s="25">
        <v>4.0178571428571432E-2</v>
      </c>
    </row>
    <row r="1272" spans="2:6" outlineLevel="2" x14ac:dyDescent="0.25">
      <c r="C1272" t="s">
        <v>19</v>
      </c>
      <c r="D1272" s="12">
        <v>17</v>
      </c>
      <c r="E1272" s="2">
        <v>17</v>
      </c>
      <c r="F1272" s="25">
        <v>0.32692307692307693</v>
      </c>
    </row>
    <row r="1273" spans="2:6" outlineLevel="2" x14ac:dyDescent="0.25">
      <c r="C1273" t="s">
        <v>15</v>
      </c>
      <c r="D1273" s="12">
        <v>2</v>
      </c>
      <c r="E1273" s="2">
        <v>2</v>
      </c>
      <c r="F1273" s="25">
        <v>2.564102564102564E-2</v>
      </c>
    </row>
    <row r="1274" spans="2:6" outlineLevel="2" x14ac:dyDescent="0.25">
      <c r="C1274" t="s">
        <v>40</v>
      </c>
      <c r="D1274" s="12">
        <v>3</v>
      </c>
      <c r="E1274" s="2">
        <v>3</v>
      </c>
      <c r="F1274" s="25">
        <v>0.33333333333333331</v>
      </c>
    </row>
    <row r="1275" spans="2:6" outlineLevel="1" x14ac:dyDescent="0.25">
      <c r="B1275" t="s">
        <v>235</v>
      </c>
      <c r="D1275" s="12"/>
      <c r="E1275" s="17">
        <v>14</v>
      </c>
      <c r="F1275" s="24">
        <v>1.1725293132328308E-2</v>
      </c>
    </row>
    <row r="1276" spans="2:6" outlineLevel="2" x14ac:dyDescent="0.25">
      <c r="C1276" t="s">
        <v>22</v>
      </c>
      <c r="D1276" s="12">
        <v>1</v>
      </c>
      <c r="E1276" s="2">
        <v>1</v>
      </c>
      <c r="F1276" s="25">
        <v>6.6666666666666666E-2</v>
      </c>
    </row>
    <row r="1277" spans="2:6" outlineLevel="2" x14ac:dyDescent="0.25">
      <c r="C1277" t="s">
        <v>41</v>
      </c>
      <c r="D1277" s="12">
        <v>9</v>
      </c>
      <c r="E1277" s="2">
        <v>9</v>
      </c>
      <c r="F1277" s="25">
        <v>0.16666666666666666</v>
      </c>
    </row>
    <row r="1278" spans="2:6" outlineLevel="2" x14ac:dyDescent="0.25">
      <c r="C1278" t="s">
        <v>14</v>
      </c>
      <c r="D1278" s="12">
        <v>3</v>
      </c>
      <c r="E1278" s="2">
        <v>3</v>
      </c>
      <c r="F1278" s="25">
        <v>1.3392857142857142E-2</v>
      </c>
    </row>
    <row r="1279" spans="2:6" outlineLevel="2" x14ac:dyDescent="0.25">
      <c r="C1279" t="s">
        <v>20</v>
      </c>
      <c r="D1279" s="12">
        <v>1</v>
      </c>
      <c r="E1279" s="2">
        <v>1</v>
      </c>
      <c r="F1279" s="25">
        <v>4.5454545454545456E-2</v>
      </c>
    </row>
    <row r="1280" spans="2:6" outlineLevel="1" x14ac:dyDescent="0.25">
      <c r="B1280" t="s">
        <v>236</v>
      </c>
      <c r="D1280" s="12"/>
      <c r="E1280" s="17">
        <v>30</v>
      </c>
      <c r="F1280" s="24">
        <v>2.5125628140703519E-2</v>
      </c>
    </row>
    <row r="1281" spans="2:6" outlineLevel="2" x14ac:dyDescent="0.25">
      <c r="C1281" t="s">
        <v>22</v>
      </c>
      <c r="D1281" s="12">
        <v>5</v>
      </c>
      <c r="E1281" s="2">
        <v>5</v>
      </c>
      <c r="F1281" s="25">
        <v>0.33333333333333331</v>
      </c>
    </row>
    <row r="1282" spans="2:6" outlineLevel="2" x14ac:dyDescent="0.25">
      <c r="C1282" t="s">
        <v>43</v>
      </c>
      <c r="D1282" s="12">
        <v>3</v>
      </c>
      <c r="E1282" s="2">
        <v>3</v>
      </c>
      <c r="F1282" s="25">
        <v>0.1875</v>
      </c>
    </row>
    <row r="1283" spans="2:6" outlineLevel="2" x14ac:dyDescent="0.25">
      <c r="C1283" t="s">
        <v>33</v>
      </c>
      <c r="D1283" s="12">
        <v>2</v>
      </c>
      <c r="E1283" s="2">
        <v>2</v>
      </c>
      <c r="F1283" s="25">
        <v>9.0909090909090912E-2</v>
      </c>
    </row>
    <row r="1284" spans="2:6" outlineLevel="2" x14ac:dyDescent="0.25">
      <c r="C1284" t="s">
        <v>24</v>
      </c>
      <c r="D1284" s="12">
        <v>2</v>
      </c>
      <c r="E1284" s="2">
        <v>2</v>
      </c>
      <c r="F1284" s="25">
        <v>0.5</v>
      </c>
    </row>
    <row r="1285" spans="2:6" outlineLevel="2" x14ac:dyDescent="0.25">
      <c r="C1285" t="s">
        <v>17</v>
      </c>
      <c r="D1285" s="12">
        <v>1</v>
      </c>
      <c r="E1285" s="2">
        <v>1</v>
      </c>
      <c r="F1285" s="25">
        <v>0.5</v>
      </c>
    </row>
    <row r="1286" spans="2:6" outlineLevel="2" x14ac:dyDescent="0.25">
      <c r="C1286" t="s">
        <v>11</v>
      </c>
      <c r="D1286" s="12">
        <v>3</v>
      </c>
      <c r="E1286" s="2">
        <v>3</v>
      </c>
      <c r="F1286" s="25">
        <v>0.21428571428571427</v>
      </c>
    </row>
    <row r="1287" spans="2:6" outlineLevel="2" x14ac:dyDescent="0.25">
      <c r="C1287" t="s">
        <v>13</v>
      </c>
      <c r="D1287" s="12">
        <v>1</v>
      </c>
      <c r="E1287" s="2">
        <v>1</v>
      </c>
      <c r="F1287" s="25">
        <v>4.6728971962616819E-3</v>
      </c>
    </row>
    <row r="1288" spans="2:6" outlineLevel="2" x14ac:dyDescent="0.25">
      <c r="C1288" t="s">
        <v>37</v>
      </c>
      <c r="D1288" s="12">
        <v>2</v>
      </c>
      <c r="E1288" s="2">
        <v>2</v>
      </c>
      <c r="F1288" s="25">
        <v>0.33333333333333331</v>
      </c>
    </row>
    <row r="1289" spans="2:6" outlineLevel="2" x14ac:dyDescent="0.25">
      <c r="C1289" t="s">
        <v>20</v>
      </c>
      <c r="D1289" s="12">
        <v>2</v>
      </c>
      <c r="E1289" s="2">
        <v>2</v>
      </c>
      <c r="F1289" s="25">
        <v>9.0909090909090912E-2</v>
      </c>
    </row>
    <row r="1290" spans="2:6" outlineLevel="2" x14ac:dyDescent="0.25">
      <c r="C1290" t="s">
        <v>15</v>
      </c>
      <c r="D1290" s="12">
        <v>3</v>
      </c>
      <c r="E1290" s="2">
        <v>3</v>
      </c>
      <c r="F1290" s="25">
        <v>3.8461538461538464E-2</v>
      </c>
    </row>
    <row r="1291" spans="2:6" outlineLevel="2" x14ac:dyDescent="0.25">
      <c r="C1291" t="s">
        <v>31</v>
      </c>
      <c r="D1291" s="12">
        <v>6</v>
      </c>
      <c r="E1291" s="2">
        <v>6</v>
      </c>
      <c r="F1291" s="25">
        <v>0.27272727272727271</v>
      </c>
    </row>
    <row r="1292" spans="2:6" outlineLevel="1" x14ac:dyDescent="0.25">
      <c r="B1292" t="s">
        <v>237</v>
      </c>
      <c r="D1292" s="12"/>
      <c r="E1292" s="17">
        <v>31</v>
      </c>
      <c r="F1292" s="24">
        <v>2.5963149078726967E-2</v>
      </c>
    </row>
    <row r="1293" spans="2:6" outlineLevel="2" x14ac:dyDescent="0.25">
      <c r="C1293" t="s">
        <v>22</v>
      </c>
      <c r="D1293" s="12">
        <v>1</v>
      </c>
      <c r="E1293" s="2">
        <v>1</v>
      </c>
      <c r="F1293" s="25">
        <v>6.6666666666666666E-2</v>
      </c>
    </row>
    <row r="1294" spans="2:6" outlineLevel="2" x14ac:dyDescent="0.25">
      <c r="C1294" t="s">
        <v>30</v>
      </c>
      <c r="D1294" s="12">
        <v>1</v>
      </c>
      <c r="E1294" s="2">
        <v>1</v>
      </c>
      <c r="F1294" s="25">
        <v>0.16666666666666666</v>
      </c>
    </row>
    <row r="1295" spans="2:6" outlineLevel="2" x14ac:dyDescent="0.25">
      <c r="C1295" t="s">
        <v>41</v>
      </c>
      <c r="D1295" s="12">
        <v>1</v>
      </c>
      <c r="E1295" s="2">
        <v>1</v>
      </c>
      <c r="F1295" s="25">
        <v>1.8518518518518517E-2</v>
      </c>
    </row>
    <row r="1296" spans="2:6" outlineLevel="2" x14ac:dyDescent="0.25">
      <c r="C1296" t="s">
        <v>25</v>
      </c>
      <c r="D1296" s="12">
        <v>3</v>
      </c>
      <c r="E1296" s="2">
        <v>3</v>
      </c>
      <c r="F1296" s="25">
        <v>8.5714285714285715E-2</v>
      </c>
    </row>
    <row r="1297" spans="2:6" outlineLevel="2" x14ac:dyDescent="0.25">
      <c r="C1297" t="s">
        <v>33</v>
      </c>
      <c r="D1297" s="12">
        <v>1</v>
      </c>
      <c r="E1297" s="2">
        <v>1</v>
      </c>
      <c r="F1297" s="25">
        <v>4.5454545454545456E-2</v>
      </c>
    </row>
    <row r="1298" spans="2:6" outlineLevel="2" x14ac:dyDescent="0.25">
      <c r="C1298" t="s">
        <v>35</v>
      </c>
      <c r="D1298" s="12">
        <v>1</v>
      </c>
      <c r="E1298" s="2">
        <v>1</v>
      </c>
      <c r="F1298" s="25">
        <v>0.33333333333333331</v>
      </c>
    </row>
    <row r="1299" spans="2:6" outlineLevel="2" x14ac:dyDescent="0.25">
      <c r="C1299" t="s">
        <v>13</v>
      </c>
      <c r="D1299" s="12">
        <v>4</v>
      </c>
      <c r="E1299" s="2">
        <v>4</v>
      </c>
      <c r="F1299" s="25">
        <v>1.8691588785046728E-2</v>
      </c>
    </row>
    <row r="1300" spans="2:6" outlineLevel="2" x14ac:dyDescent="0.25">
      <c r="C1300" t="s">
        <v>14</v>
      </c>
      <c r="D1300" s="12">
        <v>10</v>
      </c>
      <c r="E1300" s="2">
        <v>10</v>
      </c>
      <c r="F1300" s="25">
        <v>4.4642857142857144E-2</v>
      </c>
    </row>
    <row r="1301" spans="2:6" outlineLevel="2" x14ac:dyDescent="0.25">
      <c r="C1301" t="s">
        <v>19</v>
      </c>
      <c r="D1301" s="12">
        <v>5</v>
      </c>
      <c r="E1301" s="2">
        <v>5</v>
      </c>
      <c r="F1301" s="25">
        <v>9.6153846153846159E-2</v>
      </c>
    </row>
    <row r="1302" spans="2:6" outlineLevel="2" x14ac:dyDescent="0.25">
      <c r="C1302" t="s">
        <v>20</v>
      </c>
      <c r="D1302" s="12">
        <v>1</v>
      </c>
      <c r="E1302" s="2">
        <v>1</v>
      </c>
      <c r="F1302" s="25">
        <v>4.5454545454545456E-2</v>
      </c>
    </row>
    <row r="1303" spans="2:6" outlineLevel="2" x14ac:dyDescent="0.25">
      <c r="C1303" t="s">
        <v>21</v>
      </c>
      <c r="D1303" s="12">
        <v>2</v>
      </c>
      <c r="E1303" s="2">
        <v>2</v>
      </c>
      <c r="F1303" s="25">
        <v>0.22222222222222221</v>
      </c>
    </row>
    <row r="1304" spans="2:6" outlineLevel="2" x14ac:dyDescent="0.25">
      <c r="C1304" t="s">
        <v>15</v>
      </c>
      <c r="D1304" s="12">
        <v>1</v>
      </c>
      <c r="E1304" s="2">
        <v>1</v>
      </c>
      <c r="F1304" s="25">
        <v>1.282051282051282E-2</v>
      </c>
    </row>
    <row r="1305" spans="2:6" outlineLevel="1" x14ac:dyDescent="0.25">
      <c r="B1305" t="s">
        <v>238</v>
      </c>
      <c r="D1305" s="12"/>
      <c r="E1305" s="17">
        <v>112</v>
      </c>
      <c r="F1305" s="24">
        <v>9.380234505862646E-2</v>
      </c>
    </row>
    <row r="1306" spans="2:6" outlineLevel="2" x14ac:dyDescent="0.25">
      <c r="C1306" t="s">
        <v>22</v>
      </c>
      <c r="D1306" s="12">
        <v>2</v>
      </c>
      <c r="E1306" s="2">
        <v>2</v>
      </c>
      <c r="F1306" s="25">
        <v>0.13333333333333333</v>
      </c>
    </row>
    <row r="1307" spans="2:6" outlineLevel="2" x14ac:dyDescent="0.25">
      <c r="C1307" t="s">
        <v>27</v>
      </c>
      <c r="D1307" s="12">
        <v>1</v>
      </c>
      <c r="E1307" s="2">
        <v>1</v>
      </c>
      <c r="F1307" s="25">
        <v>8.3333333333333329E-2</v>
      </c>
    </row>
    <row r="1308" spans="2:6" outlineLevel="2" x14ac:dyDescent="0.25">
      <c r="C1308" t="s">
        <v>41</v>
      </c>
      <c r="D1308" s="12">
        <v>2</v>
      </c>
      <c r="E1308" s="2">
        <v>2</v>
      </c>
      <c r="F1308" s="25">
        <v>3.7037037037037035E-2</v>
      </c>
    </row>
    <row r="1309" spans="2:6" outlineLevel="2" x14ac:dyDescent="0.25">
      <c r="C1309" t="s">
        <v>16</v>
      </c>
      <c r="D1309" s="12">
        <v>4</v>
      </c>
      <c r="E1309" s="2">
        <v>4</v>
      </c>
      <c r="F1309" s="25">
        <v>0.5</v>
      </c>
    </row>
    <row r="1310" spans="2:6" outlineLevel="2" x14ac:dyDescent="0.25">
      <c r="C1310" t="s">
        <v>24</v>
      </c>
      <c r="D1310" s="12">
        <v>2</v>
      </c>
      <c r="E1310" s="2">
        <v>2</v>
      </c>
      <c r="F1310" s="25">
        <v>0.5</v>
      </c>
    </row>
    <row r="1311" spans="2:6" outlineLevel="2" x14ac:dyDescent="0.25">
      <c r="C1311" t="s">
        <v>29</v>
      </c>
      <c r="D1311" s="12">
        <v>1</v>
      </c>
      <c r="E1311" s="2">
        <v>1</v>
      </c>
      <c r="F1311" s="25">
        <v>0.16666666666666666</v>
      </c>
    </row>
    <row r="1312" spans="2:6" outlineLevel="2" x14ac:dyDescent="0.25">
      <c r="C1312" t="s">
        <v>18</v>
      </c>
      <c r="D1312" s="12">
        <v>15</v>
      </c>
      <c r="E1312" s="2">
        <v>15</v>
      </c>
      <c r="F1312" s="25">
        <v>0.39473684210526316</v>
      </c>
    </row>
    <row r="1313" spans="2:6" outlineLevel="2" x14ac:dyDescent="0.25">
      <c r="C1313" t="s">
        <v>11</v>
      </c>
      <c r="D1313" s="12">
        <v>5</v>
      </c>
      <c r="E1313" s="2">
        <v>5</v>
      </c>
      <c r="F1313" s="25">
        <v>0.35714285714285715</v>
      </c>
    </row>
    <row r="1314" spans="2:6" outlineLevel="2" x14ac:dyDescent="0.25">
      <c r="C1314" t="s">
        <v>14</v>
      </c>
      <c r="D1314" s="12">
        <v>60</v>
      </c>
      <c r="E1314" s="2">
        <v>60</v>
      </c>
      <c r="F1314" s="25">
        <v>0.26785714285714285</v>
      </c>
    </row>
    <row r="1315" spans="2:6" outlineLevel="2" x14ac:dyDescent="0.25">
      <c r="C1315" t="s">
        <v>37</v>
      </c>
      <c r="D1315" s="12">
        <v>2</v>
      </c>
      <c r="E1315" s="2">
        <v>2</v>
      </c>
      <c r="F1315" s="25">
        <v>0.33333333333333331</v>
      </c>
    </row>
    <row r="1316" spans="2:6" outlineLevel="2" x14ac:dyDescent="0.25">
      <c r="C1316" t="s">
        <v>20</v>
      </c>
      <c r="D1316" s="12">
        <v>2</v>
      </c>
      <c r="E1316" s="2">
        <v>2</v>
      </c>
      <c r="F1316" s="25">
        <v>9.0909090909090912E-2</v>
      </c>
    </row>
    <row r="1317" spans="2:6" outlineLevel="2" x14ac:dyDescent="0.25">
      <c r="C1317" t="s">
        <v>15</v>
      </c>
      <c r="D1317" s="12">
        <v>5</v>
      </c>
      <c r="E1317" s="2">
        <v>5</v>
      </c>
      <c r="F1317" s="25">
        <v>6.4102564102564097E-2</v>
      </c>
    </row>
    <row r="1318" spans="2:6" outlineLevel="2" x14ac:dyDescent="0.25">
      <c r="C1318" t="s">
        <v>31</v>
      </c>
      <c r="D1318" s="12">
        <v>9</v>
      </c>
      <c r="E1318" s="2">
        <v>9</v>
      </c>
      <c r="F1318" s="25">
        <v>0.40909090909090912</v>
      </c>
    </row>
    <row r="1319" spans="2:6" outlineLevel="2" x14ac:dyDescent="0.25">
      <c r="C1319" t="s">
        <v>48</v>
      </c>
      <c r="D1319" s="12">
        <v>2</v>
      </c>
      <c r="E1319" s="2">
        <v>2</v>
      </c>
      <c r="F1319" s="25">
        <v>1</v>
      </c>
    </row>
    <row r="1320" spans="2:6" outlineLevel="1" x14ac:dyDescent="0.25">
      <c r="B1320" t="s">
        <v>239</v>
      </c>
      <c r="D1320" s="12"/>
      <c r="E1320" s="17">
        <v>30</v>
      </c>
      <c r="F1320" s="24">
        <v>2.5125628140703519E-2</v>
      </c>
    </row>
    <row r="1321" spans="2:6" outlineLevel="2" x14ac:dyDescent="0.25">
      <c r="C1321" t="s">
        <v>22</v>
      </c>
      <c r="D1321" s="12">
        <v>2</v>
      </c>
      <c r="E1321" s="2">
        <v>2</v>
      </c>
      <c r="F1321" s="25">
        <v>0.13333333333333333</v>
      </c>
    </row>
    <row r="1322" spans="2:6" outlineLevel="2" x14ac:dyDescent="0.25">
      <c r="C1322" t="s">
        <v>43</v>
      </c>
      <c r="D1322" s="12">
        <v>1</v>
      </c>
      <c r="E1322" s="2">
        <v>1</v>
      </c>
      <c r="F1322" s="25">
        <v>6.25E-2</v>
      </c>
    </row>
    <row r="1323" spans="2:6" outlineLevel="2" x14ac:dyDescent="0.25">
      <c r="C1323" t="s">
        <v>46</v>
      </c>
      <c r="D1323" s="12">
        <v>1</v>
      </c>
      <c r="E1323" s="2">
        <v>1</v>
      </c>
      <c r="F1323" s="25">
        <v>0.25</v>
      </c>
    </row>
    <row r="1324" spans="2:6" outlineLevel="2" x14ac:dyDescent="0.25">
      <c r="C1324" t="s">
        <v>24</v>
      </c>
      <c r="D1324" s="12">
        <v>1</v>
      </c>
      <c r="E1324" s="2">
        <v>1</v>
      </c>
      <c r="F1324" s="25">
        <v>0.25</v>
      </c>
    </row>
    <row r="1325" spans="2:6" outlineLevel="2" x14ac:dyDescent="0.25">
      <c r="C1325" t="s">
        <v>36</v>
      </c>
      <c r="D1325" s="12">
        <v>1</v>
      </c>
      <c r="E1325" s="2">
        <v>1</v>
      </c>
      <c r="F1325" s="25">
        <v>0.25</v>
      </c>
    </row>
    <row r="1326" spans="2:6" outlineLevel="2" x14ac:dyDescent="0.25">
      <c r="C1326" t="s">
        <v>14</v>
      </c>
      <c r="D1326" s="12">
        <v>17</v>
      </c>
      <c r="E1326" s="2">
        <v>17</v>
      </c>
      <c r="F1326" s="25">
        <v>7.5892857142857137E-2</v>
      </c>
    </row>
    <row r="1327" spans="2:6" outlineLevel="2" x14ac:dyDescent="0.25">
      <c r="C1327" t="s">
        <v>37</v>
      </c>
      <c r="D1327" s="12">
        <v>1</v>
      </c>
      <c r="E1327" s="2">
        <v>1</v>
      </c>
      <c r="F1327" s="25">
        <v>0.16666666666666666</v>
      </c>
    </row>
    <row r="1328" spans="2:6" outlineLevel="2" x14ac:dyDescent="0.25">
      <c r="C1328" t="s">
        <v>20</v>
      </c>
      <c r="D1328" s="12">
        <v>5</v>
      </c>
      <c r="E1328" s="2">
        <v>5</v>
      </c>
      <c r="F1328" s="25">
        <v>0.22727272727272727</v>
      </c>
    </row>
    <row r="1329" spans="2:6" outlineLevel="2" x14ac:dyDescent="0.25">
      <c r="C1329" t="s">
        <v>15</v>
      </c>
      <c r="D1329" s="12">
        <v>1</v>
      </c>
      <c r="E1329" s="2">
        <v>1</v>
      </c>
      <c r="F1329" s="25">
        <v>1.282051282051282E-2</v>
      </c>
    </row>
    <row r="1330" spans="2:6" outlineLevel="1" x14ac:dyDescent="0.25">
      <c r="B1330" t="s">
        <v>240</v>
      </c>
      <c r="D1330" s="12"/>
      <c r="E1330" s="17">
        <v>112</v>
      </c>
      <c r="F1330" s="24">
        <v>9.380234505862646E-2</v>
      </c>
    </row>
    <row r="1331" spans="2:6" outlineLevel="2" x14ac:dyDescent="0.25">
      <c r="C1331" t="s">
        <v>45</v>
      </c>
      <c r="D1331" s="12">
        <v>1</v>
      </c>
      <c r="E1331" s="2">
        <v>1</v>
      </c>
      <c r="F1331" s="25">
        <v>0.25</v>
      </c>
    </row>
    <row r="1332" spans="2:6" outlineLevel="2" x14ac:dyDescent="0.25">
      <c r="C1332" t="s">
        <v>22</v>
      </c>
      <c r="D1332" s="12">
        <v>3</v>
      </c>
      <c r="E1332" s="2">
        <v>3</v>
      </c>
      <c r="F1332" s="25">
        <v>0.2</v>
      </c>
    </row>
    <row r="1333" spans="2:6" outlineLevel="2" x14ac:dyDescent="0.25">
      <c r="C1333" t="s">
        <v>30</v>
      </c>
      <c r="D1333" s="12">
        <v>1</v>
      </c>
      <c r="E1333" s="2">
        <v>1</v>
      </c>
      <c r="F1333" s="25">
        <v>0.16666666666666666</v>
      </c>
    </row>
    <row r="1334" spans="2:6" outlineLevel="2" x14ac:dyDescent="0.25">
      <c r="C1334" t="s">
        <v>25</v>
      </c>
      <c r="D1334" s="12">
        <v>7</v>
      </c>
      <c r="E1334" s="2">
        <v>7</v>
      </c>
      <c r="F1334" s="25">
        <v>0.2</v>
      </c>
    </row>
    <row r="1335" spans="2:6" outlineLevel="2" x14ac:dyDescent="0.25">
      <c r="C1335" t="s">
        <v>42</v>
      </c>
      <c r="D1335" s="12">
        <v>9</v>
      </c>
      <c r="E1335" s="2">
        <v>9</v>
      </c>
      <c r="F1335" s="25">
        <v>0.23076923076923078</v>
      </c>
    </row>
    <row r="1336" spans="2:6" outlineLevel="2" x14ac:dyDescent="0.25">
      <c r="C1336" t="s">
        <v>49</v>
      </c>
      <c r="D1336" s="12">
        <v>1</v>
      </c>
      <c r="E1336" s="2">
        <v>1</v>
      </c>
      <c r="F1336" s="25">
        <v>0.14285714285714285</v>
      </c>
    </row>
    <row r="1337" spans="2:6" outlineLevel="2" x14ac:dyDescent="0.25">
      <c r="C1337" t="s">
        <v>23</v>
      </c>
      <c r="D1337" s="12">
        <v>4</v>
      </c>
      <c r="E1337" s="2">
        <v>4</v>
      </c>
      <c r="F1337" s="25">
        <v>0.18181818181818182</v>
      </c>
    </row>
    <row r="1338" spans="2:6" outlineLevel="2" x14ac:dyDescent="0.25">
      <c r="C1338" t="s">
        <v>34</v>
      </c>
      <c r="D1338" s="12">
        <v>1</v>
      </c>
      <c r="E1338" s="2">
        <v>1</v>
      </c>
      <c r="F1338" s="25">
        <v>0.25</v>
      </c>
    </row>
    <row r="1339" spans="2:6" outlineLevel="2" x14ac:dyDescent="0.25">
      <c r="C1339" t="s">
        <v>24</v>
      </c>
      <c r="D1339" s="12">
        <v>1</v>
      </c>
      <c r="E1339" s="2">
        <v>1</v>
      </c>
      <c r="F1339" s="25">
        <v>0.25</v>
      </c>
    </row>
    <row r="1340" spans="2:6" outlineLevel="2" x14ac:dyDescent="0.25">
      <c r="C1340" t="s">
        <v>29</v>
      </c>
      <c r="D1340" s="12">
        <v>1</v>
      </c>
      <c r="E1340" s="2">
        <v>1</v>
      </c>
      <c r="F1340" s="25">
        <v>0.16666666666666666</v>
      </c>
    </row>
    <row r="1341" spans="2:6" outlineLevel="2" x14ac:dyDescent="0.25">
      <c r="C1341" t="s">
        <v>17</v>
      </c>
      <c r="D1341" s="12">
        <v>1</v>
      </c>
      <c r="E1341" s="2">
        <v>1</v>
      </c>
      <c r="F1341" s="25">
        <v>0.5</v>
      </c>
    </row>
    <row r="1342" spans="2:6" outlineLevel="2" x14ac:dyDescent="0.25">
      <c r="C1342" t="s">
        <v>18</v>
      </c>
      <c r="D1342" s="12">
        <v>8</v>
      </c>
      <c r="E1342" s="2">
        <v>8</v>
      </c>
      <c r="F1342" s="25">
        <v>0.21052631578947367</v>
      </c>
    </row>
    <row r="1343" spans="2:6" outlineLevel="2" x14ac:dyDescent="0.25">
      <c r="C1343" t="s">
        <v>11</v>
      </c>
      <c r="D1343" s="12">
        <v>4</v>
      </c>
      <c r="E1343" s="2">
        <v>4</v>
      </c>
      <c r="F1343" s="25">
        <v>0.2857142857142857</v>
      </c>
    </row>
    <row r="1344" spans="2:6" outlineLevel="2" x14ac:dyDescent="0.25">
      <c r="C1344" t="s">
        <v>12</v>
      </c>
      <c r="D1344" s="12">
        <v>4</v>
      </c>
      <c r="E1344" s="2">
        <v>4</v>
      </c>
      <c r="F1344" s="25">
        <v>0.16666666666666666</v>
      </c>
    </row>
    <row r="1345" spans="2:6" outlineLevel="2" x14ac:dyDescent="0.25">
      <c r="C1345" t="s">
        <v>13</v>
      </c>
      <c r="D1345" s="12">
        <v>28</v>
      </c>
      <c r="E1345" s="2">
        <v>28</v>
      </c>
      <c r="F1345" s="25">
        <v>0.13084112149532709</v>
      </c>
    </row>
    <row r="1346" spans="2:6" outlineLevel="2" x14ac:dyDescent="0.25">
      <c r="C1346" t="s">
        <v>36</v>
      </c>
      <c r="D1346" s="12">
        <v>1</v>
      </c>
      <c r="E1346" s="2">
        <v>1</v>
      </c>
      <c r="F1346" s="25">
        <v>0.25</v>
      </c>
    </row>
    <row r="1347" spans="2:6" outlineLevel="2" x14ac:dyDescent="0.25">
      <c r="C1347" t="s">
        <v>14</v>
      </c>
      <c r="D1347" s="12">
        <v>8</v>
      </c>
      <c r="E1347" s="2">
        <v>8</v>
      </c>
      <c r="F1347" s="25">
        <v>3.5714285714285712E-2</v>
      </c>
    </row>
    <row r="1348" spans="2:6" outlineLevel="2" x14ac:dyDescent="0.25">
      <c r="C1348" t="s">
        <v>50</v>
      </c>
      <c r="D1348" s="12">
        <v>3</v>
      </c>
      <c r="E1348" s="2">
        <v>3</v>
      </c>
      <c r="F1348" s="25">
        <v>0.42857142857142855</v>
      </c>
    </row>
    <row r="1349" spans="2:6" outlineLevel="2" x14ac:dyDescent="0.25">
      <c r="C1349" t="s">
        <v>37</v>
      </c>
      <c r="D1349" s="12">
        <v>2</v>
      </c>
      <c r="E1349" s="2">
        <v>2</v>
      </c>
      <c r="F1349" s="25">
        <v>0.33333333333333331</v>
      </c>
    </row>
    <row r="1350" spans="2:6" outlineLevel="2" x14ac:dyDescent="0.25">
      <c r="C1350" t="s">
        <v>19</v>
      </c>
      <c r="D1350" s="12">
        <v>1</v>
      </c>
      <c r="E1350" s="2">
        <v>1</v>
      </c>
      <c r="F1350" s="25">
        <v>1.9230769230769232E-2</v>
      </c>
    </row>
    <row r="1351" spans="2:6" outlineLevel="2" x14ac:dyDescent="0.25">
      <c r="C1351" t="s">
        <v>38</v>
      </c>
      <c r="D1351" s="12">
        <v>8</v>
      </c>
      <c r="E1351" s="2">
        <v>8</v>
      </c>
      <c r="F1351" s="25">
        <v>0.4</v>
      </c>
    </row>
    <row r="1352" spans="2:6" outlineLevel="2" x14ac:dyDescent="0.25">
      <c r="C1352" t="s">
        <v>51</v>
      </c>
      <c r="D1352" s="12">
        <v>1</v>
      </c>
      <c r="E1352" s="2">
        <v>1</v>
      </c>
      <c r="F1352" s="25">
        <v>0.5</v>
      </c>
    </row>
    <row r="1353" spans="2:6" outlineLevel="2" x14ac:dyDescent="0.25">
      <c r="C1353" t="s">
        <v>20</v>
      </c>
      <c r="D1353" s="12">
        <v>3</v>
      </c>
      <c r="E1353" s="2">
        <v>3</v>
      </c>
      <c r="F1353" s="25">
        <v>0.13636363636363635</v>
      </c>
    </row>
    <row r="1354" spans="2:6" outlineLevel="2" x14ac:dyDescent="0.25">
      <c r="C1354" t="s">
        <v>21</v>
      </c>
      <c r="D1354" s="12">
        <v>1</v>
      </c>
      <c r="E1354" s="2">
        <v>1</v>
      </c>
      <c r="F1354" s="25">
        <v>0.1111111111111111</v>
      </c>
    </row>
    <row r="1355" spans="2:6" outlineLevel="2" x14ac:dyDescent="0.25">
      <c r="C1355" t="s">
        <v>15</v>
      </c>
      <c r="D1355" s="12">
        <v>6</v>
      </c>
      <c r="E1355" s="2">
        <v>6</v>
      </c>
      <c r="F1355" s="25">
        <v>7.6923076923076927E-2</v>
      </c>
    </row>
    <row r="1356" spans="2:6" outlineLevel="2" x14ac:dyDescent="0.25">
      <c r="C1356" t="s">
        <v>31</v>
      </c>
      <c r="D1356" s="12">
        <v>3</v>
      </c>
      <c r="E1356" s="2">
        <v>3</v>
      </c>
      <c r="F1356" s="25">
        <v>0.13636363636363635</v>
      </c>
    </row>
    <row r="1357" spans="2:6" outlineLevel="2" x14ac:dyDescent="0.25">
      <c r="C1357" t="s">
        <v>40</v>
      </c>
      <c r="D1357" s="12">
        <v>1</v>
      </c>
      <c r="E1357" s="2">
        <v>1</v>
      </c>
      <c r="F1357" s="25">
        <v>0.1111111111111111</v>
      </c>
    </row>
    <row r="1358" spans="2:6" outlineLevel="1" x14ac:dyDescent="0.25">
      <c r="B1358" t="s">
        <v>241</v>
      </c>
      <c r="D1358" s="12"/>
      <c r="E1358" s="17">
        <v>35</v>
      </c>
      <c r="F1358" s="24">
        <v>2.9313232830820771E-2</v>
      </c>
    </row>
    <row r="1359" spans="2:6" outlineLevel="2" x14ac:dyDescent="0.25">
      <c r="C1359" t="s">
        <v>22</v>
      </c>
      <c r="D1359" s="12">
        <v>2</v>
      </c>
      <c r="E1359" s="2">
        <v>2</v>
      </c>
      <c r="F1359" s="25">
        <v>0.13333333333333333</v>
      </c>
    </row>
    <row r="1360" spans="2:6" outlineLevel="2" x14ac:dyDescent="0.25">
      <c r="C1360" t="s">
        <v>43</v>
      </c>
      <c r="D1360" s="12">
        <v>2</v>
      </c>
      <c r="E1360" s="2">
        <v>2</v>
      </c>
      <c r="F1360" s="25">
        <v>0.125</v>
      </c>
    </row>
    <row r="1361" spans="2:6" outlineLevel="2" x14ac:dyDescent="0.25">
      <c r="C1361" t="s">
        <v>23</v>
      </c>
      <c r="D1361" s="12">
        <v>3</v>
      </c>
      <c r="E1361" s="2">
        <v>3</v>
      </c>
      <c r="F1361" s="25">
        <v>0.13636363636363635</v>
      </c>
    </row>
    <row r="1362" spans="2:6" outlineLevel="2" x14ac:dyDescent="0.25">
      <c r="C1362" t="s">
        <v>46</v>
      </c>
      <c r="D1362" s="12">
        <v>1</v>
      </c>
      <c r="E1362" s="2">
        <v>1</v>
      </c>
      <c r="F1362" s="25">
        <v>0.25</v>
      </c>
    </row>
    <row r="1363" spans="2:6" outlineLevel="2" x14ac:dyDescent="0.25">
      <c r="C1363" t="s">
        <v>17</v>
      </c>
      <c r="D1363" s="12">
        <v>1</v>
      </c>
      <c r="E1363" s="2">
        <v>1</v>
      </c>
      <c r="F1363" s="25">
        <v>0.5</v>
      </c>
    </row>
    <row r="1364" spans="2:6" outlineLevel="2" x14ac:dyDescent="0.25">
      <c r="C1364" t="s">
        <v>12</v>
      </c>
      <c r="D1364" s="12">
        <v>1</v>
      </c>
      <c r="E1364" s="2">
        <v>1</v>
      </c>
      <c r="F1364" s="25">
        <v>4.1666666666666664E-2</v>
      </c>
    </row>
    <row r="1365" spans="2:6" outlineLevel="2" x14ac:dyDescent="0.25">
      <c r="C1365" t="s">
        <v>13</v>
      </c>
      <c r="D1365" s="12">
        <v>8</v>
      </c>
      <c r="E1365" s="2">
        <v>8</v>
      </c>
      <c r="F1365" s="25">
        <v>3.7383177570093455E-2</v>
      </c>
    </row>
    <row r="1366" spans="2:6" outlineLevel="2" x14ac:dyDescent="0.25">
      <c r="C1366" t="s">
        <v>14</v>
      </c>
      <c r="D1366" s="12">
        <v>11</v>
      </c>
      <c r="E1366" s="2">
        <v>11</v>
      </c>
      <c r="F1366" s="25">
        <v>4.9107142857142856E-2</v>
      </c>
    </row>
    <row r="1367" spans="2:6" outlineLevel="2" x14ac:dyDescent="0.25">
      <c r="C1367" t="s">
        <v>15</v>
      </c>
      <c r="D1367" s="12">
        <v>6</v>
      </c>
      <c r="E1367" s="2">
        <v>6</v>
      </c>
      <c r="F1367" s="25">
        <v>7.6923076923076927E-2</v>
      </c>
    </row>
    <row r="1368" spans="2:6" outlineLevel="1" x14ac:dyDescent="0.25">
      <c r="B1368" t="s">
        <v>242</v>
      </c>
      <c r="D1368" s="12"/>
      <c r="E1368" s="17">
        <v>55</v>
      </c>
      <c r="F1368" s="24">
        <v>4.6063651591289785E-2</v>
      </c>
    </row>
    <row r="1369" spans="2:6" outlineLevel="2" x14ac:dyDescent="0.25">
      <c r="C1369" t="s">
        <v>45</v>
      </c>
      <c r="D1369" s="12">
        <v>1</v>
      </c>
      <c r="E1369" s="2">
        <v>1</v>
      </c>
      <c r="F1369" s="25">
        <v>0.25</v>
      </c>
    </row>
    <row r="1370" spans="2:6" outlineLevel="2" x14ac:dyDescent="0.25">
      <c r="C1370" t="s">
        <v>22</v>
      </c>
      <c r="D1370" s="12">
        <v>1</v>
      </c>
      <c r="E1370" s="2">
        <v>1</v>
      </c>
      <c r="F1370" s="25">
        <v>6.6666666666666666E-2</v>
      </c>
    </row>
    <row r="1371" spans="2:6" outlineLevel="2" x14ac:dyDescent="0.25">
      <c r="C1371" t="s">
        <v>23</v>
      </c>
      <c r="D1371" s="12">
        <v>4</v>
      </c>
      <c r="E1371" s="2">
        <v>4</v>
      </c>
      <c r="F1371" s="25">
        <v>0.18181818181818182</v>
      </c>
    </row>
    <row r="1372" spans="2:6" outlineLevel="2" x14ac:dyDescent="0.25">
      <c r="C1372" t="s">
        <v>26</v>
      </c>
      <c r="D1372" s="12">
        <v>3</v>
      </c>
      <c r="E1372" s="2">
        <v>3</v>
      </c>
      <c r="F1372" s="25">
        <v>0.23076923076923078</v>
      </c>
    </row>
    <row r="1373" spans="2:6" outlineLevel="2" x14ac:dyDescent="0.25">
      <c r="C1373" t="s">
        <v>17</v>
      </c>
      <c r="D1373" s="12">
        <v>1</v>
      </c>
      <c r="E1373" s="2">
        <v>1</v>
      </c>
      <c r="F1373" s="25">
        <v>0.5</v>
      </c>
    </row>
    <row r="1374" spans="2:6" outlineLevel="2" x14ac:dyDescent="0.25">
      <c r="C1374" t="s">
        <v>18</v>
      </c>
      <c r="D1374" s="12">
        <v>4</v>
      </c>
      <c r="E1374" s="2">
        <v>4</v>
      </c>
      <c r="F1374" s="25">
        <v>0.10526315789473684</v>
      </c>
    </row>
    <row r="1375" spans="2:6" outlineLevel="2" x14ac:dyDescent="0.25">
      <c r="C1375" t="s">
        <v>12</v>
      </c>
      <c r="D1375" s="12">
        <v>8</v>
      </c>
      <c r="E1375" s="2">
        <v>8</v>
      </c>
      <c r="F1375" s="25">
        <v>0.33333333333333331</v>
      </c>
    </row>
    <row r="1376" spans="2:6" outlineLevel="2" x14ac:dyDescent="0.25">
      <c r="C1376" t="s">
        <v>13</v>
      </c>
      <c r="D1376" s="12">
        <v>29</v>
      </c>
      <c r="E1376" s="2">
        <v>29</v>
      </c>
      <c r="F1376" s="25">
        <v>0.13551401869158877</v>
      </c>
    </row>
    <row r="1377" spans="2:6" outlineLevel="2" x14ac:dyDescent="0.25">
      <c r="C1377" t="s">
        <v>37</v>
      </c>
      <c r="D1377" s="12">
        <v>2</v>
      </c>
      <c r="E1377" s="2">
        <v>2</v>
      </c>
      <c r="F1377" s="25">
        <v>0.33333333333333331</v>
      </c>
    </row>
    <row r="1378" spans="2:6" outlineLevel="2" x14ac:dyDescent="0.25">
      <c r="C1378" t="s">
        <v>20</v>
      </c>
      <c r="D1378" s="12">
        <v>1</v>
      </c>
      <c r="E1378" s="2">
        <v>1</v>
      </c>
      <c r="F1378" s="25">
        <v>4.5454545454545456E-2</v>
      </c>
    </row>
    <row r="1379" spans="2:6" outlineLevel="2" x14ac:dyDescent="0.25">
      <c r="C1379" t="s">
        <v>21</v>
      </c>
      <c r="D1379" s="12">
        <v>1</v>
      </c>
      <c r="E1379" s="2">
        <v>1</v>
      </c>
      <c r="F1379" s="25">
        <v>0.1111111111111111</v>
      </c>
    </row>
    <row r="1380" spans="2:6" outlineLevel="1" x14ac:dyDescent="0.25">
      <c r="B1380" t="s">
        <v>243</v>
      </c>
      <c r="D1380" s="12"/>
      <c r="E1380" s="17">
        <v>24</v>
      </c>
      <c r="F1380" s="24">
        <v>2.0100502512562814E-2</v>
      </c>
    </row>
    <row r="1381" spans="2:6" outlineLevel="2" x14ac:dyDescent="0.25">
      <c r="C1381" t="s">
        <v>14</v>
      </c>
      <c r="D1381" s="12">
        <v>7</v>
      </c>
      <c r="E1381" s="2">
        <v>7</v>
      </c>
      <c r="F1381" s="25">
        <v>3.125E-2</v>
      </c>
    </row>
    <row r="1382" spans="2:6" outlineLevel="2" x14ac:dyDescent="0.25">
      <c r="C1382" t="s">
        <v>20</v>
      </c>
      <c r="D1382" s="12">
        <v>2</v>
      </c>
      <c r="E1382" s="2">
        <v>2</v>
      </c>
      <c r="F1382" s="25">
        <v>9.0909090909090912E-2</v>
      </c>
    </row>
    <row r="1383" spans="2:6" outlineLevel="2" x14ac:dyDescent="0.25">
      <c r="C1383" t="s">
        <v>21</v>
      </c>
      <c r="D1383" s="12">
        <v>5</v>
      </c>
      <c r="E1383" s="2">
        <v>5</v>
      </c>
      <c r="F1383" s="25">
        <v>0.55555555555555558</v>
      </c>
    </row>
    <row r="1384" spans="2:6" outlineLevel="2" x14ac:dyDescent="0.25">
      <c r="C1384" t="s">
        <v>15</v>
      </c>
      <c r="D1384" s="12">
        <v>8</v>
      </c>
      <c r="E1384" s="2">
        <v>8</v>
      </c>
      <c r="F1384" s="25">
        <v>0.10256410256410256</v>
      </c>
    </row>
    <row r="1385" spans="2:6" outlineLevel="2" x14ac:dyDescent="0.25">
      <c r="C1385" t="s">
        <v>48</v>
      </c>
      <c r="D1385" s="12">
        <v>2</v>
      </c>
      <c r="E1385" s="2">
        <v>2</v>
      </c>
      <c r="F1385" s="25">
        <v>1</v>
      </c>
    </row>
    <row r="1386" spans="2:6" outlineLevel="1" x14ac:dyDescent="0.25">
      <c r="B1386" t="s">
        <v>244</v>
      </c>
      <c r="D1386" s="12"/>
      <c r="E1386" s="17">
        <v>6</v>
      </c>
      <c r="F1386" s="24">
        <v>5.0251256281407036E-3</v>
      </c>
    </row>
    <row r="1387" spans="2:6" outlineLevel="2" x14ac:dyDescent="0.25">
      <c r="C1387" t="s">
        <v>23</v>
      </c>
      <c r="D1387" s="12">
        <v>1</v>
      </c>
      <c r="E1387" s="2">
        <v>1</v>
      </c>
      <c r="F1387" s="25">
        <v>4.5454545454545456E-2</v>
      </c>
    </row>
    <row r="1388" spans="2:6" outlineLevel="2" x14ac:dyDescent="0.25">
      <c r="C1388" t="s">
        <v>46</v>
      </c>
      <c r="D1388" s="12">
        <v>1</v>
      </c>
      <c r="E1388" s="2">
        <v>1</v>
      </c>
      <c r="F1388" s="25">
        <v>0.25</v>
      </c>
    </row>
    <row r="1389" spans="2:6" outlineLevel="2" x14ac:dyDescent="0.25">
      <c r="C1389" t="s">
        <v>17</v>
      </c>
      <c r="D1389" s="12">
        <v>1</v>
      </c>
      <c r="E1389" s="2">
        <v>1</v>
      </c>
      <c r="F1389" s="25">
        <v>0.5</v>
      </c>
    </row>
    <row r="1390" spans="2:6" outlineLevel="2" x14ac:dyDescent="0.25">
      <c r="C1390" t="s">
        <v>51</v>
      </c>
      <c r="D1390" s="12">
        <v>1</v>
      </c>
      <c r="E1390" s="2">
        <v>1</v>
      </c>
      <c r="F1390" s="25">
        <v>0.5</v>
      </c>
    </row>
    <row r="1391" spans="2:6" outlineLevel="2" x14ac:dyDescent="0.25">
      <c r="C1391" t="s">
        <v>28</v>
      </c>
      <c r="D1391" s="12">
        <v>1</v>
      </c>
      <c r="E1391" s="2">
        <v>1</v>
      </c>
      <c r="F1391" s="25">
        <v>0.1111111111111111</v>
      </c>
    </row>
    <row r="1392" spans="2:6" outlineLevel="2" x14ac:dyDescent="0.25">
      <c r="C1392" t="s">
        <v>15</v>
      </c>
      <c r="D1392" s="12">
        <v>1</v>
      </c>
      <c r="E1392" s="2">
        <v>1</v>
      </c>
      <c r="F1392" s="25">
        <v>1.282051282051282E-2</v>
      </c>
    </row>
    <row r="1393" spans="2:6" outlineLevel="1" x14ac:dyDescent="0.25">
      <c r="B1393" t="s">
        <v>245</v>
      </c>
      <c r="D1393" s="12"/>
      <c r="E1393" s="17">
        <v>4</v>
      </c>
      <c r="F1393" s="24">
        <v>3.3500837520938024E-3</v>
      </c>
    </row>
    <row r="1394" spans="2:6" outlineLevel="2" x14ac:dyDescent="0.25">
      <c r="C1394" t="s">
        <v>23</v>
      </c>
      <c r="D1394" s="12">
        <v>2</v>
      </c>
      <c r="E1394" s="2">
        <v>2</v>
      </c>
      <c r="F1394" s="25">
        <v>9.0909090909090912E-2</v>
      </c>
    </row>
    <row r="1395" spans="2:6" outlineLevel="2" x14ac:dyDescent="0.25">
      <c r="C1395" t="s">
        <v>17</v>
      </c>
      <c r="D1395" s="12">
        <v>1</v>
      </c>
      <c r="E1395" s="2">
        <v>1</v>
      </c>
      <c r="F1395" s="25">
        <v>0.5</v>
      </c>
    </row>
    <row r="1396" spans="2:6" outlineLevel="2" x14ac:dyDescent="0.25">
      <c r="C1396" t="s">
        <v>51</v>
      </c>
      <c r="D1396" s="12">
        <v>1</v>
      </c>
      <c r="E1396" s="2">
        <v>1</v>
      </c>
      <c r="F1396" s="25">
        <v>0.5</v>
      </c>
    </row>
    <row r="1397" spans="2:6" outlineLevel="1" x14ac:dyDescent="0.25">
      <c r="B1397" t="s">
        <v>246</v>
      </c>
      <c r="D1397" s="12"/>
      <c r="E1397" s="17">
        <v>8</v>
      </c>
      <c r="F1397" s="24">
        <v>6.7001675041876048E-3</v>
      </c>
    </row>
    <row r="1398" spans="2:6" outlineLevel="2" x14ac:dyDescent="0.25">
      <c r="C1398" t="s">
        <v>42</v>
      </c>
      <c r="D1398" s="12">
        <v>5</v>
      </c>
      <c r="E1398" s="2">
        <v>5</v>
      </c>
      <c r="F1398" s="25">
        <v>0.12820512820512819</v>
      </c>
    </row>
    <row r="1399" spans="2:6" outlineLevel="2" x14ac:dyDescent="0.25">
      <c r="C1399" t="s">
        <v>35</v>
      </c>
      <c r="D1399" s="12">
        <v>1</v>
      </c>
      <c r="E1399" s="2">
        <v>1</v>
      </c>
      <c r="F1399" s="25">
        <v>0.33333333333333331</v>
      </c>
    </row>
    <row r="1400" spans="2:6" outlineLevel="2" x14ac:dyDescent="0.25">
      <c r="C1400" t="s">
        <v>36</v>
      </c>
      <c r="D1400" s="12">
        <v>1</v>
      </c>
      <c r="E1400" s="2">
        <v>1</v>
      </c>
      <c r="F1400" s="25">
        <v>0.25</v>
      </c>
    </row>
    <row r="1401" spans="2:6" outlineLevel="2" x14ac:dyDescent="0.25">
      <c r="C1401" t="s">
        <v>52</v>
      </c>
      <c r="D1401" s="12">
        <v>1</v>
      </c>
      <c r="E1401" s="2">
        <v>1</v>
      </c>
      <c r="F1401" s="25">
        <v>1</v>
      </c>
    </row>
    <row r="1402" spans="2:6" outlineLevel="1" x14ac:dyDescent="0.25">
      <c r="B1402" t="s">
        <v>247</v>
      </c>
      <c r="D1402" s="12"/>
      <c r="E1402" s="17">
        <v>89</v>
      </c>
      <c r="F1402" s="24">
        <v>7.4539363484087101E-2</v>
      </c>
    </row>
    <row r="1403" spans="2:6" outlineLevel="2" x14ac:dyDescent="0.25">
      <c r="C1403" t="s">
        <v>22</v>
      </c>
      <c r="D1403" s="12">
        <v>5</v>
      </c>
      <c r="E1403" s="2">
        <v>5</v>
      </c>
      <c r="F1403" s="25">
        <v>0.33333333333333331</v>
      </c>
    </row>
    <row r="1404" spans="2:6" outlineLevel="2" x14ac:dyDescent="0.25">
      <c r="C1404" t="s">
        <v>41</v>
      </c>
      <c r="D1404" s="12">
        <v>1</v>
      </c>
      <c r="E1404" s="2">
        <v>1</v>
      </c>
      <c r="F1404" s="25">
        <v>1.8518518518518517E-2</v>
      </c>
    </row>
    <row r="1405" spans="2:6" outlineLevel="2" x14ac:dyDescent="0.25">
      <c r="C1405" t="s">
        <v>42</v>
      </c>
      <c r="D1405" s="12">
        <v>11</v>
      </c>
      <c r="E1405" s="2">
        <v>11</v>
      </c>
      <c r="F1405" s="25">
        <v>0.28205128205128205</v>
      </c>
    </row>
    <row r="1406" spans="2:6" outlineLevel="2" x14ac:dyDescent="0.25">
      <c r="C1406" t="s">
        <v>47</v>
      </c>
      <c r="D1406" s="12">
        <v>6</v>
      </c>
      <c r="E1406" s="2">
        <v>6</v>
      </c>
      <c r="F1406" s="25">
        <v>0.15384615384615385</v>
      </c>
    </row>
    <row r="1407" spans="2:6" outlineLevel="2" x14ac:dyDescent="0.25">
      <c r="C1407" t="s">
        <v>23</v>
      </c>
      <c r="D1407" s="12">
        <v>2</v>
      </c>
      <c r="E1407" s="2">
        <v>2</v>
      </c>
      <c r="F1407" s="25">
        <v>9.0909090909090912E-2</v>
      </c>
    </row>
    <row r="1408" spans="2:6" outlineLevel="2" x14ac:dyDescent="0.25">
      <c r="C1408" t="s">
        <v>26</v>
      </c>
      <c r="D1408" s="12">
        <v>3</v>
      </c>
      <c r="E1408" s="2">
        <v>3</v>
      </c>
      <c r="F1408" s="25">
        <v>0.23076923076923078</v>
      </c>
    </row>
    <row r="1409" spans="2:6" outlineLevel="2" x14ac:dyDescent="0.25">
      <c r="C1409" t="s">
        <v>35</v>
      </c>
      <c r="D1409" s="12">
        <v>2</v>
      </c>
      <c r="E1409" s="2">
        <v>2</v>
      </c>
      <c r="F1409" s="25">
        <v>0.66666666666666663</v>
      </c>
    </row>
    <row r="1410" spans="2:6" outlineLevel="2" x14ac:dyDescent="0.25">
      <c r="C1410" t="s">
        <v>18</v>
      </c>
      <c r="D1410" s="12">
        <v>9</v>
      </c>
      <c r="E1410" s="2">
        <v>9</v>
      </c>
      <c r="F1410" s="25">
        <v>0.23684210526315788</v>
      </c>
    </row>
    <row r="1411" spans="2:6" outlineLevel="2" x14ac:dyDescent="0.25">
      <c r="C1411" t="s">
        <v>11</v>
      </c>
      <c r="D1411" s="12">
        <v>3</v>
      </c>
      <c r="E1411" s="2">
        <v>3</v>
      </c>
      <c r="F1411" s="25">
        <v>0.21428571428571427</v>
      </c>
    </row>
    <row r="1412" spans="2:6" outlineLevel="2" x14ac:dyDescent="0.25">
      <c r="C1412" t="s">
        <v>36</v>
      </c>
      <c r="D1412" s="12">
        <v>1</v>
      </c>
      <c r="E1412" s="2">
        <v>1</v>
      </c>
      <c r="F1412" s="25">
        <v>0.25</v>
      </c>
    </row>
    <row r="1413" spans="2:6" outlineLevel="2" x14ac:dyDescent="0.25">
      <c r="C1413" t="s">
        <v>14</v>
      </c>
      <c r="D1413" s="12">
        <v>28</v>
      </c>
      <c r="E1413" s="2">
        <v>28</v>
      </c>
      <c r="F1413" s="25">
        <v>0.125</v>
      </c>
    </row>
    <row r="1414" spans="2:6" outlineLevel="2" x14ac:dyDescent="0.25">
      <c r="C1414" t="s">
        <v>50</v>
      </c>
      <c r="D1414" s="12">
        <v>4</v>
      </c>
      <c r="E1414" s="2">
        <v>4</v>
      </c>
      <c r="F1414" s="25">
        <v>0.5714285714285714</v>
      </c>
    </row>
    <row r="1415" spans="2:6" outlineLevel="2" x14ac:dyDescent="0.25">
      <c r="C1415" t="s">
        <v>38</v>
      </c>
      <c r="D1415" s="12">
        <v>1</v>
      </c>
      <c r="E1415" s="2">
        <v>1</v>
      </c>
      <c r="F1415" s="25">
        <v>0.05</v>
      </c>
    </row>
    <row r="1416" spans="2:6" outlineLevel="2" x14ac:dyDescent="0.25">
      <c r="C1416" t="s">
        <v>20</v>
      </c>
      <c r="D1416" s="12">
        <v>1</v>
      </c>
      <c r="E1416" s="2">
        <v>1</v>
      </c>
      <c r="F1416" s="25">
        <v>4.5454545454545456E-2</v>
      </c>
    </row>
    <row r="1417" spans="2:6" outlineLevel="2" x14ac:dyDescent="0.25">
      <c r="C1417" t="s">
        <v>21</v>
      </c>
      <c r="D1417" s="12">
        <v>7</v>
      </c>
      <c r="E1417" s="2">
        <v>7</v>
      </c>
      <c r="F1417" s="25">
        <v>0.77777777777777779</v>
      </c>
    </row>
    <row r="1418" spans="2:6" outlineLevel="2" x14ac:dyDescent="0.25">
      <c r="C1418" t="s">
        <v>15</v>
      </c>
      <c r="D1418" s="12">
        <v>3</v>
      </c>
      <c r="E1418" s="2">
        <v>3</v>
      </c>
      <c r="F1418" s="25">
        <v>3.8461538461538464E-2</v>
      </c>
    </row>
    <row r="1419" spans="2:6" outlineLevel="2" x14ac:dyDescent="0.25">
      <c r="C1419" t="s">
        <v>31</v>
      </c>
      <c r="D1419" s="12">
        <v>2</v>
      </c>
      <c r="E1419" s="2">
        <v>2</v>
      </c>
      <c r="F1419" s="25">
        <v>9.0909090909090912E-2</v>
      </c>
    </row>
    <row r="1420" spans="2:6" outlineLevel="1" x14ac:dyDescent="0.25">
      <c r="B1420" t="s">
        <v>248</v>
      </c>
      <c r="D1420" s="12"/>
      <c r="E1420" s="17">
        <v>23</v>
      </c>
      <c r="F1420" s="24">
        <v>1.9262981574539362E-2</v>
      </c>
    </row>
    <row r="1421" spans="2:6" outlineLevel="2" x14ac:dyDescent="0.25">
      <c r="C1421" t="s">
        <v>33</v>
      </c>
      <c r="D1421" s="12">
        <v>1</v>
      </c>
      <c r="E1421" s="2">
        <v>1</v>
      </c>
      <c r="F1421" s="25">
        <v>4.5454545454545456E-2</v>
      </c>
    </row>
    <row r="1422" spans="2:6" outlineLevel="2" x14ac:dyDescent="0.25">
      <c r="C1422" t="s">
        <v>14</v>
      </c>
      <c r="D1422" s="12">
        <v>21</v>
      </c>
      <c r="E1422" s="2">
        <v>21</v>
      </c>
      <c r="F1422" s="25">
        <v>9.375E-2</v>
      </c>
    </row>
    <row r="1423" spans="2:6" outlineLevel="2" x14ac:dyDescent="0.25">
      <c r="C1423" t="s">
        <v>20</v>
      </c>
      <c r="D1423" s="12">
        <v>1</v>
      </c>
      <c r="E1423" s="2">
        <v>1</v>
      </c>
      <c r="F1423" s="25">
        <v>4.5454545454545456E-2</v>
      </c>
    </row>
    <row r="1424" spans="2:6" outlineLevel="1" x14ac:dyDescent="0.25">
      <c r="B1424" t="s">
        <v>249</v>
      </c>
      <c r="D1424" s="12"/>
      <c r="E1424" s="17">
        <v>22</v>
      </c>
      <c r="F1424" s="24">
        <v>1.8425460636515914E-2</v>
      </c>
    </row>
    <row r="1425" spans="2:6" outlineLevel="2" x14ac:dyDescent="0.25">
      <c r="C1425" t="s">
        <v>42</v>
      </c>
      <c r="D1425" s="12">
        <v>7</v>
      </c>
      <c r="E1425" s="2">
        <v>7</v>
      </c>
      <c r="F1425" s="25">
        <v>0.17948717948717949</v>
      </c>
    </row>
    <row r="1426" spans="2:6" outlineLevel="2" x14ac:dyDescent="0.25">
      <c r="C1426" t="s">
        <v>47</v>
      </c>
      <c r="D1426" s="12">
        <v>1</v>
      </c>
      <c r="E1426" s="2">
        <v>1</v>
      </c>
      <c r="F1426" s="25">
        <v>2.564102564102564E-2</v>
      </c>
    </row>
    <row r="1427" spans="2:6" outlineLevel="2" x14ac:dyDescent="0.25">
      <c r="C1427" t="s">
        <v>14</v>
      </c>
      <c r="D1427" s="12">
        <v>8</v>
      </c>
      <c r="E1427" s="2">
        <v>8</v>
      </c>
      <c r="F1427" s="25">
        <v>3.5714285714285712E-2</v>
      </c>
    </row>
    <row r="1428" spans="2:6" outlineLevel="2" x14ac:dyDescent="0.25">
      <c r="C1428" t="s">
        <v>15</v>
      </c>
      <c r="D1428" s="12">
        <v>3</v>
      </c>
      <c r="E1428" s="2">
        <v>3</v>
      </c>
      <c r="F1428" s="25">
        <v>3.8461538461538464E-2</v>
      </c>
    </row>
    <row r="1429" spans="2:6" outlineLevel="2" x14ac:dyDescent="0.25">
      <c r="C1429" t="s">
        <v>31</v>
      </c>
      <c r="D1429" s="12">
        <v>3</v>
      </c>
      <c r="E1429" s="2">
        <v>3</v>
      </c>
      <c r="F1429" s="25">
        <v>0.13636363636363635</v>
      </c>
    </row>
    <row r="1430" spans="2:6" outlineLevel="1" x14ac:dyDescent="0.25">
      <c r="B1430" t="s">
        <v>250</v>
      </c>
      <c r="D1430" s="12"/>
      <c r="E1430" s="17">
        <v>20</v>
      </c>
      <c r="F1430" s="24">
        <v>1.675041876046901E-2</v>
      </c>
    </row>
    <row r="1431" spans="2:6" outlineLevel="2" x14ac:dyDescent="0.25">
      <c r="C1431" t="s">
        <v>35</v>
      </c>
      <c r="D1431" s="12">
        <v>3</v>
      </c>
      <c r="E1431" s="2">
        <v>3</v>
      </c>
      <c r="F1431" s="25">
        <v>1</v>
      </c>
    </row>
    <row r="1432" spans="2:6" outlineLevel="2" x14ac:dyDescent="0.25">
      <c r="C1432" t="s">
        <v>20</v>
      </c>
      <c r="D1432" s="12">
        <v>7</v>
      </c>
      <c r="E1432" s="2">
        <v>7</v>
      </c>
      <c r="F1432" s="25">
        <v>0.31818181818181818</v>
      </c>
    </row>
    <row r="1433" spans="2:6" outlineLevel="2" x14ac:dyDescent="0.25">
      <c r="C1433" t="s">
        <v>15</v>
      </c>
      <c r="D1433" s="12">
        <v>3</v>
      </c>
      <c r="E1433" s="2">
        <v>3</v>
      </c>
      <c r="F1433" s="25">
        <v>3.8461538461538464E-2</v>
      </c>
    </row>
    <row r="1434" spans="2:6" outlineLevel="2" x14ac:dyDescent="0.25">
      <c r="C1434" t="s">
        <v>40</v>
      </c>
      <c r="D1434" s="12">
        <v>7</v>
      </c>
      <c r="E1434" s="2">
        <v>7</v>
      </c>
      <c r="F1434" s="25">
        <v>0.77777777777777779</v>
      </c>
    </row>
    <row r="1435" spans="2:6" outlineLevel="1" x14ac:dyDescent="0.25">
      <c r="B1435" t="s">
        <v>251</v>
      </c>
      <c r="D1435" s="12"/>
      <c r="E1435" s="17">
        <v>16</v>
      </c>
      <c r="F1435" s="24">
        <v>1.340033500837521E-2</v>
      </c>
    </row>
    <row r="1436" spans="2:6" outlineLevel="2" x14ac:dyDescent="0.25">
      <c r="C1436" t="s">
        <v>45</v>
      </c>
      <c r="D1436" s="12">
        <v>1</v>
      </c>
      <c r="E1436" s="2">
        <v>1</v>
      </c>
      <c r="F1436" s="25">
        <v>0.25</v>
      </c>
    </row>
    <row r="1437" spans="2:6" outlineLevel="2" x14ac:dyDescent="0.25">
      <c r="C1437" t="s">
        <v>22</v>
      </c>
      <c r="D1437" s="12">
        <v>3</v>
      </c>
      <c r="E1437" s="2">
        <v>3</v>
      </c>
      <c r="F1437" s="25">
        <v>0.2</v>
      </c>
    </row>
    <row r="1438" spans="2:6" outlineLevel="2" x14ac:dyDescent="0.25">
      <c r="C1438" t="s">
        <v>32</v>
      </c>
      <c r="D1438" s="12">
        <v>2</v>
      </c>
      <c r="E1438" s="2">
        <v>2</v>
      </c>
      <c r="F1438" s="25">
        <v>4.1666666666666664E-2</v>
      </c>
    </row>
    <row r="1439" spans="2:6" outlineLevel="2" x14ac:dyDescent="0.25">
      <c r="C1439" t="s">
        <v>17</v>
      </c>
      <c r="D1439" s="12">
        <v>1</v>
      </c>
      <c r="E1439" s="2">
        <v>1</v>
      </c>
      <c r="F1439" s="25">
        <v>0.5</v>
      </c>
    </row>
    <row r="1440" spans="2:6" outlineLevel="2" x14ac:dyDescent="0.25">
      <c r="C1440" t="s">
        <v>51</v>
      </c>
      <c r="D1440" s="12">
        <v>1</v>
      </c>
      <c r="E1440" s="2">
        <v>1</v>
      </c>
      <c r="F1440" s="25">
        <v>0.5</v>
      </c>
    </row>
    <row r="1441" spans="2:6" outlineLevel="2" x14ac:dyDescent="0.25">
      <c r="C1441" t="s">
        <v>28</v>
      </c>
      <c r="D1441" s="12">
        <v>2</v>
      </c>
      <c r="E1441" s="2">
        <v>2</v>
      </c>
      <c r="F1441" s="25">
        <v>0.22222222222222221</v>
      </c>
    </row>
    <row r="1442" spans="2:6" outlineLevel="2" x14ac:dyDescent="0.25">
      <c r="C1442" t="s">
        <v>15</v>
      </c>
      <c r="D1442" s="12">
        <v>6</v>
      </c>
      <c r="E1442" s="2">
        <v>6</v>
      </c>
      <c r="F1442" s="25">
        <v>7.6923076923076927E-2</v>
      </c>
    </row>
    <row r="1443" spans="2:6" outlineLevel="1" x14ac:dyDescent="0.25">
      <c r="B1443" t="s">
        <v>252</v>
      </c>
      <c r="D1443" s="12"/>
      <c r="E1443" s="17">
        <v>34</v>
      </c>
      <c r="F1443" s="24">
        <v>2.8475711892797319E-2</v>
      </c>
    </row>
    <row r="1444" spans="2:6" outlineLevel="2" x14ac:dyDescent="0.25">
      <c r="C1444" t="s">
        <v>47</v>
      </c>
      <c r="D1444" s="12">
        <v>11</v>
      </c>
      <c r="E1444" s="2">
        <v>11</v>
      </c>
      <c r="F1444" s="25">
        <v>0.28205128205128205</v>
      </c>
    </row>
    <row r="1445" spans="2:6" outlineLevel="2" x14ac:dyDescent="0.25">
      <c r="C1445" t="s">
        <v>12</v>
      </c>
      <c r="D1445" s="12">
        <v>3</v>
      </c>
      <c r="E1445" s="2">
        <v>3</v>
      </c>
      <c r="F1445" s="25">
        <v>0.125</v>
      </c>
    </row>
    <row r="1446" spans="2:6" outlineLevel="2" x14ac:dyDescent="0.25">
      <c r="C1446" t="s">
        <v>14</v>
      </c>
      <c r="D1446" s="12">
        <v>15</v>
      </c>
      <c r="E1446" s="2">
        <v>15</v>
      </c>
      <c r="F1446" s="25">
        <v>6.6964285714285712E-2</v>
      </c>
    </row>
    <row r="1447" spans="2:6" outlineLevel="2" x14ac:dyDescent="0.25">
      <c r="C1447" t="s">
        <v>20</v>
      </c>
      <c r="D1447" s="12">
        <v>3</v>
      </c>
      <c r="E1447" s="2">
        <v>3</v>
      </c>
      <c r="F1447" s="25">
        <v>0.13636363636363635</v>
      </c>
    </row>
    <row r="1448" spans="2:6" outlineLevel="2" x14ac:dyDescent="0.25">
      <c r="C1448" t="s">
        <v>15</v>
      </c>
      <c r="D1448" s="12">
        <v>2</v>
      </c>
      <c r="E1448" s="2">
        <v>2</v>
      </c>
      <c r="F1448" s="25">
        <v>2.564102564102564E-2</v>
      </c>
    </row>
    <row r="1449" spans="2:6" outlineLevel="1" x14ac:dyDescent="0.25">
      <c r="B1449" t="s">
        <v>253</v>
      </c>
      <c r="D1449" s="12"/>
      <c r="E1449" s="17">
        <v>4</v>
      </c>
      <c r="F1449" s="24">
        <v>3.3500837520938024E-3</v>
      </c>
    </row>
    <row r="1450" spans="2:6" outlineLevel="2" x14ac:dyDescent="0.25">
      <c r="C1450" t="s">
        <v>43</v>
      </c>
      <c r="D1450" s="12">
        <v>2</v>
      </c>
      <c r="E1450" s="2">
        <v>2</v>
      </c>
      <c r="F1450" s="25">
        <v>0.125</v>
      </c>
    </row>
    <row r="1451" spans="2:6" outlineLevel="2" x14ac:dyDescent="0.25">
      <c r="C1451" t="s">
        <v>31</v>
      </c>
      <c r="D1451" s="12">
        <v>2</v>
      </c>
      <c r="E1451" s="2">
        <v>2</v>
      </c>
      <c r="F1451" s="25">
        <v>9.0909090909090912E-2</v>
      </c>
    </row>
    <row r="1452" spans="2:6" outlineLevel="1" x14ac:dyDescent="0.25">
      <c r="B1452" t="s">
        <v>254</v>
      </c>
      <c r="D1452" s="12"/>
      <c r="E1452" s="17">
        <v>33</v>
      </c>
      <c r="F1452" s="24">
        <v>2.7638190954773871E-2</v>
      </c>
    </row>
    <row r="1453" spans="2:6" outlineLevel="2" x14ac:dyDescent="0.25">
      <c r="C1453" t="s">
        <v>45</v>
      </c>
      <c r="D1453" s="12">
        <v>2</v>
      </c>
      <c r="E1453" s="2">
        <v>2</v>
      </c>
      <c r="F1453" s="25">
        <v>0.5</v>
      </c>
    </row>
    <row r="1454" spans="2:6" outlineLevel="2" x14ac:dyDescent="0.25">
      <c r="C1454" t="s">
        <v>23</v>
      </c>
      <c r="D1454" s="12">
        <v>4</v>
      </c>
      <c r="E1454" s="2">
        <v>4</v>
      </c>
      <c r="F1454" s="25">
        <v>0.18181818181818182</v>
      </c>
    </row>
    <row r="1455" spans="2:6" outlineLevel="2" x14ac:dyDescent="0.25">
      <c r="C1455" t="s">
        <v>24</v>
      </c>
      <c r="D1455" s="12">
        <v>2</v>
      </c>
      <c r="E1455" s="2">
        <v>2</v>
      </c>
      <c r="F1455" s="25">
        <v>0.5</v>
      </c>
    </row>
    <row r="1456" spans="2:6" outlineLevel="2" x14ac:dyDescent="0.25">
      <c r="C1456" t="s">
        <v>11</v>
      </c>
      <c r="D1456" s="12">
        <v>1</v>
      </c>
      <c r="E1456" s="2">
        <v>1</v>
      </c>
      <c r="F1456" s="25">
        <v>7.1428571428571425E-2</v>
      </c>
    </row>
    <row r="1457" spans="2:6" outlineLevel="2" x14ac:dyDescent="0.25">
      <c r="C1457" t="s">
        <v>14</v>
      </c>
      <c r="D1457" s="12">
        <v>22</v>
      </c>
      <c r="E1457" s="2">
        <v>22</v>
      </c>
      <c r="F1457" s="25">
        <v>9.8214285714285712E-2</v>
      </c>
    </row>
    <row r="1458" spans="2:6" outlineLevel="2" x14ac:dyDescent="0.25">
      <c r="C1458" t="s">
        <v>15</v>
      </c>
      <c r="D1458" s="12">
        <v>2</v>
      </c>
      <c r="E1458" s="2">
        <v>2</v>
      </c>
      <c r="F1458" s="25">
        <v>2.564102564102564E-2</v>
      </c>
    </row>
    <row r="1459" spans="2:6" outlineLevel="1" x14ac:dyDescent="0.25">
      <c r="B1459" t="s">
        <v>255</v>
      </c>
      <c r="D1459" s="12"/>
      <c r="E1459" s="17">
        <v>66</v>
      </c>
      <c r="F1459" s="24">
        <v>5.5276381909547742E-2</v>
      </c>
    </row>
    <row r="1460" spans="2:6" outlineLevel="2" x14ac:dyDescent="0.25">
      <c r="C1460" t="s">
        <v>22</v>
      </c>
      <c r="D1460" s="12">
        <v>6</v>
      </c>
      <c r="E1460" s="2">
        <v>6</v>
      </c>
      <c r="F1460" s="25">
        <v>0.4</v>
      </c>
    </row>
    <row r="1461" spans="2:6" outlineLevel="2" x14ac:dyDescent="0.25">
      <c r="C1461" t="s">
        <v>30</v>
      </c>
      <c r="D1461" s="12">
        <v>4</v>
      </c>
      <c r="E1461" s="2">
        <v>4</v>
      </c>
      <c r="F1461" s="25">
        <v>0.66666666666666663</v>
      </c>
    </row>
    <row r="1462" spans="2:6" outlineLevel="2" x14ac:dyDescent="0.25">
      <c r="C1462" t="s">
        <v>23</v>
      </c>
      <c r="D1462" s="12">
        <v>3</v>
      </c>
      <c r="E1462" s="2">
        <v>3</v>
      </c>
      <c r="F1462" s="25">
        <v>0.13636363636363635</v>
      </c>
    </row>
    <row r="1463" spans="2:6" outlineLevel="2" x14ac:dyDescent="0.25">
      <c r="C1463" t="s">
        <v>33</v>
      </c>
      <c r="D1463" s="12">
        <v>2</v>
      </c>
      <c r="E1463" s="2">
        <v>2</v>
      </c>
      <c r="F1463" s="25">
        <v>9.0909090909090912E-2</v>
      </c>
    </row>
    <row r="1464" spans="2:6" outlineLevel="2" x14ac:dyDescent="0.25">
      <c r="C1464" t="s">
        <v>46</v>
      </c>
      <c r="D1464" s="12">
        <v>1</v>
      </c>
      <c r="E1464" s="2">
        <v>1</v>
      </c>
      <c r="F1464" s="25">
        <v>0.25</v>
      </c>
    </row>
    <row r="1465" spans="2:6" outlineLevel="2" x14ac:dyDescent="0.25">
      <c r="C1465" t="s">
        <v>16</v>
      </c>
      <c r="D1465" s="12">
        <v>3</v>
      </c>
      <c r="E1465" s="2">
        <v>3</v>
      </c>
      <c r="F1465" s="25">
        <v>0.375</v>
      </c>
    </row>
    <row r="1466" spans="2:6" outlineLevel="2" x14ac:dyDescent="0.25">
      <c r="C1466" t="s">
        <v>17</v>
      </c>
      <c r="D1466" s="12">
        <v>1</v>
      </c>
      <c r="E1466" s="2">
        <v>1</v>
      </c>
      <c r="F1466" s="25">
        <v>0.5</v>
      </c>
    </row>
    <row r="1467" spans="2:6" outlineLevel="2" x14ac:dyDescent="0.25">
      <c r="C1467" t="s">
        <v>11</v>
      </c>
      <c r="D1467" s="12">
        <v>5</v>
      </c>
      <c r="E1467" s="2">
        <v>5</v>
      </c>
      <c r="F1467" s="25">
        <v>0.35714285714285715</v>
      </c>
    </row>
    <row r="1468" spans="2:6" outlineLevel="2" x14ac:dyDescent="0.25">
      <c r="C1468" t="s">
        <v>14</v>
      </c>
      <c r="D1468" s="12">
        <v>23</v>
      </c>
      <c r="E1468" s="2">
        <v>23</v>
      </c>
      <c r="F1468" s="25">
        <v>0.10267857142857142</v>
      </c>
    </row>
    <row r="1469" spans="2:6" outlineLevel="2" x14ac:dyDescent="0.25">
      <c r="C1469" t="s">
        <v>20</v>
      </c>
      <c r="D1469" s="12">
        <v>1</v>
      </c>
      <c r="E1469" s="2">
        <v>1</v>
      </c>
      <c r="F1469" s="25">
        <v>4.5454545454545456E-2</v>
      </c>
    </row>
    <row r="1470" spans="2:6" outlineLevel="2" x14ac:dyDescent="0.25">
      <c r="C1470" t="s">
        <v>28</v>
      </c>
      <c r="D1470" s="12">
        <v>8</v>
      </c>
      <c r="E1470" s="2">
        <v>8</v>
      </c>
      <c r="F1470" s="25">
        <v>0.88888888888888884</v>
      </c>
    </row>
    <row r="1471" spans="2:6" outlineLevel="2" x14ac:dyDescent="0.25">
      <c r="C1471" t="s">
        <v>15</v>
      </c>
      <c r="D1471" s="12">
        <v>7</v>
      </c>
      <c r="E1471" s="2">
        <v>7</v>
      </c>
      <c r="F1471" s="25">
        <v>8.9743589743589744E-2</v>
      </c>
    </row>
    <row r="1472" spans="2:6" outlineLevel="2" x14ac:dyDescent="0.25">
      <c r="C1472" t="s">
        <v>31</v>
      </c>
      <c r="D1472" s="12">
        <v>1</v>
      </c>
      <c r="E1472" s="2">
        <v>1</v>
      </c>
      <c r="F1472" s="25">
        <v>4.5454545454545456E-2</v>
      </c>
    </row>
    <row r="1473" spans="1:6" outlineLevel="2" x14ac:dyDescent="0.25">
      <c r="C1473" t="s">
        <v>48</v>
      </c>
      <c r="D1473" s="12">
        <v>1</v>
      </c>
      <c r="E1473" s="2">
        <v>1</v>
      </c>
      <c r="F1473" s="25">
        <v>0.5</v>
      </c>
    </row>
    <row r="1474" spans="1:6" outlineLevel="1" x14ac:dyDescent="0.25">
      <c r="B1474" t="s">
        <v>256</v>
      </c>
      <c r="D1474" s="12"/>
      <c r="E1474" s="17">
        <v>81</v>
      </c>
      <c r="F1474" s="24">
        <v>6.78391959798995E-2</v>
      </c>
    </row>
    <row r="1475" spans="1:6" outlineLevel="2" x14ac:dyDescent="0.25">
      <c r="C1475" t="s">
        <v>26</v>
      </c>
      <c r="D1475" s="12">
        <v>3</v>
      </c>
      <c r="E1475" s="2">
        <v>3</v>
      </c>
      <c r="F1475" s="25">
        <v>0.23076923076923078</v>
      </c>
    </row>
    <row r="1476" spans="1:6" outlineLevel="2" x14ac:dyDescent="0.25">
      <c r="C1476" t="s">
        <v>12</v>
      </c>
      <c r="D1476" s="12">
        <v>4</v>
      </c>
      <c r="E1476" s="2">
        <v>4</v>
      </c>
      <c r="F1476" s="25">
        <v>0.16666666666666666</v>
      </c>
    </row>
    <row r="1477" spans="1:6" outlineLevel="2" x14ac:dyDescent="0.25">
      <c r="C1477" t="s">
        <v>13</v>
      </c>
      <c r="D1477" s="12">
        <v>57</v>
      </c>
      <c r="E1477" s="2">
        <v>57</v>
      </c>
      <c r="F1477" s="25">
        <v>0.26635514018691586</v>
      </c>
    </row>
    <row r="1478" spans="1:6" outlineLevel="2" x14ac:dyDescent="0.25">
      <c r="C1478" t="s">
        <v>38</v>
      </c>
      <c r="D1478" s="12">
        <v>8</v>
      </c>
      <c r="E1478" s="2">
        <v>8</v>
      </c>
      <c r="F1478" s="25">
        <v>0.4</v>
      </c>
    </row>
    <row r="1479" spans="1:6" outlineLevel="2" x14ac:dyDescent="0.25">
      <c r="C1479" t="s">
        <v>21</v>
      </c>
      <c r="D1479" s="12">
        <v>9</v>
      </c>
      <c r="E1479" s="2">
        <v>9</v>
      </c>
      <c r="F1479" s="25">
        <v>1</v>
      </c>
    </row>
    <row r="1480" spans="1:6" x14ac:dyDescent="0.25">
      <c r="A1480" t="s">
        <v>8</v>
      </c>
      <c r="D1480" s="12"/>
      <c r="E1480" s="16">
        <v>1027</v>
      </c>
      <c r="F1480" s="23">
        <v>2.9658620689655173E-2</v>
      </c>
    </row>
    <row r="1481" spans="1:6" outlineLevel="1" x14ac:dyDescent="0.25">
      <c r="B1481" t="s">
        <v>257</v>
      </c>
      <c r="D1481" s="12"/>
      <c r="E1481" s="17">
        <v>3</v>
      </c>
      <c r="F1481" s="24">
        <v>2.5125628140703518E-3</v>
      </c>
    </row>
    <row r="1482" spans="1:6" outlineLevel="2" x14ac:dyDescent="0.25">
      <c r="C1482" t="s">
        <v>45</v>
      </c>
      <c r="D1482" s="12">
        <v>2</v>
      </c>
      <c r="E1482" s="2">
        <v>2</v>
      </c>
      <c r="F1482" s="25">
        <v>0.5</v>
      </c>
    </row>
    <row r="1483" spans="1:6" outlineLevel="2" x14ac:dyDescent="0.25">
      <c r="C1483" t="s">
        <v>29</v>
      </c>
      <c r="D1483" s="12">
        <v>1</v>
      </c>
      <c r="E1483" s="2">
        <v>1</v>
      </c>
      <c r="F1483" s="25">
        <v>0.16666666666666666</v>
      </c>
    </row>
    <row r="1484" spans="1:6" outlineLevel="1" x14ac:dyDescent="0.25">
      <c r="B1484" t="s">
        <v>258</v>
      </c>
      <c r="D1484" s="12"/>
      <c r="E1484" s="17">
        <v>122</v>
      </c>
      <c r="F1484" s="24">
        <v>0.10217755443886097</v>
      </c>
    </row>
    <row r="1485" spans="1:6" outlineLevel="2" x14ac:dyDescent="0.25">
      <c r="C1485" t="s">
        <v>32</v>
      </c>
      <c r="D1485" s="12">
        <v>3</v>
      </c>
      <c r="E1485" s="2">
        <v>3</v>
      </c>
      <c r="F1485" s="25">
        <v>6.25E-2</v>
      </c>
    </row>
    <row r="1486" spans="1:6" outlineLevel="2" x14ac:dyDescent="0.25">
      <c r="C1486" t="s">
        <v>42</v>
      </c>
      <c r="D1486" s="12">
        <v>4</v>
      </c>
      <c r="E1486" s="2">
        <v>4</v>
      </c>
      <c r="F1486" s="25">
        <v>0.10256410256410256</v>
      </c>
    </row>
    <row r="1487" spans="1:6" outlineLevel="2" x14ac:dyDescent="0.25">
      <c r="C1487" t="s">
        <v>47</v>
      </c>
      <c r="D1487" s="12">
        <v>2</v>
      </c>
      <c r="E1487" s="2">
        <v>2</v>
      </c>
      <c r="F1487" s="25">
        <v>5.128205128205128E-2</v>
      </c>
    </row>
    <row r="1488" spans="1:6" outlineLevel="2" x14ac:dyDescent="0.25">
      <c r="C1488" t="s">
        <v>33</v>
      </c>
      <c r="D1488" s="12">
        <v>3</v>
      </c>
      <c r="E1488" s="2">
        <v>3</v>
      </c>
      <c r="F1488" s="25">
        <v>0.13636363636363635</v>
      </c>
    </row>
    <row r="1489" spans="3:6" outlineLevel="2" x14ac:dyDescent="0.25">
      <c r="C1489" t="s">
        <v>26</v>
      </c>
      <c r="D1489" s="12">
        <v>4</v>
      </c>
      <c r="E1489" s="2">
        <v>4</v>
      </c>
      <c r="F1489" s="25">
        <v>0.30769230769230771</v>
      </c>
    </row>
    <row r="1490" spans="3:6" outlineLevel="2" x14ac:dyDescent="0.25">
      <c r="C1490" t="s">
        <v>35</v>
      </c>
      <c r="D1490" s="12">
        <v>2</v>
      </c>
      <c r="E1490" s="2">
        <v>2</v>
      </c>
      <c r="F1490" s="25">
        <v>0.66666666666666663</v>
      </c>
    </row>
    <row r="1491" spans="3:6" outlineLevel="2" x14ac:dyDescent="0.25">
      <c r="C1491" t="s">
        <v>29</v>
      </c>
      <c r="D1491" s="12">
        <v>2</v>
      </c>
      <c r="E1491" s="2">
        <v>2</v>
      </c>
      <c r="F1491" s="25">
        <v>0.33333333333333331</v>
      </c>
    </row>
    <row r="1492" spans="3:6" outlineLevel="2" x14ac:dyDescent="0.25">
      <c r="C1492" t="s">
        <v>18</v>
      </c>
      <c r="D1492" s="12">
        <v>2</v>
      </c>
      <c r="E1492" s="2">
        <v>2</v>
      </c>
      <c r="F1492" s="25">
        <v>5.2631578947368418E-2</v>
      </c>
    </row>
    <row r="1493" spans="3:6" outlineLevel="2" x14ac:dyDescent="0.25">
      <c r="C1493" t="s">
        <v>11</v>
      </c>
      <c r="D1493" s="12">
        <v>4</v>
      </c>
      <c r="E1493" s="2">
        <v>4</v>
      </c>
      <c r="F1493" s="25">
        <v>0.2857142857142857</v>
      </c>
    </row>
    <row r="1494" spans="3:6" outlineLevel="2" x14ac:dyDescent="0.25">
      <c r="C1494" t="s">
        <v>12</v>
      </c>
      <c r="D1494" s="12">
        <v>1</v>
      </c>
      <c r="E1494" s="2">
        <v>1</v>
      </c>
      <c r="F1494" s="25">
        <v>4.1666666666666664E-2</v>
      </c>
    </row>
    <row r="1495" spans="3:6" outlineLevel="2" x14ac:dyDescent="0.25">
      <c r="C1495" t="s">
        <v>13</v>
      </c>
      <c r="D1495" s="12">
        <v>30</v>
      </c>
      <c r="E1495" s="2">
        <v>30</v>
      </c>
      <c r="F1495" s="25">
        <v>0.14018691588785046</v>
      </c>
    </row>
    <row r="1496" spans="3:6" outlineLevel="2" x14ac:dyDescent="0.25">
      <c r="C1496" t="s">
        <v>53</v>
      </c>
      <c r="D1496" s="12">
        <v>1</v>
      </c>
      <c r="E1496" s="2">
        <v>1</v>
      </c>
      <c r="F1496" s="25">
        <v>0.1</v>
      </c>
    </row>
    <row r="1497" spans="3:6" outlineLevel="2" x14ac:dyDescent="0.25">
      <c r="C1497" t="s">
        <v>14</v>
      </c>
      <c r="D1497" s="12">
        <v>47</v>
      </c>
      <c r="E1497" s="2">
        <v>47</v>
      </c>
      <c r="F1497" s="25">
        <v>0.20982142857142858</v>
      </c>
    </row>
    <row r="1498" spans="3:6" outlineLevel="2" x14ac:dyDescent="0.25">
      <c r="C1498" t="s">
        <v>50</v>
      </c>
      <c r="D1498" s="12">
        <v>4</v>
      </c>
      <c r="E1498" s="2">
        <v>4</v>
      </c>
      <c r="F1498" s="25">
        <v>0.5714285714285714</v>
      </c>
    </row>
    <row r="1499" spans="3:6" outlineLevel="2" x14ac:dyDescent="0.25">
      <c r="C1499" t="s">
        <v>37</v>
      </c>
      <c r="D1499" s="12">
        <v>1</v>
      </c>
      <c r="E1499" s="2">
        <v>1</v>
      </c>
      <c r="F1499" s="25">
        <v>0.16666666666666666</v>
      </c>
    </row>
    <row r="1500" spans="3:6" outlineLevel="2" x14ac:dyDescent="0.25">
      <c r="C1500" t="s">
        <v>19</v>
      </c>
      <c r="D1500" s="12">
        <v>2</v>
      </c>
      <c r="E1500" s="2">
        <v>2</v>
      </c>
      <c r="F1500" s="25">
        <v>3.8461538461538464E-2</v>
      </c>
    </row>
    <row r="1501" spans="3:6" outlineLevel="2" x14ac:dyDescent="0.25">
      <c r="C1501" t="s">
        <v>20</v>
      </c>
      <c r="D1501" s="12">
        <v>3</v>
      </c>
      <c r="E1501" s="2">
        <v>3</v>
      </c>
      <c r="F1501" s="25">
        <v>0.13636363636363635</v>
      </c>
    </row>
    <row r="1502" spans="3:6" outlineLevel="2" x14ac:dyDescent="0.25">
      <c r="C1502" t="s">
        <v>28</v>
      </c>
      <c r="D1502" s="12">
        <v>1</v>
      </c>
      <c r="E1502" s="2">
        <v>1</v>
      </c>
      <c r="F1502" s="25">
        <v>0.1111111111111111</v>
      </c>
    </row>
    <row r="1503" spans="3:6" outlineLevel="2" x14ac:dyDescent="0.25">
      <c r="C1503" t="s">
        <v>15</v>
      </c>
      <c r="D1503" s="12">
        <v>2</v>
      </c>
      <c r="E1503" s="2">
        <v>2</v>
      </c>
      <c r="F1503" s="25">
        <v>2.564102564102564E-2</v>
      </c>
    </row>
    <row r="1504" spans="3:6" outlineLevel="2" x14ac:dyDescent="0.25">
      <c r="C1504" t="s">
        <v>31</v>
      </c>
      <c r="D1504" s="12">
        <v>3</v>
      </c>
      <c r="E1504" s="2">
        <v>3</v>
      </c>
      <c r="F1504" s="25">
        <v>0.13636363636363635</v>
      </c>
    </row>
    <row r="1505" spans="2:6" outlineLevel="2" x14ac:dyDescent="0.25">
      <c r="C1505" t="s">
        <v>40</v>
      </c>
      <c r="D1505" s="12">
        <v>1</v>
      </c>
      <c r="E1505" s="2">
        <v>1</v>
      </c>
      <c r="F1505" s="25">
        <v>0.1111111111111111</v>
      </c>
    </row>
    <row r="1506" spans="2:6" outlineLevel="1" x14ac:dyDescent="0.25">
      <c r="B1506" t="s">
        <v>259</v>
      </c>
      <c r="D1506" s="12"/>
      <c r="E1506" s="17">
        <v>7</v>
      </c>
      <c r="F1506" s="24">
        <v>5.8626465661641538E-3</v>
      </c>
    </row>
    <row r="1507" spans="2:6" outlineLevel="2" x14ac:dyDescent="0.25">
      <c r="C1507" t="s">
        <v>44</v>
      </c>
      <c r="D1507" s="12">
        <v>1</v>
      </c>
      <c r="E1507" s="2">
        <v>1</v>
      </c>
      <c r="F1507" s="25">
        <v>0.16666666666666666</v>
      </c>
    </row>
    <row r="1508" spans="2:6" outlineLevel="2" x14ac:dyDescent="0.25">
      <c r="C1508" t="s">
        <v>15</v>
      </c>
      <c r="D1508" s="12">
        <v>2</v>
      </c>
      <c r="E1508" s="2">
        <v>2</v>
      </c>
      <c r="F1508" s="25">
        <v>2.564102564102564E-2</v>
      </c>
    </row>
    <row r="1509" spans="2:6" outlineLevel="2" x14ac:dyDescent="0.25">
      <c r="C1509" t="s">
        <v>31</v>
      </c>
      <c r="D1509" s="12">
        <v>3</v>
      </c>
      <c r="E1509" s="2">
        <v>3</v>
      </c>
      <c r="F1509" s="25">
        <v>0.13636363636363635</v>
      </c>
    </row>
    <row r="1510" spans="2:6" outlineLevel="2" x14ac:dyDescent="0.25">
      <c r="C1510" t="s">
        <v>54</v>
      </c>
      <c r="D1510" s="12">
        <v>1</v>
      </c>
      <c r="E1510" s="2">
        <v>1</v>
      </c>
      <c r="F1510" s="25">
        <v>0.33333333333333331</v>
      </c>
    </row>
    <row r="1511" spans="2:6" outlineLevel="1" x14ac:dyDescent="0.25">
      <c r="B1511" t="s">
        <v>260</v>
      </c>
      <c r="D1511" s="12"/>
      <c r="E1511" s="17">
        <v>17</v>
      </c>
      <c r="F1511" s="24">
        <v>1.423785594639866E-2</v>
      </c>
    </row>
    <row r="1512" spans="2:6" outlineLevel="2" x14ac:dyDescent="0.25">
      <c r="C1512" t="s">
        <v>13</v>
      </c>
      <c r="D1512" s="12">
        <v>6</v>
      </c>
      <c r="E1512" s="2">
        <v>6</v>
      </c>
      <c r="F1512" s="25">
        <v>2.8037383177570093E-2</v>
      </c>
    </row>
    <row r="1513" spans="2:6" outlineLevel="2" x14ac:dyDescent="0.25">
      <c r="C1513" t="s">
        <v>14</v>
      </c>
      <c r="D1513" s="12">
        <v>8</v>
      </c>
      <c r="E1513" s="2">
        <v>8</v>
      </c>
      <c r="F1513" s="25">
        <v>3.5714285714285712E-2</v>
      </c>
    </row>
    <row r="1514" spans="2:6" outlineLevel="2" x14ac:dyDescent="0.25">
      <c r="C1514" t="s">
        <v>20</v>
      </c>
      <c r="D1514" s="12">
        <v>1</v>
      </c>
      <c r="E1514" s="2">
        <v>1</v>
      </c>
      <c r="F1514" s="25">
        <v>4.5454545454545456E-2</v>
      </c>
    </row>
    <row r="1515" spans="2:6" outlineLevel="2" x14ac:dyDescent="0.25">
      <c r="C1515" t="s">
        <v>28</v>
      </c>
      <c r="D1515" s="12">
        <v>1</v>
      </c>
      <c r="E1515" s="2">
        <v>1</v>
      </c>
      <c r="F1515" s="25">
        <v>0.1111111111111111</v>
      </c>
    </row>
    <row r="1516" spans="2:6" outlineLevel="2" x14ac:dyDescent="0.25">
      <c r="C1516" t="s">
        <v>15</v>
      </c>
      <c r="D1516" s="12">
        <v>1</v>
      </c>
      <c r="E1516" s="2">
        <v>1</v>
      </c>
      <c r="F1516" s="25">
        <v>1.282051282051282E-2</v>
      </c>
    </row>
    <row r="1517" spans="2:6" outlineLevel="1" x14ac:dyDescent="0.25">
      <c r="B1517" t="s">
        <v>261</v>
      </c>
      <c r="D1517" s="12"/>
      <c r="E1517" s="17">
        <v>52</v>
      </c>
      <c r="F1517" s="24">
        <v>4.3551088777219429E-2</v>
      </c>
    </row>
    <row r="1518" spans="2:6" outlineLevel="2" x14ac:dyDescent="0.25">
      <c r="C1518" t="s">
        <v>22</v>
      </c>
      <c r="D1518" s="12">
        <v>1</v>
      </c>
      <c r="E1518" s="2">
        <v>1</v>
      </c>
      <c r="F1518" s="25">
        <v>6.6666666666666666E-2</v>
      </c>
    </row>
    <row r="1519" spans="2:6" outlineLevel="2" x14ac:dyDescent="0.25">
      <c r="C1519" t="s">
        <v>42</v>
      </c>
      <c r="D1519" s="12">
        <v>15</v>
      </c>
      <c r="E1519" s="2">
        <v>15</v>
      </c>
      <c r="F1519" s="25">
        <v>0.38461538461538464</v>
      </c>
    </row>
    <row r="1520" spans="2:6" outlineLevel="2" x14ac:dyDescent="0.25">
      <c r="C1520" t="s">
        <v>43</v>
      </c>
      <c r="D1520" s="12">
        <v>4</v>
      </c>
      <c r="E1520" s="2">
        <v>4</v>
      </c>
      <c r="F1520" s="25">
        <v>0.25</v>
      </c>
    </row>
    <row r="1521" spans="2:6" outlineLevel="2" x14ac:dyDescent="0.25">
      <c r="C1521" t="s">
        <v>33</v>
      </c>
      <c r="D1521" s="12">
        <v>1</v>
      </c>
      <c r="E1521" s="2">
        <v>1</v>
      </c>
      <c r="F1521" s="25">
        <v>4.5454545454545456E-2</v>
      </c>
    </row>
    <row r="1522" spans="2:6" outlineLevel="2" x14ac:dyDescent="0.25">
      <c r="C1522" t="s">
        <v>44</v>
      </c>
      <c r="D1522" s="12">
        <v>2</v>
      </c>
      <c r="E1522" s="2">
        <v>2</v>
      </c>
      <c r="F1522" s="25">
        <v>0.33333333333333331</v>
      </c>
    </row>
    <row r="1523" spans="2:6" outlineLevel="2" x14ac:dyDescent="0.25">
      <c r="C1523" t="s">
        <v>13</v>
      </c>
      <c r="D1523" s="12">
        <v>4</v>
      </c>
      <c r="E1523" s="2">
        <v>4</v>
      </c>
      <c r="F1523" s="25">
        <v>1.8691588785046728E-2</v>
      </c>
    </row>
    <row r="1524" spans="2:6" outlineLevel="2" x14ac:dyDescent="0.25">
      <c r="C1524" t="s">
        <v>14</v>
      </c>
      <c r="D1524" s="12">
        <v>3</v>
      </c>
      <c r="E1524" s="2">
        <v>3</v>
      </c>
      <c r="F1524" s="25">
        <v>1.3392857142857142E-2</v>
      </c>
    </row>
    <row r="1525" spans="2:6" outlineLevel="2" x14ac:dyDescent="0.25">
      <c r="C1525" t="s">
        <v>50</v>
      </c>
      <c r="D1525" s="12">
        <v>3</v>
      </c>
      <c r="E1525" s="2">
        <v>3</v>
      </c>
      <c r="F1525" s="25">
        <v>0.42857142857142855</v>
      </c>
    </row>
    <row r="1526" spans="2:6" outlineLevel="2" x14ac:dyDescent="0.25">
      <c r="C1526" t="s">
        <v>37</v>
      </c>
      <c r="D1526" s="12">
        <v>5</v>
      </c>
      <c r="E1526" s="2">
        <v>5</v>
      </c>
      <c r="F1526" s="25">
        <v>0.83333333333333337</v>
      </c>
    </row>
    <row r="1527" spans="2:6" outlineLevel="2" x14ac:dyDescent="0.25">
      <c r="C1527" t="s">
        <v>20</v>
      </c>
      <c r="D1527" s="12">
        <v>9</v>
      </c>
      <c r="E1527" s="2">
        <v>9</v>
      </c>
      <c r="F1527" s="25">
        <v>0.40909090909090912</v>
      </c>
    </row>
    <row r="1528" spans="2:6" outlineLevel="2" x14ac:dyDescent="0.25">
      <c r="C1528" t="s">
        <v>21</v>
      </c>
      <c r="D1528" s="12">
        <v>4</v>
      </c>
      <c r="E1528" s="2">
        <v>4</v>
      </c>
      <c r="F1528" s="25">
        <v>0.44444444444444442</v>
      </c>
    </row>
    <row r="1529" spans="2:6" outlineLevel="2" x14ac:dyDescent="0.25">
      <c r="C1529" t="s">
        <v>48</v>
      </c>
      <c r="D1529" s="12">
        <v>1</v>
      </c>
      <c r="E1529" s="2">
        <v>1</v>
      </c>
      <c r="F1529" s="25">
        <v>0.5</v>
      </c>
    </row>
    <row r="1530" spans="2:6" outlineLevel="1" x14ac:dyDescent="0.25">
      <c r="B1530" t="s">
        <v>262</v>
      </c>
      <c r="D1530" s="12"/>
      <c r="E1530" s="17">
        <v>17</v>
      </c>
      <c r="F1530" s="24">
        <v>1.423785594639866E-2</v>
      </c>
    </row>
    <row r="1531" spans="2:6" outlineLevel="2" x14ac:dyDescent="0.25">
      <c r="C1531" t="s">
        <v>29</v>
      </c>
      <c r="D1531" s="12">
        <v>4</v>
      </c>
      <c r="E1531" s="2">
        <v>4</v>
      </c>
      <c r="F1531" s="25">
        <v>0.66666666666666663</v>
      </c>
    </row>
    <row r="1532" spans="2:6" outlineLevel="2" x14ac:dyDescent="0.25">
      <c r="C1532" t="s">
        <v>12</v>
      </c>
      <c r="D1532" s="12">
        <v>2</v>
      </c>
      <c r="E1532" s="2">
        <v>2</v>
      </c>
      <c r="F1532" s="25">
        <v>8.3333333333333329E-2</v>
      </c>
    </row>
    <row r="1533" spans="2:6" outlineLevel="2" x14ac:dyDescent="0.25">
      <c r="C1533" t="s">
        <v>13</v>
      </c>
      <c r="D1533" s="12">
        <v>4</v>
      </c>
      <c r="E1533" s="2">
        <v>4</v>
      </c>
      <c r="F1533" s="25">
        <v>1.8691588785046728E-2</v>
      </c>
    </row>
    <row r="1534" spans="2:6" outlineLevel="2" x14ac:dyDescent="0.25">
      <c r="C1534" t="s">
        <v>37</v>
      </c>
      <c r="D1534" s="12">
        <v>1</v>
      </c>
      <c r="E1534" s="2">
        <v>1</v>
      </c>
      <c r="F1534" s="25">
        <v>0.16666666666666666</v>
      </c>
    </row>
    <row r="1535" spans="2:6" outlineLevel="2" x14ac:dyDescent="0.25">
      <c r="C1535" t="s">
        <v>21</v>
      </c>
      <c r="D1535" s="12">
        <v>5</v>
      </c>
      <c r="E1535" s="2">
        <v>5</v>
      </c>
      <c r="F1535" s="25">
        <v>0.55555555555555558</v>
      </c>
    </row>
    <row r="1536" spans="2:6" outlineLevel="2" x14ac:dyDescent="0.25">
      <c r="C1536" t="s">
        <v>40</v>
      </c>
      <c r="D1536" s="12">
        <v>1</v>
      </c>
      <c r="E1536" s="2">
        <v>1</v>
      </c>
      <c r="F1536" s="25">
        <v>0.1111111111111111</v>
      </c>
    </row>
    <row r="1537" spans="2:6" outlineLevel="1" x14ac:dyDescent="0.25">
      <c r="B1537" t="s">
        <v>263</v>
      </c>
      <c r="D1537" s="12"/>
      <c r="E1537" s="17">
        <v>19</v>
      </c>
      <c r="F1537" s="24">
        <v>1.5912897822445562E-2</v>
      </c>
    </row>
    <row r="1538" spans="2:6" outlineLevel="2" x14ac:dyDescent="0.25">
      <c r="C1538" t="s">
        <v>41</v>
      </c>
      <c r="D1538" s="12">
        <v>2</v>
      </c>
      <c r="E1538" s="2">
        <v>2</v>
      </c>
      <c r="F1538" s="25">
        <v>3.7037037037037035E-2</v>
      </c>
    </row>
    <row r="1539" spans="2:6" outlineLevel="2" x14ac:dyDescent="0.25">
      <c r="C1539" t="s">
        <v>47</v>
      </c>
      <c r="D1539" s="12">
        <v>2</v>
      </c>
      <c r="E1539" s="2">
        <v>2</v>
      </c>
      <c r="F1539" s="25">
        <v>5.128205128205128E-2</v>
      </c>
    </row>
    <row r="1540" spans="2:6" outlineLevel="2" x14ac:dyDescent="0.25">
      <c r="C1540" t="s">
        <v>18</v>
      </c>
      <c r="D1540" s="12">
        <v>6</v>
      </c>
      <c r="E1540" s="2">
        <v>6</v>
      </c>
      <c r="F1540" s="25">
        <v>0.15789473684210525</v>
      </c>
    </row>
    <row r="1541" spans="2:6" outlineLevel="2" x14ac:dyDescent="0.25">
      <c r="C1541" t="s">
        <v>11</v>
      </c>
      <c r="D1541" s="12">
        <v>1</v>
      </c>
      <c r="E1541" s="2">
        <v>1</v>
      </c>
      <c r="F1541" s="25">
        <v>7.1428571428571425E-2</v>
      </c>
    </row>
    <row r="1542" spans="2:6" outlineLevel="2" x14ac:dyDescent="0.25">
      <c r="C1542" t="s">
        <v>13</v>
      </c>
      <c r="D1542" s="12">
        <v>3</v>
      </c>
      <c r="E1542" s="2">
        <v>3</v>
      </c>
      <c r="F1542" s="25">
        <v>1.4018691588785047E-2</v>
      </c>
    </row>
    <row r="1543" spans="2:6" outlineLevel="2" x14ac:dyDescent="0.25">
      <c r="C1543" t="s">
        <v>14</v>
      </c>
      <c r="D1543" s="12">
        <v>1</v>
      </c>
      <c r="E1543" s="2">
        <v>1</v>
      </c>
      <c r="F1543" s="25">
        <v>4.464285714285714E-3</v>
      </c>
    </row>
    <row r="1544" spans="2:6" outlineLevel="2" x14ac:dyDescent="0.25">
      <c r="C1544" t="s">
        <v>19</v>
      </c>
      <c r="D1544" s="12">
        <v>1</v>
      </c>
      <c r="E1544" s="2">
        <v>1</v>
      </c>
      <c r="F1544" s="25">
        <v>1.9230769230769232E-2</v>
      </c>
    </row>
    <row r="1545" spans="2:6" outlineLevel="2" x14ac:dyDescent="0.25">
      <c r="C1545" t="s">
        <v>15</v>
      </c>
      <c r="D1545" s="12">
        <v>3</v>
      </c>
      <c r="E1545" s="2">
        <v>3</v>
      </c>
      <c r="F1545" s="25">
        <v>3.8461538461538464E-2</v>
      </c>
    </row>
    <row r="1546" spans="2:6" outlineLevel="1" x14ac:dyDescent="0.25">
      <c r="B1546" t="s">
        <v>264</v>
      </c>
      <c r="D1546" s="12"/>
      <c r="E1546" s="17">
        <v>30</v>
      </c>
      <c r="F1546" s="24">
        <v>2.5125628140703519E-2</v>
      </c>
    </row>
    <row r="1547" spans="2:6" outlineLevel="2" x14ac:dyDescent="0.25">
      <c r="C1547" t="s">
        <v>22</v>
      </c>
      <c r="D1547" s="12">
        <v>1</v>
      </c>
      <c r="E1547" s="2">
        <v>1</v>
      </c>
      <c r="F1547" s="25">
        <v>6.6666666666666666E-2</v>
      </c>
    </row>
    <row r="1548" spans="2:6" outlineLevel="2" x14ac:dyDescent="0.25">
      <c r="C1548" t="s">
        <v>25</v>
      </c>
      <c r="D1548" s="12">
        <v>7</v>
      </c>
      <c r="E1548" s="2">
        <v>7</v>
      </c>
      <c r="F1548" s="25">
        <v>0.2</v>
      </c>
    </row>
    <row r="1549" spans="2:6" outlineLevel="2" x14ac:dyDescent="0.25">
      <c r="C1549" t="s">
        <v>33</v>
      </c>
      <c r="D1549" s="12">
        <v>1</v>
      </c>
      <c r="E1549" s="2">
        <v>1</v>
      </c>
      <c r="F1549" s="25">
        <v>4.5454545454545456E-2</v>
      </c>
    </row>
    <row r="1550" spans="2:6" outlineLevel="2" x14ac:dyDescent="0.25">
      <c r="C1550" t="s">
        <v>26</v>
      </c>
      <c r="D1550" s="12">
        <v>4</v>
      </c>
      <c r="E1550" s="2">
        <v>4</v>
      </c>
      <c r="F1550" s="25">
        <v>0.30769230769230771</v>
      </c>
    </row>
    <row r="1551" spans="2:6" outlineLevel="2" x14ac:dyDescent="0.25">
      <c r="C1551" t="s">
        <v>13</v>
      </c>
      <c r="D1551" s="12">
        <v>14</v>
      </c>
      <c r="E1551" s="2">
        <v>14</v>
      </c>
      <c r="F1551" s="25">
        <v>6.5420560747663545E-2</v>
      </c>
    </row>
    <row r="1552" spans="2:6" outlineLevel="2" x14ac:dyDescent="0.25">
      <c r="C1552" t="s">
        <v>20</v>
      </c>
      <c r="D1552" s="12">
        <v>1</v>
      </c>
      <c r="E1552" s="2">
        <v>1</v>
      </c>
      <c r="F1552" s="25">
        <v>4.5454545454545456E-2</v>
      </c>
    </row>
    <row r="1553" spans="2:6" outlineLevel="2" x14ac:dyDescent="0.25">
      <c r="C1553" t="s">
        <v>28</v>
      </c>
      <c r="D1553" s="12">
        <v>1</v>
      </c>
      <c r="E1553" s="2">
        <v>1</v>
      </c>
      <c r="F1553" s="25">
        <v>0.1111111111111111</v>
      </c>
    </row>
    <row r="1554" spans="2:6" outlineLevel="2" x14ac:dyDescent="0.25">
      <c r="C1554" t="s">
        <v>15</v>
      </c>
      <c r="D1554" s="12">
        <v>1</v>
      </c>
      <c r="E1554" s="2">
        <v>1</v>
      </c>
      <c r="F1554" s="25">
        <v>1.282051282051282E-2</v>
      </c>
    </row>
    <row r="1555" spans="2:6" outlineLevel="1" x14ac:dyDescent="0.25">
      <c r="B1555" t="s">
        <v>265</v>
      </c>
      <c r="D1555" s="12"/>
      <c r="E1555" s="17">
        <v>101</v>
      </c>
      <c r="F1555" s="24">
        <v>8.458961474036851E-2</v>
      </c>
    </row>
    <row r="1556" spans="2:6" outlineLevel="2" x14ac:dyDescent="0.25">
      <c r="C1556" t="s">
        <v>22</v>
      </c>
      <c r="D1556" s="12">
        <v>3</v>
      </c>
      <c r="E1556" s="2">
        <v>3</v>
      </c>
      <c r="F1556" s="25">
        <v>0.2</v>
      </c>
    </row>
    <row r="1557" spans="2:6" outlineLevel="2" x14ac:dyDescent="0.25">
      <c r="C1557" t="s">
        <v>25</v>
      </c>
      <c r="D1557" s="12">
        <v>14</v>
      </c>
      <c r="E1557" s="2">
        <v>14</v>
      </c>
      <c r="F1557" s="25">
        <v>0.4</v>
      </c>
    </row>
    <row r="1558" spans="2:6" outlineLevel="2" x14ac:dyDescent="0.25">
      <c r="C1558" t="s">
        <v>33</v>
      </c>
      <c r="D1558" s="12">
        <v>1</v>
      </c>
      <c r="E1558" s="2">
        <v>1</v>
      </c>
      <c r="F1558" s="25">
        <v>4.5454545454545456E-2</v>
      </c>
    </row>
    <row r="1559" spans="2:6" outlineLevel="2" x14ac:dyDescent="0.25">
      <c r="C1559" t="s">
        <v>44</v>
      </c>
      <c r="D1559" s="12">
        <v>1</v>
      </c>
      <c r="E1559" s="2">
        <v>1</v>
      </c>
      <c r="F1559" s="25">
        <v>0.16666666666666666</v>
      </c>
    </row>
    <row r="1560" spans="2:6" outlineLevel="2" x14ac:dyDescent="0.25">
      <c r="C1560" t="s">
        <v>16</v>
      </c>
      <c r="D1560" s="12">
        <v>3</v>
      </c>
      <c r="E1560" s="2">
        <v>3</v>
      </c>
      <c r="F1560" s="25">
        <v>0.375</v>
      </c>
    </row>
    <row r="1561" spans="2:6" outlineLevel="2" x14ac:dyDescent="0.25">
      <c r="C1561" t="s">
        <v>26</v>
      </c>
      <c r="D1561" s="12">
        <v>1</v>
      </c>
      <c r="E1561" s="2">
        <v>1</v>
      </c>
      <c r="F1561" s="25">
        <v>7.6923076923076927E-2</v>
      </c>
    </row>
    <row r="1562" spans="2:6" outlineLevel="2" x14ac:dyDescent="0.25">
      <c r="C1562" t="s">
        <v>35</v>
      </c>
      <c r="D1562" s="12">
        <v>1</v>
      </c>
      <c r="E1562" s="2">
        <v>1</v>
      </c>
      <c r="F1562" s="25">
        <v>0.33333333333333331</v>
      </c>
    </row>
    <row r="1563" spans="2:6" outlineLevel="2" x14ac:dyDescent="0.25">
      <c r="C1563" t="s">
        <v>18</v>
      </c>
      <c r="D1563" s="12">
        <v>17</v>
      </c>
      <c r="E1563" s="2">
        <v>17</v>
      </c>
      <c r="F1563" s="25">
        <v>0.44736842105263158</v>
      </c>
    </row>
    <row r="1564" spans="2:6" outlineLevel="2" x14ac:dyDescent="0.25">
      <c r="C1564" t="s">
        <v>11</v>
      </c>
      <c r="D1564" s="12">
        <v>3</v>
      </c>
      <c r="E1564" s="2">
        <v>3</v>
      </c>
      <c r="F1564" s="25">
        <v>0.21428571428571427</v>
      </c>
    </row>
    <row r="1565" spans="2:6" outlineLevel="2" x14ac:dyDescent="0.25">
      <c r="C1565" t="s">
        <v>13</v>
      </c>
      <c r="D1565" s="12">
        <v>2</v>
      </c>
      <c r="E1565" s="2">
        <v>2</v>
      </c>
      <c r="F1565" s="25">
        <v>9.3457943925233638E-3</v>
      </c>
    </row>
    <row r="1566" spans="2:6" outlineLevel="2" x14ac:dyDescent="0.25">
      <c r="C1566" t="s">
        <v>14</v>
      </c>
      <c r="D1566" s="12">
        <v>31</v>
      </c>
      <c r="E1566" s="2">
        <v>31</v>
      </c>
      <c r="F1566" s="25">
        <v>0.13839285714285715</v>
      </c>
    </row>
    <row r="1567" spans="2:6" outlineLevel="2" x14ac:dyDescent="0.25">
      <c r="C1567" t="s">
        <v>37</v>
      </c>
      <c r="D1567" s="12">
        <v>1</v>
      </c>
      <c r="E1567" s="2">
        <v>1</v>
      </c>
      <c r="F1567" s="25">
        <v>0.16666666666666666</v>
      </c>
    </row>
    <row r="1568" spans="2:6" outlineLevel="2" x14ac:dyDescent="0.25">
      <c r="C1568" t="s">
        <v>28</v>
      </c>
      <c r="D1568" s="12">
        <v>1</v>
      </c>
      <c r="E1568" s="2">
        <v>1</v>
      </c>
      <c r="F1568" s="25">
        <v>0.1111111111111111</v>
      </c>
    </row>
    <row r="1569" spans="2:6" outlineLevel="2" x14ac:dyDescent="0.25">
      <c r="C1569" t="s">
        <v>15</v>
      </c>
      <c r="D1569" s="12">
        <v>22</v>
      </c>
      <c r="E1569" s="2">
        <v>22</v>
      </c>
      <c r="F1569" s="25">
        <v>0.28205128205128205</v>
      </c>
    </row>
    <row r="1570" spans="2:6" outlineLevel="1" x14ac:dyDescent="0.25">
      <c r="B1570" t="s">
        <v>266</v>
      </c>
      <c r="D1570" s="12"/>
      <c r="E1570" s="17">
        <v>11</v>
      </c>
      <c r="F1570" s="24">
        <v>9.212730318257957E-3</v>
      </c>
    </row>
    <row r="1571" spans="2:6" outlineLevel="2" x14ac:dyDescent="0.25">
      <c r="C1571" t="s">
        <v>22</v>
      </c>
      <c r="D1571" s="12">
        <v>1</v>
      </c>
      <c r="E1571" s="2">
        <v>1</v>
      </c>
      <c r="F1571" s="25">
        <v>6.6666666666666666E-2</v>
      </c>
    </row>
    <row r="1572" spans="2:6" outlineLevel="2" x14ac:dyDescent="0.25">
      <c r="C1572" t="s">
        <v>25</v>
      </c>
      <c r="D1572" s="12">
        <v>1</v>
      </c>
      <c r="E1572" s="2">
        <v>1</v>
      </c>
      <c r="F1572" s="25">
        <v>2.8571428571428571E-2</v>
      </c>
    </row>
    <row r="1573" spans="2:6" outlineLevel="2" x14ac:dyDescent="0.25">
      <c r="C1573" t="s">
        <v>29</v>
      </c>
      <c r="D1573" s="12">
        <v>2</v>
      </c>
      <c r="E1573" s="2">
        <v>2</v>
      </c>
      <c r="F1573" s="25">
        <v>0.33333333333333331</v>
      </c>
    </row>
    <row r="1574" spans="2:6" outlineLevel="2" x14ac:dyDescent="0.25">
      <c r="C1574" t="s">
        <v>50</v>
      </c>
      <c r="D1574" s="12">
        <v>1</v>
      </c>
      <c r="E1574" s="2">
        <v>1</v>
      </c>
      <c r="F1574" s="25">
        <v>0.14285714285714285</v>
      </c>
    </row>
    <row r="1575" spans="2:6" outlineLevel="2" x14ac:dyDescent="0.25">
      <c r="C1575" t="s">
        <v>20</v>
      </c>
      <c r="D1575" s="12">
        <v>5</v>
      </c>
      <c r="E1575" s="2">
        <v>5</v>
      </c>
      <c r="F1575" s="25">
        <v>0.22727272727272727</v>
      </c>
    </row>
    <row r="1576" spans="2:6" outlineLevel="2" x14ac:dyDescent="0.25">
      <c r="C1576" t="s">
        <v>54</v>
      </c>
      <c r="D1576" s="12">
        <v>1</v>
      </c>
      <c r="E1576" s="2">
        <v>1</v>
      </c>
      <c r="F1576" s="25">
        <v>0.33333333333333331</v>
      </c>
    </row>
    <row r="1577" spans="2:6" outlineLevel="1" x14ac:dyDescent="0.25">
      <c r="B1577" t="s">
        <v>267</v>
      </c>
      <c r="D1577" s="12"/>
      <c r="E1577" s="17">
        <v>7</v>
      </c>
      <c r="F1577" s="24">
        <v>5.8626465661641538E-3</v>
      </c>
    </row>
    <row r="1578" spans="2:6" outlineLevel="2" x14ac:dyDescent="0.25">
      <c r="C1578" t="s">
        <v>22</v>
      </c>
      <c r="D1578" s="12">
        <v>3</v>
      </c>
      <c r="E1578" s="2">
        <v>3</v>
      </c>
      <c r="F1578" s="25">
        <v>0.2</v>
      </c>
    </row>
    <row r="1579" spans="2:6" outlineLevel="2" x14ac:dyDescent="0.25">
      <c r="C1579" t="s">
        <v>23</v>
      </c>
      <c r="D1579" s="12">
        <v>1</v>
      </c>
      <c r="E1579" s="2">
        <v>1</v>
      </c>
      <c r="F1579" s="25">
        <v>4.5454545454545456E-2</v>
      </c>
    </row>
    <row r="1580" spans="2:6" outlineLevel="2" x14ac:dyDescent="0.25">
      <c r="C1580" t="s">
        <v>17</v>
      </c>
      <c r="D1580" s="12">
        <v>1</v>
      </c>
      <c r="E1580" s="2">
        <v>1</v>
      </c>
      <c r="F1580" s="25">
        <v>0.5</v>
      </c>
    </row>
    <row r="1581" spans="2:6" outlineLevel="2" x14ac:dyDescent="0.25">
      <c r="C1581" t="s">
        <v>37</v>
      </c>
      <c r="D1581" s="12">
        <v>1</v>
      </c>
      <c r="E1581" s="2">
        <v>1</v>
      </c>
      <c r="F1581" s="25">
        <v>0.16666666666666666</v>
      </c>
    </row>
    <row r="1582" spans="2:6" outlineLevel="2" x14ac:dyDescent="0.25">
      <c r="C1582" t="s">
        <v>15</v>
      </c>
      <c r="D1582" s="12">
        <v>1</v>
      </c>
      <c r="E1582" s="2">
        <v>1</v>
      </c>
      <c r="F1582" s="25">
        <v>1.282051282051282E-2</v>
      </c>
    </row>
    <row r="1583" spans="2:6" outlineLevel="1" x14ac:dyDescent="0.25">
      <c r="B1583" t="s">
        <v>268</v>
      </c>
      <c r="D1583" s="12"/>
      <c r="E1583" s="17">
        <v>9</v>
      </c>
      <c r="F1583" s="24">
        <v>7.537688442211055E-3</v>
      </c>
    </row>
    <row r="1584" spans="2:6" outlineLevel="2" x14ac:dyDescent="0.25">
      <c r="C1584" t="s">
        <v>23</v>
      </c>
      <c r="D1584" s="12">
        <v>3</v>
      </c>
      <c r="E1584" s="2">
        <v>3</v>
      </c>
      <c r="F1584" s="25">
        <v>0.13636363636363635</v>
      </c>
    </row>
    <row r="1585" spans="2:6" outlineLevel="2" x14ac:dyDescent="0.25">
      <c r="C1585" t="s">
        <v>46</v>
      </c>
      <c r="D1585" s="12">
        <v>1</v>
      </c>
      <c r="E1585" s="2">
        <v>1</v>
      </c>
      <c r="F1585" s="25">
        <v>0.25</v>
      </c>
    </row>
    <row r="1586" spans="2:6" outlineLevel="2" x14ac:dyDescent="0.25">
      <c r="C1586" t="s">
        <v>17</v>
      </c>
      <c r="D1586" s="12">
        <v>1</v>
      </c>
      <c r="E1586" s="2">
        <v>1</v>
      </c>
      <c r="F1586" s="25">
        <v>0.5</v>
      </c>
    </row>
    <row r="1587" spans="2:6" outlineLevel="2" x14ac:dyDescent="0.25">
      <c r="C1587" t="s">
        <v>28</v>
      </c>
      <c r="D1587" s="12">
        <v>2</v>
      </c>
      <c r="E1587" s="2">
        <v>2</v>
      </c>
      <c r="F1587" s="25">
        <v>0.22222222222222221</v>
      </c>
    </row>
    <row r="1588" spans="2:6" outlineLevel="2" x14ac:dyDescent="0.25">
      <c r="C1588" t="s">
        <v>15</v>
      </c>
      <c r="D1588" s="12">
        <v>2</v>
      </c>
      <c r="E1588" s="2">
        <v>2</v>
      </c>
      <c r="F1588" s="25">
        <v>2.564102564102564E-2</v>
      </c>
    </row>
    <row r="1589" spans="2:6" outlineLevel="1" x14ac:dyDescent="0.25">
      <c r="B1589" t="s">
        <v>269</v>
      </c>
      <c r="D1589" s="12"/>
      <c r="E1589" s="17">
        <v>80</v>
      </c>
      <c r="F1589" s="24">
        <v>6.7001675041876041E-2</v>
      </c>
    </row>
    <row r="1590" spans="2:6" outlineLevel="2" x14ac:dyDescent="0.25">
      <c r="C1590" t="s">
        <v>22</v>
      </c>
      <c r="D1590" s="12">
        <v>3</v>
      </c>
      <c r="E1590" s="2">
        <v>3</v>
      </c>
      <c r="F1590" s="25">
        <v>0.2</v>
      </c>
    </row>
    <row r="1591" spans="2:6" outlineLevel="2" x14ac:dyDescent="0.25">
      <c r="C1591" t="s">
        <v>30</v>
      </c>
      <c r="D1591" s="12">
        <v>2</v>
      </c>
      <c r="E1591" s="2">
        <v>2</v>
      </c>
      <c r="F1591" s="25">
        <v>0.33333333333333331</v>
      </c>
    </row>
    <row r="1592" spans="2:6" outlineLevel="2" x14ac:dyDescent="0.25">
      <c r="C1592" t="s">
        <v>47</v>
      </c>
      <c r="D1592" s="12">
        <v>2</v>
      </c>
      <c r="E1592" s="2">
        <v>2</v>
      </c>
      <c r="F1592" s="25">
        <v>5.128205128205128E-2</v>
      </c>
    </row>
    <row r="1593" spans="2:6" outlineLevel="2" x14ac:dyDescent="0.25">
      <c r="C1593" t="s">
        <v>33</v>
      </c>
      <c r="D1593" s="12">
        <v>1</v>
      </c>
      <c r="E1593" s="2">
        <v>1</v>
      </c>
      <c r="F1593" s="25">
        <v>4.5454545454545456E-2</v>
      </c>
    </row>
    <row r="1594" spans="2:6" outlineLevel="2" x14ac:dyDescent="0.25">
      <c r="C1594" t="s">
        <v>24</v>
      </c>
      <c r="D1594" s="12">
        <v>2</v>
      </c>
      <c r="E1594" s="2">
        <v>2</v>
      </c>
      <c r="F1594" s="25">
        <v>0.5</v>
      </c>
    </row>
    <row r="1595" spans="2:6" outlineLevel="2" x14ac:dyDescent="0.25">
      <c r="C1595" t="s">
        <v>18</v>
      </c>
      <c r="D1595" s="12">
        <v>12</v>
      </c>
      <c r="E1595" s="2">
        <v>12</v>
      </c>
      <c r="F1595" s="25">
        <v>0.31578947368421051</v>
      </c>
    </row>
    <row r="1596" spans="2:6" outlineLevel="2" x14ac:dyDescent="0.25">
      <c r="C1596" t="s">
        <v>11</v>
      </c>
      <c r="D1596" s="12">
        <v>1</v>
      </c>
      <c r="E1596" s="2">
        <v>1</v>
      </c>
      <c r="F1596" s="25">
        <v>7.1428571428571425E-2</v>
      </c>
    </row>
    <row r="1597" spans="2:6" outlineLevel="2" x14ac:dyDescent="0.25">
      <c r="C1597" t="s">
        <v>12</v>
      </c>
      <c r="D1597" s="12">
        <v>2</v>
      </c>
      <c r="E1597" s="2">
        <v>2</v>
      </c>
      <c r="F1597" s="25">
        <v>8.3333333333333329E-2</v>
      </c>
    </row>
    <row r="1598" spans="2:6" outlineLevel="2" x14ac:dyDescent="0.25">
      <c r="C1598" t="s">
        <v>13</v>
      </c>
      <c r="D1598" s="12">
        <v>25</v>
      </c>
      <c r="E1598" s="2">
        <v>25</v>
      </c>
      <c r="F1598" s="25">
        <v>0.11682242990654206</v>
      </c>
    </row>
    <row r="1599" spans="2:6" outlineLevel="2" x14ac:dyDescent="0.25">
      <c r="C1599" t="s">
        <v>53</v>
      </c>
      <c r="D1599" s="12">
        <v>1</v>
      </c>
      <c r="E1599" s="2">
        <v>1</v>
      </c>
      <c r="F1599" s="25">
        <v>0.1</v>
      </c>
    </row>
    <row r="1600" spans="2:6" outlineLevel="2" x14ac:dyDescent="0.25">
      <c r="C1600" t="s">
        <v>14</v>
      </c>
      <c r="D1600" s="12">
        <v>11</v>
      </c>
      <c r="E1600" s="2">
        <v>11</v>
      </c>
      <c r="F1600" s="25">
        <v>4.9107142857142856E-2</v>
      </c>
    </row>
    <row r="1601" spans="2:6" outlineLevel="2" x14ac:dyDescent="0.25">
      <c r="C1601" t="s">
        <v>38</v>
      </c>
      <c r="D1601" s="12">
        <v>2</v>
      </c>
      <c r="E1601" s="2">
        <v>2</v>
      </c>
      <c r="F1601" s="25">
        <v>0.1</v>
      </c>
    </row>
    <row r="1602" spans="2:6" outlineLevel="2" x14ac:dyDescent="0.25">
      <c r="C1602" t="s">
        <v>20</v>
      </c>
      <c r="D1602" s="12">
        <v>2</v>
      </c>
      <c r="E1602" s="2">
        <v>2</v>
      </c>
      <c r="F1602" s="25">
        <v>9.0909090909090912E-2</v>
      </c>
    </row>
    <row r="1603" spans="2:6" outlineLevel="2" x14ac:dyDescent="0.25">
      <c r="C1603" t="s">
        <v>28</v>
      </c>
      <c r="D1603" s="12">
        <v>2</v>
      </c>
      <c r="E1603" s="2">
        <v>2</v>
      </c>
      <c r="F1603" s="25">
        <v>0.22222222222222221</v>
      </c>
    </row>
    <row r="1604" spans="2:6" outlineLevel="2" x14ac:dyDescent="0.25">
      <c r="C1604" t="s">
        <v>15</v>
      </c>
      <c r="D1604" s="12">
        <v>4</v>
      </c>
      <c r="E1604" s="2">
        <v>4</v>
      </c>
      <c r="F1604" s="25">
        <v>5.128205128205128E-2</v>
      </c>
    </row>
    <row r="1605" spans="2:6" outlineLevel="2" x14ac:dyDescent="0.25">
      <c r="C1605" t="s">
        <v>31</v>
      </c>
      <c r="D1605" s="12">
        <v>6</v>
      </c>
      <c r="E1605" s="2">
        <v>6</v>
      </c>
      <c r="F1605" s="25">
        <v>0.27272727272727271</v>
      </c>
    </row>
    <row r="1606" spans="2:6" outlineLevel="2" x14ac:dyDescent="0.25">
      <c r="C1606" t="s">
        <v>40</v>
      </c>
      <c r="D1606" s="12">
        <v>2</v>
      </c>
      <c r="E1606" s="2">
        <v>2</v>
      </c>
      <c r="F1606" s="25">
        <v>0.22222222222222221</v>
      </c>
    </row>
    <row r="1607" spans="2:6" outlineLevel="1" x14ac:dyDescent="0.25">
      <c r="B1607" t="s">
        <v>270</v>
      </c>
      <c r="D1607" s="12"/>
      <c r="E1607" s="17">
        <v>43</v>
      </c>
      <c r="F1607" s="24">
        <v>3.6013400335008376E-2</v>
      </c>
    </row>
    <row r="1608" spans="2:6" outlineLevel="2" x14ac:dyDescent="0.25">
      <c r="C1608" t="s">
        <v>32</v>
      </c>
      <c r="D1608" s="12">
        <v>8</v>
      </c>
      <c r="E1608" s="2">
        <v>8</v>
      </c>
      <c r="F1608" s="25">
        <v>0.16666666666666666</v>
      </c>
    </row>
    <row r="1609" spans="2:6" outlineLevel="2" x14ac:dyDescent="0.25">
      <c r="C1609" t="s">
        <v>47</v>
      </c>
      <c r="D1609" s="12">
        <v>7</v>
      </c>
      <c r="E1609" s="2">
        <v>7</v>
      </c>
      <c r="F1609" s="25">
        <v>0.17948717948717949</v>
      </c>
    </row>
    <row r="1610" spans="2:6" outlineLevel="2" x14ac:dyDescent="0.25">
      <c r="C1610" t="s">
        <v>11</v>
      </c>
      <c r="D1610" s="12">
        <v>1</v>
      </c>
      <c r="E1610" s="2">
        <v>1</v>
      </c>
      <c r="F1610" s="25">
        <v>7.1428571428571425E-2</v>
      </c>
    </row>
    <row r="1611" spans="2:6" outlineLevel="2" x14ac:dyDescent="0.25">
      <c r="C1611" t="s">
        <v>14</v>
      </c>
      <c r="D1611" s="12">
        <v>10</v>
      </c>
      <c r="E1611" s="2">
        <v>10</v>
      </c>
      <c r="F1611" s="25">
        <v>4.4642857142857144E-2</v>
      </c>
    </row>
    <row r="1612" spans="2:6" outlineLevel="2" x14ac:dyDescent="0.25">
      <c r="C1612" t="s">
        <v>19</v>
      </c>
      <c r="D1612" s="12">
        <v>12</v>
      </c>
      <c r="E1612" s="2">
        <v>12</v>
      </c>
      <c r="F1612" s="25">
        <v>0.23076923076923078</v>
      </c>
    </row>
    <row r="1613" spans="2:6" outlineLevel="2" x14ac:dyDescent="0.25">
      <c r="C1613" t="s">
        <v>28</v>
      </c>
      <c r="D1613" s="12">
        <v>2</v>
      </c>
      <c r="E1613" s="2">
        <v>2</v>
      </c>
      <c r="F1613" s="25">
        <v>0.22222222222222221</v>
      </c>
    </row>
    <row r="1614" spans="2:6" outlineLevel="2" x14ac:dyDescent="0.25">
      <c r="C1614" t="s">
        <v>15</v>
      </c>
      <c r="D1614" s="12">
        <v>1</v>
      </c>
      <c r="E1614" s="2">
        <v>1</v>
      </c>
      <c r="F1614" s="25">
        <v>1.282051282051282E-2</v>
      </c>
    </row>
    <row r="1615" spans="2:6" outlineLevel="2" x14ac:dyDescent="0.25">
      <c r="C1615" t="s">
        <v>31</v>
      </c>
      <c r="D1615" s="12">
        <v>1</v>
      </c>
      <c r="E1615" s="2">
        <v>1</v>
      </c>
      <c r="F1615" s="25">
        <v>4.5454545454545456E-2</v>
      </c>
    </row>
    <row r="1616" spans="2:6" outlineLevel="2" x14ac:dyDescent="0.25">
      <c r="C1616" t="s">
        <v>48</v>
      </c>
      <c r="D1616" s="12">
        <v>1</v>
      </c>
      <c r="E1616" s="2">
        <v>1</v>
      </c>
      <c r="F1616" s="25">
        <v>0.5</v>
      </c>
    </row>
    <row r="1617" spans="2:6" outlineLevel="1" x14ac:dyDescent="0.25">
      <c r="B1617" t="s">
        <v>271</v>
      </c>
      <c r="D1617" s="12"/>
      <c r="E1617" s="17">
        <v>45</v>
      </c>
      <c r="F1617" s="24">
        <v>3.7688442211055273E-2</v>
      </c>
    </row>
    <row r="1618" spans="2:6" outlineLevel="2" x14ac:dyDescent="0.25">
      <c r="C1618" t="s">
        <v>22</v>
      </c>
      <c r="D1618" s="12">
        <v>2</v>
      </c>
      <c r="E1618" s="2">
        <v>2</v>
      </c>
      <c r="F1618" s="25">
        <v>0.13333333333333333</v>
      </c>
    </row>
    <row r="1619" spans="2:6" outlineLevel="2" x14ac:dyDescent="0.25">
      <c r="C1619" t="s">
        <v>27</v>
      </c>
      <c r="D1619" s="12">
        <v>2</v>
      </c>
      <c r="E1619" s="2">
        <v>2</v>
      </c>
      <c r="F1619" s="25">
        <v>0.16666666666666666</v>
      </c>
    </row>
    <row r="1620" spans="2:6" outlineLevel="2" x14ac:dyDescent="0.25">
      <c r="C1620" t="s">
        <v>25</v>
      </c>
      <c r="D1620" s="12">
        <v>12</v>
      </c>
      <c r="E1620" s="2">
        <v>12</v>
      </c>
      <c r="F1620" s="25">
        <v>0.34285714285714286</v>
      </c>
    </row>
    <row r="1621" spans="2:6" outlineLevel="2" x14ac:dyDescent="0.25">
      <c r="C1621" t="s">
        <v>33</v>
      </c>
      <c r="D1621" s="12">
        <v>4</v>
      </c>
      <c r="E1621" s="2">
        <v>4</v>
      </c>
      <c r="F1621" s="25">
        <v>0.18181818181818182</v>
      </c>
    </row>
    <row r="1622" spans="2:6" outlineLevel="2" x14ac:dyDescent="0.25">
      <c r="C1622" t="s">
        <v>35</v>
      </c>
      <c r="D1622" s="12">
        <v>2</v>
      </c>
      <c r="E1622" s="2">
        <v>2</v>
      </c>
      <c r="F1622" s="25">
        <v>0.66666666666666663</v>
      </c>
    </row>
    <row r="1623" spans="2:6" outlineLevel="2" x14ac:dyDescent="0.25">
      <c r="C1623" t="s">
        <v>29</v>
      </c>
      <c r="D1623" s="12">
        <v>2</v>
      </c>
      <c r="E1623" s="2">
        <v>2</v>
      </c>
      <c r="F1623" s="25">
        <v>0.33333333333333331</v>
      </c>
    </row>
    <row r="1624" spans="2:6" outlineLevel="2" x14ac:dyDescent="0.25">
      <c r="C1624" t="s">
        <v>11</v>
      </c>
      <c r="D1624" s="12">
        <v>2</v>
      </c>
      <c r="E1624" s="2">
        <v>2</v>
      </c>
      <c r="F1624" s="25">
        <v>0.14285714285714285</v>
      </c>
    </row>
    <row r="1625" spans="2:6" outlineLevel="2" x14ac:dyDescent="0.25">
      <c r="C1625" t="s">
        <v>37</v>
      </c>
      <c r="D1625" s="12">
        <v>1</v>
      </c>
      <c r="E1625" s="2">
        <v>1</v>
      </c>
      <c r="F1625" s="25">
        <v>0.16666666666666666</v>
      </c>
    </row>
    <row r="1626" spans="2:6" outlineLevel="2" x14ac:dyDescent="0.25">
      <c r="C1626" t="s">
        <v>38</v>
      </c>
      <c r="D1626" s="12">
        <v>5</v>
      </c>
      <c r="E1626" s="2">
        <v>5</v>
      </c>
      <c r="F1626" s="25">
        <v>0.25</v>
      </c>
    </row>
    <row r="1627" spans="2:6" outlineLevel="2" x14ac:dyDescent="0.25">
      <c r="C1627" t="s">
        <v>15</v>
      </c>
      <c r="D1627" s="12">
        <v>7</v>
      </c>
      <c r="E1627" s="2">
        <v>7</v>
      </c>
      <c r="F1627" s="25">
        <v>8.9743589743589744E-2</v>
      </c>
    </row>
    <row r="1628" spans="2:6" outlineLevel="2" x14ac:dyDescent="0.25">
      <c r="C1628" t="s">
        <v>31</v>
      </c>
      <c r="D1628" s="12">
        <v>2</v>
      </c>
      <c r="E1628" s="2">
        <v>2</v>
      </c>
      <c r="F1628" s="25">
        <v>9.0909090909090912E-2</v>
      </c>
    </row>
    <row r="1629" spans="2:6" outlineLevel="2" x14ac:dyDescent="0.25">
      <c r="C1629" t="s">
        <v>40</v>
      </c>
      <c r="D1629" s="12">
        <v>4</v>
      </c>
      <c r="E1629" s="2">
        <v>4</v>
      </c>
      <c r="F1629" s="25">
        <v>0.44444444444444442</v>
      </c>
    </row>
    <row r="1630" spans="2:6" outlineLevel="1" x14ac:dyDescent="0.25">
      <c r="B1630" t="s">
        <v>272</v>
      </c>
      <c r="D1630" s="12"/>
      <c r="E1630" s="17">
        <v>52</v>
      </c>
      <c r="F1630" s="24">
        <v>4.3551088777219429E-2</v>
      </c>
    </row>
    <row r="1631" spans="2:6" outlineLevel="2" x14ac:dyDescent="0.25">
      <c r="C1631" t="s">
        <v>16</v>
      </c>
      <c r="D1631" s="12">
        <v>2</v>
      </c>
      <c r="E1631" s="2">
        <v>2</v>
      </c>
      <c r="F1631" s="25">
        <v>0.25</v>
      </c>
    </row>
    <row r="1632" spans="2:6" outlineLevel="2" x14ac:dyDescent="0.25">
      <c r="C1632" t="s">
        <v>18</v>
      </c>
      <c r="D1632" s="12">
        <v>7</v>
      </c>
      <c r="E1632" s="2">
        <v>7</v>
      </c>
      <c r="F1632" s="25">
        <v>0.18421052631578946</v>
      </c>
    </row>
    <row r="1633" spans="2:6" outlineLevel="2" x14ac:dyDescent="0.25">
      <c r="C1633" t="s">
        <v>13</v>
      </c>
      <c r="D1633" s="12">
        <v>8</v>
      </c>
      <c r="E1633" s="2">
        <v>8</v>
      </c>
      <c r="F1633" s="25">
        <v>3.7383177570093455E-2</v>
      </c>
    </row>
    <row r="1634" spans="2:6" outlineLevel="2" x14ac:dyDescent="0.25">
      <c r="C1634" t="s">
        <v>53</v>
      </c>
      <c r="D1634" s="12">
        <v>1</v>
      </c>
      <c r="E1634" s="2">
        <v>1</v>
      </c>
      <c r="F1634" s="25">
        <v>0.1</v>
      </c>
    </row>
    <row r="1635" spans="2:6" outlineLevel="2" x14ac:dyDescent="0.25">
      <c r="C1635" t="s">
        <v>14</v>
      </c>
      <c r="D1635" s="12">
        <v>20</v>
      </c>
      <c r="E1635" s="2">
        <v>20</v>
      </c>
      <c r="F1635" s="25">
        <v>8.9285714285714288E-2</v>
      </c>
    </row>
    <row r="1636" spans="2:6" outlineLevel="2" x14ac:dyDescent="0.25">
      <c r="C1636" t="s">
        <v>15</v>
      </c>
      <c r="D1636" s="12">
        <v>14</v>
      </c>
      <c r="E1636" s="2">
        <v>14</v>
      </c>
      <c r="F1636" s="25">
        <v>0.17948717948717949</v>
      </c>
    </row>
    <row r="1637" spans="2:6" outlineLevel="1" x14ac:dyDescent="0.25">
      <c r="B1637" t="s">
        <v>273</v>
      </c>
      <c r="D1637" s="12"/>
      <c r="E1637" s="17">
        <v>41</v>
      </c>
      <c r="F1637" s="24">
        <v>3.4338358458961472E-2</v>
      </c>
    </row>
    <row r="1638" spans="2:6" outlineLevel="2" x14ac:dyDescent="0.25">
      <c r="C1638" t="s">
        <v>22</v>
      </c>
      <c r="D1638" s="12">
        <v>1</v>
      </c>
      <c r="E1638" s="2">
        <v>1</v>
      </c>
      <c r="F1638" s="25">
        <v>6.6666666666666666E-2</v>
      </c>
    </row>
    <row r="1639" spans="2:6" outlineLevel="2" x14ac:dyDescent="0.25">
      <c r="C1639" t="s">
        <v>42</v>
      </c>
      <c r="D1639" s="12">
        <v>3</v>
      </c>
      <c r="E1639" s="2">
        <v>3</v>
      </c>
      <c r="F1639" s="25">
        <v>7.6923076923076927E-2</v>
      </c>
    </row>
    <row r="1640" spans="2:6" outlineLevel="2" x14ac:dyDescent="0.25">
      <c r="C1640" t="s">
        <v>33</v>
      </c>
      <c r="D1640" s="12">
        <v>1</v>
      </c>
      <c r="E1640" s="2">
        <v>1</v>
      </c>
      <c r="F1640" s="25">
        <v>4.5454545454545456E-2</v>
      </c>
    </row>
    <row r="1641" spans="2:6" outlineLevel="2" x14ac:dyDescent="0.25">
      <c r="C1641" t="s">
        <v>26</v>
      </c>
      <c r="D1641" s="12">
        <v>2</v>
      </c>
      <c r="E1641" s="2">
        <v>2</v>
      </c>
      <c r="F1641" s="25">
        <v>0.15384615384615385</v>
      </c>
    </row>
    <row r="1642" spans="2:6" outlineLevel="2" x14ac:dyDescent="0.25">
      <c r="C1642" t="s">
        <v>13</v>
      </c>
      <c r="D1642" s="12">
        <v>8</v>
      </c>
      <c r="E1642" s="2">
        <v>8</v>
      </c>
      <c r="F1642" s="25">
        <v>3.7383177570093455E-2</v>
      </c>
    </row>
    <row r="1643" spans="2:6" outlineLevel="2" x14ac:dyDescent="0.25">
      <c r="C1643" t="s">
        <v>53</v>
      </c>
      <c r="D1643" s="12">
        <v>4</v>
      </c>
      <c r="E1643" s="2">
        <v>4</v>
      </c>
      <c r="F1643" s="25">
        <v>0.4</v>
      </c>
    </row>
    <row r="1644" spans="2:6" outlineLevel="2" x14ac:dyDescent="0.25">
      <c r="C1644" t="s">
        <v>14</v>
      </c>
      <c r="D1644" s="12">
        <v>14</v>
      </c>
      <c r="E1644" s="2">
        <v>14</v>
      </c>
      <c r="F1644" s="25">
        <v>6.25E-2</v>
      </c>
    </row>
    <row r="1645" spans="2:6" outlineLevel="2" x14ac:dyDescent="0.25">
      <c r="C1645" t="s">
        <v>50</v>
      </c>
      <c r="D1645" s="12">
        <v>1</v>
      </c>
      <c r="E1645" s="2">
        <v>1</v>
      </c>
      <c r="F1645" s="25">
        <v>0.14285714285714285</v>
      </c>
    </row>
    <row r="1646" spans="2:6" outlineLevel="2" x14ac:dyDescent="0.25">
      <c r="C1646" t="s">
        <v>20</v>
      </c>
      <c r="D1646" s="12">
        <v>4</v>
      </c>
      <c r="E1646" s="2">
        <v>4</v>
      </c>
      <c r="F1646" s="25">
        <v>0.18181818181818182</v>
      </c>
    </row>
    <row r="1647" spans="2:6" outlineLevel="2" x14ac:dyDescent="0.25">
      <c r="C1647" t="s">
        <v>31</v>
      </c>
      <c r="D1647" s="12">
        <v>3</v>
      </c>
      <c r="E1647" s="2">
        <v>3</v>
      </c>
      <c r="F1647" s="25">
        <v>0.13636363636363635</v>
      </c>
    </row>
    <row r="1648" spans="2:6" outlineLevel="1" x14ac:dyDescent="0.25">
      <c r="B1648" t="s">
        <v>274</v>
      </c>
      <c r="D1648" s="12"/>
      <c r="E1648" s="17">
        <v>2</v>
      </c>
      <c r="F1648" s="24">
        <v>1.6750418760469012E-3</v>
      </c>
    </row>
    <row r="1649" spans="2:6" outlineLevel="2" x14ac:dyDescent="0.25">
      <c r="C1649" t="s">
        <v>45</v>
      </c>
      <c r="D1649" s="12">
        <v>2</v>
      </c>
      <c r="E1649" s="2">
        <v>2</v>
      </c>
      <c r="F1649" s="25">
        <v>0.5</v>
      </c>
    </row>
    <row r="1650" spans="2:6" outlineLevel="1" x14ac:dyDescent="0.25">
      <c r="B1650" t="s">
        <v>275</v>
      </c>
      <c r="D1650" s="12"/>
      <c r="E1650" s="17">
        <v>95</v>
      </c>
      <c r="F1650" s="24">
        <v>7.9564489112227813E-2</v>
      </c>
    </row>
    <row r="1651" spans="2:6" outlineLevel="2" x14ac:dyDescent="0.25">
      <c r="C1651" t="s">
        <v>22</v>
      </c>
      <c r="D1651" s="12">
        <v>4</v>
      </c>
      <c r="E1651" s="2">
        <v>4</v>
      </c>
      <c r="F1651" s="25">
        <v>0.26666666666666666</v>
      </c>
    </row>
    <row r="1652" spans="2:6" outlineLevel="2" x14ac:dyDescent="0.25">
      <c r="C1652" t="s">
        <v>47</v>
      </c>
      <c r="D1652" s="12">
        <v>4</v>
      </c>
      <c r="E1652" s="2">
        <v>4</v>
      </c>
      <c r="F1652" s="25">
        <v>0.10256410256410256</v>
      </c>
    </row>
    <row r="1653" spans="2:6" outlineLevel="2" x14ac:dyDescent="0.25">
      <c r="C1653" t="s">
        <v>33</v>
      </c>
      <c r="D1653" s="12">
        <v>4</v>
      </c>
      <c r="E1653" s="2">
        <v>4</v>
      </c>
      <c r="F1653" s="25">
        <v>0.18181818181818182</v>
      </c>
    </row>
    <row r="1654" spans="2:6" outlineLevel="2" x14ac:dyDescent="0.25">
      <c r="C1654" t="s">
        <v>16</v>
      </c>
      <c r="D1654" s="12">
        <v>1</v>
      </c>
      <c r="E1654" s="2">
        <v>1</v>
      </c>
      <c r="F1654" s="25">
        <v>0.125</v>
      </c>
    </row>
    <row r="1655" spans="2:6" outlineLevel="2" x14ac:dyDescent="0.25">
      <c r="C1655" t="s">
        <v>26</v>
      </c>
      <c r="D1655" s="12">
        <v>1</v>
      </c>
      <c r="E1655" s="2">
        <v>1</v>
      </c>
      <c r="F1655" s="25">
        <v>7.6923076923076927E-2</v>
      </c>
    </row>
    <row r="1656" spans="2:6" outlineLevel="2" x14ac:dyDescent="0.25">
      <c r="C1656" t="s">
        <v>34</v>
      </c>
      <c r="D1656" s="12">
        <v>2</v>
      </c>
      <c r="E1656" s="2">
        <v>2</v>
      </c>
      <c r="F1656" s="25">
        <v>0.5</v>
      </c>
    </row>
    <row r="1657" spans="2:6" outlineLevel="2" x14ac:dyDescent="0.25">
      <c r="C1657" t="s">
        <v>29</v>
      </c>
      <c r="D1657" s="12">
        <v>1</v>
      </c>
      <c r="E1657" s="2">
        <v>1</v>
      </c>
      <c r="F1657" s="25">
        <v>0.16666666666666666</v>
      </c>
    </row>
    <row r="1658" spans="2:6" outlineLevel="2" x14ac:dyDescent="0.25">
      <c r="C1658" t="s">
        <v>18</v>
      </c>
      <c r="D1658" s="12">
        <v>2</v>
      </c>
      <c r="E1658" s="2">
        <v>2</v>
      </c>
      <c r="F1658" s="25">
        <v>5.2631578947368418E-2</v>
      </c>
    </row>
    <row r="1659" spans="2:6" outlineLevel="2" x14ac:dyDescent="0.25">
      <c r="C1659" t="s">
        <v>14</v>
      </c>
      <c r="D1659" s="12">
        <v>44</v>
      </c>
      <c r="E1659" s="2">
        <v>44</v>
      </c>
      <c r="F1659" s="25">
        <v>0.19642857142857142</v>
      </c>
    </row>
    <row r="1660" spans="2:6" outlineLevel="2" x14ac:dyDescent="0.25">
      <c r="C1660" t="s">
        <v>38</v>
      </c>
      <c r="D1660" s="12">
        <v>2</v>
      </c>
      <c r="E1660" s="2">
        <v>2</v>
      </c>
      <c r="F1660" s="25">
        <v>0.1</v>
      </c>
    </row>
    <row r="1661" spans="2:6" outlineLevel="2" x14ac:dyDescent="0.25">
      <c r="C1661" t="s">
        <v>20</v>
      </c>
      <c r="D1661" s="12">
        <v>3</v>
      </c>
      <c r="E1661" s="2">
        <v>3</v>
      </c>
      <c r="F1661" s="25">
        <v>0.13636363636363635</v>
      </c>
    </row>
    <row r="1662" spans="2:6" outlineLevel="2" x14ac:dyDescent="0.25">
      <c r="C1662" t="s">
        <v>21</v>
      </c>
      <c r="D1662" s="12">
        <v>3</v>
      </c>
      <c r="E1662" s="2">
        <v>3</v>
      </c>
      <c r="F1662" s="25">
        <v>0.33333333333333331</v>
      </c>
    </row>
    <row r="1663" spans="2:6" outlineLevel="2" x14ac:dyDescent="0.25">
      <c r="C1663" t="s">
        <v>28</v>
      </c>
      <c r="D1663" s="12">
        <v>2</v>
      </c>
      <c r="E1663" s="2">
        <v>2</v>
      </c>
      <c r="F1663" s="25">
        <v>0.22222222222222221</v>
      </c>
    </row>
    <row r="1664" spans="2:6" outlineLevel="2" x14ac:dyDescent="0.25">
      <c r="C1664" t="s">
        <v>15</v>
      </c>
      <c r="D1664" s="12">
        <v>13</v>
      </c>
      <c r="E1664" s="2">
        <v>13</v>
      </c>
      <c r="F1664" s="25">
        <v>0.16666666666666666</v>
      </c>
    </row>
    <row r="1665" spans="2:6" outlineLevel="2" x14ac:dyDescent="0.25">
      <c r="C1665" t="s">
        <v>31</v>
      </c>
      <c r="D1665" s="12">
        <v>7</v>
      </c>
      <c r="E1665" s="2">
        <v>7</v>
      </c>
      <c r="F1665" s="25">
        <v>0.31818181818181818</v>
      </c>
    </row>
    <row r="1666" spans="2:6" outlineLevel="2" x14ac:dyDescent="0.25">
      <c r="C1666" t="s">
        <v>39</v>
      </c>
      <c r="D1666" s="12">
        <v>1</v>
      </c>
      <c r="E1666" s="2">
        <v>1</v>
      </c>
      <c r="F1666" s="25">
        <v>0.1</v>
      </c>
    </row>
    <row r="1667" spans="2:6" outlineLevel="2" x14ac:dyDescent="0.25">
      <c r="C1667" t="s">
        <v>40</v>
      </c>
      <c r="D1667" s="12">
        <v>1</v>
      </c>
      <c r="E1667" s="2">
        <v>1</v>
      </c>
      <c r="F1667" s="25">
        <v>0.1111111111111111</v>
      </c>
    </row>
    <row r="1668" spans="2:6" outlineLevel="1" x14ac:dyDescent="0.25">
      <c r="B1668" t="s">
        <v>276</v>
      </c>
      <c r="D1668" s="12"/>
      <c r="E1668" s="17">
        <v>38</v>
      </c>
      <c r="F1668" s="24">
        <v>3.1825795644891124E-2</v>
      </c>
    </row>
    <row r="1669" spans="2:6" outlineLevel="2" x14ac:dyDescent="0.25">
      <c r="C1669" t="s">
        <v>22</v>
      </c>
      <c r="D1669" s="12">
        <v>2</v>
      </c>
      <c r="E1669" s="2">
        <v>2</v>
      </c>
      <c r="F1669" s="25">
        <v>0.13333333333333333</v>
      </c>
    </row>
    <row r="1670" spans="2:6" outlineLevel="2" x14ac:dyDescent="0.25">
      <c r="C1670" t="s">
        <v>27</v>
      </c>
      <c r="D1670" s="12">
        <v>2</v>
      </c>
      <c r="E1670" s="2">
        <v>2</v>
      </c>
      <c r="F1670" s="25">
        <v>0.16666666666666666</v>
      </c>
    </row>
    <row r="1671" spans="2:6" outlineLevel="2" x14ac:dyDescent="0.25">
      <c r="C1671" t="s">
        <v>30</v>
      </c>
      <c r="D1671" s="12">
        <v>2</v>
      </c>
      <c r="E1671" s="2">
        <v>2</v>
      </c>
      <c r="F1671" s="25">
        <v>0.33333333333333331</v>
      </c>
    </row>
    <row r="1672" spans="2:6" outlineLevel="2" x14ac:dyDescent="0.25">
      <c r="C1672" t="s">
        <v>25</v>
      </c>
      <c r="D1672" s="12">
        <v>10</v>
      </c>
      <c r="E1672" s="2">
        <v>10</v>
      </c>
      <c r="F1672" s="25">
        <v>0.2857142857142857</v>
      </c>
    </row>
    <row r="1673" spans="2:6" outlineLevel="2" x14ac:dyDescent="0.25">
      <c r="C1673" t="s">
        <v>47</v>
      </c>
      <c r="D1673" s="12">
        <v>2</v>
      </c>
      <c r="E1673" s="2">
        <v>2</v>
      </c>
      <c r="F1673" s="25">
        <v>5.128205128205128E-2</v>
      </c>
    </row>
    <row r="1674" spans="2:6" outlineLevel="2" x14ac:dyDescent="0.25">
      <c r="C1674" t="s">
        <v>23</v>
      </c>
      <c r="D1674" s="12">
        <v>1</v>
      </c>
      <c r="E1674" s="2">
        <v>1</v>
      </c>
      <c r="F1674" s="25">
        <v>4.5454545454545456E-2</v>
      </c>
    </row>
    <row r="1675" spans="2:6" outlineLevel="2" x14ac:dyDescent="0.25">
      <c r="C1675" t="s">
        <v>33</v>
      </c>
      <c r="D1675" s="12">
        <v>1</v>
      </c>
      <c r="E1675" s="2">
        <v>1</v>
      </c>
      <c r="F1675" s="25">
        <v>4.5454545454545456E-2</v>
      </c>
    </row>
    <row r="1676" spans="2:6" outlineLevel="2" x14ac:dyDescent="0.25">
      <c r="C1676" t="s">
        <v>46</v>
      </c>
      <c r="D1676" s="12">
        <v>1</v>
      </c>
      <c r="E1676" s="2">
        <v>1</v>
      </c>
      <c r="F1676" s="25">
        <v>0.25</v>
      </c>
    </row>
    <row r="1677" spans="2:6" outlineLevel="2" x14ac:dyDescent="0.25">
      <c r="C1677" t="s">
        <v>29</v>
      </c>
      <c r="D1677" s="12">
        <v>5</v>
      </c>
      <c r="E1677" s="2">
        <v>5</v>
      </c>
      <c r="F1677" s="25">
        <v>0.83333333333333337</v>
      </c>
    </row>
    <row r="1678" spans="2:6" outlineLevel="2" x14ac:dyDescent="0.25">
      <c r="C1678" t="s">
        <v>17</v>
      </c>
      <c r="D1678" s="12">
        <v>1</v>
      </c>
      <c r="E1678" s="2">
        <v>1</v>
      </c>
      <c r="F1678" s="25">
        <v>0.5</v>
      </c>
    </row>
    <row r="1679" spans="2:6" outlineLevel="2" x14ac:dyDescent="0.25">
      <c r="C1679" t="s">
        <v>13</v>
      </c>
      <c r="D1679" s="12">
        <v>4</v>
      </c>
      <c r="E1679" s="2">
        <v>4</v>
      </c>
      <c r="F1679" s="25">
        <v>1.8691588785046728E-2</v>
      </c>
    </row>
    <row r="1680" spans="2:6" outlineLevel="2" x14ac:dyDescent="0.25">
      <c r="C1680" t="s">
        <v>53</v>
      </c>
      <c r="D1680" s="12">
        <v>2</v>
      </c>
      <c r="E1680" s="2">
        <v>2</v>
      </c>
      <c r="F1680" s="25">
        <v>0.2</v>
      </c>
    </row>
    <row r="1681" spans="2:6" outlineLevel="2" x14ac:dyDescent="0.25">
      <c r="C1681" t="s">
        <v>20</v>
      </c>
      <c r="D1681" s="12">
        <v>2</v>
      </c>
      <c r="E1681" s="2">
        <v>2</v>
      </c>
      <c r="F1681" s="25">
        <v>9.0909090909090912E-2</v>
      </c>
    </row>
    <row r="1682" spans="2:6" outlineLevel="2" x14ac:dyDescent="0.25">
      <c r="C1682" t="s">
        <v>28</v>
      </c>
      <c r="D1682" s="12">
        <v>2</v>
      </c>
      <c r="E1682" s="2">
        <v>2</v>
      </c>
      <c r="F1682" s="25">
        <v>0.22222222222222221</v>
      </c>
    </row>
    <row r="1683" spans="2:6" outlineLevel="2" x14ac:dyDescent="0.25">
      <c r="C1683" t="s">
        <v>40</v>
      </c>
      <c r="D1683" s="12">
        <v>1</v>
      </c>
      <c r="E1683" s="2">
        <v>1</v>
      </c>
      <c r="F1683" s="25">
        <v>0.1111111111111111</v>
      </c>
    </row>
    <row r="1684" spans="2:6" outlineLevel="1" x14ac:dyDescent="0.25">
      <c r="B1684" t="s">
        <v>277</v>
      </c>
      <c r="D1684" s="12"/>
      <c r="E1684" s="17">
        <v>14</v>
      </c>
      <c r="F1684" s="24">
        <v>1.1725293132328308E-2</v>
      </c>
    </row>
    <row r="1685" spans="2:6" outlineLevel="2" x14ac:dyDescent="0.25">
      <c r="C1685" t="s">
        <v>42</v>
      </c>
      <c r="D1685" s="12">
        <v>1</v>
      </c>
      <c r="E1685" s="2">
        <v>1</v>
      </c>
      <c r="F1685" s="25">
        <v>2.564102564102564E-2</v>
      </c>
    </row>
    <row r="1686" spans="2:6" outlineLevel="2" x14ac:dyDescent="0.25">
      <c r="C1686" t="s">
        <v>47</v>
      </c>
      <c r="D1686" s="12">
        <v>13</v>
      </c>
      <c r="E1686" s="2">
        <v>13</v>
      </c>
      <c r="F1686" s="25">
        <v>0.33333333333333331</v>
      </c>
    </row>
    <row r="1687" spans="2:6" outlineLevel="1" x14ac:dyDescent="0.25">
      <c r="B1687" t="s">
        <v>278</v>
      </c>
      <c r="D1687" s="12"/>
      <c r="E1687" s="17">
        <v>67</v>
      </c>
      <c r="F1687" s="24">
        <v>5.6113902847571187E-2</v>
      </c>
    </row>
    <row r="1688" spans="2:6" outlineLevel="2" x14ac:dyDescent="0.25">
      <c r="C1688" t="s">
        <v>12</v>
      </c>
      <c r="D1688" s="12">
        <v>2</v>
      </c>
      <c r="E1688" s="2">
        <v>2</v>
      </c>
      <c r="F1688" s="25">
        <v>8.3333333333333329E-2</v>
      </c>
    </row>
    <row r="1689" spans="2:6" outlineLevel="2" x14ac:dyDescent="0.25">
      <c r="C1689" t="s">
        <v>13</v>
      </c>
      <c r="D1689" s="12">
        <v>18</v>
      </c>
      <c r="E1689" s="2">
        <v>18</v>
      </c>
      <c r="F1689" s="25">
        <v>8.4112149532710276E-2</v>
      </c>
    </row>
    <row r="1690" spans="2:6" outlineLevel="2" x14ac:dyDescent="0.25">
      <c r="C1690" t="s">
        <v>14</v>
      </c>
      <c r="D1690" s="12">
        <v>42</v>
      </c>
      <c r="E1690" s="2">
        <v>42</v>
      </c>
      <c r="F1690" s="25">
        <v>0.1875</v>
      </c>
    </row>
    <row r="1691" spans="2:6" outlineLevel="2" x14ac:dyDescent="0.25">
      <c r="C1691" t="s">
        <v>31</v>
      </c>
      <c r="D1691" s="12">
        <v>5</v>
      </c>
      <c r="E1691" s="2">
        <v>5</v>
      </c>
      <c r="F1691" s="25">
        <v>0.22727272727272727</v>
      </c>
    </row>
    <row r="1692" spans="2:6" outlineLevel="1" x14ac:dyDescent="0.25">
      <c r="B1692" t="s">
        <v>279</v>
      </c>
      <c r="D1692" s="12"/>
      <c r="E1692" s="17">
        <v>6</v>
      </c>
      <c r="F1692" s="24">
        <v>5.0251256281407036E-3</v>
      </c>
    </row>
    <row r="1693" spans="2:6" outlineLevel="2" x14ac:dyDescent="0.25">
      <c r="C1693" t="s">
        <v>23</v>
      </c>
      <c r="D1693" s="12">
        <v>2</v>
      </c>
      <c r="E1693" s="2">
        <v>2</v>
      </c>
      <c r="F1693" s="25">
        <v>9.0909090909090912E-2</v>
      </c>
    </row>
    <row r="1694" spans="2:6" outlineLevel="2" x14ac:dyDescent="0.25">
      <c r="C1694" t="s">
        <v>46</v>
      </c>
      <c r="D1694" s="12">
        <v>2</v>
      </c>
      <c r="E1694" s="2">
        <v>2</v>
      </c>
      <c r="F1694" s="25">
        <v>0.5</v>
      </c>
    </row>
    <row r="1695" spans="2:6" outlineLevel="2" x14ac:dyDescent="0.25">
      <c r="C1695" t="s">
        <v>26</v>
      </c>
      <c r="D1695" s="12">
        <v>1</v>
      </c>
      <c r="E1695" s="2">
        <v>1</v>
      </c>
      <c r="F1695" s="25">
        <v>7.6923076923076927E-2</v>
      </c>
    </row>
    <row r="1696" spans="2:6" outlineLevel="2" x14ac:dyDescent="0.25">
      <c r="C1696" t="s">
        <v>17</v>
      </c>
      <c r="D1696" s="12">
        <v>1</v>
      </c>
      <c r="E1696" s="2">
        <v>1</v>
      </c>
      <c r="F1696" s="25">
        <v>0.5</v>
      </c>
    </row>
    <row r="1697" spans="2:6" outlineLevel="1" x14ac:dyDescent="0.25">
      <c r="B1697" t="s">
        <v>280</v>
      </c>
      <c r="D1697" s="12"/>
      <c r="E1697" s="17">
        <v>11</v>
      </c>
      <c r="F1697" s="24">
        <v>9.212730318257957E-3</v>
      </c>
    </row>
    <row r="1698" spans="2:6" outlineLevel="2" x14ac:dyDescent="0.25">
      <c r="C1698" t="s">
        <v>14</v>
      </c>
      <c r="D1698" s="12">
        <v>9</v>
      </c>
      <c r="E1698" s="2">
        <v>9</v>
      </c>
      <c r="F1698" s="25">
        <v>4.0178571428571432E-2</v>
      </c>
    </row>
    <row r="1699" spans="2:6" outlineLevel="2" x14ac:dyDescent="0.25">
      <c r="C1699" t="s">
        <v>31</v>
      </c>
      <c r="D1699" s="12">
        <v>2</v>
      </c>
      <c r="E1699" s="2">
        <v>2</v>
      </c>
      <c r="F1699" s="25">
        <v>9.0909090909090912E-2</v>
      </c>
    </row>
    <row r="1700" spans="2:6" outlineLevel="1" x14ac:dyDescent="0.25">
      <c r="B1700" t="s">
        <v>281</v>
      </c>
      <c r="D1700" s="12"/>
      <c r="E1700" s="17">
        <v>7</v>
      </c>
      <c r="F1700" s="24">
        <v>5.8626465661641538E-3</v>
      </c>
    </row>
    <row r="1701" spans="2:6" outlineLevel="2" x14ac:dyDescent="0.25">
      <c r="C1701" t="s">
        <v>23</v>
      </c>
      <c r="D1701" s="12">
        <v>1</v>
      </c>
      <c r="E1701" s="2">
        <v>1</v>
      </c>
      <c r="F1701" s="25">
        <v>4.5454545454545456E-2</v>
      </c>
    </row>
    <row r="1702" spans="2:6" outlineLevel="2" x14ac:dyDescent="0.25">
      <c r="C1702" t="s">
        <v>46</v>
      </c>
      <c r="D1702" s="12">
        <v>1</v>
      </c>
      <c r="E1702" s="2">
        <v>1</v>
      </c>
      <c r="F1702" s="25">
        <v>0.25</v>
      </c>
    </row>
    <row r="1703" spans="2:6" outlineLevel="2" x14ac:dyDescent="0.25">
      <c r="C1703" t="s">
        <v>17</v>
      </c>
      <c r="D1703" s="12">
        <v>1</v>
      </c>
      <c r="E1703" s="2">
        <v>1</v>
      </c>
      <c r="F1703" s="25">
        <v>0.5</v>
      </c>
    </row>
    <row r="1704" spans="2:6" outlineLevel="2" x14ac:dyDescent="0.25">
      <c r="C1704" t="s">
        <v>14</v>
      </c>
      <c r="D1704" s="12">
        <v>1</v>
      </c>
      <c r="E1704" s="2">
        <v>1</v>
      </c>
      <c r="F1704" s="25">
        <v>4.464285714285714E-3</v>
      </c>
    </row>
    <row r="1705" spans="2:6" outlineLevel="2" x14ac:dyDescent="0.25">
      <c r="C1705" t="s">
        <v>51</v>
      </c>
      <c r="D1705" s="12">
        <v>1</v>
      </c>
      <c r="E1705" s="2">
        <v>1</v>
      </c>
      <c r="F1705" s="25">
        <v>0.5</v>
      </c>
    </row>
    <row r="1706" spans="2:6" outlineLevel="2" x14ac:dyDescent="0.25">
      <c r="C1706" t="s">
        <v>28</v>
      </c>
      <c r="D1706" s="12">
        <v>1</v>
      </c>
      <c r="E1706" s="2">
        <v>1</v>
      </c>
      <c r="F1706" s="25">
        <v>0.1111111111111111</v>
      </c>
    </row>
    <row r="1707" spans="2:6" outlineLevel="2" x14ac:dyDescent="0.25">
      <c r="C1707" t="s">
        <v>15</v>
      </c>
      <c r="D1707" s="12">
        <v>1</v>
      </c>
      <c r="E1707" s="2">
        <v>1</v>
      </c>
      <c r="F1707" s="25">
        <v>1.282051282051282E-2</v>
      </c>
    </row>
    <row r="1708" spans="2:6" outlineLevel="1" x14ac:dyDescent="0.25">
      <c r="B1708" t="s">
        <v>282</v>
      </c>
      <c r="D1708" s="12"/>
      <c r="E1708" s="17">
        <v>1</v>
      </c>
      <c r="F1708" s="24">
        <v>8.375209380234506E-4</v>
      </c>
    </row>
    <row r="1709" spans="2:6" outlineLevel="2" x14ac:dyDescent="0.25">
      <c r="C1709" t="s">
        <v>41</v>
      </c>
      <c r="D1709" s="12">
        <v>1</v>
      </c>
      <c r="E1709" s="2">
        <v>1</v>
      </c>
      <c r="F1709" s="25">
        <v>1.8518518518518517E-2</v>
      </c>
    </row>
    <row r="1710" spans="2:6" outlineLevel="1" x14ac:dyDescent="0.25">
      <c r="B1710" t="s">
        <v>283</v>
      </c>
      <c r="D1710" s="12"/>
      <c r="E1710" s="17">
        <v>15</v>
      </c>
      <c r="F1710" s="24">
        <v>1.2562814070351759E-2</v>
      </c>
    </row>
    <row r="1711" spans="2:6" outlineLevel="2" x14ac:dyDescent="0.25">
      <c r="C1711" t="s">
        <v>33</v>
      </c>
      <c r="D1711" s="12">
        <v>1</v>
      </c>
      <c r="E1711" s="2">
        <v>1</v>
      </c>
      <c r="F1711" s="25">
        <v>4.5454545454545456E-2</v>
      </c>
    </row>
    <row r="1712" spans="2:6" outlineLevel="2" x14ac:dyDescent="0.25">
      <c r="C1712" t="s">
        <v>26</v>
      </c>
      <c r="D1712" s="12">
        <v>1</v>
      </c>
      <c r="E1712" s="2">
        <v>1</v>
      </c>
      <c r="F1712" s="25">
        <v>7.6923076923076927E-2</v>
      </c>
    </row>
    <row r="1713" spans="2:6" outlineLevel="2" x14ac:dyDescent="0.25">
      <c r="C1713" t="s">
        <v>29</v>
      </c>
      <c r="D1713" s="12">
        <v>1</v>
      </c>
      <c r="E1713" s="2">
        <v>1</v>
      </c>
      <c r="F1713" s="25">
        <v>0.16666666666666666</v>
      </c>
    </row>
    <row r="1714" spans="2:6" outlineLevel="2" x14ac:dyDescent="0.25">
      <c r="C1714" t="s">
        <v>12</v>
      </c>
      <c r="D1714" s="12">
        <v>1</v>
      </c>
      <c r="E1714" s="2">
        <v>1</v>
      </c>
      <c r="F1714" s="25">
        <v>4.1666666666666664E-2</v>
      </c>
    </row>
    <row r="1715" spans="2:6" outlineLevel="2" x14ac:dyDescent="0.25">
      <c r="C1715" t="s">
        <v>13</v>
      </c>
      <c r="D1715" s="12">
        <v>7</v>
      </c>
      <c r="E1715" s="2">
        <v>7</v>
      </c>
      <c r="F1715" s="25">
        <v>3.2710280373831772E-2</v>
      </c>
    </row>
    <row r="1716" spans="2:6" outlineLevel="2" x14ac:dyDescent="0.25">
      <c r="C1716" t="s">
        <v>38</v>
      </c>
      <c r="D1716" s="12">
        <v>3</v>
      </c>
      <c r="E1716" s="2">
        <v>3</v>
      </c>
      <c r="F1716" s="25">
        <v>0.15</v>
      </c>
    </row>
    <row r="1717" spans="2:6" outlineLevel="2" x14ac:dyDescent="0.25">
      <c r="C1717" t="s">
        <v>15</v>
      </c>
      <c r="D1717" s="12">
        <v>1</v>
      </c>
      <c r="E1717" s="2">
        <v>1</v>
      </c>
      <c r="F1717" s="25">
        <v>1.282051282051282E-2</v>
      </c>
    </row>
    <row r="1718" spans="2:6" outlineLevel="1" x14ac:dyDescent="0.25">
      <c r="B1718" t="s">
        <v>284</v>
      </c>
      <c r="D1718" s="12"/>
      <c r="E1718" s="17">
        <v>102</v>
      </c>
      <c r="F1718" s="24">
        <v>8.5427135678391955E-2</v>
      </c>
    </row>
    <row r="1719" spans="2:6" outlineLevel="2" x14ac:dyDescent="0.25">
      <c r="C1719" t="s">
        <v>16</v>
      </c>
      <c r="D1719" s="12">
        <v>1</v>
      </c>
      <c r="E1719" s="2">
        <v>1</v>
      </c>
      <c r="F1719" s="25">
        <v>0.125</v>
      </c>
    </row>
    <row r="1720" spans="2:6" outlineLevel="2" x14ac:dyDescent="0.25">
      <c r="C1720" t="s">
        <v>24</v>
      </c>
      <c r="D1720" s="12">
        <v>2</v>
      </c>
      <c r="E1720" s="2">
        <v>2</v>
      </c>
      <c r="F1720" s="25">
        <v>0.5</v>
      </c>
    </row>
    <row r="1721" spans="2:6" outlineLevel="2" x14ac:dyDescent="0.25">
      <c r="C1721" t="s">
        <v>18</v>
      </c>
      <c r="D1721" s="12">
        <v>17</v>
      </c>
      <c r="E1721" s="2">
        <v>17</v>
      </c>
      <c r="F1721" s="25">
        <v>0.44736842105263158</v>
      </c>
    </row>
    <row r="1722" spans="2:6" outlineLevel="2" x14ac:dyDescent="0.25">
      <c r="C1722" t="s">
        <v>11</v>
      </c>
      <c r="D1722" s="12">
        <v>5</v>
      </c>
      <c r="E1722" s="2">
        <v>5</v>
      </c>
      <c r="F1722" s="25">
        <v>0.35714285714285715</v>
      </c>
    </row>
    <row r="1723" spans="2:6" outlineLevel="2" x14ac:dyDescent="0.25">
      <c r="C1723" t="s">
        <v>14</v>
      </c>
      <c r="D1723" s="12">
        <v>48</v>
      </c>
      <c r="E1723" s="2">
        <v>48</v>
      </c>
      <c r="F1723" s="25">
        <v>0.21428571428571427</v>
      </c>
    </row>
    <row r="1724" spans="2:6" outlineLevel="2" x14ac:dyDescent="0.25">
      <c r="C1724" t="s">
        <v>37</v>
      </c>
      <c r="D1724" s="12">
        <v>1</v>
      </c>
      <c r="E1724" s="2">
        <v>1</v>
      </c>
      <c r="F1724" s="25">
        <v>0.16666666666666666</v>
      </c>
    </row>
    <row r="1725" spans="2:6" outlineLevel="2" x14ac:dyDescent="0.25">
      <c r="C1725" t="s">
        <v>15</v>
      </c>
      <c r="D1725" s="12">
        <v>26</v>
      </c>
      <c r="E1725" s="2">
        <v>26</v>
      </c>
      <c r="F1725" s="25">
        <v>0.33333333333333331</v>
      </c>
    </row>
    <row r="1726" spans="2:6" outlineLevel="2" x14ac:dyDescent="0.25">
      <c r="C1726" t="s">
        <v>48</v>
      </c>
      <c r="D1726" s="12">
        <v>2</v>
      </c>
      <c r="E1726" s="2">
        <v>2</v>
      </c>
      <c r="F1726" s="25">
        <v>1</v>
      </c>
    </row>
    <row r="1727" spans="2:6" outlineLevel="1" x14ac:dyDescent="0.25">
      <c r="B1727" t="s">
        <v>285</v>
      </c>
      <c r="D1727" s="12"/>
      <c r="E1727" s="17">
        <v>13</v>
      </c>
      <c r="F1727" s="24">
        <v>1.0887772194304857E-2</v>
      </c>
    </row>
    <row r="1728" spans="2:6" outlineLevel="2" x14ac:dyDescent="0.25">
      <c r="C1728" t="s">
        <v>33</v>
      </c>
      <c r="D1728" s="12">
        <v>1</v>
      </c>
      <c r="E1728" s="2">
        <v>1</v>
      </c>
      <c r="F1728" s="25">
        <v>4.5454545454545456E-2</v>
      </c>
    </row>
    <row r="1729" spans="1:6" outlineLevel="2" x14ac:dyDescent="0.25">
      <c r="C1729" t="s">
        <v>14</v>
      </c>
      <c r="D1729" s="12">
        <v>8</v>
      </c>
      <c r="E1729" s="2">
        <v>8</v>
      </c>
      <c r="F1729" s="25">
        <v>3.5714285714285712E-2</v>
      </c>
    </row>
    <row r="1730" spans="1:6" outlineLevel="2" x14ac:dyDescent="0.25">
      <c r="C1730" t="s">
        <v>15</v>
      </c>
      <c r="D1730" s="12">
        <v>4</v>
      </c>
      <c r="E1730" s="2">
        <v>4</v>
      </c>
      <c r="F1730" s="25">
        <v>5.128205128205128E-2</v>
      </c>
    </row>
    <row r="1731" spans="1:6" x14ac:dyDescent="0.25">
      <c r="A1731" t="s">
        <v>9</v>
      </c>
      <c r="D1731" s="12"/>
      <c r="E1731" s="16">
        <v>814</v>
      </c>
      <c r="F1731" s="23">
        <v>2.199032258064516E-2</v>
      </c>
    </row>
    <row r="1732" spans="1:6" outlineLevel="1" x14ac:dyDescent="0.25">
      <c r="B1732" t="s">
        <v>286</v>
      </c>
      <c r="D1732" s="12"/>
      <c r="E1732" s="17">
        <v>49</v>
      </c>
      <c r="F1732" s="24">
        <v>4.1038525963149081E-2</v>
      </c>
    </row>
    <row r="1733" spans="1:6" outlineLevel="2" x14ac:dyDescent="0.25">
      <c r="C1733" t="s">
        <v>49</v>
      </c>
      <c r="D1733" s="12">
        <v>3</v>
      </c>
      <c r="E1733" s="2">
        <v>3</v>
      </c>
      <c r="F1733" s="25">
        <v>0.42857142857142855</v>
      </c>
    </row>
    <row r="1734" spans="1:6" outlineLevel="2" x14ac:dyDescent="0.25">
      <c r="C1734" t="s">
        <v>33</v>
      </c>
      <c r="D1734" s="12">
        <v>1</v>
      </c>
      <c r="E1734" s="2">
        <v>1</v>
      </c>
      <c r="F1734" s="25">
        <v>4.5454545454545456E-2</v>
      </c>
    </row>
    <row r="1735" spans="1:6" outlineLevel="2" x14ac:dyDescent="0.25">
      <c r="C1735" t="s">
        <v>16</v>
      </c>
      <c r="D1735" s="12">
        <v>2</v>
      </c>
      <c r="E1735" s="2">
        <v>2</v>
      </c>
      <c r="F1735" s="25">
        <v>0.25</v>
      </c>
    </row>
    <row r="1736" spans="1:6" outlineLevel="2" x14ac:dyDescent="0.25">
      <c r="C1736" t="s">
        <v>29</v>
      </c>
      <c r="D1736" s="12">
        <v>3</v>
      </c>
      <c r="E1736" s="2">
        <v>3</v>
      </c>
      <c r="F1736" s="25">
        <v>0.5</v>
      </c>
    </row>
    <row r="1737" spans="1:6" outlineLevel="2" x14ac:dyDescent="0.25">
      <c r="C1737" t="s">
        <v>11</v>
      </c>
      <c r="D1737" s="12">
        <v>3</v>
      </c>
      <c r="E1737" s="2">
        <v>3</v>
      </c>
      <c r="F1737" s="25">
        <v>0.21428571428571427</v>
      </c>
    </row>
    <row r="1738" spans="1:6" outlineLevel="2" x14ac:dyDescent="0.25">
      <c r="C1738" t="s">
        <v>12</v>
      </c>
      <c r="D1738" s="12">
        <v>1</v>
      </c>
      <c r="E1738" s="2">
        <v>1</v>
      </c>
      <c r="F1738" s="25">
        <v>4.1666666666666664E-2</v>
      </c>
    </row>
    <row r="1739" spans="1:6" outlineLevel="2" x14ac:dyDescent="0.25">
      <c r="C1739" t="s">
        <v>13</v>
      </c>
      <c r="D1739" s="12">
        <v>13</v>
      </c>
      <c r="E1739" s="2">
        <v>13</v>
      </c>
      <c r="F1739" s="25">
        <v>6.0747663551401869E-2</v>
      </c>
    </row>
    <row r="1740" spans="1:6" outlineLevel="2" x14ac:dyDescent="0.25">
      <c r="C1740" t="s">
        <v>14</v>
      </c>
      <c r="D1740" s="12">
        <v>11</v>
      </c>
      <c r="E1740" s="2">
        <v>11</v>
      </c>
      <c r="F1740" s="25">
        <v>4.9107142857142856E-2</v>
      </c>
    </row>
    <row r="1741" spans="1:6" outlineLevel="2" x14ac:dyDescent="0.25">
      <c r="C1741" t="s">
        <v>21</v>
      </c>
      <c r="D1741" s="12">
        <v>1</v>
      </c>
      <c r="E1741" s="2">
        <v>1</v>
      </c>
      <c r="F1741" s="25">
        <v>0.1111111111111111</v>
      </c>
    </row>
    <row r="1742" spans="1:6" outlineLevel="2" x14ac:dyDescent="0.25">
      <c r="C1742" t="s">
        <v>28</v>
      </c>
      <c r="D1742" s="12">
        <v>2</v>
      </c>
      <c r="E1742" s="2">
        <v>2</v>
      </c>
      <c r="F1742" s="25">
        <v>0.22222222222222221</v>
      </c>
    </row>
    <row r="1743" spans="1:6" outlineLevel="2" x14ac:dyDescent="0.25">
      <c r="C1743" t="s">
        <v>15</v>
      </c>
      <c r="D1743" s="12">
        <v>4</v>
      </c>
      <c r="E1743" s="2">
        <v>4</v>
      </c>
      <c r="F1743" s="25">
        <v>5.128205128205128E-2</v>
      </c>
    </row>
    <row r="1744" spans="1:6" outlineLevel="2" x14ac:dyDescent="0.25">
      <c r="C1744" t="s">
        <v>31</v>
      </c>
      <c r="D1744" s="12">
        <v>2</v>
      </c>
      <c r="E1744" s="2">
        <v>2</v>
      </c>
      <c r="F1744" s="25">
        <v>9.0909090909090912E-2</v>
      </c>
    </row>
    <row r="1745" spans="2:6" outlineLevel="2" x14ac:dyDescent="0.25">
      <c r="C1745" t="s">
        <v>48</v>
      </c>
      <c r="D1745" s="12">
        <v>1</v>
      </c>
      <c r="E1745" s="2">
        <v>1</v>
      </c>
      <c r="F1745" s="25">
        <v>0.5</v>
      </c>
    </row>
    <row r="1746" spans="2:6" outlineLevel="2" x14ac:dyDescent="0.25">
      <c r="C1746" t="s">
        <v>54</v>
      </c>
      <c r="D1746" s="12">
        <v>2</v>
      </c>
      <c r="E1746" s="2">
        <v>2</v>
      </c>
      <c r="F1746" s="25">
        <v>0.66666666666666663</v>
      </c>
    </row>
    <row r="1747" spans="2:6" outlineLevel="1" x14ac:dyDescent="0.25">
      <c r="B1747" t="s">
        <v>287</v>
      </c>
      <c r="D1747" s="12"/>
      <c r="E1747" s="17">
        <v>5</v>
      </c>
      <c r="F1747" s="24">
        <v>4.1876046901172526E-3</v>
      </c>
    </row>
    <row r="1748" spans="2:6" outlineLevel="2" x14ac:dyDescent="0.25">
      <c r="C1748" t="s">
        <v>14</v>
      </c>
      <c r="D1748" s="12">
        <v>5</v>
      </c>
      <c r="E1748" s="2">
        <v>5</v>
      </c>
      <c r="F1748" s="25">
        <v>2.2321428571428572E-2</v>
      </c>
    </row>
    <row r="1749" spans="2:6" outlineLevel="1" x14ac:dyDescent="0.25">
      <c r="B1749" t="s">
        <v>288</v>
      </c>
      <c r="D1749" s="12"/>
      <c r="E1749" s="17">
        <v>12</v>
      </c>
      <c r="F1749" s="24">
        <v>1.0050251256281407E-2</v>
      </c>
    </row>
    <row r="1750" spans="2:6" outlineLevel="2" x14ac:dyDescent="0.25">
      <c r="C1750" t="s">
        <v>45</v>
      </c>
      <c r="D1750" s="12">
        <v>1</v>
      </c>
      <c r="E1750" s="2">
        <v>1</v>
      </c>
      <c r="F1750" s="25">
        <v>0.25</v>
      </c>
    </row>
    <row r="1751" spans="2:6" outlineLevel="2" x14ac:dyDescent="0.25">
      <c r="C1751" t="s">
        <v>47</v>
      </c>
      <c r="D1751" s="12">
        <v>6</v>
      </c>
      <c r="E1751" s="2">
        <v>6</v>
      </c>
      <c r="F1751" s="25">
        <v>0.15384615384615385</v>
      </c>
    </row>
    <row r="1752" spans="2:6" outlineLevel="2" x14ac:dyDescent="0.25">
      <c r="C1752" t="s">
        <v>46</v>
      </c>
      <c r="D1752" s="12">
        <v>1</v>
      </c>
      <c r="E1752" s="2">
        <v>1</v>
      </c>
      <c r="F1752" s="25">
        <v>0.25</v>
      </c>
    </row>
    <row r="1753" spans="2:6" outlineLevel="2" x14ac:dyDescent="0.25">
      <c r="C1753" t="s">
        <v>14</v>
      </c>
      <c r="D1753" s="12">
        <v>2</v>
      </c>
      <c r="E1753" s="2">
        <v>2</v>
      </c>
      <c r="F1753" s="25">
        <v>8.9285714285714281E-3</v>
      </c>
    </row>
    <row r="1754" spans="2:6" outlineLevel="2" x14ac:dyDescent="0.25">
      <c r="C1754" t="s">
        <v>15</v>
      </c>
      <c r="D1754" s="12">
        <v>2</v>
      </c>
      <c r="E1754" s="2">
        <v>2</v>
      </c>
      <c r="F1754" s="25">
        <v>2.564102564102564E-2</v>
      </c>
    </row>
    <row r="1755" spans="2:6" outlineLevel="1" x14ac:dyDescent="0.25">
      <c r="B1755" t="s">
        <v>289</v>
      </c>
      <c r="D1755" s="12"/>
      <c r="E1755" s="17">
        <v>98</v>
      </c>
      <c r="F1755" s="24">
        <v>8.2077051926298161E-2</v>
      </c>
    </row>
    <row r="1756" spans="2:6" outlineLevel="2" x14ac:dyDescent="0.25">
      <c r="C1756" t="s">
        <v>22</v>
      </c>
      <c r="D1756" s="12">
        <v>1</v>
      </c>
      <c r="E1756" s="2">
        <v>1</v>
      </c>
      <c r="F1756" s="25">
        <v>6.6666666666666666E-2</v>
      </c>
    </row>
    <row r="1757" spans="2:6" outlineLevel="2" x14ac:dyDescent="0.25">
      <c r="C1757" t="s">
        <v>27</v>
      </c>
      <c r="D1757" s="12">
        <v>1</v>
      </c>
      <c r="E1757" s="2">
        <v>1</v>
      </c>
      <c r="F1757" s="25">
        <v>8.3333333333333329E-2</v>
      </c>
    </row>
    <row r="1758" spans="2:6" outlineLevel="2" x14ac:dyDescent="0.25">
      <c r="C1758" t="s">
        <v>25</v>
      </c>
      <c r="D1758" s="12">
        <v>3</v>
      </c>
      <c r="E1758" s="2">
        <v>3</v>
      </c>
      <c r="F1758" s="25">
        <v>8.5714285714285715E-2</v>
      </c>
    </row>
    <row r="1759" spans="2:6" outlineLevel="2" x14ac:dyDescent="0.25">
      <c r="C1759" t="s">
        <v>47</v>
      </c>
      <c r="D1759" s="12">
        <v>10</v>
      </c>
      <c r="E1759" s="2">
        <v>10</v>
      </c>
      <c r="F1759" s="25">
        <v>0.25641025641025639</v>
      </c>
    </row>
    <row r="1760" spans="2:6" outlineLevel="2" x14ac:dyDescent="0.25">
      <c r="C1760" t="s">
        <v>33</v>
      </c>
      <c r="D1760" s="12">
        <v>1</v>
      </c>
      <c r="E1760" s="2">
        <v>1</v>
      </c>
      <c r="F1760" s="25">
        <v>4.5454545454545456E-2</v>
      </c>
    </row>
    <row r="1761" spans="2:6" outlineLevel="2" x14ac:dyDescent="0.25">
      <c r="C1761" t="s">
        <v>34</v>
      </c>
      <c r="D1761" s="12">
        <v>1</v>
      </c>
      <c r="E1761" s="2">
        <v>1</v>
      </c>
      <c r="F1761" s="25">
        <v>0.25</v>
      </c>
    </row>
    <row r="1762" spans="2:6" outlineLevel="2" x14ac:dyDescent="0.25">
      <c r="C1762" t="s">
        <v>35</v>
      </c>
      <c r="D1762" s="12">
        <v>2</v>
      </c>
      <c r="E1762" s="2">
        <v>2</v>
      </c>
      <c r="F1762" s="25">
        <v>0.66666666666666663</v>
      </c>
    </row>
    <row r="1763" spans="2:6" outlineLevel="2" x14ac:dyDescent="0.25">
      <c r="C1763" t="s">
        <v>18</v>
      </c>
      <c r="D1763" s="12">
        <v>6</v>
      </c>
      <c r="E1763" s="2">
        <v>6</v>
      </c>
      <c r="F1763" s="25">
        <v>0.15789473684210525</v>
      </c>
    </row>
    <row r="1764" spans="2:6" outlineLevel="2" x14ac:dyDescent="0.25">
      <c r="C1764" t="s">
        <v>11</v>
      </c>
      <c r="D1764" s="12">
        <v>1</v>
      </c>
      <c r="E1764" s="2">
        <v>1</v>
      </c>
      <c r="F1764" s="25">
        <v>7.1428571428571425E-2</v>
      </c>
    </row>
    <row r="1765" spans="2:6" outlineLevel="2" x14ac:dyDescent="0.25">
      <c r="C1765" t="s">
        <v>12</v>
      </c>
      <c r="D1765" s="12">
        <v>2</v>
      </c>
      <c r="E1765" s="2">
        <v>2</v>
      </c>
      <c r="F1765" s="25">
        <v>8.3333333333333329E-2</v>
      </c>
    </row>
    <row r="1766" spans="2:6" outlineLevel="2" x14ac:dyDescent="0.25">
      <c r="C1766" t="s">
        <v>13</v>
      </c>
      <c r="D1766" s="12">
        <v>29</v>
      </c>
      <c r="E1766" s="2">
        <v>29</v>
      </c>
      <c r="F1766" s="25">
        <v>0.13551401869158877</v>
      </c>
    </row>
    <row r="1767" spans="2:6" outlineLevel="2" x14ac:dyDescent="0.25">
      <c r="C1767" t="s">
        <v>14</v>
      </c>
      <c r="D1767" s="12">
        <v>22</v>
      </c>
      <c r="E1767" s="2">
        <v>22</v>
      </c>
      <c r="F1767" s="25">
        <v>9.8214285714285712E-2</v>
      </c>
    </row>
    <row r="1768" spans="2:6" outlineLevel="2" x14ac:dyDescent="0.25">
      <c r="C1768" t="s">
        <v>37</v>
      </c>
      <c r="D1768" s="12">
        <v>2</v>
      </c>
      <c r="E1768" s="2">
        <v>2</v>
      </c>
      <c r="F1768" s="25">
        <v>0.33333333333333331</v>
      </c>
    </row>
    <row r="1769" spans="2:6" outlineLevel="2" x14ac:dyDescent="0.25">
      <c r="C1769" t="s">
        <v>38</v>
      </c>
      <c r="D1769" s="12">
        <v>4</v>
      </c>
      <c r="E1769" s="2">
        <v>4</v>
      </c>
      <c r="F1769" s="25">
        <v>0.2</v>
      </c>
    </row>
    <row r="1770" spans="2:6" outlineLevel="2" x14ac:dyDescent="0.25">
      <c r="C1770" t="s">
        <v>20</v>
      </c>
      <c r="D1770" s="12">
        <v>1</v>
      </c>
      <c r="E1770" s="2">
        <v>1</v>
      </c>
      <c r="F1770" s="25">
        <v>4.5454545454545456E-2</v>
      </c>
    </row>
    <row r="1771" spans="2:6" outlineLevel="2" x14ac:dyDescent="0.25">
      <c r="C1771" t="s">
        <v>15</v>
      </c>
      <c r="D1771" s="12">
        <v>8</v>
      </c>
      <c r="E1771" s="2">
        <v>8</v>
      </c>
      <c r="F1771" s="25">
        <v>0.10256410256410256</v>
      </c>
    </row>
    <row r="1772" spans="2:6" outlineLevel="2" x14ac:dyDescent="0.25">
      <c r="C1772" t="s">
        <v>40</v>
      </c>
      <c r="D1772" s="12">
        <v>4</v>
      </c>
      <c r="E1772" s="2">
        <v>4</v>
      </c>
      <c r="F1772" s="25">
        <v>0.44444444444444442</v>
      </c>
    </row>
    <row r="1773" spans="2:6" outlineLevel="1" x14ac:dyDescent="0.25">
      <c r="B1773" t="s">
        <v>290</v>
      </c>
      <c r="D1773" s="12"/>
      <c r="E1773" s="17">
        <v>38</v>
      </c>
      <c r="F1773" s="24">
        <v>3.1825795644891124E-2</v>
      </c>
    </row>
    <row r="1774" spans="2:6" outlineLevel="2" x14ac:dyDescent="0.25">
      <c r="C1774" t="s">
        <v>22</v>
      </c>
      <c r="D1774" s="12">
        <v>9</v>
      </c>
      <c r="E1774" s="2">
        <v>9</v>
      </c>
      <c r="F1774" s="25">
        <v>0.6</v>
      </c>
    </row>
    <row r="1775" spans="2:6" outlineLevel="2" x14ac:dyDescent="0.25">
      <c r="C1775" t="s">
        <v>26</v>
      </c>
      <c r="D1775" s="12">
        <v>1</v>
      </c>
      <c r="E1775" s="2">
        <v>1</v>
      </c>
      <c r="F1775" s="25">
        <v>7.6923076923076927E-2</v>
      </c>
    </row>
    <row r="1776" spans="2:6" outlineLevel="2" x14ac:dyDescent="0.25">
      <c r="C1776" t="s">
        <v>12</v>
      </c>
      <c r="D1776" s="12">
        <v>2</v>
      </c>
      <c r="E1776" s="2">
        <v>2</v>
      </c>
      <c r="F1776" s="25">
        <v>8.3333333333333329E-2</v>
      </c>
    </row>
    <row r="1777" spans="2:6" outlineLevel="2" x14ac:dyDescent="0.25">
      <c r="C1777" t="s">
        <v>13</v>
      </c>
      <c r="D1777" s="12">
        <v>15</v>
      </c>
      <c r="E1777" s="2">
        <v>15</v>
      </c>
      <c r="F1777" s="25">
        <v>7.0093457943925228E-2</v>
      </c>
    </row>
    <row r="1778" spans="2:6" outlineLevel="2" x14ac:dyDescent="0.25">
      <c r="C1778" t="s">
        <v>37</v>
      </c>
      <c r="D1778" s="12">
        <v>2</v>
      </c>
      <c r="E1778" s="2">
        <v>2</v>
      </c>
      <c r="F1778" s="25">
        <v>0.33333333333333331</v>
      </c>
    </row>
    <row r="1779" spans="2:6" outlineLevel="2" x14ac:dyDescent="0.25">
      <c r="C1779" t="s">
        <v>19</v>
      </c>
      <c r="D1779" s="12">
        <v>4</v>
      </c>
      <c r="E1779" s="2">
        <v>4</v>
      </c>
      <c r="F1779" s="25">
        <v>7.6923076923076927E-2</v>
      </c>
    </row>
    <row r="1780" spans="2:6" outlineLevel="2" x14ac:dyDescent="0.25">
      <c r="C1780" t="s">
        <v>21</v>
      </c>
      <c r="D1780" s="12">
        <v>2</v>
      </c>
      <c r="E1780" s="2">
        <v>2</v>
      </c>
      <c r="F1780" s="25">
        <v>0.22222222222222221</v>
      </c>
    </row>
    <row r="1781" spans="2:6" outlineLevel="2" x14ac:dyDescent="0.25">
      <c r="C1781" t="s">
        <v>28</v>
      </c>
      <c r="D1781" s="12">
        <v>1</v>
      </c>
      <c r="E1781" s="2">
        <v>1</v>
      </c>
      <c r="F1781" s="25">
        <v>0.1111111111111111</v>
      </c>
    </row>
    <row r="1782" spans="2:6" outlineLevel="2" x14ac:dyDescent="0.25">
      <c r="C1782" t="s">
        <v>15</v>
      </c>
      <c r="D1782" s="12">
        <v>1</v>
      </c>
      <c r="E1782" s="2">
        <v>1</v>
      </c>
      <c r="F1782" s="25">
        <v>1.282051282051282E-2</v>
      </c>
    </row>
    <row r="1783" spans="2:6" outlineLevel="2" x14ac:dyDescent="0.25">
      <c r="C1783" t="s">
        <v>31</v>
      </c>
      <c r="D1783" s="12">
        <v>1</v>
      </c>
      <c r="E1783" s="2">
        <v>1</v>
      </c>
      <c r="F1783" s="25">
        <v>4.5454545454545456E-2</v>
      </c>
    </row>
    <row r="1784" spans="2:6" outlineLevel="1" x14ac:dyDescent="0.25">
      <c r="B1784" t="s">
        <v>291</v>
      </c>
      <c r="D1784" s="12"/>
      <c r="E1784" s="17">
        <v>12</v>
      </c>
      <c r="F1784" s="24">
        <v>1.0050251256281407E-2</v>
      </c>
    </row>
    <row r="1785" spans="2:6" outlineLevel="2" x14ac:dyDescent="0.25">
      <c r="C1785" t="s">
        <v>24</v>
      </c>
      <c r="D1785" s="12">
        <v>2</v>
      </c>
      <c r="E1785" s="2">
        <v>2</v>
      </c>
      <c r="F1785" s="25">
        <v>0.5</v>
      </c>
    </row>
    <row r="1786" spans="2:6" outlineLevel="2" x14ac:dyDescent="0.25">
      <c r="C1786" t="s">
        <v>53</v>
      </c>
      <c r="D1786" s="12">
        <v>10</v>
      </c>
      <c r="E1786" s="2">
        <v>10</v>
      </c>
      <c r="F1786" s="25">
        <v>1</v>
      </c>
    </row>
    <row r="1787" spans="2:6" outlineLevel="1" x14ac:dyDescent="0.25">
      <c r="B1787" t="s">
        <v>292</v>
      </c>
      <c r="D1787" s="12"/>
      <c r="E1787" s="17">
        <v>3</v>
      </c>
      <c r="F1787" s="24">
        <v>2.5125628140703518E-3</v>
      </c>
    </row>
    <row r="1788" spans="2:6" outlineLevel="2" x14ac:dyDescent="0.25">
      <c r="C1788" t="s">
        <v>23</v>
      </c>
      <c r="D1788" s="12">
        <v>1</v>
      </c>
      <c r="E1788" s="2">
        <v>1</v>
      </c>
      <c r="F1788" s="25">
        <v>4.5454545454545456E-2</v>
      </c>
    </row>
    <row r="1789" spans="2:6" outlineLevel="2" x14ac:dyDescent="0.25">
      <c r="C1789" t="s">
        <v>17</v>
      </c>
      <c r="D1789" s="12">
        <v>1</v>
      </c>
      <c r="E1789" s="2">
        <v>1</v>
      </c>
      <c r="F1789" s="25">
        <v>0.5</v>
      </c>
    </row>
    <row r="1790" spans="2:6" outlineLevel="2" x14ac:dyDescent="0.25">
      <c r="C1790" t="s">
        <v>28</v>
      </c>
      <c r="D1790" s="12">
        <v>1</v>
      </c>
      <c r="E1790" s="2">
        <v>1</v>
      </c>
      <c r="F1790" s="25">
        <v>0.1111111111111111</v>
      </c>
    </row>
    <row r="1791" spans="2:6" outlineLevel="1" x14ac:dyDescent="0.25">
      <c r="B1791" t="s">
        <v>293</v>
      </c>
      <c r="D1791" s="12"/>
      <c r="E1791" s="17">
        <v>40</v>
      </c>
      <c r="F1791" s="24">
        <v>3.350083752093802E-2</v>
      </c>
    </row>
    <row r="1792" spans="2:6" outlineLevel="2" x14ac:dyDescent="0.25">
      <c r="C1792" t="s">
        <v>22</v>
      </c>
      <c r="D1792" s="12">
        <v>1</v>
      </c>
      <c r="E1792" s="2">
        <v>1</v>
      </c>
      <c r="F1792" s="25">
        <v>6.6666666666666666E-2</v>
      </c>
    </row>
    <row r="1793" spans="2:6" outlineLevel="2" x14ac:dyDescent="0.25">
      <c r="C1793" t="s">
        <v>33</v>
      </c>
      <c r="D1793" s="12">
        <v>1</v>
      </c>
      <c r="E1793" s="2">
        <v>1</v>
      </c>
      <c r="F1793" s="25">
        <v>4.5454545454545456E-2</v>
      </c>
    </row>
    <row r="1794" spans="2:6" outlineLevel="2" x14ac:dyDescent="0.25">
      <c r="C1794" t="s">
        <v>12</v>
      </c>
      <c r="D1794" s="12">
        <v>6</v>
      </c>
      <c r="E1794" s="2">
        <v>6</v>
      </c>
      <c r="F1794" s="25">
        <v>0.25</v>
      </c>
    </row>
    <row r="1795" spans="2:6" outlineLevel="2" x14ac:dyDescent="0.25">
      <c r="C1795" t="s">
        <v>13</v>
      </c>
      <c r="D1795" s="12">
        <v>28</v>
      </c>
      <c r="E1795" s="2">
        <v>28</v>
      </c>
      <c r="F1795" s="25">
        <v>0.13084112149532709</v>
      </c>
    </row>
    <row r="1796" spans="2:6" outlineLevel="2" x14ac:dyDescent="0.25">
      <c r="C1796" t="s">
        <v>21</v>
      </c>
      <c r="D1796" s="12">
        <v>4</v>
      </c>
      <c r="E1796" s="2">
        <v>4</v>
      </c>
      <c r="F1796" s="25">
        <v>0.44444444444444442</v>
      </c>
    </row>
    <row r="1797" spans="2:6" outlineLevel="1" x14ac:dyDescent="0.25">
      <c r="B1797" t="s">
        <v>294</v>
      </c>
      <c r="D1797" s="12"/>
      <c r="E1797" s="17">
        <v>23</v>
      </c>
      <c r="F1797" s="24">
        <v>1.9262981574539362E-2</v>
      </c>
    </row>
    <row r="1798" spans="2:6" outlineLevel="2" x14ac:dyDescent="0.25">
      <c r="C1798" t="s">
        <v>16</v>
      </c>
      <c r="D1798" s="12">
        <v>1</v>
      </c>
      <c r="E1798" s="2">
        <v>1</v>
      </c>
      <c r="F1798" s="25">
        <v>0.125</v>
      </c>
    </row>
    <row r="1799" spans="2:6" outlineLevel="2" x14ac:dyDescent="0.25">
      <c r="C1799" t="s">
        <v>35</v>
      </c>
      <c r="D1799" s="12">
        <v>1</v>
      </c>
      <c r="E1799" s="2">
        <v>1</v>
      </c>
      <c r="F1799" s="25">
        <v>0.33333333333333331</v>
      </c>
    </row>
    <row r="1800" spans="2:6" outlineLevel="2" x14ac:dyDescent="0.25">
      <c r="C1800" t="s">
        <v>11</v>
      </c>
      <c r="D1800" s="12">
        <v>2</v>
      </c>
      <c r="E1800" s="2">
        <v>2</v>
      </c>
      <c r="F1800" s="25">
        <v>0.14285714285714285</v>
      </c>
    </row>
    <row r="1801" spans="2:6" outlineLevel="2" x14ac:dyDescent="0.25">
      <c r="C1801" t="s">
        <v>13</v>
      </c>
      <c r="D1801" s="12">
        <v>2</v>
      </c>
      <c r="E1801" s="2">
        <v>2</v>
      </c>
      <c r="F1801" s="25">
        <v>9.3457943925233638E-3</v>
      </c>
    </row>
    <row r="1802" spans="2:6" outlineLevel="2" x14ac:dyDescent="0.25">
      <c r="C1802" t="s">
        <v>14</v>
      </c>
      <c r="D1802" s="12">
        <v>9</v>
      </c>
      <c r="E1802" s="2">
        <v>9</v>
      </c>
      <c r="F1802" s="25">
        <v>4.0178571428571432E-2</v>
      </c>
    </row>
    <row r="1803" spans="2:6" outlineLevel="2" x14ac:dyDescent="0.25">
      <c r="C1803" t="s">
        <v>38</v>
      </c>
      <c r="D1803" s="12">
        <v>1</v>
      </c>
      <c r="E1803" s="2">
        <v>1</v>
      </c>
      <c r="F1803" s="25">
        <v>0.05</v>
      </c>
    </row>
    <row r="1804" spans="2:6" outlineLevel="2" x14ac:dyDescent="0.25">
      <c r="C1804" t="s">
        <v>15</v>
      </c>
      <c r="D1804" s="12">
        <v>7</v>
      </c>
      <c r="E1804" s="2">
        <v>7</v>
      </c>
      <c r="F1804" s="25">
        <v>8.9743589743589744E-2</v>
      </c>
    </row>
    <row r="1805" spans="2:6" outlineLevel="1" x14ac:dyDescent="0.25">
      <c r="B1805" t="s">
        <v>295</v>
      </c>
      <c r="D1805" s="12"/>
      <c r="E1805" s="17">
        <v>24</v>
      </c>
      <c r="F1805" s="24">
        <v>2.0100502512562814E-2</v>
      </c>
    </row>
    <row r="1806" spans="2:6" outlineLevel="2" x14ac:dyDescent="0.25">
      <c r="C1806" t="s">
        <v>45</v>
      </c>
      <c r="D1806" s="12">
        <v>1</v>
      </c>
      <c r="E1806" s="2">
        <v>1</v>
      </c>
      <c r="F1806" s="25">
        <v>0.25</v>
      </c>
    </row>
    <row r="1807" spans="2:6" outlineLevel="2" x14ac:dyDescent="0.25">
      <c r="C1807" t="s">
        <v>43</v>
      </c>
      <c r="D1807" s="12">
        <v>2</v>
      </c>
      <c r="E1807" s="2">
        <v>2</v>
      </c>
      <c r="F1807" s="25">
        <v>0.125</v>
      </c>
    </row>
    <row r="1808" spans="2:6" outlineLevel="2" x14ac:dyDescent="0.25">
      <c r="C1808" t="s">
        <v>23</v>
      </c>
      <c r="D1808" s="12">
        <v>3</v>
      </c>
      <c r="E1808" s="2">
        <v>3</v>
      </c>
      <c r="F1808" s="25">
        <v>0.13636363636363635</v>
      </c>
    </row>
    <row r="1809" spans="2:6" outlineLevel="2" x14ac:dyDescent="0.25">
      <c r="C1809" t="s">
        <v>33</v>
      </c>
      <c r="D1809" s="12">
        <v>1</v>
      </c>
      <c r="E1809" s="2">
        <v>1</v>
      </c>
      <c r="F1809" s="25">
        <v>4.5454545454545456E-2</v>
      </c>
    </row>
    <row r="1810" spans="2:6" outlineLevel="2" x14ac:dyDescent="0.25">
      <c r="C1810" t="s">
        <v>46</v>
      </c>
      <c r="D1810" s="12">
        <v>1</v>
      </c>
      <c r="E1810" s="2">
        <v>1</v>
      </c>
      <c r="F1810" s="25">
        <v>0.25</v>
      </c>
    </row>
    <row r="1811" spans="2:6" outlineLevel="2" x14ac:dyDescent="0.25">
      <c r="C1811" t="s">
        <v>44</v>
      </c>
      <c r="D1811" s="12">
        <v>2</v>
      </c>
      <c r="E1811" s="2">
        <v>2</v>
      </c>
      <c r="F1811" s="25">
        <v>0.33333333333333331</v>
      </c>
    </row>
    <row r="1812" spans="2:6" outlineLevel="2" x14ac:dyDescent="0.25">
      <c r="C1812" t="s">
        <v>34</v>
      </c>
      <c r="D1812" s="12">
        <v>1</v>
      </c>
      <c r="E1812" s="2">
        <v>1</v>
      </c>
      <c r="F1812" s="25">
        <v>0.25</v>
      </c>
    </row>
    <row r="1813" spans="2:6" outlineLevel="2" x14ac:dyDescent="0.25">
      <c r="C1813" t="s">
        <v>17</v>
      </c>
      <c r="D1813" s="12">
        <v>1</v>
      </c>
      <c r="E1813" s="2">
        <v>1</v>
      </c>
      <c r="F1813" s="25">
        <v>0.5</v>
      </c>
    </row>
    <row r="1814" spans="2:6" outlineLevel="2" x14ac:dyDescent="0.25">
      <c r="C1814" t="s">
        <v>12</v>
      </c>
      <c r="D1814" s="12">
        <v>2</v>
      </c>
      <c r="E1814" s="2">
        <v>2</v>
      </c>
      <c r="F1814" s="25">
        <v>8.3333333333333329E-2</v>
      </c>
    </row>
    <row r="1815" spans="2:6" outlineLevel="2" x14ac:dyDescent="0.25">
      <c r="C1815" t="s">
        <v>13</v>
      </c>
      <c r="D1815" s="12">
        <v>8</v>
      </c>
      <c r="E1815" s="2">
        <v>8</v>
      </c>
      <c r="F1815" s="25">
        <v>3.7383177570093455E-2</v>
      </c>
    </row>
    <row r="1816" spans="2:6" outlineLevel="2" x14ac:dyDescent="0.25">
      <c r="C1816" t="s">
        <v>53</v>
      </c>
      <c r="D1816" s="12">
        <v>1</v>
      </c>
      <c r="E1816" s="2">
        <v>1</v>
      </c>
      <c r="F1816" s="25">
        <v>0.1</v>
      </c>
    </row>
    <row r="1817" spans="2:6" outlineLevel="2" x14ac:dyDescent="0.25">
      <c r="C1817" t="s">
        <v>28</v>
      </c>
      <c r="D1817" s="12">
        <v>1</v>
      </c>
      <c r="E1817" s="2">
        <v>1</v>
      </c>
      <c r="F1817" s="25">
        <v>0.1111111111111111</v>
      </c>
    </row>
    <row r="1818" spans="2:6" outlineLevel="1" x14ac:dyDescent="0.25">
      <c r="B1818" t="s">
        <v>296</v>
      </c>
      <c r="D1818" s="12"/>
      <c r="E1818" s="17">
        <v>9</v>
      </c>
      <c r="F1818" s="24">
        <v>7.537688442211055E-3</v>
      </c>
    </row>
    <row r="1819" spans="2:6" outlineLevel="2" x14ac:dyDescent="0.25">
      <c r="C1819" t="s">
        <v>16</v>
      </c>
      <c r="D1819" s="12">
        <v>1</v>
      </c>
      <c r="E1819" s="2">
        <v>1</v>
      </c>
      <c r="F1819" s="25">
        <v>0.125</v>
      </c>
    </row>
    <row r="1820" spans="2:6" outlineLevel="2" x14ac:dyDescent="0.25">
      <c r="C1820" t="s">
        <v>14</v>
      </c>
      <c r="D1820" s="12">
        <v>7</v>
      </c>
      <c r="E1820" s="2">
        <v>7</v>
      </c>
      <c r="F1820" s="25">
        <v>3.125E-2</v>
      </c>
    </row>
    <row r="1821" spans="2:6" outlineLevel="2" x14ac:dyDescent="0.25">
      <c r="C1821" t="s">
        <v>15</v>
      </c>
      <c r="D1821" s="12">
        <v>1</v>
      </c>
      <c r="E1821" s="2">
        <v>1</v>
      </c>
      <c r="F1821" s="25">
        <v>1.282051282051282E-2</v>
      </c>
    </row>
    <row r="1822" spans="2:6" outlineLevel="1" x14ac:dyDescent="0.25">
      <c r="B1822" t="s">
        <v>297</v>
      </c>
      <c r="D1822" s="12"/>
      <c r="E1822" s="17">
        <v>41</v>
      </c>
      <c r="F1822" s="24">
        <v>3.4338358458961472E-2</v>
      </c>
    </row>
    <row r="1823" spans="2:6" outlineLevel="2" x14ac:dyDescent="0.25">
      <c r="C1823" t="s">
        <v>45</v>
      </c>
      <c r="D1823" s="12">
        <v>1</v>
      </c>
      <c r="E1823" s="2">
        <v>1</v>
      </c>
      <c r="F1823" s="25">
        <v>0.25</v>
      </c>
    </row>
    <row r="1824" spans="2:6" outlineLevel="2" x14ac:dyDescent="0.25">
      <c r="C1824" t="s">
        <v>22</v>
      </c>
      <c r="D1824" s="12">
        <v>1</v>
      </c>
      <c r="E1824" s="2">
        <v>1</v>
      </c>
      <c r="F1824" s="25">
        <v>6.6666666666666666E-2</v>
      </c>
    </row>
    <row r="1825" spans="2:6" outlineLevel="2" x14ac:dyDescent="0.25">
      <c r="C1825" t="s">
        <v>43</v>
      </c>
      <c r="D1825" s="12">
        <v>1</v>
      </c>
      <c r="E1825" s="2">
        <v>1</v>
      </c>
      <c r="F1825" s="25">
        <v>6.25E-2</v>
      </c>
    </row>
    <row r="1826" spans="2:6" outlineLevel="2" x14ac:dyDescent="0.25">
      <c r="C1826" t="s">
        <v>23</v>
      </c>
      <c r="D1826" s="12">
        <v>1</v>
      </c>
      <c r="E1826" s="2">
        <v>1</v>
      </c>
      <c r="F1826" s="25">
        <v>4.5454545454545456E-2</v>
      </c>
    </row>
    <row r="1827" spans="2:6" outlineLevel="2" x14ac:dyDescent="0.25">
      <c r="C1827" t="s">
        <v>46</v>
      </c>
      <c r="D1827" s="12">
        <v>1</v>
      </c>
      <c r="E1827" s="2">
        <v>1</v>
      </c>
      <c r="F1827" s="25">
        <v>0.25</v>
      </c>
    </row>
    <row r="1828" spans="2:6" outlineLevel="2" x14ac:dyDescent="0.25">
      <c r="C1828" t="s">
        <v>16</v>
      </c>
      <c r="D1828" s="12">
        <v>1</v>
      </c>
      <c r="E1828" s="2">
        <v>1</v>
      </c>
      <c r="F1828" s="25">
        <v>0.125</v>
      </c>
    </row>
    <row r="1829" spans="2:6" outlineLevel="2" x14ac:dyDescent="0.25">
      <c r="C1829" t="s">
        <v>11</v>
      </c>
      <c r="D1829" s="12">
        <v>3</v>
      </c>
      <c r="E1829" s="2">
        <v>3</v>
      </c>
      <c r="F1829" s="25">
        <v>0.21428571428571427</v>
      </c>
    </row>
    <row r="1830" spans="2:6" outlineLevel="2" x14ac:dyDescent="0.25">
      <c r="C1830" t="s">
        <v>14</v>
      </c>
      <c r="D1830" s="12">
        <v>25</v>
      </c>
      <c r="E1830" s="2">
        <v>25</v>
      </c>
      <c r="F1830" s="25">
        <v>0.11160714285714286</v>
      </c>
    </row>
    <row r="1831" spans="2:6" outlineLevel="2" x14ac:dyDescent="0.25">
      <c r="C1831" t="s">
        <v>50</v>
      </c>
      <c r="D1831" s="12">
        <v>3</v>
      </c>
      <c r="E1831" s="2">
        <v>3</v>
      </c>
      <c r="F1831" s="25">
        <v>0.42857142857142855</v>
      </c>
    </row>
    <row r="1832" spans="2:6" outlineLevel="2" x14ac:dyDescent="0.25">
      <c r="C1832" t="s">
        <v>55</v>
      </c>
      <c r="D1832" s="12">
        <v>1</v>
      </c>
      <c r="E1832" s="2">
        <v>1</v>
      </c>
      <c r="F1832" s="25">
        <v>0.25</v>
      </c>
    </row>
    <row r="1833" spans="2:6" outlineLevel="2" x14ac:dyDescent="0.25">
      <c r="C1833" t="s">
        <v>51</v>
      </c>
      <c r="D1833" s="12">
        <v>1</v>
      </c>
      <c r="E1833" s="2">
        <v>1</v>
      </c>
      <c r="F1833" s="25">
        <v>0.5</v>
      </c>
    </row>
    <row r="1834" spans="2:6" outlineLevel="2" x14ac:dyDescent="0.25">
      <c r="C1834" t="s">
        <v>21</v>
      </c>
      <c r="D1834" s="12">
        <v>2</v>
      </c>
      <c r="E1834" s="2">
        <v>2</v>
      </c>
      <c r="F1834" s="25">
        <v>0.22222222222222221</v>
      </c>
    </row>
    <row r="1835" spans="2:6" outlineLevel="1" x14ac:dyDescent="0.25">
      <c r="B1835" t="s">
        <v>298</v>
      </c>
      <c r="D1835" s="12"/>
      <c r="E1835" s="17">
        <v>19</v>
      </c>
      <c r="F1835" s="24">
        <v>1.5912897822445562E-2</v>
      </c>
    </row>
    <row r="1836" spans="2:6" outlineLevel="2" x14ac:dyDescent="0.25">
      <c r="C1836" t="s">
        <v>22</v>
      </c>
      <c r="D1836" s="12">
        <v>1</v>
      </c>
      <c r="E1836" s="2">
        <v>1</v>
      </c>
      <c r="F1836" s="25">
        <v>6.6666666666666666E-2</v>
      </c>
    </row>
    <row r="1837" spans="2:6" outlineLevel="2" x14ac:dyDescent="0.25">
      <c r="C1837" t="s">
        <v>27</v>
      </c>
      <c r="D1837" s="12">
        <v>1</v>
      </c>
      <c r="E1837" s="2">
        <v>1</v>
      </c>
      <c r="F1837" s="25">
        <v>8.3333333333333329E-2</v>
      </c>
    </row>
    <row r="1838" spans="2:6" outlineLevel="2" x14ac:dyDescent="0.25">
      <c r="C1838" t="s">
        <v>42</v>
      </c>
      <c r="D1838" s="12">
        <v>7</v>
      </c>
      <c r="E1838" s="2">
        <v>7</v>
      </c>
      <c r="F1838" s="25">
        <v>0.17948717948717949</v>
      </c>
    </row>
    <row r="1839" spans="2:6" outlineLevel="2" x14ac:dyDescent="0.25">
      <c r="C1839" t="s">
        <v>16</v>
      </c>
      <c r="D1839" s="12">
        <v>1</v>
      </c>
      <c r="E1839" s="2">
        <v>1</v>
      </c>
      <c r="F1839" s="25">
        <v>0.125</v>
      </c>
    </row>
    <row r="1840" spans="2:6" outlineLevel="2" x14ac:dyDescent="0.25">
      <c r="C1840" t="s">
        <v>26</v>
      </c>
      <c r="D1840" s="12">
        <v>1</v>
      </c>
      <c r="E1840" s="2">
        <v>1</v>
      </c>
      <c r="F1840" s="25">
        <v>7.6923076923076927E-2</v>
      </c>
    </row>
    <row r="1841" spans="2:6" outlineLevel="2" x14ac:dyDescent="0.25">
      <c r="C1841" t="s">
        <v>11</v>
      </c>
      <c r="D1841" s="12">
        <v>1</v>
      </c>
      <c r="E1841" s="2">
        <v>1</v>
      </c>
      <c r="F1841" s="25">
        <v>7.1428571428571425E-2</v>
      </c>
    </row>
    <row r="1842" spans="2:6" outlineLevel="2" x14ac:dyDescent="0.25">
      <c r="C1842" t="s">
        <v>13</v>
      </c>
      <c r="D1842" s="12">
        <v>1</v>
      </c>
      <c r="E1842" s="2">
        <v>1</v>
      </c>
      <c r="F1842" s="25">
        <v>4.6728971962616819E-3</v>
      </c>
    </row>
    <row r="1843" spans="2:6" outlineLevel="2" x14ac:dyDescent="0.25">
      <c r="C1843" t="s">
        <v>50</v>
      </c>
      <c r="D1843" s="12">
        <v>1</v>
      </c>
      <c r="E1843" s="2">
        <v>1</v>
      </c>
      <c r="F1843" s="25">
        <v>0.14285714285714285</v>
      </c>
    </row>
    <row r="1844" spans="2:6" outlineLevel="2" x14ac:dyDescent="0.25">
      <c r="C1844" t="s">
        <v>37</v>
      </c>
      <c r="D1844" s="12">
        <v>1</v>
      </c>
      <c r="E1844" s="2">
        <v>1</v>
      </c>
      <c r="F1844" s="25">
        <v>0.16666666666666666</v>
      </c>
    </row>
    <row r="1845" spans="2:6" outlineLevel="2" x14ac:dyDescent="0.25">
      <c r="C1845" t="s">
        <v>20</v>
      </c>
      <c r="D1845" s="12">
        <v>2</v>
      </c>
      <c r="E1845" s="2">
        <v>2</v>
      </c>
      <c r="F1845" s="25">
        <v>9.0909090909090912E-2</v>
      </c>
    </row>
    <row r="1846" spans="2:6" outlineLevel="2" x14ac:dyDescent="0.25">
      <c r="C1846" t="s">
        <v>15</v>
      </c>
      <c r="D1846" s="12">
        <v>2</v>
      </c>
      <c r="E1846" s="2">
        <v>2</v>
      </c>
      <c r="F1846" s="25">
        <v>2.564102564102564E-2</v>
      </c>
    </row>
    <row r="1847" spans="2:6" outlineLevel="1" x14ac:dyDescent="0.25">
      <c r="B1847" t="s">
        <v>299</v>
      </c>
      <c r="D1847" s="12"/>
      <c r="E1847" s="17">
        <v>4</v>
      </c>
      <c r="F1847" s="24">
        <v>3.3500837520938024E-3</v>
      </c>
    </row>
    <row r="1848" spans="2:6" outlineLevel="2" x14ac:dyDescent="0.25">
      <c r="C1848" t="s">
        <v>16</v>
      </c>
      <c r="D1848" s="12">
        <v>1</v>
      </c>
      <c r="E1848" s="2">
        <v>1</v>
      </c>
      <c r="F1848" s="25">
        <v>0.125</v>
      </c>
    </row>
    <row r="1849" spans="2:6" outlineLevel="2" x14ac:dyDescent="0.25">
      <c r="C1849" t="s">
        <v>14</v>
      </c>
      <c r="D1849" s="12">
        <v>2</v>
      </c>
      <c r="E1849" s="2">
        <v>2</v>
      </c>
      <c r="F1849" s="25">
        <v>8.9285714285714281E-3</v>
      </c>
    </row>
    <row r="1850" spans="2:6" outlineLevel="2" x14ac:dyDescent="0.25">
      <c r="C1850" t="s">
        <v>15</v>
      </c>
      <c r="D1850" s="12">
        <v>1</v>
      </c>
      <c r="E1850" s="2">
        <v>1</v>
      </c>
      <c r="F1850" s="25">
        <v>1.282051282051282E-2</v>
      </c>
    </row>
    <row r="1851" spans="2:6" outlineLevel="1" x14ac:dyDescent="0.25">
      <c r="B1851" t="s">
        <v>300</v>
      </c>
      <c r="D1851" s="12"/>
      <c r="E1851" s="17">
        <v>55</v>
      </c>
      <c r="F1851" s="24">
        <v>4.6063651591289785E-2</v>
      </c>
    </row>
    <row r="1852" spans="2:6" outlineLevel="2" x14ac:dyDescent="0.25">
      <c r="C1852" t="s">
        <v>25</v>
      </c>
      <c r="D1852" s="12">
        <v>14</v>
      </c>
      <c r="E1852" s="2">
        <v>14</v>
      </c>
      <c r="F1852" s="25">
        <v>0.4</v>
      </c>
    </row>
    <row r="1853" spans="2:6" outlineLevel="2" x14ac:dyDescent="0.25">
      <c r="C1853" t="s">
        <v>47</v>
      </c>
      <c r="D1853" s="12">
        <v>11</v>
      </c>
      <c r="E1853" s="2">
        <v>11</v>
      </c>
      <c r="F1853" s="25">
        <v>0.28205128205128205</v>
      </c>
    </row>
    <row r="1854" spans="2:6" outlineLevel="2" x14ac:dyDescent="0.25">
      <c r="C1854" t="s">
        <v>33</v>
      </c>
      <c r="D1854" s="12">
        <v>2</v>
      </c>
      <c r="E1854" s="2">
        <v>2</v>
      </c>
      <c r="F1854" s="25">
        <v>9.0909090909090912E-2</v>
      </c>
    </row>
    <row r="1855" spans="2:6" outlineLevel="2" x14ac:dyDescent="0.25">
      <c r="C1855" t="s">
        <v>13</v>
      </c>
      <c r="D1855" s="12">
        <v>3</v>
      </c>
      <c r="E1855" s="2">
        <v>3</v>
      </c>
      <c r="F1855" s="25">
        <v>1.4018691588785047E-2</v>
      </c>
    </row>
    <row r="1856" spans="2:6" outlineLevel="2" x14ac:dyDescent="0.25">
      <c r="C1856" t="s">
        <v>14</v>
      </c>
      <c r="D1856" s="12">
        <v>15</v>
      </c>
      <c r="E1856" s="2">
        <v>15</v>
      </c>
      <c r="F1856" s="25">
        <v>6.6964285714285712E-2</v>
      </c>
    </row>
    <row r="1857" spans="2:6" outlineLevel="2" x14ac:dyDescent="0.25">
      <c r="C1857" t="s">
        <v>38</v>
      </c>
      <c r="D1857" s="12">
        <v>7</v>
      </c>
      <c r="E1857" s="2">
        <v>7</v>
      </c>
      <c r="F1857" s="25">
        <v>0.35</v>
      </c>
    </row>
    <row r="1858" spans="2:6" outlineLevel="2" x14ac:dyDescent="0.25">
      <c r="C1858" t="s">
        <v>20</v>
      </c>
      <c r="D1858" s="12">
        <v>3</v>
      </c>
      <c r="E1858" s="2">
        <v>3</v>
      </c>
      <c r="F1858" s="25">
        <v>0.13636363636363635</v>
      </c>
    </row>
    <row r="1859" spans="2:6" outlineLevel="1" x14ac:dyDescent="0.25">
      <c r="B1859" t="s">
        <v>301</v>
      </c>
      <c r="D1859" s="12"/>
      <c r="E1859" s="17">
        <v>31</v>
      </c>
      <c r="F1859" s="24">
        <v>2.5963149078726967E-2</v>
      </c>
    </row>
    <row r="1860" spans="2:6" outlineLevel="2" x14ac:dyDescent="0.25">
      <c r="C1860" t="s">
        <v>25</v>
      </c>
      <c r="D1860" s="12">
        <v>17</v>
      </c>
      <c r="E1860" s="2">
        <v>17</v>
      </c>
      <c r="F1860" s="25">
        <v>0.48571428571428571</v>
      </c>
    </row>
    <row r="1861" spans="2:6" outlineLevel="2" x14ac:dyDescent="0.25">
      <c r="C1861" t="s">
        <v>26</v>
      </c>
      <c r="D1861" s="12">
        <v>1</v>
      </c>
      <c r="E1861" s="2">
        <v>1</v>
      </c>
      <c r="F1861" s="25">
        <v>7.6923076923076927E-2</v>
      </c>
    </row>
    <row r="1862" spans="2:6" outlineLevel="2" x14ac:dyDescent="0.25">
      <c r="C1862" t="s">
        <v>18</v>
      </c>
      <c r="D1862" s="12">
        <v>1</v>
      </c>
      <c r="E1862" s="2">
        <v>1</v>
      </c>
      <c r="F1862" s="25">
        <v>2.6315789473684209E-2</v>
      </c>
    </row>
    <row r="1863" spans="2:6" outlineLevel="2" x14ac:dyDescent="0.25">
      <c r="C1863" t="s">
        <v>11</v>
      </c>
      <c r="D1863" s="12">
        <v>1</v>
      </c>
      <c r="E1863" s="2">
        <v>1</v>
      </c>
      <c r="F1863" s="25">
        <v>7.1428571428571425E-2</v>
      </c>
    </row>
    <row r="1864" spans="2:6" outlineLevel="2" x14ac:dyDescent="0.25">
      <c r="C1864" t="s">
        <v>14</v>
      </c>
      <c r="D1864" s="12">
        <v>9</v>
      </c>
      <c r="E1864" s="2">
        <v>9</v>
      </c>
      <c r="F1864" s="25">
        <v>4.0178571428571432E-2</v>
      </c>
    </row>
    <row r="1865" spans="2:6" outlineLevel="2" x14ac:dyDescent="0.25">
      <c r="C1865" t="s">
        <v>37</v>
      </c>
      <c r="D1865" s="12">
        <v>1</v>
      </c>
      <c r="E1865" s="2">
        <v>1</v>
      </c>
      <c r="F1865" s="25">
        <v>0.16666666666666666</v>
      </c>
    </row>
    <row r="1866" spans="2:6" outlineLevel="2" x14ac:dyDescent="0.25">
      <c r="C1866" t="s">
        <v>20</v>
      </c>
      <c r="D1866" s="12">
        <v>1</v>
      </c>
      <c r="E1866" s="2">
        <v>1</v>
      </c>
      <c r="F1866" s="25">
        <v>4.5454545454545456E-2</v>
      </c>
    </row>
    <row r="1867" spans="2:6" outlineLevel="1" x14ac:dyDescent="0.25">
      <c r="B1867" t="s">
        <v>302</v>
      </c>
      <c r="D1867" s="12"/>
      <c r="E1867" s="17">
        <v>14</v>
      </c>
      <c r="F1867" s="24">
        <v>1.1725293132328308E-2</v>
      </c>
    </row>
    <row r="1868" spans="2:6" outlineLevel="2" x14ac:dyDescent="0.25">
      <c r="C1868" t="s">
        <v>22</v>
      </c>
      <c r="D1868" s="12">
        <v>1</v>
      </c>
      <c r="E1868" s="2">
        <v>1</v>
      </c>
      <c r="F1868" s="25">
        <v>6.6666666666666666E-2</v>
      </c>
    </row>
    <row r="1869" spans="2:6" outlineLevel="2" x14ac:dyDescent="0.25">
      <c r="C1869" t="s">
        <v>47</v>
      </c>
      <c r="D1869" s="12">
        <v>3</v>
      </c>
      <c r="E1869" s="2">
        <v>3</v>
      </c>
      <c r="F1869" s="25">
        <v>7.6923076923076927E-2</v>
      </c>
    </row>
    <row r="1870" spans="2:6" outlineLevel="2" x14ac:dyDescent="0.25">
      <c r="C1870" t="s">
        <v>18</v>
      </c>
      <c r="D1870" s="12">
        <v>1</v>
      </c>
      <c r="E1870" s="2">
        <v>1</v>
      </c>
      <c r="F1870" s="25">
        <v>2.6315789473684209E-2</v>
      </c>
    </row>
    <row r="1871" spans="2:6" outlineLevel="2" x14ac:dyDescent="0.25">
      <c r="C1871" t="s">
        <v>13</v>
      </c>
      <c r="D1871" s="12">
        <v>1</v>
      </c>
      <c r="E1871" s="2">
        <v>1</v>
      </c>
      <c r="F1871" s="25">
        <v>4.6728971962616819E-3</v>
      </c>
    </row>
    <row r="1872" spans="2:6" outlineLevel="2" x14ac:dyDescent="0.25">
      <c r="C1872" t="s">
        <v>14</v>
      </c>
      <c r="D1872" s="12">
        <v>3</v>
      </c>
      <c r="E1872" s="2">
        <v>3</v>
      </c>
      <c r="F1872" s="25">
        <v>1.3392857142857142E-2</v>
      </c>
    </row>
    <row r="1873" spans="2:6" outlineLevel="2" x14ac:dyDescent="0.25">
      <c r="C1873" t="s">
        <v>38</v>
      </c>
      <c r="D1873" s="12">
        <v>3</v>
      </c>
      <c r="E1873" s="2">
        <v>3</v>
      </c>
      <c r="F1873" s="25">
        <v>0.15</v>
      </c>
    </row>
    <row r="1874" spans="2:6" outlineLevel="2" x14ac:dyDescent="0.25">
      <c r="C1874" t="s">
        <v>15</v>
      </c>
      <c r="D1874" s="12">
        <v>2</v>
      </c>
      <c r="E1874" s="2">
        <v>2</v>
      </c>
      <c r="F1874" s="25">
        <v>2.564102564102564E-2</v>
      </c>
    </row>
    <row r="1875" spans="2:6" outlineLevel="1" x14ac:dyDescent="0.25">
      <c r="B1875" t="s">
        <v>303</v>
      </c>
      <c r="D1875" s="12"/>
      <c r="E1875" s="17">
        <v>9</v>
      </c>
      <c r="F1875" s="24">
        <v>7.537688442211055E-3</v>
      </c>
    </row>
    <row r="1876" spans="2:6" outlineLevel="2" x14ac:dyDescent="0.25">
      <c r="C1876" t="s">
        <v>22</v>
      </c>
      <c r="D1876" s="12">
        <v>1</v>
      </c>
      <c r="E1876" s="2">
        <v>1</v>
      </c>
      <c r="F1876" s="25">
        <v>6.6666666666666666E-2</v>
      </c>
    </row>
    <row r="1877" spans="2:6" outlineLevel="2" x14ac:dyDescent="0.25">
      <c r="C1877" t="s">
        <v>47</v>
      </c>
      <c r="D1877" s="12">
        <v>5</v>
      </c>
      <c r="E1877" s="2">
        <v>5</v>
      </c>
      <c r="F1877" s="25">
        <v>0.12820512820512819</v>
      </c>
    </row>
    <row r="1878" spans="2:6" outlineLevel="2" x14ac:dyDescent="0.25">
      <c r="C1878" t="s">
        <v>28</v>
      </c>
      <c r="D1878" s="12">
        <v>1</v>
      </c>
      <c r="E1878" s="2">
        <v>1</v>
      </c>
      <c r="F1878" s="25">
        <v>0.1111111111111111</v>
      </c>
    </row>
    <row r="1879" spans="2:6" outlineLevel="2" x14ac:dyDescent="0.25">
      <c r="C1879" t="s">
        <v>15</v>
      </c>
      <c r="D1879" s="12">
        <v>1</v>
      </c>
      <c r="E1879" s="2">
        <v>1</v>
      </c>
      <c r="F1879" s="25">
        <v>1.282051282051282E-2</v>
      </c>
    </row>
    <row r="1880" spans="2:6" outlineLevel="2" x14ac:dyDescent="0.25">
      <c r="C1880" t="s">
        <v>40</v>
      </c>
      <c r="D1880" s="12">
        <v>1</v>
      </c>
      <c r="E1880" s="2">
        <v>1</v>
      </c>
      <c r="F1880" s="25">
        <v>0.1111111111111111</v>
      </c>
    </row>
    <row r="1881" spans="2:6" outlineLevel="1" x14ac:dyDescent="0.25">
      <c r="B1881" t="s">
        <v>304</v>
      </c>
      <c r="D1881" s="12"/>
      <c r="E1881" s="17">
        <v>22</v>
      </c>
      <c r="F1881" s="24">
        <v>1.8425460636515914E-2</v>
      </c>
    </row>
    <row r="1882" spans="2:6" outlineLevel="2" x14ac:dyDescent="0.25">
      <c r="C1882" t="s">
        <v>33</v>
      </c>
      <c r="D1882" s="12">
        <v>1</v>
      </c>
      <c r="E1882" s="2">
        <v>1</v>
      </c>
      <c r="F1882" s="25">
        <v>4.5454545454545456E-2</v>
      </c>
    </row>
    <row r="1883" spans="2:6" outlineLevel="2" x14ac:dyDescent="0.25">
      <c r="C1883" t="s">
        <v>26</v>
      </c>
      <c r="D1883" s="12">
        <v>3</v>
      </c>
      <c r="E1883" s="2">
        <v>3</v>
      </c>
      <c r="F1883" s="25">
        <v>0.23076923076923078</v>
      </c>
    </row>
    <row r="1884" spans="2:6" outlineLevel="2" x14ac:dyDescent="0.25">
      <c r="C1884" t="s">
        <v>18</v>
      </c>
      <c r="D1884" s="12">
        <v>2</v>
      </c>
      <c r="E1884" s="2">
        <v>2</v>
      </c>
      <c r="F1884" s="25">
        <v>5.2631578947368418E-2</v>
      </c>
    </row>
    <row r="1885" spans="2:6" outlineLevel="2" x14ac:dyDescent="0.25">
      <c r="C1885" t="s">
        <v>13</v>
      </c>
      <c r="D1885" s="12">
        <v>9</v>
      </c>
      <c r="E1885" s="2">
        <v>9</v>
      </c>
      <c r="F1885" s="25">
        <v>4.2056074766355138E-2</v>
      </c>
    </row>
    <row r="1886" spans="2:6" outlineLevel="2" x14ac:dyDescent="0.25">
      <c r="C1886" t="s">
        <v>14</v>
      </c>
      <c r="D1886" s="12">
        <v>4</v>
      </c>
      <c r="E1886" s="2">
        <v>4</v>
      </c>
      <c r="F1886" s="25">
        <v>1.7857142857142856E-2</v>
      </c>
    </row>
    <row r="1887" spans="2:6" outlineLevel="2" x14ac:dyDescent="0.25">
      <c r="C1887" t="s">
        <v>38</v>
      </c>
      <c r="D1887" s="12">
        <v>1</v>
      </c>
      <c r="E1887" s="2">
        <v>1</v>
      </c>
      <c r="F1887" s="25">
        <v>0.05</v>
      </c>
    </row>
    <row r="1888" spans="2:6" outlineLevel="2" x14ac:dyDescent="0.25">
      <c r="C1888" t="s">
        <v>20</v>
      </c>
      <c r="D1888" s="12">
        <v>1</v>
      </c>
      <c r="E1888" s="2">
        <v>1</v>
      </c>
      <c r="F1888" s="25">
        <v>4.5454545454545456E-2</v>
      </c>
    </row>
    <row r="1889" spans="2:6" outlineLevel="2" x14ac:dyDescent="0.25">
      <c r="C1889" t="s">
        <v>15</v>
      </c>
      <c r="D1889" s="12">
        <v>1</v>
      </c>
      <c r="E1889" s="2">
        <v>1</v>
      </c>
      <c r="F1889" s="25">
        <v>1.282051282051282E-2</v>
      </c>
    </row>
    <row r="1890" spans="2:6" outlineLevel="1" x14ac:dyDescent="0.25">
      <c r="B1890" t="s">
        <v>305</v>
      </c>
      <c r="D1890" s="12"/>
      <c r="E1890" s="17">
        <v>38</v>
      </c>
      <c r="F1890" s="24">
        <v>3.1825795644891124E-2</v>
      </c>
    </row>
    <row r="1891" spans="2:6" outlineLevel="2" x14ac:dyDescent="0.25">
      <c r="C1891" t="s">
        <v>22</v>
      </c>
      <c r="D1891" s="12">
        <v>7</v>
      </c>
      <c r="E1891" s="2">
        <v>7</v>
      </c>
      <c r="F1891" s="25">
        <v>0.46666666666666667</v>
      </c>
    </row>
    <row r="1892" spans="2:6" outlineLevel="2" x14ac:dyDescent="0.25">
      <c r="C1892" t="s">
        <v>27</v>
      </c>
      <c r="D1892" s="12">
        <v>1</v>
      </c>
      <c r="E1892" s="2">
        <v>1</v>
      </c>
      <c r="F1892" s="25">
        <v>8.3333333333333329E-2</v>
      </c>
    </row>
    <row r="1893" spans="2:6" outlineLevel="2" x14ac:dyDescent="0.25">
      <c r="C1893" t="s">
        <v>47</v>
      </c>
      <c r="D1893" s="12">
        <v>18</v>
      </c>
      <c r="E1893" s="2">
        <v>18</v>
      </c>
      <c r="F1893" s="25">
        <v>0.46153846153846156</v>
      </c>
    </row>
    <row r="1894" spans="2:6" outlineLevel="2" x14ac:dyDescent="0.25">
      <c r="C1894" t="s">
        <v>34</v>
      </c>
      <c r="D1894" s="12">
        <v>1</v>
      </c>
      <c r="E1894" s="2">
        <v>1</v>
      </c>
      <c r="F1894" s="25">
        <v>0.25</v>
      </c>
    </row>
    <row r="1895" spans="2:6" outlineLevel="2" x14ac:dyDescent="0.25">
      <c r="C1895" t="s">
        <v>35</v>
      </c>
      <c r="D1895" s="12">
        <v>1</v>
      </c>
      <c r="E1895" s="2">
        <v>1</v>
      </c>
      <c r="F1895" s="25">
        <v>0.33333333333333331</v>
      </c>
    </row>
    <row r="1896" spans="2:6" outlineLevel="2" x14ac:dyDescent="0.25">
      <c r="C1896" t="s">
        <v>11</v>
      </c>
      <c r="D1896" s="12">
        <v>3</v>
      </c>
      <c r="E1896" s="2">
        <v>3</v>
      </c>
      <c r="F1896" s="25">
        <v>0.21428571428571427</v>
      </c>
    </row>
    <row r="1897" spans="2:6" outlineLevel="2" x14ac:dyDescent="0.25">
      <c r="C1897" t="s">
        <v>14</v>
      </c>
      <c r="D1897" s="12">
        <v>4</v>
      </c>
      <c r="E1897" s="2">
        <v>4</v>
      </c>
      <c r="F1897" s="25">
        <v>1.7857142857142856E-2</v>
      </c>
    </row>
    <row r="1898" spans="2:6" outlineLevel="2" x14ac:dyDescent="0.25">
      <c r="C1898" t="s">
        <v>15</v>
      </c>
      <c r="D1898" s="12">
        <v>2</v>
      </c>
      <c r="E1898" s="2">
        <v>2</v>
      </c>
      <c r="F1898" s="25">
        <v>2.564102564102564E-2</v>
      </c>
    </row>
    <row r="1899" spans="2:6" outlineLevel="2" x14ac:dyDescent="0.25">
      <c r="C1899" t="s">
        <v>40</v>
      </c>
      <c r="D1899" s="12">
        <v>1</v>
      </c>
      <c r="E1899" s="2">
        <v>1</v>
      </c>
      <c r="F1899" s="25">
        <v>0.1111111111111111</v>
      </c>
    </row>
    <row r="1900" spans="2:6" outlineLevel="1" x14ac:dyDescent="0.25">
      <c r="B1900" t="s">
        <v>306</v>
      </c>
      <c r="D1900" s="12"/>
      <c r="E1900" s="17">
        <v>20</v>
      </c>
      <c r="F1900" s="24">
        <v>1.675041876046901E-2</v>
      </c>
    </row>
    <row r="1901" spans="2:6" outlineLevel="2" x14ac:dyDescent="0.25">
      <c r="C1901" t="s">
        <v>27</v>
      </c>
      <c r="D1901" s="12">
        <v>1</v>
      </c>
      <c r="E1901" s="2">
        <v>1</v>
      </c>
      <c r="F1901" s="25">
        <v>8.3333333333333329E-2</v>
      </c>
    </row>
    <row r="1902" spans="2:6" outlineLevel="2" x14ac:dyDescent="0.25">
      <c r="C1902" t="s">
        <v>47</v>
      </c>
      <c r="D1902" s="12">
        <v>5</v>
      </c>
      <c r="E1902" s="2">
        <v>5</v>
      </c>
      <c r="F1902" s="25">
        <v>0.12820512820512819</v>
      </c>
    </row>
    <row r="1903" spans="2:6" outlineLevel="2" x14ac:dyDescent="0.25">
      <c r="C1903" t="s">
        <v>26</v>
      </c>
      <c r="D1903" s="12">
        <v>1</v>
      </c>
      <c r="E1903" s="2">
        <v>1</v>
      </c>
      <c r="F1903" s="25">
        <v>7.6923076923076927E-2</v>
      </c>
    </row>
    <row r="1904" spans="2:6" outlineLevel="2" x14ac:dyDescent="0.25">
      <c r="C1904" t="s">
        <v>24</v>
      </c>
      <c r="D1904" s="12">
        <v>1</v>
      </c>
      <c r="E1904" s="2">
        <v>1</v>
      </c>
      <c r="F1904" s="25">
        <v>0.25</v>
      </c>
    </row>
    <row r="1905" spans="2:6" outlineLevel="2" x14ac:dyDescent="0.25">
      <c r="C1905" t="s">
        <v>18</v>
      </c>
      <c r="D1905" s="12">
        <v>2</v>
      </c>
      <c r="E1905" s="2">
        <v>2</v>
      </c>
      <c r="F1905" s="25">
        <v>5.2631578947368418E-2</v>
      </c>
    </row>
    <row r="1906" spans="2:6" outlineLevel="2" x14ac:dyDescent="0.25">
      <c r="C1906" t="s">
        <v>12</v>
      </c>
      <c r="D1906" s="12">
        <v>2</v>
      </c>
      <c r="E1906" s="2">
        <v>2</v>
      </c>
      <c r="F1906" s="25">
        <v>8.3333333333333329E-2</v>
      </c>
    </row>
    <row r="1907" spans="2:6" outlineLevel="2" x14ac:dyDescent="0.25">
      <c r="C1907" t="s">
        <v>13</v>
      </c>
      <c r="D1907" s="12">
        <v>2</v>
      </c>
      <c r="E1907" s="2">
        <v>2</v>
      </c>
      <c r="F1907" s="25">
        <v>9.3457943925233638E-3</v>
      </c>
    </row>
    <row r="1908" spans="2:6" outlineLevel="2" x14ac:dyDescent="0.25">
      <c r="C1908" t="s">
        <v>14</v>
      </c>
      <c r="D1908" s="12">
        <v>1</v>
      </c>
      <c r="E1908" s="2">
        <v>1</v>
      </c>
      <c r="F1908" s="25">
        <v>4.464285714285714E-3</v>
      </c>
    </row>
    <row r="1909" spans="2:6" outlineLevel="2" x14ac:dyDescent="0.25">
      <c r="C1909" t="s">
        <v>28</v>
      </c>
      <c r="D1909" s="12">
        <v>2</v>
      </c>
      <c r="E1909" s="2">
        <v>2</v>
      </c>
      <c r="F1909" s="25">
        <v>0.22222222222222221</v>
      </c>
    </row>
    <row r="1910" spans="2:6" outlineLevel="2" x14ac:dyDescent="0.25">
      <c r="C1910" t="s">
        <v>15</v>
      </c>
      <c r="D1910" s="12">
        <v>3</v>
      </c>
      <c r="E1910" s="2">
        <v>3</v>
      </c>
      <c r="F1910" s="25">
        <v>3.8461538461538464E-2</v>
      </c>
    </row>
    <row r="1911" spans="2:6" outlineLevel="1" x14ac:dyDescent="0.25">
      <c r="B1911" t="s">
        <v>307</v>
      </c>
      <c r="D1911" s="12"/>
      <c r="E1911" s="17">
        <v>89</v>
      </c>
      <c r="F1911" s="24">
        <v>7.4539363484087101E-2</v>
      </c>
    </row>
    <row r="1912" spans="2:6" outlineLevel="2" x14ac:dyDescent="0.25">
      <c r="C1912" t="s">
        <v>27</v>
      </c>
      <c r="D1912" s="12">
        <v>1</v>
      </c>
      <c r="E1912" s="2">
        <v>1</v>
      </c>
      <c r="F1912" s="25">
        <v>8.3333333333333329E-2</v>
      </c>
    </row>
    <row r="1913" spans="2:6" outlineLevel="2" x14ac:dyDescent="0.25">
      <c r="C1913" t="s">
        <v>25</v>
      </c>
      <c r="D1913" s="12">
        <v>19</v>
      </c>
      <c r="E1913" s="2">
        <v>19</v>
      </c>
      <c r="F1913" s="25">
        <v>0.54285714285714282</v>
      </c>
    </row>
    <row r="1914" spans="2:6" outlineLevel="2" x14ac:dyDescent="0.25">
      <c r="C1914" t="s">
        <v>49</v>
      </c>
      <c r="D1914" s="12">
        <v>2</v>
      </c>
      <c r="E1914" s="2">
        <v>2</v>
      </c>
      <c r="F1914" s="25">
        <v>0.2857142857142857</v>
      </c>
    </row>
    <row r="1915" spans="2:6" outlineLevel="2" x14ac:dyDescent="0.25">
      <c r="C1915" t="s">
        <v>33</v>
      </c>
      <c r="D1915" s="12">
        <v>1</v>
      </c>
      <c r="E1915" s="2">
        <v>1</v>
      </c>
      <c r="F1915" s="25">
        <v>4.5454545454545456E-2</v>
      </c>
    </row>
    <row r="1916" spans="2:6" outlineLevel="2" x14ac:dyDescent="0.25">
      <c r="C1916" t="s">
        <v>18</v>
      </c>
      <c r="D1916" s="12">
        <v>7</v>
      </c>
      <c r="E1916" s="2">
        <v>7</v>
      </c>
      <c r="F1916" s="25">
        <v>0.18421052631578946</v>
      </c>
    </row>
    <row r="1917" spans="2:6" outlineLevel="2" x14ac:dyDescent="0.25">
      <c r="C1917" t="s">
        <v>11</v>
      </c>
      <c r="D1917" s="12">
        <v>4</v>
      </c>
      <c r="E1917" s="2">
        <v>4</v>
      </c>
      <c r="F1917" s="25">
        <v>0.2857142857142857</v>
      </c>
    </row>
    <row r="1918" spans="2:6" outlineLevel="2" x14ac:dyDescent="0.25">
      <c r="C1918" t="s">
        <v>14</v>
      </c>
      <c r="D1918" s="12">
        <v>31</v>
      </c>
      <c r="E1918" s="2">
        <v>31</v>
      </c>
      <c r="F1918" s="25">
        <v>0.13839285714285715</v>
      </c>
    </row>
    <row r="1919" spans="2:6" outlineLevel="2" x14ac:dyDescent="0.25">
      <c r="C1919" t="s">
        <v>38</v>
      </c>
      <c r="D1919" s="12">
        <v>13</v>
      </c>
      <c r="E1919" s="2">
        <v>13</v>
      </c>
      <c r="F1919" s="25">
        <v>0.65</v>
      </c>
    </row>
    <row r="1920" spans="2:6" outlineLevel="2" x14ac:dyDescent="0.25">
      <c r="C1920" t="s">
        <v>20</v>
      </c>
      <c r="D1920" s="12">
        <v>3</v>
      </c>
      <c r="E1920" s="2">
        <v>3</v>
      </c>
      <c r="F1920" s="25">
        <v>0.13636363636363635</v>
      </c>
    </row>
    <row r="1921" spans="2:6" outlineLevel="2" x14ac:dyDescent="0.25">
      <c r="C1921" t="s">
        <v>15</v>
      </c>
      <c r="D1921" s="12">
        <v>8</v>
      </c>
      <c r="E1921" s="2">
        <v>8</v>
      </c>
      <c r="F1921" s="25">
        <v>0.10256410256410256</v>
      </c>
    </row>
    <row r="1922" spans="2:6" outlineLevel="1" x14ac:dyDescent="0.25">
      <c r="B1922" t="s">
        <v>308</v>
      </c>
      <c r="D1922" s="12"/>
      <c r="E1922" s="17">
        <v>30</v>
      </c>
      <c r="F1922" s="24">
        <v>2.5125628140703519E-2</v>
      </c>
    </row>
    <row r="1923" spans="2:6" outlineLevel="2" x14ac:dyDescent="0.25">
      <c r="C1923" t="s">
        <v>41</v>
      </c>
      <c r="D1923" s="12">
        <v>4</v>
      </c>
      <c r="E1923" s="2">
        <v>4</v>
      </c>
      <c r="F1923" s="25">
        <v>7.407407407407407E-2</v>
      </c>
    </row>
    <row r="1924" spans="2:6" outlineLevel="2" x14ac:dyDescent="0.25">
      <c r="C1924" t="s">
        <v>47</v>
      </c>
      <c r="D1924" s="12">
        <v>1</v>
      </c>
      <c r="E1924" s="2">
        <v>1</v>
      </c>
      <c r="F1924" s="25">
        <v>2.564102564102564E-2</v>
      </c>
    </row>
    <row r="1925" spans="2:6" outlineLevel="2" x14ac:dyDescent="0.25">
      <c r="C1925" t="s">
        <v>29</v>
      </c>
      <c r="D1925" s="12">
        <v>3</v>
      </c>
      <c r="E1925" s="2">
        <v>3</v>
      </c>
      <c r="F1925" s="25">
        <v>0.5</v>
      </c>
    </row>
    <row r="1926" spans="2:6" outlineLevel="2" x14ac:dyDescent="0.25">
      <c r="C1926" t="s">
        <v>13</v>
      </c>
      <c r="D1926" s="12">
        <v>1</v>
      </c>
      <c r="E1926" s="2">
        <v>1</v>
      </c>
      <c r="F1926" s="25">
        <v>4.6728971962616819E-3</v>
      </c>
    </row>
    <row r="1927" spans="2:6" outlineLevel="2" x14ac:dyDescent="0.25">
      <c r="C1927" t="s">
        <v>14</v>
      </c>
      <c r="D1927" s="12">
        <v>1</v>
      </c>
      <c r="E1927" s="2">
        <v>1</v>
      </c>
      <c r="F1927" s="25">
        <v>4.464285714285714E-3</v>
      </c>
    </row>
    <row r="1928" spans="2:6" outlineLevel="2" x14ac:dyDescent="0.25">
      <c r="C1928" t="s">
        <v>38</v>
      </c>
      <c r="D1928" s="12">
        <v>7</v>
      </c>
      <c r="E1928" s="2">
        <v>7</v>
      </c>
      <c r="F1928" s="25">
        <v>0.35</v>
      </c>
    </row>
    <row r="1929" spans="2:6" outlineLevel="2" x14ac:dyDescent="0.25">
      <c r="C1929" t="s">
        <v>15</v>
      </c>
      <c r="D1929" s="12">
        <v>7</v>
      </c>
      <c r="E1929" s="2">
        <v>7</v>
      </c>
      <c r="F1929" s="25">
        <v>8.9743589743589744E-2</v>
      </c>
    </row>
    <row r="1930" spans="2:6" outlineLevel="2" x14ac:dyDescent="0.25">
      <c r="C1930" t="s">
        <v>40</v>
      </c>
      <c r="D1930" s="12">
        <v>6</v>
      </c>
      <c r="E1930" s="2">
        <v>6</v>
      </c>
      <c r="F1930" s="25">
        <v>0.66666666666666663</v>
      </c>
    </row>
    <row r="1931" spans="2:6" outlineLevel="1" x14ac:dyDescent="0.25">
      <c r="B1931" t="s">
        <v>309</v>
      </c>
      <c r="D1931" s="12"/>
      <c r="E1931" s="17">
        <v>9</v>
      </c>
      <c r="F1931" s="24">
        <v>7.537688442211055E-3</v>
      </c>
    </row>
    <row r="1932" spans="2:6" outlineLevel="2" x14ac:dyDescent="0.25">
      <c r="C1932" t="s">
        <v>35</v>
      </c>
      <c r="D1932" s="12">
        <v>2</v>
      </c>
      <c r="E1932" s="2">
        <v>2</v>
      </c>
      <c r="F1932" s="25">
        <v>0.66666666666666663</v>
      </c>
    </row>
    <row r="1933" spans="2:6" outlineLevel="2" x14ac:dyDescent="0.25">
      <c r="C1933" t="s">
        <v>24</v>
      </c>
      <c r="D1933" s="12">
        <v>2</v>
      </c>
      <c r="E1933" s="2">
        <v>2</v>
      </c>
      <c r="F1933" s="25">
        <v>0.5</v>
      </c>
    </row>
    <row r="1934" spans="2:6" outlineLevel="2" x14ac:dyDescent="0.25">
      <c r="C1934" t="s">
        <v>11</v>
      </c>
      <c r="D1934" s="12">
        <v>1</v>
      </c>
      <c r="E1934" s="2">
        <v>1</v>
      </c>
      <c r="F1934" s="25">
        <v>7.1428571428571425E-2</v>
      </c>
    </row>
    <row r="1935" spans="2:6" outlineLevel="2" x14ac:dyDescent="0.25">
      <c r="C1935" t="s">
        <v>14</v>
      </c>
      <c r="D1935" s="12">
        <v>3</v>
      </c>
      <c r="E1935" s="2">
        <v>3</v>
      </c>
      <c r="F1935" s="25">
        <v>1.3392857142857142E-2</v>
      </c>
    </row>
    <row r="1936" spans="2:6" outlineLevel="2" x14ac:dyDescent="0.25">
      <c r="C1936" t="s">
        <v>15</v>
      </c>
      <c r="D1936" s="12">
        <v>1</v>
      </c>
      <c r="E1936" s="2">
        <v>1</v>
      </c>
      <c r="F1936" s="25">
        <v>1.282051282051282E-2</v>
      </c>
    </row>
    <row r="1937" spans="2:6" outlineLevel="1" x14ac:dyDescent="0.25">
      <c r="B1937" t="s">
        <v>310</v>
      </c>
      <c r="D1937" s="12"/>
      <c r="E1937" s="17">
        <v>14</v>
      </c>
      <c r="F1937" s="24">
        <v>1.1725293132328308E-2</v>
      </c>
    </row>
    <row r="1938" spans="2:6" outlineLevel="2" x14ac:dyDescent="0.25">
      <c r="C1938" t="s">
        <v>47</v>
      </c>
      <c r="D1938" s="12">
        <v>6</v>
      </c>
      <c r="E1938" s="2">
        <v>6</v>
      </c>
      <c r="F1938" s="25">
        <v>0.15384615384615385</v>
      </c>
    </row>
    <row r="1939" spans="2:6" outlineLevel="2" x14ac:dyDescent="0.25">
      <c r="C1939" t="s">
        <v>33</v>
      </c>
      <c r="D1939" s="12">
        <v>2</v>
      </c>
      <c r="E1939" s="2">
        <v>2</v>
      </c>
      <c r="F1939" s="25">
        <v>9.0909090909090912E-2</v>
      </c>
    </row>
    <row r="1940" spans="2:6" outlineLevel="2" x14ac:dyDescent="0.25">
      <c r="C1940" t="s">
        <v>20</v>
      </c>
      <c r="D1940" s="12">
        <v>4</v>
      </c>
      <c r="E1940" s="2">
        <v>4</v>
      </c>
      <c r="F1940" s="25">
        <v>0.18181818181818182</v>
      </c>
    </row>
    <row r="1941" spans="2:6" outlineLevel="2" x14ac:dyDescent="0.25">
      <c r="C1941" t="s">
        <v>31</v>
      </c>
      <c r="D1941" s="12">
        <v>2</v>
      </c>
      <c r="E1941" s="2">
        <v>2</v>
      </c>
      <c r="F1941" s="25">
        <v>9.0909090909090912E-2</v>
      </c>
    </row>
    <row r="1942" spans="2:6" outlineLevel="1" x14ac:dyDescent="0.25">
      <c r="B1942" t="s">
        <v>311</v>
      </c>
      <c r="D1942" s="12"/>
      <c r="E1942" s="17">
        <v>10</v>
      </c>
      <c r="F1942" s="24">
        <v>8.3752093802345051E-3</v>
      </c>
    </row>
    <row r="1943" spans="2:6" outlineLevel="2" x14ac:dyDescent="0.25">
      <c r="C1943" t="s">
        <v>41</v>
      </c>
      <c r="D1943" s="12">
        <v>2</v>
      </c>
      <c r="E1943" s="2">
        <v>2</v>
      </c>
      <c r="F1943" s="25">
        <v>3.7037037037037035E-2</v>
      </c>
    </row>
    <row r="1944" spans="2:6" outlineLevel="2" x14ac:dyDescent="0.25">
      <c r="C1944" t="s">
        <v>49</v>
      </c>
      <c r="D1944" s="12">
        <v>3</v>
      </c>
      <c r="E1944" s="2">
        <v>3</v>
      </c>
      <c r="F1944" s="25">
        <v>0.42857142857142855</v>
      </c>
    </row>
    <row r="1945" spans="2:6" outlineLevel="2" x14ac:dyDescent="0.25">
      <c r="C1945" t="s">
        <v>36</v>
      </c>
      <c r="D1945" s="12">
        <v>1</v>
      </c>
      <c r="E1945" s="2">
        <v>1</v>
      </c>
      <c r="F1945" s="25">
        <v>0.25</v>
      </c>
    </row>
    <row r="1946" spans="2:6" outlineLevel="2" x14ac:dyDescent="0.25">
      <c r="C1946" t="s">
        <v>37</v>
      </c>
      <c r="D1946" s="12">
        <v>2</v>
      </c>
      <c r="E1946" s="2">
        <v>2</v>
      </c>
      <c r="F1946" s="25">
        <v>0.33333333333333331</v>
      </c>
    </row>
    <row r="1947" spans="2:6" outlineLevel="2" x14ac:dyDescent="0.25">
      <c r="C1947" t="s">
        <v>28</v>
      </c>
      <c r="D1947" s="12">
        <v>2</v>
      </c>
      <c r="E1947" s="2">
        <v>2</v>
      </c>
      <c r="F1947" s="25">
        <v>0.22222222222222221</v>
      </c>
    </row>
    <row r="1948" spans="2:6" outlineLevel="1" x14ac:dyDescent="0.25">
      <c r="B1948" t="s">
        <v>312</v>
      </c>
      <c r="D1948" s="12"/>
      <c r="E1948" s="17">
        <v>16</v>
      </c>
      <c r="F1948" s="24">
        <v>1.340033500837521E-2</v>
      </c>
    </row>
    <row r="1949" spans="2:6" outlineLevel="2" x14ac:dyDescent="0.25">
      <c r="C1949" t="s">
        <v>23</v>
      </c>
      <c r="D1949" s="12">
        <v>10</v>
      </c>
      <c r="E1949" s="2">
        <v>10</v>
      </c>
      <c r="F1949" s="25">
        <v>0.45454545454545453</v>
      </c>
    </row>
    <row r="1950" spans="2:6" outlineLevel="2" x14ac:dyDescent="0.25">
      <c r="C1950" t="s">
        <v>46</v>
      </c>
      <c r="D1950" s="12">
        <v>1</v>
      </c>
      <c r="E1950" s="2">
        <v>1</v>
      </c>
      <c r="F1950" s="25">
        <v>0.25</v>
      </c>
    </row>
    <row r="1951" spans="2:6" outlineLevel="2" x14ac:dyDescent="0.25">
      <c r="C1951" t="s">
        <v>17</v>
      </c>
      <c r="D1951" s="12">
        <v>1</v>
      </c>
      <c r="E1951" s="2">
        <v>1</v>
      </c>
      <c r="F1951" s="25">
        <v>0.5</v>
      </c>
    </row>
    <row r="1952" spans="2:6" outlineLevel="2" x14ac:dyDescent="0.25">
      <c r="C1952" t="s">
        <v>14</v>
      </c>
      <c r="D1952" s="12">
        <v>1</v>
      </c>
      <c r="E1952" s="2">
        <v>1</v>
      </c>
      <c r="F1952" s="25">
        <v>4.464285714285714E-3</v>
      </c>
    </row>
    <row r="1953" spans="2:6" outlineLevel="2" x14ac:dyDescent="0.25">
      <c r="C1953" t="s">
        <v>50</v>
      </c>
      <c r="D1953" s="12">
        <v>3</v>
      </c>
      <c r="E1953" s="2">
        <v>3</v>
      </c>
      <c r="F1953" s="25">
        <v>0.42857142857142855</v>
      </c>
    </row>
    <row r="1954" spans="2:6" outlineLevel="1" x14ac:dyDescent="0.25">
      <c r="B1954" t="s">
        <v>313</v>
      </c>
      <c r="D1954" s="12"/>
      <c r="E1954" s="17">
        <v>16</v>
      </c>
      <c r="F1954" s="24">
        <v>1.340033500837521E-2</v>
      </c>
    </row>
    <row r="1955" spans="2:6" outlineLevel="2" x14ac:dyDescent="0.25">
      <c r="C1955" t="s">
        <v>42</v>
      </c>
      <c r="D1955" s="12">
        <v>3</v>
      </c>
      <c r="E1955" s="2">
        <v>3</v>
      </c>
      <c r="F1955" s="25">
        <v>7.6923076923076927E-2</v>
      </c>
    </row>
    <row r="1956" spans="2:6" outlineLevel="2" x14ac:dyDescent="0.25">
      <c r="C1956" t="s">
        <v>43</v>
      </c>
      <c r="D1956" s="12">
        <v>1</v>
      </c>
      <c r="E1956" s="2">
        <v>1</v>
      </c>
      <c r="F1956" s="25">
        <v>6.25E-2</v>
      </c>
    </row>
    <row r="1957" spans="2:6" outlineLevel="2" x14ac:dyDescent="0.25">
      <c r="C1957" t="s">
        <v>34</v>
      </c>
      <c r="D1957" s="12">
        <v>1</v>
      </c>
      <c r="E1957" s="2">
        <v>1</v>
      </c>
      <c r="F1957" s="25">
        <v>0.25</v>
      </c>
    </row>
    <row r="1958" spans="2:6" outlineLevel="2" x14ac:dyDescent="0.25">
      <c r="C1958" t="s">
        <v>35</v>
      </c>
      <c r="D1958" s="12">
        <v>2</v>
      </c>
      <c r="E1958" s="2">
        <v>2</v>
      </c>
      <c r="F1958" s="25">
        <v>0.66666666666666663</v>
      </c>
    </row>
    <row r="1959" spans="2:6" outlineLevel="2" x14ac:dyDescent="0.25">
      <c r="C1959" t="s">
        <v>50</v>
      </c>
      <c r="D1959" s="12">
        <v>2</v>
      </c>
      <c r="E1959" s="2">
        <v>2</v>
      </c>
      <c r="F1959" s="25">
        <v>0.2857142857142857</v>
      </c>
    </row>
    <row r="1960" spans="2:6" outlineLevel="2" x14ac:dyDescent="0.25">
      <c r="C1960" t="s">
        <v>21</v>
      </c>
      <c r="D1960" s="12">
        <v>5</v>
      </c>
      <c r="E1960" s="2">
        <v>5</v>
      </c>
      <c r="F1960" s="25">
        <v>0.55555555555555558</v>
      </c>
    </row>
    <row r="1961" spans="2:6" outlineLevel="2" x14ac:dyDescent="0.25">
      <c r="C1961" t="s">
        <v>48</v>
      </c>
      <c r="D1961" s="12">
        <v>2</v>
      </c>
      <c r="E1961" s="2">
        <v>2</v>
      </c>
      <c r="F1961" s="25">
        <v>1</v>
      </c>
    </row>
    <row r="1962" spans="2:6" outlineLevel="1" x14ac:dyDescent="0.25">
      <c r="B1962" t="s">
        <v>314</v>
      </c>
      <c r="D1962" s="12"/>
      <c r="E1962" s="17">
        <v>13</v>
      </c>
      <c r="F1962" s="24">
        <v>1.0887772194304857E-2</v>
      </c>
    </row>
    <row r="1963" spans="2:6" outlineLevel="2" x14ac:dyDescent="0.25">
      <c r="C1963" t="s">
        <v>23</v>
      </c>
      <c r="D1963" s="12">
        <v>10</v>
      </c>
      <c r="E1963" s="2">
        <v>10</v>
      </c>
      <c r="F1963" s="25">
        <v>0.45454545454545453</v>
      </c>
    </row>
    <row r="1964" spans="2:6" outlineLevel="2" x14ac:dyDescent="0.25">
      <c r="C1964" t="s">
        <v>46</v>
      </c>
      <c r="D1964" s="12">
        <v>1</v>
      </c>
      <c r="E1964" s="2">
        <v>1</v>
      </c>
      <c r="F1964" s="25">
        <v>0.25</v>
      </c>
    </row>
    <row r="1965" spans="2:6" outlineLevel="2" x14ac:dyDescent="0.25">
      <c r="C1965" t="s">
        <v>17</v>
      </c>
      <c r="D1965" s="12">
        <v>2</v>
      </c>
      <c r="E1965" s="2">
        <v>2</v>
      </c>
      <c r="F1965" s="25">
        <v>1</v>
      </c>
    </row>
    <row r="1966" spans="2:6" outlineLevel="1" x14ac:dyDescent="0.25">
      <c r="B1966" t="s">
        <v>315</v>
      </c>
      <c r="D1966" s="12"/>
      <c r="E1966" s="17">
        <v>10</v>
      </c>
      <c r="F1966" s="24">
        <v>8.3752093802345051E-3</v>
      </c>
    </row>
    <row r="1967" spans="2:6" outlineLevel="2" x14ac:dyDescent="0.25">
      <c r="C1967" t="s">
        <v>22</v>
      </c>
      <c r="D1967" s="12">
        <v>1</v>
      </c>
      <c r="E1967" s="2">
        <v>1</v>
      </c>
      <c r="F1967" s="25">
        <v>6.6666666666666666E-2</v>
      </c>
    </row>
    <row r="1968" spans="2:6" outlineLevel="2" x14ac:dyDescent="0.25">
      <c r="C1968" t="s">
        <v>23</v>
      </c>
      <c r="D1968" s="12">
        <v>3</v>
      </c>
      <c r="E1968" s="2">
        <v>3</v>
      </c>
      <c r="F1968" s="25">
        <v>0.13636363636363635</v>
      </c>
    </row>
    <row r="1969" spans="1:6" outlineLevel="2" x14ac:dyDescent="0.25">
      <c r="C1969" t="s">
        <v>46</v>
      </c>
      <c r="D1969" s="12">
        <v>1</v>
      </c>
      <c r="E1969" s="2">
        <v>1</v>
      </c>
      <c r="F1969" s="25">
        <v>0.25</v>
      </c>
    </row>
    <row r="1970" spans="1:6" outlineLevel="2" x14ac:dyDescent="0.25">
      <c r="C1970" t="s">
        <v>34</v>
      </c>
      <c r="D1970" s="12">
        <v>1</v>
      </c>
      <c r="E1970" s="2">
        <v>1</v>
      </c>
      <c r="F1970" s="25">
        <v>0.25</v>
      </c>
    </row>
    <row r="1971" spans="1:6" outlineLevel="2" x14ac:dyDescent="0.25">
      <c r="C1971" t="s">
        <v>17</v>
      </c>
      <c r="D1971" s="12">
        <v>1</v>
      </c>
      <c r="E1971" s="2">
        <v>1</v>
      </c>
      <c r="F1971" s="25">
        <v>0.5</v>
      </c>
    </row>
    <row r="1972" spans="1:6" outlineLevel="2" x14ac:dyDescent="0.25">
      <c r="C1972" t="s">
        <v>28</v>
      </c>
      <c r="D1972" s="12">
        <v>2</v>
      </c>
      <c r="E1972" s="2">
        <v>2</v>
      </c>
      <c r="F1972" s="25">
        <v>0.22222222222222221</v>
      </c>
    </row>
    <row r="1973" spans="1:6" outlineLevel="2" x14ac:dyDescent="0.25">
      <c r="C1973" t="s">
        <v>48</v>
      </c>
      <c r="D1973" s="12">
        <v>1</v>
      </c>
      <c r="E1973" s="2">
        <v>1</v>
      </c>
      <c r="F1973" s="25">
        <v>0.5</v>
      </c>
    </row>
    <row r="1974" spans="1:6" outlineLevel="1" x14ac:dyDescent="0.25">
      <c r="B1974" t="s">
        <v>316</v>
      </c>
      <c r="D1974" s="12"/>
      <c r="E1974" s="17">
        <v>41</v>
      </c>
      <c r="F1974" s="24">
        <v>3.4338358458961472E-2</v>
      </c>
    </row>
    <row r="1975" spans="1:6" outlineLevel="2" x14ac:dyDescent="0.25">
      <c r="C1975" t="s">
        <v>27</v>
      </c>
      <c r="D1975" s="12">
        <v>1</v>
      </c>
      <c r="E1975" s="2">
        <v>1</v>
      </c>
      <c r="F1975" s="25">
        <v>8.3333333333333329E-2</v>
      </c>
    </row>
    <row r="1976" spans="1:6" outlineLevel="2" x14ac:dyDescent="0.25">
      <c r="C1976" t="s">
        <v>25</v>
      </c>
      <c r="D1976" s="12">
        <v>12</v>
      </c>
      <c r="E1976" s="2">
        <v>12</v>
      </c>
      <c r="F1976" s="25">
        <v>0.34285714285714286</v>
      </c>
    </row>
    <row r="1977" spans="1:6" outlineLevel="2" x14ac:dyDescent="0.25">
      <c r="C1977" t="s">
        <v>33</v>
      </c>
      <c r="D1977" s="12">
        <v>2</v>
      </c>
      <c r="E1977" s="2">
        <v>2</v>
      </c>
      <c r="F1977" s="25">
        <v>9.0909090909090912E-2</v>
      </c>
    </row>
    <row r="1978" spans="1:6" outlineLevel="2" x14ac:dyDescent="0.25">
      <c r="C1978" t="s">
        <v>34</v>
      </c>
      <c r="D1978" s="12">
        <v>2</v>
      </c>
      <c r="E1978" s="2">
        <v>2</v>
      </c>
      <c r="F1978" s="25">
        <v>0.5</v>
      </c>
    </row>
    <row r="1979" spans="1:6" outlineLevel="2" x14ac:dyDescent="0.25">
      <c r="C1979" t="s">
        <v>38</v>
      </c>
      <c r="D1979" s="12">
        <v>7</v>
      </c>
      <c r="E1979" s="2">
        <v>7</v>
      </c>
      <c r="F1979" s="25">
        <v>0.35</v>
      </c>
    </row>
    <row r="1980" spans="1:6" outlineLevel="2" x14ac:dyDescent="0.25">
      <c r="C1980" t="s">
        <v>28</v>
      </c>
      <c r="D1980" s="12">
        <v>4</v>
      </c>
      <c r="E1980" s="2">
        <v>4</v>
      </c>
      <c r="F1980" s="25">
        <v>0.44444444444444442</v>
      </c>
    </row>
    <row r="1981" spans="1:6" outlineLevel="2" x14ac:dyDescent="0.25">
      <c r="C1981" t="s">
        <v>15</v>
      </c>
      <c r="D1981" s="12">
        <v>5</v>
      </c>
      <c r="E1981" s="2">
        <v>5</v>
      </c>
      <c r="F1981" s="25">
        <v>6.4102564102564097E-2</v>
      </c>
    </row>
    <row r="1982" spans="1:6" outlineLevel="2" x14ac:dyDescent="0.25">
      <c r="C1982" t="s">
        <v>31</v>
      </c>
      <c r="D1982" s="12">
        <v>7</v>
      </c>
      <c r="E1982" s="2">
        <v>7</v>
      </c>
      <c r="F1982" s="25">
        <v>0.31818181818181818</v>
      </c>
    </row>
    <row r="1983" spans="1:6" outlineLevel="2" x14ac:dyDescent="0.25">
      <c r="C1983" t="s">
        <v>48</v>
      </c>
      <c r="D1983" s="12">
        <v>1</v>
      </c>
      <c r="E1983" s="2">
        <v>1</v>
      </c>
      <c r="F1983" s="25">
        <v>0.5</v>
      </c>
    </row>
    <row r="1984" spans="1:6" x14ac:dyDescent="0.25">
      <c r="A1984" t="s">
        <v>10</v>
      </c>
      <c r="D1984" s="12"/>
      <c r="E1984" s="16">
        <v>772</v>
      </c>
      <c r="F1984" s="23">
        <v>2.309642857142857E-2</v>
      </c>
    </row>
    <row r="1985" spans="2:6" outlineLevel="1" x14ac:dyDescent="0.25">
      <c r="B1985" t="s">
        <v>317</v>
      </c>
      <c r="D1985" s="12"/>
      <c r="E1985" s="17">
        <v>1</v>
      </c>
      <c r="F1985" s="24">
        <v>8.375209380234506E-4</v>
      </c>
    </row>
    <row r="1986" spans="2:6" outlineLevel="2" x14ac:dyDescent="0.25">
      <c r="C1986" t="s">
        <v>37</v>
      </c>
      <c r="D1986" s="12">
        <v>1</v>
      </c>
      <c r="E1986" s="2">
        <v>1</v>
      </c>
      <c r="F1986" s="25">
        <v>0.16666666666666666</v>
      </c>
    </row>
    <row r="1987" spans="2:6" outlineLevel="1" x14ac:dyDescent="0.25">
      <c r="B1987" t="s">
        <v>318</v>
      </c>
      <c r="D1987" s="12"/>
      <c r="E1987" s="17">
        <v>45</v>
      </c>
      <c r="F1987" s="24">
        <v>3.7688442211055273E-2</v>
      </c>
    </row>
    <row r="1988" spans="2:6" outlineLevel="2" x14ac:dyDescent="0.25">
      <c r="C1988" t="s">
        <v>22</v>
      </c>
      <c r="D1988" s="12">
        <v>2</v>
      </c>
      <c r="E1988" s="2">
        <v>2</v>
      </c>
      <c r="F1988" s="25">
        <v>0.13333333333333333</v>
      </c>
    </row>
    <row r="1989" spans="2:6" outlineLevel="2" x14ac:dyDescent="0.25">
      <c r="C1989" t="s">
        <v>41</v>
      </c>
      <c r="D1989" s="12">
        <v>1</v>
      </c>
      <c r="E1989" s="2">
        <v>1</v>
      </c>
      <c r="F1989" s="25">
        <v>1.8518518518518517E-2</v>
      </c>
    </row>
    <row r="1990" spans="2:6" outlineLevel="2" x14ac:dyDescent="0.25">
      <c r="C1990" t="s">
        <v>25</v>
      </c>
      <c r="D1990" s="12">
        <v>6</v>
      </c>
      <c r="E1990" s="2">
        <v>6</v>
      </c>
      <c r="F1990" s="25">
        <v>0.17142857142857143</v>
      </c>
    </row>
    <row r="1991" spans="2:6" outlineLevel="2" x14ac:dyDescent="0.25">
      <c r="C1991" t="s">
        <v>42</v>
      </c>
      <c r="D1991" s="12">
        <v>1</v>
      </c>
      <c r="E1991" s="2">
        <v>1</v>
      </c>
      <c r="F1991" s="25">
        <v>2.564102564102564E-2</v>
      </c>
    </row>
    <row r="1992" spans="2:6" outlineLevel="2" x14ac:dyDescent="0.25">
      <c r="C1992" t="s">
        <v>47</v>
      </c>
      <c r="D1992" s="12">
        <v>2</v>
      </c>
      <c r="E1992" s="2">
        <v>2</v>
      </c>
      <c r="F1992" s="25">
        <v>5.128205128205128E-2</v>
      </c>
    </row>
    <row r="1993" spans="2:6" outlineLevel="2" x14ac:dyDescent="0.25">
      <c r="C1993" t="s">
        <v>43</v>
      </c>
      <c r="D1993" s="12">
        <v>1</v>
      </c>
      <c r="E1993" s="2">
        <v>1</v>
      </c>
      <c r="F1993" s="25">
        <v>6.25E-2</v>
      </c>
    </row>
    <row r="1994" spans="2:6" outlineLevel="2" x14ac:dyDescent="0.25">
      <c r="C1994" t="s">
        <v>16</v>
      </c>
      <c r="D1994" s="12">
        <v>1</v>
      </c>
      <c r="E1994" s="2">
        <v>1</v>
      </c>
      <c r="F1994" s="25">
        <v>0.125</v>
      </c>
    </row>
    <row r="1995" spans="2:6" outlineLevel="2" x14ac:dyDescent="0.25">
      <c r="C1995" t="s">
        <v>35</v>
      </c>
      <c r="D1995" s="12">
        <v>1</v>
      </c>
      <c r="E1995" s="2">
        <v>1</v>
      </c>
      <c r="F1995" s="25">
        <v>0.33333333333333331</v>
      </c>
    </row>
    <row r="1996" spans="2:6" outlineLevel="2" x14ac:dyDescent="0.25">
      <c r="C1996" t="s">
        <v>18</v>
      </c>
      <c r="D1996" s="12">
        <v>1</v>
      </c>
      <c r="E1996" s="2">
        <v>1</v>
      </c>
      <c r="F1996" s="25">
        <v>2.6315789473684209E-2</v>
      </c>
    </row>
    <row r="1997" spans="2:6" outlineLevel="2" x14ac:dyDescent="0.25">
      <c r="C1997" t="s">
        <v>11</v>
      </c>
      <c r="D1997" s="12">
        <v>3</v>
      </c>
      <c r="E1997" s="2">
        <v>3</v>
      </c>
      <c r="F1997" s="25">
        <v>0.21428571428571427</v>
      </c>
    </row>
    <row r="1998" spans="2:6" outlineLevel="2" x14ac:dyDescent="0.25">
      <c r="C1998" t="s">
        <v>13</v>
      </c>
      <c r="D1998" s="12">
        <v>1</v>
      </c>
      <c r="E1998" s="2">
        <v>1</v>
      </c>
      <c r="F1998" s="25">
        <v>4.6728971962616819E-3</v>
      </c>
    </row>
    <row r="1999" spans="2:6" outlineLevel="2" x14ac:dyDescent="0.25">
      <c r="C1999" t="s">
        <v>53</v>
      </c>
      <c r="D1999" s="12">
        <v>2</v>
      </c>
      <c r="E1999" s="2">
        <v>2</v>
      </c>
      <c r="F1999" s="25">
        <v>0.2</v>
      </c>
    </row>
    <row r="2000" spans="2:6" outlineLevel="2" x14ac:dyDescent="0.25">
      <c r="C2000" t="s">
        <v>14</v>
      </c>
      <c r="D2000" s="12">
        <v>17</v>
      </c>
      <c r="E2000" s="2">
        <v>17</v>
      </c>
      <c r="F2000" s="25">
        <v>7.5892857142857137E-2</v>
      </c>
    </row>
    <row r="2001" spans="2:6" outlineLevel="2" x14ac:dyDescent="0.25">
      <c r="C2001" t="s">
        <v>37</v>
      </c>
      <c r="D2001" s="12">
        <v>1</v>
      </c>
      <c r="E2001" s="2">
        <v>1</v>
      </c>
      <c r="F2001" s="25">
        <v>0.16666666666666666</v>
      </c>
    </row>
    <row r="2002" spans="2:6" outlineLevel="2" x14ac:dyDescent="0.25">
      <c r="C2002" t="s">
        <v>38</v>
      </c>
      <c r="D2002" s="12">
        <v>1</v>
      </c>
      <c r="E2002" s="2">
        <v>1</v>
      </c>
      <c r="F2002" s="25">
        <v>0.05</v>
      </c>
    </row>
    <row r="2003" spans="2:6" outlineLevel="2" x14ac:dyDescent="0.25">
      <c r="C2003" t="s">
        <v>21</v>
      </c>
      <c r="D2003" s="12">
        <v>2</v>
      </c>
      <c r="E2003" s="2">
        <v>2</v>
      </c>
      <c r="F2003" s="25">
        <v>0.22222222222222221</v>
      </c>
    </row>
    <row r="2004" spans="2:6" outlineLevel="2" x14ac:dyDescent="0.25">
      <c r="C2004" t="s">
        <v>15</v>
      </c>
      <c r="D2004" s="12">
        <v>2</v>
      </c>
      <c r="E2004" s="2">
        <v>2</v>
      </c>
      <c r="F2004" s="25">
        <v>2.564102564102564E-2</v>
      </c>
    </row>
    <row r="2005" spans="2:6" outlineLevel="1" x14ac:dyDescent="0.25">
      <c r="B2005" t="s">
        <v>319</v>
      </c>
      <c r="D2005" s="12"/>
      <c r="E2005" s="17">
        <v>14</v>
      </c>
      <c r="F2005" s="24">
        <v>1.1725293132328308E-2</v>
      </c>
    </row>
    <row r="2006" spans="2:6" outlineLevel="2" x14ac:dyDescent="0.25">
      <c r="C2006" t="s">
        <v>32</v>
      </c>
      <c r="D2006" s="12">
        <v>5</v>
      </c>
      <c r="E2006" s="2">
        <v>5</v>
      </c>
      <c r="F2006" s="25">
        <v>0.10416666666666667</v>
      </c>
    </row>
    <row r="2007" spans="2:6" outlineLevel="2" x14ac:dyDescent="0.25">
      <c r="C2007" t="s">
        <v>33</v>
      </c>
      <c r="D2007" s="12">
        <v>3</v>
      </c>
      <c r="E2007" s="2">
        <v>3</v>
      </c>
      <c r="F2007" s="25">
        <v>0.13636363636363635</v>
      </c>
    </row>
    <row r="2008" spans="2:6" outlineLevel="2" x14ac:dyDescent="0.25">
      <c r="C2008" t="s">
        <v>13</v>
      </c>
      <c r="D2008" s="12">
        <v>6</v>
      </c>
      <c r="E2008" s="2">
        <v>6</v>
      </c>
      <c r="F2008" s="25">
        <v>2.8037383177570093E-2</v>
      </c>
    </row>
    <row r="2009" spans="2:6" outlineLevel="1" x14ac:dyDescent="0.25">
      <c r="B2009" t="s">
        <v>320</v>
      </c>
      <c r="D2009" s="12"/>
      <c r="E2009" s="17">
        <v>1</v>
      </c>
      <c r="F2009" s="24">
        <v>8.375209380234506E-4</v>
      </c>
    </row>
    <row r="2010" spans="2:6" outlineLevel="2" x14ac:dyDescent="0.25">
      <c r="C2010" t="s">
        <v>51</v>
      </c>
      <c r="D2010" s="12">
        <v>1</v>
      </c>
      <c r="E2010" s="2">
        <v>1</v>
      </c>
      <c r="F2010" s="25">
        <v>0.5</v>
      </c>
    </row>
    <row r="2011" spans="2:6" outlineLevel="1" x14ac:dyDescent="0.25">
      <c r="B2011" t="s">
        <v>321</v>
      </c>
      <c r="D2011" s="12"/>
      <c r="E2011" s="17">
        <v>14</v>
      </c>
      <c r="F2011" s="24">
        <v>1.1725293132328308E-2</v>
      </c>
    </row>
    <row r="2012" spans="2:6" outlineLevel="2" x14ac:dyDescent="0.25">
      <c r="C2012" t="s">
        <v>19</v>
      </c>
      <c r="D2012" s="12">
        <v>14</v>
      </c>
      <c r="E2012" s="2">
        <v>14</v>
      </c>
      <c r="F2012" s="25">
        <v>0.26923076923076922</v>
      </c>
    </row>
    <row r="2013" spans="2:6" outlineLevel="1" x14ac:dyDescent="0.25">
      <c r="B2013" t="s">
        <v>322</v>
      </c>
      <c r="D2013" s="12"/>
      <c r="E2013" s="17">
        <v>7</v>
      </c>
      <c r="F2013" s="24">
        <v>5.8626465661641538E-3</v>
      </c>
    </row>
    <row r="2014" spans="2:6" outlineLevel="2" x14ac:dyDescent="0.25">
      <c r="C2014" t="s">
        <v>14</v>
      </c>
      <c r="D2014" s="12">
        <v>1</v>
      </c>
      <c r="E2014" s="2">
        <v>1</v>
      </c>
      <c r="F2014" s="25">
        <v>4.464285714285714E-3</v>
      </c>
    </row>
    <row r="2015" spans="2:6" outlineLevel="2" x14ac:dyDescent="0.25">
      <c r="C2015" t="s">
        <v>38</v>
      </c>
      <c r="D2015" s="12">
        <v>3</v>
      </c>
      <c r="E2015" s="2">
        <v>3</v>
      </c>
      <c r="F2015" s="25">
        <v>0.15</v>
      </c>
    </row>
    <row r="2016" spans="2:6" outlineLevel="2" x14ac:dyDescent="0.25">
      <c r="C2016" t="s">
        <v>20</v>
      </c>
      <c r="D2016" s="12">
        <v>1</v>
      </c>
      <c r="E2016" s="2">
        <v>1</v>
      </c>
      <c r="F2016" s="25">
        <v>4.5454545454545456E-2</v>
      </c>
    </row>
    <row r="2017" spans="2:6" outlineLevel="2" x14ac:dyDescent="0.25">
      <c r="C2017" t="s">
        <v>15</v>
      </c>
      <c r="D2017" s="12">
        <v>1</v>
      </c>
      <c r="E2017" s="2">
        <v>1</v>
      </c>
      <c r="F2017" s="25">
        <v>1.282051282051282E-2</v>
      </c>
    </row>
    <row r="2018" spans="2:6" outlineLevel="2" x14ac:dyDescent="0.25">
      <c r="C2018" t="s">
        <v>48</v>
      </c>
      <c r="D2018" s="12">
        <v>1</v>
      </c>
      <c r="E2018" s="2">
        <v>1</v>
      </c>
      <c r="F2018" s="25">
        <v>0.5</v>
      </c>
    </row>
    <row r="2019" spans="2:6" outlineLevel="1" x14ac:dyDescent="0.25">
      <c r="B2019" t="s">
        <v>323</v>
      </c>
      <c r="D2019" s="12"/>
      <c r="E2019" s="17">
        <v>30</v>
      </c>
      <c r="F2019" s="24">
        <v>2.5125628140703519E-2</v>
      </c>
    </row>
    <row r="2020" spans="2:6" outlineLevel="2" x14ac:dyDescent="0.25">
      <c r="C2020" t="s">
        <v>22</v>
      </c>
      <c r="D2020" s="12">
        <v>2</v>
      </c>
      <c r="E2020" s="2">
        <v>2</v>
      </c>
      <c r="F2020" s="25">
        <v>0.13333333333333333</v>
      </c>
    </row>
    <row r="2021" spans="2:6" outlineLevel="2" x14ac:dyDescent="0.25">
      <c r="C2021" t="s">
        <v>26</v>
      </c>
      <c r="D2021" s="12">
        <v>2</v>
      </c>
      <c r="E2021" s="2">
        <v>2</v>
      </c>
      <c r="F2021" s="25">
        <v>0.15384615384615385</v>
      </c>
    </row>
    <row r="2022" spans="2:6" outlineLevel="2" x14ac:dyDescent="0.25">
      <c r="C2022" t="s">
        <v>12</v>
      </c>
      <c r="D2022" s="12">
        <v>3</v>
      </c>
      <c r="E2022" s="2">
        <v>3</v>
      </c>
      <c r="F2022" s="25">
        <v>0.125</v>
      </c>
    </row>
    <row r="2023" spans="2:6" outlineLevel="2" x14ac:dyDescent="0.25">
      <c r="C2023" t="s">
        <v>13</v>
      </c>
      <c r="D2023" s="12">
        <v>15</v>
      </c>
      <c r="E2023" s="2">
        <v>15</v>
      </c>
      <c r="F2023" s="25">
        <v>7.0093457943925228E-2</v>
      </c>
    </row>
    <row r="2024" spans="2:6" outlineLevel="2" x14ac:dyDescent="0.25">
      <c r="C2024" t="s">
        <v>14</v>
      </c>
      <c r="D2024" s="12">
        <v>6</v>
      </c>
      <c r="E2024" s="2">
        <v>6</v>
      </c>
      <c r="F2024" s="25">
        <v>2.6785714285714284E-2</v>
      </c>
    </row>
    <row r="2025" spans="2:6" outlineLevel="2" x14ac:dyDescent="0.25">
      <c r="C2025" t="s">
        <v>15</v>
      </c>
      <c r="D2025" s="12">
        <v>2</v>
      </c>
      <c r="E2025" s="2">
        <v>2</v>
      </c>
      <c r="F2025" s="25">
        <v>2.564102564102564E-2</v>
      </c>
    </row>
    <row r="2026" spans="2:6" outlineLevel="1" x14ac:dyDescent="0.25">
      <c r="B2026" t="s">
        <v>324</v>
      </c>
      <c r="D2026" s="12"/>
      <c r="E2026" s="17">
        <v>85</v>
      </c>
      <c r="F2026" s="24">
        <v>7.1189279731993294E-2</v>
      </c>
    </row>
    <row r="2027" spans="2:6" outlineLevel="2" x14ac:dyDescent="0.25">
      <c r="C2027" t="s">
        <v>22</v>
      </c>
      <c r="D2027" s="12">
        <v>1</v>
      </c>
      <c r="E2027" s="2">
        <v>1</v>
      </c>
      <c r="F2027" s="25">
        <v>6.6666666666666666E-2</v>
      </c>
    </row>
    <row r="2028" spans="2:6" outlineLevel="2" x14ac:dyDescent="0.25">
      <c r="C2028" t="s">
        <v>41</v>
      </c>
      <c r="D2028" s="12">
        <v>1</v>
      </c>
      <c r="E2028" s="2">
        <v>1</v>
      </c>
      <c r="F2028" s="25">
        <v>1.8518518518518517E-2</v>
      </c>
    </row>
    <row r="2029" spans="2:6" outlineLevel="2" x14ac:dyDescent="0.25">
      <c r="C2029" t="s">
        <v>32</v>
      </c>
      <c r="D2029" s="12">
        <v>5</v>
      </c>
      <c r="E2029" s="2">
        <v>5</v>
      </c>
      <c r="F2029" s="25">
        <v>0.10416666666666667</v>
      </c>
    </row>
    <row r="2030" spans="2:6" outlineLevel="2" x14ac:dyDescent="0.25">
      <c r="C2030" t="s">
        <v>18</v>
      </c>
      <c r="D2030" s="12">
        <v>6</v>
      </c>
      <c r="E2030" s="2">
        <v>6</v>
      </c>
      <c r="F2030" s="25">
        <v>0.15789473684210525</v>
      </c>
    </row>
    <row r="2031" spans="2:6" outlineLevel="2" x14ac:dyDescent="0.25">
      <c r="C2031" t="s">
        <v>13</v>
      </c>
      <c r="D2031" s="12">
        <v>18</v>
      </c>
      <c r="E2031" s="2">
        <v>18</v>
      </c>
      <c r="F2031" s="25">
        <v>8.4112149532710276E-2</v>
      </c>
    </row>
    <row r="2032" spans="2:6" outlineLevel="2" x14ac:dyDescent="0.25">
      <c r="C2032" t="s">
        <v>14</v>
      </c>
      <c r="D2032" s="12">
        <v>48</v>
      </c>
      <c r="E2032" s="2">
        <v>48</v>
      </c>
      <c r="F2032" s="25">
        <v>0.21428571428571427</v>
      </c>
    </row>
    <row r="2033" spans="2:6" outlineLevel="2" x14ac:dyDescent="0.25">
      <c r="C2033" t="s">
        <v>37</v>
      </c>
      <c r="D2033" s="12">
        <v>2</v>
      </c>
      <c r="E2033" s="2">
        <v>2</v>
      </c>
      <c r="F2033" s="25">
        <v>0.33333333333333331</v>
      </c>
    </row>
    <row r="2034" spans="2:6" outlineLevel="2" x14ac:dyDescent="0.25">
      <c r="C2034" t="s">
        <v>38</v>
      </c>
      <c r="D2034" s="12">
        <v>2</v>
      </c>
      <c r="E2034" s="2">
        <v>2</v>
      </c>
      <c r="F2034" s="25">
        <v>0.1</v>
      </c>
    </row>
    <row r="2035" spans="2:6" outlineLevel="2" x14ac:dyDescent="0.25">
      <c r="C2035" t="s">
        <v>20</v>
      </c>
      <c r="D2035" s="12">
        <v>1</v>
      </c>
      <c r="E2035" s="2">
        <v>1</v>
      </c>
      <c r="F2035" s="25">
        <v>4.5454545454545456E-2</v>
      </c>
    </row>
    <row r="2036" spans="2:6" outlineLevel="2" x14ac:dyDescent="0.25">
      <c r="C2036" t="s">
        <v>54</v>
      </c>
      <c r="D2036" s="12">
        <v>1</v>
      </c>
      <c r="E2036" s="2">
        <v>1</v>
      </c>
      <c r="F2036" s="25">
        <v>0.33333333333333331</v>
      </c>
    </row>
    <row r="2037" spans="2:6" outlineLevel="1" x14ac:dyDescent="0.25">
      <c r="B2037" t="s">
        <v>325</v>
      </c>
      <c r="D2037" s="12"/>
      <c r="E2037" s="17">
        <v>103</v>
      </c>
      <c r="F2037" s="24">
        <v>8.6264656616415414E-2</v>
      </c>
    </row>
    <row r="2038" spans="2:6" outlineLevel="2" x14ac:dyDescent="0.25">
      <c r="C2038" t="s">
        <v>22</v>
      </c>
      <c r="D2038" s="12">
        <v>1</v>
      </c>
      <c r="E2038" s="2">
        <v>1</v>
      </c>
      <c r="F2038" s="25">
        <v>6.6666666666666666E-2</v>
      </c>
    </row>
    <row r="2039" spans="2:6" outlineLevel="2" x14ac:dyDescent="0.25">
      <c r="C2039" t="s">
        <v>41</v>
      </c>
      <c r="D2039" s="12">
        <v>3</v>
      </c>
      <c r="E2039" s="2">
        <v>3</v>
      </c>
      <c r="F2039" s="25">
        <v>5.5555555555555552E-2</v>
      </c>
    </row>
    <row r="2040" spans="2:6" outlineLevel="2" x14ac:dyDescent="0.25">
      <c r="C2040" t="s">
        <v>47</v>
      </c>
      <c r="D2040" s="12">
        <v>12</v>
      </c>
      <c r="E2040" s="2">
        <v>12</v>
      </c>
      <c r="F2040" s="25">
        <v>0.30769230769230771</v>
      </c>
    </row>
    <row r="2041" spans="2:6" outlineLevel="2" x14ac:dyDescent="0.25">
      <c r="C2041" t="s">
        <v>33</v>
      </c>
      <c r="D2041" s="12">
        <v>1</v>
      </c>
      <c r="E2041" s="2">
        <v>1</v>
      </c>
      <c r="F2041" s="25">
        <v>4.5454545454545456E-2</v>
      </c>
    </row>
    <row r="2042" spans="2:6" outlineLevel="2" x14ac:dyDescent="0.25">
      <c r="C2042" t="s">
        <v>16</v>
      </c>
      <c r="D2042" s="12">
        <v>1</v>
      </c>
      <c r="E2042" s="2">
        <v>1</v>
      </c>
      <c r="F2042" s="25">
        <v>0.125</v>
      </c>
    </row>
    <row r="2043" spans="2:6" outlineLevel="2" x14ac:dyDescent="0.25">
      <c r="C2043" t="s">
        <v>26</v>
      </c>
      <c r="D2043" s="12">
        <v>4</v>
      </c>
      <c r="E2043" s="2">
        <v>4</v>
      </c>
      <c r="F2043" s="25">
        <v>0.30769230769230771</v>
      </c>
    </row>
    <row r="2044" spans="2:6" outlineLevel="2" x14ac:dyDescent="0.25">
      <c r="C2044" t="s">
        <v>24</v>
      </c>
      <c r="D2044" s="12">
        <v>1</v>
      </c>
      <c r="E2044" s="2">
        <v>1</v>
      </c>
      <c r="F2044" s="25">
        <v>0.25</v>
      </c>
    </row>
    <row r="2045" spans="2:6" outlineLevel="2" x14ac:dyDescent="0.25">
      <c r="C2045" t="s">
        <v>18</v>
      </c>
      <c r="D2045" s="12">
        <v>5</v>
      </c>
      <c r="E2045" s="2">
        <v>5</v>
      </c>
      <c r="F2045" s="25">
        <v>0.13157894736842105</v>
      </c>
    </row>
    <row r="2046" spans="2:6" outlineLevel="2" x14ac:dyDescent="0.25">
      <c r="C2046" t="s">
        <v>13</v>
      </c>
      <c r="D2046" s="12">
        <v>18</v>
      </c>
      <c r="E2046" s="2">
        <v>18</v>
      </c>
      <c r="F2046" s="25">
        <v>8.4112149532710276E-2</v>
      </c>
    </row>
    <row r="2047" spans="2:6" outlineLevel="2" x14ac:dyDescent="0.25">
      <c r="C2047" t="s">
        <v>36</v>
      </c>
      <c r="D2047" s="12">
        <v>1</v>
      </c>
      <c r="E2047" s="2">
        <v>1</v>
      </c>
      <c r="F2047" s="25">
        <v>0.25</v>
      </c>
    </row>
    <row r="2048" spans="2:6" outlineLevel="2" x14ac:dyDescent="0.25">
      <c r="C2048" t="s">
        <v>14</v>
      </c>
      <c r="D2048" s="12">
        <v>29</v>
      </c>
      <c r="E2048" s="2">
        <v>29</v>
      </c>
      <c r="F2048" s="25">
        <v>0.12946428571428573</v>
      </c>
    </row>
    <row r="2049" spans="2:6" outlineLevel="2" x14ac:dyDescent="0.25">
      <c r="C2049" t="s">
        <v>38</v>
      </c>
      <c r="D2049" s="12">
        <v>4</v>
      </c>
      <c r="E2049" s="2">
        <v>4</v>
      </c>
      <c r="F2049" s="25">
        <v>0.2</v>
      </c>
    </row>
    <row r="2050" spans="2:6" outlineLevel="2" x14ac:dyDescent="0.25">
      <c r="C2050" t="s">
        <v>20</v>
      </c>
      <c r="D2050" s="12">
        <v>12</v>
      </c>
      <c r="E2050" s="2">
        <v>12</v>
      </c>
      <c r="F2050" s="25">
        <v>0.54545454545454541</v>
      </c>
    </row>
    <row r="2051" spans="2:6" outlineLevel="2" x14ac:dyDescent="0.25">
      <c r="C2051" t="s">
        <v>15</v>
      </c>
      <c r="D2051" s="12">
        <v>6</v>
      </c>
      <c r="E2051" s="2">
        <v>6</v>
      </c>
      <c r="F2051" s="25">
        <v>7.6923076923076927E-2</v>
      </c>
    </row>
    <row r="2052" spans="2:6" outlineLevel="2" x14ac:dyDescent="0.25">
      <c r="C2052" t="s">
        <v>31</v>
      </c>
      <c r="D2052" s="12">
        <v>5</v>
      </c>
      <c r="E2052" s="2">
        <v>5</v>
      </c>
      <c r="F2052" s="25">
        <v>0.22727272727272727</v>
      </c>
    </row>
    <row r="2053" spans="2:6" outlineLevel="1" x14ac:dyDescent="0.25">
      <c r="B2053" t="s">
        <v>326</v>
      </c>
      <c r="D2053" s="12"/>
      <c r="E2053" s="17">
        <v>12</v>
      </c>
      <c r="F2053" s="24">
        <v>1.0050251256281407E-2</v>
      </c>
    </row>
    <row r="2054" spans="2:6" outlineLevel="2" x14ac:dyDescent="0.25">
      <c r="C2054" t="s">
        <v>47</v>
      </c>
      <c r="D2054" s="12">
        <v>7</v>
      </c>
      <c r="E2054" s="2">
        <v>7</v>
      </c>
      <c r="F2054" s="25">
        <v>0.17948717948717949</v>
      </c>
    </row>
    <row r="2055" spans="2:6" outlineLevel="2" x14ac:dyDescent="0.25">
      <c r="C2055" t="s">
        <v>14</v>
      </c>
      <c r="D2055" s="12">
        <v>1</v>
      </c>
      <c r="E2055" s="2">
        <v>1</v>
      </c>
      <c r="F2055" s="25">
        <v>4.464285714285714E-3</v>
      </c>
    </row>
    <row r="2056" spans="2:6" outlineLevel="2" x14ac:dyDescent="0.25">
      <c r="C2056" t="s">
        <v>20</v>
      </c>
      <c r="D2056" s="12">
        <v>1</v>
      </c>
      <c r="E2056" s="2">
        <v>1</v>
      </c>
      <c r="F2056" s="25">
        <v>4.5454545454545456E-2</v>
      </c>
    </row>
    <row r="2057" spans="2:6" outlineLevel="2" x14ac:dyDescent="0.25">
      <c r="C2057" t="s">
        <v>31</v>
      </c>
      <c r="D2057" s="12">
        <v>3</v>
      </c>
      <c r="E2057" s="2">
        <v>3</v>
      </c>
      <c r="F2057" s="25">
        <v>0.13636363636363635</v>
      </c>
    </row>
    <row r="2058" spans="2:6" outlineLevel="1" x14ac:dyDescent="0.25">
      <c r="B2058" t="s">
        <v>327</v>
      </c>
      <c r="D2058" s="12"/>
      <c r="E2058" s="17">
        <v>12</v>
      </c>
      <c r="F2058" s="24">
        <v>1.0050251256281407E-2</v>
      </c>
    </row>
    <row r="2059" spans="2:6" outlineLevel="2" x14ac:dyDescent="0.25">
      <c r="C2059" t="s">
        <v>45</v>
      </c>
      <c r="D2059" s="12">
        <v>1</v>
      </c>
      <c r="E2059" s="2">
        <v>1</v>
      </c>
      <c r="F2059" s="25">
        <v>0.25</v>
      </c>
    </row>
    <row r="2060" spans="2:6" outlineLevel="2" x14ac:dyDescent="0.25">
      <c r="C2060" t="s">
        <v>23</v>
      </c>
      <c r="D2060" s="12">
        <v>2</v>
      </c>
      <c r="E2060" s="2">
        <v>2</v>
      </c>
      <c r="F2060" s="25">
        <v>9.0909090909090912E-2</v>
      </c>
    </row>
    <row r="2061" spans="2:6" outlineLevel="2" x14ac:dyDescent="0.25">
      <c r="C2061" t="s">
        <v>33</v>
      </c>
      <c r="D2061" s="12">
        <v>1</v>
      </c>
      <c r="E2061" s="2">
        <v>1</v>
      </c>
      <c r="F2061" s="25">
        <v>4.5454545454545456E-2</v>
      </c>
    </row>
    <row r="2062" spans="2:6" outlineLevel="2" x14ac:dyDescent="0.25">
      <c r="C2062" t="s">
        <v>46</v>
      </c>
      <c r="D2062" s="12">
        <v>1</v>
      </c>
      <c r="E2062" s="2">
        <v>1</v>
      </c>
      <c r="F2062" s="25">
        <v>0.25</v>
      </c>
    </row>
    <row r="2063" spans="2:6" outlineLevel="2" x14ac:dyDescent="0.25">
      <c r="C2063" t="s">
        <v>17</v>
      </c>
      <c r="D2063" s="12">
        <v>1</v>
      </c>
      <c r="E2063" s="2">
        <v>1</v>
      </c>
      <c r="F2063" s="25">
        <v>0.5</v>
      </c>
    </row>
    <row r="2064" spans="2:6" outlineLevel="2" x14ac:dyDescent="0.25">
      <c r="C2064" t="s">
        <v>12</v>
      </c>
      <c r="D2064" s="12">
        <v>2</v>
      </c>
      <c r="E2064" s="2">
        <v>2</v>
      </c>
      <c r="F2064" s="25">
        <v>8.3333333333333329E-2</v>
      </c>
    </row>
    <row r="2065" spans="2:6" outlineLevel="2" x14ac:dyDescent="0.25">
      <c r="C2065" t="s">
        <v>13</v>
      </c>
      <c r="D2065" s="12">
        <v>1</v>
      </c>
      <c r="E2065" s="2">
        <v>1</v>
      </c>
      <c r="F2065" s="25">
        <v>4.6728971962616819E-3</v>
      </c>
    </row>
    <row r="2066" spans="2:6" outlineLevel="2" x14ac:dyDescent="0.25">
      <c r="C2066" t="s">
        <v>55</v>
      </c>
      <c r="D2066" s="12">
        <v>1</v>
      </c>
      <c r="E2066" s="2">
        <v>1</v>
      </c>
      <c r="F2066" s="25">
        <v>0.25</v>
      </c>
    </row>
    <row r="2067" spans="2:6" outlineLevel="2" x14ac:dyDescent="0.25">
      <c r="C2067" t="s">
        <v>28</v>
      </c>
      <c r="D2067" s="12">
        <v>2</v>
      </c>
      <c r="E2067" s="2">
        <v>2</v>
      </c>
      <c r="F2067" s="25">
        <v>0.22222222222222221</v>
      </c>
    </row>
    <row r="2068" spans="2:6" outlineLevel="1" x14ac:dyDescent="0.25">
      <c r="B2068" t="s">
        <v>328</v>
      </c>
      <c r="D2068" s="12"/>
      <c r="E2068" s="17">
        <v>111</v>
      </c>
      <c r="F2068" s="24">
        <v>9.2964824120603015E-2</v>
      </c>
    </row>
    <row r="2069" spans="2:6" outlineLevel="2" x14ac:dyDescent="0.25">
      <c r="C2069" t="s">
        <v>22</v>
      </c>
      <c r="D2069" s="12">
        <v>7</v>
      </c>
      <c r="E2069" s="2">
        <v>7</v>
      </c>
      <c r="F2069" s="25">
        <v>0.46666666666666667</v>
      </c>
    </row>
    <row r="2070" spans="2:6" outlineLevel="2" x14ac:dyDescent="0.25">
      <c r="C2070" t="s">
        <v>27</v>
      </c>
      <c r="D2070" s="12">
        <v>2</v>
      </c>
      <c r="E2070" s="2">
        <v>2</v>
      </c>
      <c r="F2070" s="25">
        <v>0.16666666666666666</v>
      </c>
    </row>
    <row r="2071" spans="2:6" outlineLevel="2" x14ac:dyDescent="0.25">
      <c r="C2071" t="s">
        <v>23</v>
      </c>
      <c r="D2071" s="12">
        <v>14</v>
      </c>
      <c r="E2071" s="2">
        <v>14</v>
      </c>
      <c r="F2071" s="25">
        <v>0.63636363636363635</v>
      </c>
    </row>
    <row r="2072" spans="2:6" outlineLevel="2" x14ac:dyDescent="0.25">
      <c r="C2072" t="s">
        <v>46</v>
      </c>
      <c r="D2072" s="12">
        <v>1</v>
      </c>
      <c r="E2072" s="2">
        <v>1</v>
      </c>
      <c r="F2072" s="25">
        <v>0.25</v>
      </c>
    </row>
    <row r="2073" spans="2:6" outlineLevel="2" x14ac:dyDescent="0.25">
      <c r="C2073" t="s">
        <v>16</v>
      </c>
      <c r="D2073" s="12">
        <v>4</v>
      </c>
      <c r="E2073" s="2">
        <v>4</v>
      </c>
      <c r="F2073" s="25">
        <v>0.5</v>
      </c>
    </row>
    <row r="2074" spans="2:6" outlineLevel="2" x14ac:dyDescent="0.25">
      <c r="C2074" t="s">
        <v>35</v>
      </c>
      <c r="D2074" s="12">
        <v>1</v>
      </c>
      <c r="E2074" s="2">
        <v>1</v>
      </c>
      <c r="F2074" s="25">
        <v>0.33333333333333331</v>
      </c>
    </row>
    <row r="2075" spans="2:6" outlineLevel="2" x14ac:dyDescent="0.25">
      <c r="C2075" t="s">
        <v>17</v>
      </c>
      <c r="D2075" s="12">
        <v>2</v>
      </c>
      <c r="E2075" s="2">
        <v>2</v>
      </c>
      <c r="F2075" s="25">
        <v>1</v>
      </c>
    </row>
    <row r="2076" spans="2:6" outlineLevel="2" x14ac:dyDescent="0.25">
      <c r="C2076" t="s">
        <v>18</v>
      </c>
      <c r="D2076" s="12">
        <v>3</v>
      </c>
      <c r="E2076" s="2">
        <v>3</v>
      </c>
      <c r="F2076" s="25">
        <v>7.8947368421052627E-2</v>
      </c>
    </row>
    <row r="2077" spans="2:6" outlineLevel="2" x14ac:dyDescent="0.25">
      <c r="C2077" t="s">
        <v>11</v>
      </c>
      <c r="D2077" s="12">
        <v>3</v>
      </c>
      <c r="E2077" s="2">
        <v>3</v>
      </c>
      <c r="F2077" s="25">
        <v>0.21428571428571427</v>
      </c>
    </row>
    <row r="2078" spans="2:6" outlineLevel="2" x14ac:dyDescent="0.25">
      <c r="C2078" t="s">
        <v>14</v>
      </c>
      <c r="D2078" s="12">
        <v>60</v>
      </c>
      <c r="E2078" s="2">
        <v>60</v>
      </c>
      <c r="F2078" s="25">
        <v>0.26785714285714285</v>
      </c>
    </row>
    <row r="2079" spans="2:6" outlineLevel="2" x14ac:dyDescent="0.25">
      <c r="C2079" t="s">
        <v>20</v>
      </c>
      <c r="D2079" s="12">
        <v>2</v>
      </c>
      <c r="E2079" s="2">
        <v>2</v>
      </c>
      <c r="F2079" s="25">
        <v>9.0909090909090912E-2</v>
      </c>
    </row>
    <row r="2080" spans="2:6" outlineLevel="2" x14ac:dyDescent="0.25">
      <c r="C2080" t="s">
        <v>15</v>
      </c>
      <c r="D2080" s="12">
        <v>11</v>
      </c>
      <c r="E2080" s="2">
        <v>11</v>
      </c>
      <c r="F2080" s="25">
        <v>0.14102564102564102</v>
      </c>
    </row>
    <row r="2081" spans="2:6" outlineLevel="2" x14ac:dyDescent="0.25">
      <c r="C2081" t="s">
        <v>48</v>
      </c>
      <c r="D2081" s="12">
        <v>1</v>
      </c>
      <c r="E2081" s="2">
        <v>1</v>
      </c>
      <c r="F2081" s="25">
        <v>0.5</v>
      </c>
    </row>
    <row r="2082" spans="2:6" outlineLevel="1" x14ac:dyDescent="0.25">
      <c r="B2082" t="s">
        <v>329</v>
      </c>
      <c r="D2082" s="12"/>
      <c r="E2082" s="17">
        <v>3</v>
      </c>
      <c r="F2082" s="24">
        <v>2.5125628140703518E-3</v>
      </c>
    </row>
    <row r="2083" spans="2:6" outlineLevel="2" x14ac:dyDescent="0.25">
      <c r="C2083" t="s">
        <v>17</v>
      </c>
      <c r="D2083" s="12">
        <v>1</v>
      </c>
      <c r="E2083" s="2">
        <v>1</v>
      </c>
      <c r="F2083" s="25">
        <v>0.5</v>
      </c>
    </row>
    <row r="2084" spans="2:6" outlineLevel="2" x14ac:dyDescent="0.25">
      <c r="C2084" t="s">
        <v>13</v>
      </c>
      <c r="D2084" s="12">
        <v>1</v>
      </c>
      <c r="E2084" s="2">
        <v>1</v>
      </c>
      <c r="F2084" s="25">
        <v>4.6728971962616819E-3</v>
      </c>
    </row>
    <row r="2085" spans="2:6" outlineLevel="2" x14ac:dyDescent="0.25">
      <c r="C2085" t="s">
        <v>28</v>
      </c>
      <c r="D2085" s="12">
        <v>1</v>
      </c>
      <c r="E2085" s="2">
        <v>1</v>
      </c>
      <c r="F2085" s="25">
        <v>0.1111111111111111</v>
      </c>
    </row>
    <row r="2086" spans="2:6" outlineLevel="1" x14ac:dyDescent="0.25">
      <c r="B2086" t="s">
        <v>330</v>
      </c>
      <c r="D2086" s="12"/>
      <c r="E2086" s="17">
        <v>2</v>
      </c>
      <c r="F2086" s="24">
        <v>1.6750418760469012E-3</v>
      </c>
    </row>
    <row r="2087" spans="2:6" outlineLevel="2" x14ac:dyDescent="0.25">
      <c r="C2087" t="s">
        <v>37</v>
      </c>
      <c r="D2087" s="12">
        <v>2</v>
      </c>
      <c r="E2087" s="2">
        <v>2</v>
      </c>
      <c r="F2087" s="25">
        <v>0.33333333333333331</v>
      </c>
    </row>
    <row r="2088" spans="2:6" outlineLevel="1" x14ac:dyDescent="0.25">
      <c r="B2088" t="s">
        <v>331</v>
      </c>
      <c r="D2088" s="12"/>
      <c r="E2088" s="17">
        <v>13</v>
      </c>
      <c r="F2088" s="24">
        <v>1.0887772194304857E-2</v>
      </c>
    </row>
    <row r="2089" spans="2:6" outlineLevel="2" x14ac:dyDescent="0.25">
      <c r="C2089" t="s">
        <v>42</v>
      </c>
      <c r="D2089" s="12">
        <v>3</v>
      </c>
      <c r="E2089" s="2">
        <v>3</v>
      </c>
      <c r="F2089" s="25">
        <v>7.6923076923076927E-2</v>
      </c>
    </row>
    <row r="2090" spans="2:6" outlineLevel="2" x14ac:dyDescent="0.25">
      <c r="C2090" t="s">
        <v>11</v>
      </c>
      <c r="D2090" s="12">
        <v>3</v>
      </c>
      <c r="E2090" s="2">
        <v>3</v>
      </c>
      <c r="F2090" s="25">
        <v>0.21428571428571427</v>
      </c>
    </row>
    <row r="2091" spans="2:6" outlineLevel="2" x14ac:dyDescent="0.25">
      <c r="C2091" t="s">
        <v>14</v>
      </c>
      <c r="D2091" s="12">
        <v>1</v>
      </c>
      <c r="E2091" s="2">
        <v>1</v>
      </c>
      <c r="F2091" s="25">
        <v>4.464285714285714E-3</v>
      </c>
    </row>
    <row r="2092" spans="2:6" outlineLevel="2" x14ac:dyDescent="0.25">
      <c r="C2092" t="s">
        <v>15</v>
      </c>
      <c r="D2092" s="12">
        <v>2</v>
      </c>
      <c r="E2092" s="2">
        <v>2</v>
      </c>
      <c r="F2092" s="25">
        <v>2.564102564102564E-2</v>
      </c>
    </row>
    <row r="2093" spans="2:6" outlineLevel="2" x14ac:dyDescent="0.25">
      <c r="C2093" t="s">
        <v>31</v>
      </c>
      <c r="D2093" s="12">
        <v>2</v>
      </c>
      <c r="E2093" s="2">
        <v>2</v>
      </c>
      <c r="F2093" s="25">
        <v>9.0909090909090912E-2</v>
      </c>
    </row>
    <row r="2094" spans="2:6" outlineLevel="2" x14ac:dyDescent="0.25">
      <c r="C2094" t="s">
        <v>39</v>
      </c>
      <c r="D2094" s="12">
        <v>2</v>
      </c>
      <c r="E2094" s="2">
        <v>2</v>
      </c>
      <c r="F2094" s="25">
        <v>0.2</v>
      </c>
    </row>
    <row r="2095" spans="2:6" outlineLevel="1" x14ac:dyDescent="0.25">
      <c r="B2095" t="s">
        <v>332</v>
      </c>
      <c r="D2095" s="12"/>
      <c r="E2095" s="17">
        <v>38</v>
      </c>
      <c r="F2095" s="24">
        <v>3.1825795644891124E-2</v>
      </c>
    </row>
    <row r="2096" spans="2:6" outlineLevel="2" x14ac:dyDescent="0.25">
      <c r="C2096" t="s">
        <v>32</v>
      </c>
      <c r="D2096" s="12">
        <v>5</v>
      </c>
      <c r="E2096" s="2">
        <v>5</v>
      </c>
      <c r="F2096" s="25">
        <v>0.10416666666666667</v>
      </c>
    </row>
    <row r="2097" spans="2:6" outlineLevel="2" x14ac:dyDescent="0.25">
      <c r="C2097" t="s">
        <v>47</v>
      </c>
      <c r="D2097" s="12">
        <v>10</v>
      </c>
      <c r="E2097" s="2">
        <v>10</v>
      </c>
      <c r="F2097" s="25">
        <v>0.25641025641025639</v>
      </c>
    </row>
    <row r="2098" spans="2:6" outlineLevel="2" x14ac:dyDescent="0.25">
      <c r="C2098" t="s">
        <v>14</v>
      </c>
      <c r="D2098" s="12">
        <v>15</v>
      </c>
      <c r="E2098" s="2">
        <v>15</v>
      </c>
      <c r="F2098" s="25">
        <v>6.6964285714285712E-2</v>
      </c>
    </row>
    <row r="2099" spans="2:6" outlineLevel="2" x14ac:dyDescent="0.25">
      <c r="C2099" t="s">
        <v>21</v>
      </c>
      <c r="D2099" s="12">
        <v>7</v>
      </c>
      <c r="E2099" s="2">
        <v>7</v>
      </c>
      <c r="F2099" s="25">
        <v>0.77777777777777779</v>
      </c>
    </row>
    <row r="2100" spans="2:6" outlineLevel="2" x14ac:dyDescent="0.25">
      <c r="C2100" t="s">
        <v>15</v>
      </c>
      <c r="D2100" s="12">
        <v>1</v>
      </c>
      <c r="E2100" s="2">
        <v>1</v>
      </c>
      <c r="F2100" s="25">
        <v>1.282051282051282E-2</v>
      </c>
    </row>
    <row r="2101" spans="2:6" outlineLevel="1" x14ac:dyDescent="0.25">
      <c r="B2101" t="s">
        <v>333</v>
      </c>
      <c r="D2101" s="12"/>
      <c r="E2101" s="17">
        <v>30</v>
      </c>
      <c r="F2101" s="24">
        <v>2.5125628140703519E-2</v>
      </c>
    </row>
    <row r="2102" spans="2:6" outlineLevel="2" x14ac:dyDescent="0.25">
      <c r="C2102" t="s">
        <v>47</v>
      </c>
      <c r="D2102" s="12">
        <v>6</v>
      </c>
      <c r="E2102" s="2">
        <v>6</v>
      </c>
      <c r="F2102" s="25">
        <v>0.15384615384615385</v>
      </c>
    </row>
    <row r="2103" spans="2:6" outlineLevel="2" x14ac:dyDescent="0.25">
      <c r="C2103" t="s">
        <v>16</v>
      </c>
      <c r="D2103" s="12">
        <v>1</v>
      </c>
      <c r="E2103" s="2">
        <v>1</v>
      </c>
      <c r="F2103" s="25">
        <v>0.125</v>
      </c>
    </row>
    <row r="2104" spans="2:6" outlineLevel="2" x14ac:dyDescent="0.25">
      <c r="C2104" t="s">
        <v>14</v>
      </c>
      <c r="D2104" s="12">
        <v>23</v>
      </c>
      <c r="E2104" s="2">
        <v>23</v>
      </c>
      <c r="F2104" s="25">
        <v>0.10267857142857142</v>
      </c>
    </row>
    <row r="2105" spans="2:6" outlineLevel="1" x14ac:dyDescent="0.25">
      <c r="B2105" t="s">
        <v>334</v>
      </c>
      <c r="D2105" s="12"/>
      <c r="E2105" s="17">
        <v>38</v>
      </c>
      <c r="F2105" s="24">
        <v>3.1825795644891124E-2</v>
      </c>
    </row>
    <row r="2106" spans="2:6" outlineLevel="2" x14ac:dyDescent="0.25">
      <c r="C2106" t="s">
        <v>22</v>
      </c>
      <c r="D2106" s="12">
        <v>3</v>
      </c>
      <c r="E2106" s="2">
        <v>3</v>
      </c>
      <c r="F2106" s="25">
        <v>0.2</v>
      </c>
    </row>
    <row r="2107" spans="2:6" outlineLevel="2" x14ac:dyDescent="0.25">
      <c r="C2107" t="s">
        <v>41</v>
      </c>
      <c r="D2107" s="12">
        <v>4</v>
      </c>
      <c r="E2107" s="2">
        <v>4</v>
      </c>
      <c r="F2107" s="25">
        <v>7.407407407407407E-2</v>
      </c>
    </row>
    <row r="2108" spans="2:6" outlineLevel="2" x14ac:dyDescent="0.25">
      <c r="C2108" t="s">
        <v>47</v>
      </c>
      <c r="D2108" s="12">
        <v>4</v>
      </c>
      <c r="E2108" s="2">
        <v>4</v>
      </c>
      <c r="F2108" s="25">
        <v>0.10256410256410256</v>
      </c>
    </row>
    <row r="2109" spans="2:6" outlineLevel="2" x14ac:dyDescent="0.25">
      <c r="C2109" t="s">
        <v>35</v>
      </c>
      <c r="D2109" s="12">
        <v>2</v>
      </c>
      <c r="E2109" s="2">
        <v>2</v>
      </c>
      <c r="F2109" s="25">
        <v>0.66666666666666663</v>
      </c>
    </row>
    <row r="2110" spans="2:6" outlineLevel="2" x14ac:dyDescent="0.25">
      <c r="C2110" t="s">
        <v>13</v>
      </c>
      <c r="D2110" s="12">
        <v>5</v>
      </c>
      <c r="E2110" s="2">
        <v>5</v>
      </c>
      <c r="F2110" s="25">
        <v>2.336448598130841E-2</v>
      </c>
    </row>
    <row r="2111" spans="2:6" outlineLevel="2" x14ac:dyDescent="0.25">
      <c r="C2111" t="s">
        <v>14</v>
      </c>
      <c r="D2111" s="12">
        <v>3</v>
      </c>
      <c r="E2111" s="2">
        <v>3</v>
      </c>
      <c r="F2111" s="25">
        <v>1.3392857142857142E-2</v>
      </c>
    </row>
    <row r="2112" spans="2:6" outlineLevel="2" x14ac:dyDescent="0.25">
      <c r="C2112" t="s">
        <v>20</v>
      </c>
      <c r="D2112" s="12">
        <v>8</v>
      </c>
      <c r="E2112" s="2">
        <v>8</v>
      </c>
      <c r="F2112" s="25">
        <v>0.36363636363636365</v>
      </c>
    </row>
    <row r="2113" spans="2:6" outlineLevel="2" x14ac:dyDescent="0.25">
      <c r="C2113" t="s">
        <v>21</v>
      </c>
      <c r="D2113" s="12">
        <v>3</v>
      </c>
      <c r="E2113" s="2">
        <v>3</v>
      </c>
      <c r="F2113" s="25">
        <v>0.33333333333333331</v>
      </c>
    </row>
    <row r="2114" spans="2:6" outlineLevel="2" x14ac:dyDescent="0.25">
      <c r="C2114" t="s">
        <v>15</v>
      </c>
      <c r="D2114" s="12">
        <v>5</v>
      </c>
      <c r="E2114" s="2">
        <v>5</v>
      </c>
      <c r="F2114" s="25">
        <v>6.4102564102564097E-2</v>
      </c>
    </row>
    <row r="2115" spans="2:6" outlineLevel="2" x14ac:dyDescent="0.25">
      <c r="C2115" t="s">
        <v>40</v>
      </c>
      <c r="D2115" s="12">
        <v>1</v>
      </c>
      <c r="E2115" s="2">
        <v>1</v>
      </c>
      <c r="F2115" s="25">
        <v>0.1111111111111111</v>
      </c>
    </row>
    <row r="2116" spans="2:6" outlineLevel="1" x14ac:dyDescent="0.25">
      <c r="B2116" t="s">
        <v>335</v>
      </c>
      <c r="D2116" s="12"/>
      <c r="E2116" s="17">
        <v>28</v>
      </c>
      <c r="F2116" s="24">
        <v>2.3450586264656615E-2</v>
      </c>
    </row>
    <row r="2117" spans="2:6" outlineLevel="2" x14ac:dyDescent="0.25">
      <c r="C2117" t="s">
        <v>42</v>
      </c>
      <c r="D2117" s="12">
        <v>2</v>
      </c>
      <c r="E2117" s="2">
        <v>2</v>
      </c>
      <c r="F2117" s="25">
        <v>5.128205128205128E-2</v>
      </c>
    </row>
    <row r="2118" spans="2:6" outlineLevel="2" x14ac:dyDescent="0.25">
      <c r="C2118" t="s">
        <v>47</v>
      </c>
      <c r="D2118" s="12">
        <v>1</v>
      </c>
      <c r="E2118" s="2">
        <v>1</v>
      </c>
      <c r="F2118" s="25">
        <v>2.564102564102564E-2</v>
      </c>
    </row>
    <row r="2119" spans="2:6" outlineLevel="2" x14ac:dyDescent="0.25">
      <c r="C2119" t="s">
        <v>16</v>
      </c>
      <c r="D2119" s="12">
        <v>1</v>
      </c>
      <c r="E2119" s="2">
        <v>1</v>
      </c>
      <c r="F2119" s="25">
        <v>0.125</v>
      </c>
    </row>
    <row r="2120" spans="2:6" outlineLevel="2" x14ac:dyDescent="0.25">
      <c r="C2120" t="s">
        <v>14</v>
      </c>
      <c r="D2120" s="12">
        <v>14</v>
      </c>
      <c r="E2120" s="2">
        <v>14</v>
      </c>
      <c r="F2120" s="25">
        <v>6.25E-2</v>
      </c>
    </row>
    <row r="2121" spans="2:6" outlineLevel="2" x14ac:dyDescent="0.25">
      <c r="C2121" t="s">
        <v>37</v>
      </c>
      <c r="D2121" s="12">
        <v>1</v>
      </c>
      <c r="E2121" s="2">
        <v>1</v>
      </c>
      <c r="F2121" s="25">
        <v>0.16666666666666666</v>
      </c>
    </row>
    <row r="2122" spans="2:6" outlineLevel="2" x14ac:dyDescent="0.25">
      <c r="C2122" t="s">
        <v>20</v>
      </c>
      <c r="D2122" s="12">
        <v>2</v>
      </c>
      <c r="E2122" s="2">
        <v>2</v>
      </c>
      <c r="F2122" s="25">
        <v>9.0909090909090912E-2</v>
      </c>
    </row>
    <row r="2123" spans="2:6" outlineLevel="2" x14ac:dyDescent="0.25">
      <c r="C2123" t="s">
        <v>15</v>
      </c>
      <c r="D2123" s="12">
        <v>7</v>
      </c>
      <c r="E2123" s="2">
        <v>7</v>
      </c>
      <c r="F2123" s="25">
        <v>8.9743589743589744E-2</v>
      </c>
    </row>
    <row r="2124" spans="2:6" outlineLevel="1" x14ac:dyDescent="0.25">
      <c r="B2124" t="s">
        <v>336</v>
      </c>
      <c r="D2124" s="12"/>
      <c r="E2124" s="17">
        <v>16</v>
      </c>
      <c r="F2124" s="24">
        <v>1.340033500837521E-2</v>
      </c>
    </row>
    <row r="2125" spans="2:6" outlineLevel="2" x14ac:dyDescent="0.25">
      <c r="C2125" t="s">
        <v>41</v>
      </c>
      <c r="D2125" s="12">
        <v>2</v>
      </c>
      <c r="E2125" s="2">
        <v>2</v>
      </c>
      <c r="F2125" s="25">
        <v>3.7037037037037035E-2</v>
      </c>
    </row>
    <row r="2126" spans="2:6" outlineLevel="2" x14ac:dyDescent="0.25">
      <c r="C2126" t="s">
        <v>47</v>
      </c>
      <c r="D2126" s="12">
        <v>4</v>
      </c>
      <c r="E2126" s="2">
        <v>4</v>
      </c>
      <c r="F2126" s="25">
        <v>0.10256410256410256</v>
      </c>
    </row>
    <row r="2127" spans="2:6" outlineLevel="2" x14ac:dyDescent="0.25">
      <c r="C2127" t="s">
        <v>23</v>
      </c>
      <c r="D2127" s="12">
        <v>3</v>
      </c>
      <c r="E2127" s="2">
        <v>3</v>
      </c>
      <c r="F2127" s="25">
        <v>0.13636363636363635</v>
      </c>
    </row>
    <row r="2128" spans="2:6" outlineLevel="2" x14ac:dyDescent="0.25">
      <c r="C2128" t="s">
        <v>17</v>
      </c>
      <c r="D2128" s="12">
        <v>1</v>
      </c>
      <c r="E2128" s="2">
        <v>1</v>
      </c>
      <c r="F2128" s="25">
        <v>0.5</v>
      </c>
    </row>
    <row r="2129" spans="2:6" outlineLevel="2" x14ac:dyDescent="0.25">
      <c r="C2129" t="s">
        <v>14</v>
      </c>
      <c r="D2129" s="12">
        <v>1</v>
      </c>
      <c r="E2129" s="2">
        <v>1</v>
      </c>
      <c r="F2129" s="25">
        <v>4.464285714285714E-3</v>
      </c>
    </row>
    <row r="2130" spans="2:6" outlineLevel="2" x14ac:dyDescent="0.25">
      <c r="C2130" t="s">
        <v>15</v>
      </c>
      <c r="D2130" s="12">
        <v>5</v>
      </c>
      <c r="E2130" s="2">
        <v>5</v>
      </c>
      <c r="F2130" s="25">
        <v>6.4102564102564097E-2</v>
      </c>
    </row>
    <row r="2131" spans="2:6" outlineLevel="1" x14ac:dyDescent="0.25">
      <c r="B2131" t="s">
        <v>337</v>
      </c>
      <c r="D2131" s="12"/>
      <c r="E2131" s="17">
        <v>32</v>
      </c>
      <c r="F2131" s="24">
        <v>2.6800670016750419E-2</v>
      </c>
    </row>
    <row r="2132" spans="2:6" outlineLevel="2" x14ac:dyDescent="0.25">
      <c r="C2132" t="s">
        <v>16</v>
      </c>
      <c r="D2132" s="12">
        <v>4</v>
      </c>
      <c r="E2132" s="2">
        <v>4</v>
      </c>
      <c r="F2132" s="25">
        <v>0.5</v>
      </c>
    </row>
    <row r="2133" spans="2:6" outlineLevel="2" x14ac:dyDescent="0.25">
      <c r="C2133" t="s">
        <v>11</v>
      </c>
      <c r="D2133" s="12">
        <v>2</v>
      </c>
      <c r="E2133" s="2">
        <v>2</v>
      </c>
      <c r="F2133" s="25">
        <v>0.14285714285714285</v>
      </c>
    </row>
    <row r="2134" spans="2:6" outlineLevel="2" x14ac:dyDescent="0.25">
      <c r="C2134" t="s">
        <v>14</v>
      </c>
      <c r="D2134" s="12">
        <v>18</v>
      </c>
      <c r="E2134" s="2">
        <v>18</v>
      </c>
      <c r="F2134" s="25">
        <v>8.0357142857142863E-2</v>
      </c>
    </row>
    <row r="2135" spans="2:6" outlineLevel="2" x14ac:dyDescent="0.25">
      <c r="C2135" t="s">
        <v>15</v>
      </c>
      <c r="D2135" s="12">
        <v>8</v>
      </c>
      <c r="E2135" s="2">
        <v>8</v>
      </c>
      <c r="F2135" s="25">
        <v>0.10256410256410256</v>
      </c>
    </row>
    <row r="2136" spans="2:6" outlineLevel="1" x14ac:dyDescent="0.25">
      <c r="B2136" t="s">
        <v>338</v>
      </c>
      <c r="D2136" s="12"/>
      <c r="E2136" s="17">
        <v>15</v>
      </c>
      <c r="F2136" s="24">
        <v>1.2562814070351759E-2</v>
      </c>
    </row>
    <row r="2137" spans="2:6" outlineLevel="2" x14ac:dyDescent="0.25">
      <c r="C2137" t="s">
        <v>25</v>
      </c>
      <c r="D2137" s="12">
        <v>7</v>
      </c>
      <c r="E2137" s="2">
        <v>7</v>
      </c>
      <c r="F2137" s="25">
        <v>0.2</v>
      </c>
    </row>
    <row r="2138" spans="2:6" outlineLevel="2" x14ac:dyDescent="0.25">
      <c r="C2138" t="s">
        <v>32</v>
      </c>
      <c r="D2138" s="12">
        <v>3</v>
      </c>
      <c r="E2138" s="2">
        <v>3</v>
      </c>
      <c r="F2138" s="25">
        <v>6.25E-2</v>
      </c>
    </row>
    <row r="2139" spans="2:6" outlineLevel="2" x14ac:dyDescent="0.25">
      <c r="C2139" t="s">
        <v>42</v>
      </c>
      <c r="D2139" s="12">
        <v>1</v>
      </c>
      <c r="E2139" s="2">
        <v>1</v>
      </c>
      <c r="F2139" s="25">
        <v>2.564102564102564E-2</v>
      </c>
    </row>
    <row r="2140" spans="2:6" outlineLevel="2" x14ac:dyDescent="0.25">
      <c r="C2140" t="s">
        <v>23</v>
      </c>
      <c r="D2140" s="12">
        <v>2</v>
      </c>
      <c r="E2140" s="2">
        <v>2</v>
      </c>
      <c r="F2140" s="25">
        <v>9.0909090909090912E-2</v>
      </c>
    </row>
    <row r="2141" spans="2:6" outlineLevel="2" x14ac:dyDescent="0.25">
      <c r="C2141" t="s">
        <v>24</v>
      </c>
      <c r="D2141" s="12">
        <v>1</v>
      </c>
      <c r="E2141" s="2">
        <v>1</v>
      </c>
      <c r="F2141" s="25">
        <v>0.25</v>
      </c>
    </row>
    <row r="2142" spans="2:6" outlineLevel="2" x14ac:dyDescent="0.25">
      <c r="C2142" t="s">
        <v>19</v>
      </c>
      <c r="D2142" s="12">
        <v>1</v>
      </c>
      <c r="E2142" s="2">
        <v>1</v>
      </c>
      <c r="F2142" s="25">
        <v>1.9230769230769232E-2</v>
      </c>
    </row>
    <row r="2143" spans="2:6" outlineLevel="1" x14ac:dyDescent="0.25">
      <c r="B2143" t="s">
        <v>339</v>
      </c>
      <c r="D2143" s="12"/>
      <c r="E2143" s="17">
        <v>2</v>
      </c>
      <c r="F2143" s="24">
        <v>1.6750418760469012E-3</v>
      </c>
    </row>
    <row r="2144" spans="2:6" outlineLevel="2" x14ac:dyDescent="0.25">
      <c r="C2144" t="s">
        <v>30</v>
      </c>
      <c r="D2144" s="12">
        <v>2</v>
      </c>
      <c r="E2144" s="2">
        <v>2</v>
      </c>
      <c r="F2144" s="25">
        <v>0.33333333333333331</v>
      </c>
    </row>
    <row r="2145" spans="2:6" outlineLevel="1" x14ac:dyDescent="0.25">
      <c r="B2145" t="s">
        <v>340</v>
      </c>
      <c r="D2145" s="12"/>
      <c r="E2145" s="17">
        <v>22</v>
      </c>
      <c r="F2145" s="24">
        <v>1.8425460636515914E-2</v>
      </c>
    </row>
    <row r="2146" spans="2:6" outlineLevel="2" x14ac:dyDescent="0.25">
      <c r="C2146" t="s">
        <v>25</v>
      </c>
      <c r="D2146" s="12">
        <v>4</v>
      </c>
      <c r="E2146" s="2">
        <v>4</v>
      </c>
      <c r="F2146" s="25">
        <v>0.11428571428571428</v>
      </c>
    </row>
    <row r="2147" spans="2:6" outlineLevel="2" x14ac:dyDescent="0.25">
      <c r="C2147" t="s">
        <v>16</v>
      </c>
      <c r="D2147" s="12">
        <v>1</v>
      </c>
      <c r="E2147" s="2">
        <v>1</v>
      </c>
      <c r="F2147" s="25">
        <v>0.125</v>
      </c>
    </row>
    <row r="2148" spans="2:6" outlineLevel="2" x14ac:dyDescent="0.25">
      <c r="C2148" t="s">
        <v>24</v>
      </c>
      <c r="D2148" s="12">
        <v>2</v>
      </c>
      <c r="E2148" s="2">
        <v>2</v>
      </c>
      <c r="F2148" s="25">
        <v>0.5</v>
      </c>
    </row>
    <row r="2149" spans="2:6" outlineLevel="2" x14ac:dyDescent="0.25">
      <c r="C2149" t="s">
        <v>13</v>
      </c>
      <c r="D2149" s="12">
        <v>5</v>
      </c>
      <c r="E2149" s="2">
        <v>5</v>
      </c>
      <c r="F2149" s="25">
        <v>2.336448598130841E-2</v>
      </c>
    </row>
    <row r="2150" spans="2:6" outlineLevel="2" x14ac:dyDescent="0.25">
      <c r="C2150" t="s">
        <v>14</v>
      </c>
      <c r="D2150" s="12">
        <v>4</v>
      </c>
      <c r="E2150" s="2">
        <v>4</v>
      </c>
      <c r="F2150" s="25">
        <v>1.7857142857142856E-2</v>
      </c>
    </row>
    <row r="2151" spans="2:6" outlineLevel="2" x14ac:dyDescent="0.25">
      <c r="C2151" t="s">
        <v>37</v>
      </c>
      <c r="D2151" s="12">
        <v>1</v>
      </c>
      <c r="E2151" s="2">
        <v>1</v>
      </c>
      <c r="F2151" s="25">
        <v>0.16666666666666666</v>
      </c>
    </row>
    <row r="2152" spans="2:6" outlineLevel="2" x14ac:dyDescent="0.25">
      <c r="C2152" t="s">
        <v>38</v>
      </c>
      <c r="D2152" s="12">
        <v>2</v>
      </c>
      <c r="E2152" s="2">
        <v>2</v>
      </c>
      <c r="F2152" s="25">
        <v>0.1</v>
      </c>
    </row>
    <row r="2153" spans="2:6" outlineLevel="2" x14ac:dyDescent="0.25">
      <c r="C2153" t="s">
        <v>20</v>
      </c>
      <c r="D2153" s="12">
        <v>1</v>
      </c>
      <c r="E2153" s="2">
        <v>1</v>
      </c>
      <c r="F2153" s="25">
        <v>4.5454545454545456E-2</v>
      </c>
    </row>
    <row r="2154" spans="2:6" outlineLevel="2" x14ac:dyDescent="0.25">
      <c r="C2154" t="s">
        <v>15</v>
      </c>
      <c r="D2154" s="12">
        <v>1</v>
      </c>
      <c r="E2154" s="2">
        <v>1</v>
      </c>
      <c r="F2154" s="25">
        <v>1.282051282051282E-2</v>
      </c>
    </row>
    <row r="2155" spans="2:6" outlineLevel="2" x14ac:dyDescent="0.25">
      <c r="C2155" t="s">
        <v>39</v>
      </c>
      <c r="D2155" s="12">
        <v>1</v>
      </c>
      <c r="E2155" s="2">
        <v>1</v>
      </c>
      <c r="F2155" s="25">
        <v>0.1</v>
      </c>
    </row>
    <row r="2156" spans="2:6" outlineLevel="1" x14ac:dyDescent="0.25">
      <c r="B2156" t="s">
        <v>341</v>
      </c>
      <c r="D2156" s="12"/>
      <c r="E2156" s="17">
        <v>4</v>
      </c>
      <c r="F2156" s="24">
        <v>3.3500837520938024E-3</v>
      </c>
    </row>
    <row r="2157" spans="2:6" outlineLevel="2" x14ac:dyDescent="0.25">
      <c r="C2157" t="s">
        <v>14</v>
      </c>
      <c r="D2157" s="12">
        <v>4</v>
      </c>
      <c r="E2157" s="2">
        <v>4</v>
      </c>
      <c r="F2157" s="25">
        <v>1.7857142857142856E-2</v>
      </c>
    </row>
    <row r="2158" spans="2:6" outlineLevel="1" x14ac:dyDescent="0.25">
      <c r="B2158" t="s">
        <v>342</v>
      </c>
      <c r="D2158" s="12"/>
      <c r="E2158" s="17">
        <v>73</v>
      </c>
      <c r="F2158" s="24">
        <v>6.1139028475711892E-2</v>
      </c>
    </row>
    <row r="2159" spans="2:6" outlineLevel="2" x14ac:dyDescent="0.25">
      <c r="C2159" t="s">
        <v>42</v>
      </c>
      <c r="D2159" s="12">
        <v>2</v>
      </c>
      <c r="E2159" s="2">
        <v>2</v>
      </c>
      <c r="F2159" s="25">
        <v>5.128205128205128E-2</v>
      </c>
    </row>
    <row r="2160" spans="2:6" outlineLevel="2" x14ac:dyDescent="0.25">
      <c r="C2160" t="s">
        <v>33</v>
      </c>
      <c r="D2160" s="12">
        <v>7</v>
      </c>
      <c r="E2160" s="2">
        <v>7</v>
      </c>
      <c r="F2160" s="25">
        <v>0.31818181818181818</v>
      </c>
    </row>
    <row r="2161" spans="2:6" outlineLevel="2" x14ac:dyDescent="0.25">
      <c r="C2161" t="s">
        <v>34</v>
      </c>
      <c r="D2161" s="12">
        <v>1</v>
      </c>
      <c r="E2161" s="2">
        <v>1</v>
      </c>
      <c r="F2161" s="25">
        <v>0.25</v>
      </c>
    </row>
    <row r="2162" spans="2:6" outlineLevel="2" x14ac:dyDescent="0.25">
      <c r="C2162" t="s">
        <v>13</v>
      </c>
      <c r="D2162" s="12">
        <v>20</v>
      </c>
      <c r="E2162" s="2">
        <v>20</v>
      </c>
      <c r="F2162" s="25">
        <v>9.3457943925233641E-2</v>
      </c>
    </row>
    <row r="2163" spans="2:6" outlineLevel="2" x14ac:dyDescent="0.25">
      <c r="C2163" t="s">
        <v>14</v>
      </c>
      <c r="D2163" s="12">
        <v>31</v>
      </c>
      <c r="E2163" s="2">
        <v>31</v>
      </c>
      <c r="F2163" s="25">
        <v>0.13839285714285715</v>
      </c>
    </row>
    <row r="2164" spans="2:6" outlineLevel="2" x14ac:dyDescent="0.25">
      <c r="C2164" t="s">
        <v>50</v>
      </c>
      <c r="D2164" s="12">
        <v>1</v>
      </c>
      <c r="E2164" s="2">
        <v>1</v>
      </c>
      <c r="F2164" s="25">
        <v>0.14285714285714285</v>
      </c>
    </row>
    <row r="2165" spans="2:6" outlineLevel="2" x14ac:dyDescent="0.25">
      <c r="C2165" t="s">
        <v>37</v>
      </c>
      <c r="D2165" s="12">
        <v>2</v>
      </c>
      <c r="E2165" s="2">
        <v>2</v>
      </c>
      <c r="F2165" s="25">
        <v>0.33333333333333331</v>
      </c>
    </row>
    <row r="2166" spans="2:6" outlineLevel="2" x14ac:dyDescent="0.25">
      <c r="C2166" t="s">
        <v>20</v>
      </c>
      <c r="D2166" s="12">
        <v>4</v>
      </c>
      <c r="E2166" s="2">
        <v>4</v>
      </c>
      <c r="F2166" s="25">
        <v>0.18181818181818182</v>
      </c>
    </row>
    <row r="2167" spans="2:6" outlineLevel="2" x14ac:dyDescent="0.25">
      <c r="C2167" t="s">
        <v>31</v>
      </c>
      <c r="D2167" s="12">
        <v>2</v>
      </c>
      <c r="E2167" s="2">
        <v>2</v>
      </c>
      <c r="F2167" s="25">
        <v>9.0909090909090912E-2</v>
      </c>
    </row>
    <row r="2168" spans="2:6" outlineLevel="2" x14ac:dyDescent="0.25">
      <c r="C2168" t="s">
        <v>48</v>
      </c>
      <c r="D2168" s="12">
        <v>1</v>
      </c>
      <c r="E2168" s="2">
        <v>1</v>
      </c>
      <c r="F2168" s="25">
        <v>0.5</v>
      </c>
    </row>
    <row r="2169" spans="2:6" outlineLevel="2" x14ac:dyDescent="0.25">
      <c r="C2169" t="s">
        <v>40</v>
      </c>
      <c r="D2169" s="12">
        <v>2</v>
      </c>
      <c r="E2169" s="2">
        <v>2</v>
      </c>
      <c r="F2169" s="25">
        <v>0.22222222222222221</v>
      </c>
    </row>
    <row r="2170" spans="2:6" outlineLevel="1" x14ac:dyDescent="0.25">
      <c r="B2170" t="s">
        <v>343</v>
      </c>
      <c r="D2170" s="12"/>
      <c r="E2170" s="17">
        <v>1</v>
      </c>
      <c r="F2170" s="24">
        <v>8.375209380234506E-4</v>
      </c>
    </row>
    <row r="2171" spans="2:6" outlineLevel="2" x14ac:dyDescent="0.25">
      <c r="C2171" t="s">
        <v>48</v>
      </c>
      <c r="D2171" s="12">
        <v>1</v>
      </c>
      <c r="E2171" s="2">
        <v>1</v>
      </c>
      <c r="F2171" s="25">
        <v>0.5</v>
      </c>
    </row>
    <row r="2172" spans="2:6" outlineLevel="1" x14ac:dyDescent="0.25">
      <c r="B2172" t="s">
        <v>344</v>
      </c>
      <c r="D2172" s="12"/>
      <c r="E2172" s="17">
        <v>20</v>
      </c>
      <c r="F2172" s="24">
        <v>1.675041876046901E-2</v>
      </c>
    </row>
    <row r="2173" spans="2:6" outlineLevel="2" x14ac:dyDescent="0.25">
      <c r="C2173" t="s">
        <v>25</v>
      </c>
      <c r="D2173" s="12">
        <v>3</v>
      </c>
      <c r="E2173" s="2">
        <v>3</v>
      </c>
      <c r="F2173" s="25">
        <v>8.5714285714285715E-2</v>
      </c>
    </row>
    <row r="2174" spans="2:6" outlineLevel="2" x14ac:dyDescent="0.25">
      <c r="C2174" t="s">
        <v>23</v>
      </c>
      <c r="D2174" s="12">
        <v>1</v>
      </c>
      <c r="E2174" s="2">
        <v>1</v>
      </c>
      <c r="F2174" s="25">
        <v>4.5454545454545456E-2</v>
      </c>
    </row>
    <row r="2175" spans="2:6" outlineLevel="2" x14ac:dyDescent="0.25">
      <c r="C2175" t="s">
        <v>46</v>
      </c>
      <c r="D2175" s="12">
        <v>1</v>
      </c>
      <c r="E2175" s="2">
        <v>1</v>
      </c>
      <c r="F2175" s="25">
        <v>0.25</v>
      </c>
    </row>
    <row r="2176" spans="2:6" outlineLevel="2" x14ac:dyDescent="0.25">
      <c r="C2176" t="s">
        <v>34</v>
      </c>
      <c r="D2176" s="12">
        <v>1</v>
      </c>
      <c r="E2176" s="2">
        <v>1</v>
      </c>
      <c r="F2176" s="25">
        <v>0.25</v>
      </c>
    </row>
    <row r="2177" spans="1:6" outlineLevel="2" x14ac:dyDescent="0.25">
      <c r="C2177" t="s">
        <v>17</v>
      </c>
      <c r="D2177" s="12">
        <v>1</v>
      </c>
      <c r="E2177" s="2">
        <v>1</v>
      </c>
      <c r="F2177" s="25">
        <v>0.5</v>
      </c>
    </row>
    <row r="2178" spans="1:6" outlineLevel="2" x14ac:dyDescent="0.25">
      <c r="C2178" t="s">
        <v>18</v>
      </c>
      <c r="D2178" s="12">
        <v>1</v>
      </c>
      <c r="E2178" s="2">
        <v>1</v>
      </c>
      <c r="F2178" s="25">
        <v>2.6315789473684209E-2</v>
      </c>
    </row>
    <row r="2179" spans="1:6" outlineLevel="2" x14ac:dyDescent="0.25">
      <c r="C2179" t="s">
        <v>11</v>
      </c>
      <c r="D2179" s="12">
        <v>1</v>
      </c>
      <c r="E2179" s="2">
        <v>1</v>
      </c>
      <c r="F2179" s="25">
        <v>7.1428571428571425E-2</v>
      </c>
    </row>
    <row r="2180" spans="1:6" outlineLevel="2" x14ac:dyDescent="0.25">
      <c r="C2180" t="s">
        <v>12</v>
      </c>
      <c r="D2180" s="12">
        <v>1</v>
      </c>
      <c r="E2180" s="2">
        <v>1</v>
      </c>
      <c r="F2180" s="25">
        <v>4.1666666666666664E-2</v>
      </c>
    </row>
    <row r="2181" spans="1:6" outlineLevel="2" x14ac:dyDescent="0.25">
      <c r="C2181" t="s">
        <v>13</v>
      </c>
      <c r="D2181" s="12">
        <v>5</v>
      </c>
      <c r="E2181" s="2">
        <v>5</v>
      </c>
      <c r="F2181" s="25">
        <v>2.336448598130841E-2</v>
      </c>
    </row>
    <row r="2182" spans="1:6" outlineLevel="2" x14ac:dyDescent="0.25">
      <c r="C2182" t="s">
        <v>14</v>
      </c>
      <c r="D2182" s="12">
        <v>2</v>
      </c>
      <c r="E2182" s="2">
        <v>2</v>
      </c>
      <c r="F2182" s="25">
        <v>8.9285714285714281E-3</v>
      </c>
    </row>
    <row r="2183" spans="1:6" outlineLevel="2" x14ac:dyDescent="0.25">
      <c r="C2183" t="s">
        <v>50</v>
      </c>
      <c r="D2183" s="12">
        <v>1</v>
      </c>
      <c r="E2183" s="2">
        <v>1</v>
      </c>
      <c r="F2183" s="25">
        <v>0.14285714285714285</v>
      </c>
    </row>
    <row r="2184" spans="1:6" outlineLevel="2" x14ac:dyDescent="0.25">
      <c r="C2184" t="s">
        <v>21</v>
      </c>
      <c r="D2184" s="12">
        <v>1</v>
      </c>
      <c r="E2184" s="2">
        <v>1</v>
      </c>
      <c r="F2184" s="25">
        <v>0.1111111111111111</v>
      </c>
    </row>
    <row r="2185" spans="1:6" outlineLevel="2" x14ac:dyDescent="0.25">
      <c r="C2185" t="s">
        <v>15</v>
      </c>
      <c r="D2185" s="12">
        <v>1</v>
      </c>
      <c r="E2185" s="2">
        <v>1</v>
      </c>
      <c r="F2185" s="25">
        <v>1.282051282051282E-2</v>
      </c>
    </row>
    <row r="2186" spans="1:6" x14ac:dyDescent="0.25">
      <c r="A2186" t="s">
        <v>349</v>
      </c>
      <c r="D2186"/>
      <c r="E2186" s="20"/>
      <c r="F2186" s="21"/>
    </row>
    <row r="2187" spans="1:6" x14ac:dyDescent="0.25">
      <c r="D2187"/>
      <c r="E2187" s="18"/>
      <c r="F2187" s="19"/>
    </row>
    <row r="2188" spans="1:6" x14ac:dyDescent="0.25">
      <c r="D2188"/>
    </row>
    <row r="2189" spans="1:6" x14ac:dyDescent="0.25">
      <c r="D2189"/>
    </row>
    <row r="2190" spans="1:6" x14ac:dyDescent="0.25">
      <c r="D2190"/>
    </row>
    <row r="2191" spans="1:6" x14ac:dyDescent="0.25">
      <c r="D2191"/>
    </row>
    <row r="2192" spans="1:6" x14ac:dyDescent="0.25">
      <c r="D2192"/>
    </row>
    <row r="2193" spans="4:4" x14ac:dyDescent="0.25">
      <c r="D2193"/>
    </row>
    <row r="2194" spans="4:4" x14ac:dyDescent="0.25">
      <c r="D2194"/>
    </row>
    <row r="2195" spans="4:4" x14ac:dyDescent="0.25">
      <c r="D2195"/>
    </row>
    <row r="2196" spans="4:4" x14ac:dyDescent="0.25">
      <c r="D2196"/>
    </row>
    <row r="2197" spans="4:4" x14ac:dyDescent="0.25">
      <c r="D2197"/>
    </row>
    <row r="2198" spans="4:4" x14ac:dyDescent="0.25">
      <c r="D2198"/>
    </row>
    <row r="2199" spans="4:4" x14ac:dyDescent="0.25">
      <c r="D2199"/>
    </row>
    <row r="2200" spans="4:4" x14ac:dyDescent="0.25">
      <c r="D2200"/>
    </row>
    <row r="2201" spans="4:4" x14ac:dyDescent="0.25">
      <c r="D2201"/>
    </row>
    <row r="2202" spans="4:4" x14ac:dyDescent="0.25">
      <c r="D2202"/>
    </row>
    <row r="2203" spans="4:4" x14ac:dyDescent="0.25">
      <c r="D2203"/>
    </row>
    <row r="2204" spans="4:4" x14ac:dyDescent="0.25">
      <c r="D2204"/>
    </row>
    <row r="2205" spans="4:4" x14ac:dyDescent="0.25">
      <c r="D2205"/>
    </row>
    <row r="2206" spans="4:4" x14ac:dyDescent="0.25">
      <c r="D2206"/>
    </row>
    <row r="2207" spans="4:4" x14ac:dyDescent="0.25">
      <c r="D2207"/>
    </row>
    <row r="2208" spans="4:4" x14ac:dyDescent="0.25">
      <c r="D2208"/>
    </row>
    <row r="2209" spans="4:4" x14ac:dyDescent="0.25">
      <c r="D2209"/>
    </row>
    <row r="2210" spans="4:4" x14ac:dyDescent="0.25">
      <c r="D2210"/>
    </row>
    <row r="2211" spans="4:4" x14ac:dyDescent="0.25">
      <c r="D2211"/>
    </row>
    <row r="2212" spans="4:4" x14ac:dyDescent="0.25">
      <c r="D2212"/>
    </row>
    <row r="2213" spans="4:4" x14ac:dyDescent="0.25">
      <c r="D2213"/>
    </row>
    <row r="2214" spans="4:4" x14ac:dyDescent="0.25">
      <c r="D2214"/>
    </row>
    <row r="2215" spans="4:4" x14ac:dyDescent="0.25">
      <c r="D2215"/>
    </row>
    <row r="2216" spans="4:4" x14ac:dyDescent="0.25">
      <c r="D2216"/>
    </row>
    <row r="2217" spans="4:4" x14ac:dyDescent="0.25">
      <c r="D2217"/>
    </row>
    <row r="2218" spans="4:4" x14ac:dyDescent="0.25">
      <c r="D2218"/>
    </row>
    <row r="2219" spans="4:4" x14ac:dyDescent="0.25">
      <c r="D2219"/>
    </row>
    <row r="2220" spans="4:4" x14ac:dyDescent="0.25">
      <c r="D2220"/>
    </row>
    <row r="2221" spans="4:4" x14ac:dyDescent="0.25">
      <c r="D2221"/>
    </row>
    <row r="2222" spans="4:4" x14ac:dyDescent="0.25">
      <c r="D2222"/>
    </row>
    <row r="2223" spans="4:4" x14ac:dyDescent="0.25">
      <c r="D2223"/>
    </row>
    <row r="2224" spans="4:4" x14ac:dyDescent="0.25">
      <c r="D2224"/>
    </row>
    <row r="2225" spans="4:4" x14ac:dyDescent="0.25">
      <c r="D2225"/>
    </row>
    <row r="2226" spans="4:4" x14ac:dyDescent="0.25">
      <c r="D2226"/>
    </row>
    <row r="2227" spans="4:4" x14ac:dyDescent="0.25">
      <c r="D2227"/>
    </row>
    <row r="2228" spans="4:4" x14ac:dyDescent="0.25">
      <c r="D2228"/>
    </row>
    <row r="2229" spans="4:4" x14ac:dyDescent="0.25">
      <c r="D2229"/>
    </row>
    <row r="2230" spans="4:4" x14ac:dyDescent="0.25">
      <c r="D2230"/>
    </row>
    <row r="2231" spans="4:4" x14ac:dyDescent="0.25">
      <c r="D2231"/>
    </row>
    <row r="2232" spans="4:4" x14ac:dyDescent="0.25">
      <c r="D2232"/>
    </row>
    <row r="2233" spans="4:4" x14ac:dyDescent="0.25">
      <c r="D2233"/>
    </row>
    <row r="2234" spans="4:4" x14ac:dyDescent="0.25">
      <c r="D2234"/>
    </row>
    <row r="2235" spans="4:4" x14ac:dyDescent="0.25">
      <c r="D2235"/>
    </row>
    <row r="2236" spans="4:4" x14ac:dyDescent="0.25">
      <c r="D2236"/>
    </row>
    <row r="2237" spans="4:4" x14ac:dyDescent="0.25">
      <c r="D2237"/>
    </row>
    <row r="2238" spans="4:4" x14ac:dyDescent="0.25">
      <c r="D2238"/>
    </row>
    <row r="2239" spans="4:4" x14ac:dyDescent="0.25">
      <c r="D2239"/>
    </row>
    <row r="2240" spans="4:4" x14ac:dyDescent="0.25">
      <c r="D2240"/>
    </row>
    <row r="2241" spans="4:4" x14ac:dyDescent="0.25">
      <c r="D2241"/>
    </row>
    <row r="2242" spans="4:4" x14ac:dyDescent="0.25">
      <c r="D2242"/>
    </row>
    <row r="2243" spans="4:4" x14ac:dyDescent="0.25">
      <c r="D2243"/>
    </row>
    <row r="2244" spans="4:4" x14ac:dyDescent="0.25">
      <c r="D2244"/>
    </row>
    <row r="2245" spans="4:4" x14ac:dyDescent="0.25">
      <c r="D2245"/>
    </row>
    <row r="2246" spans="4:4" x14ac:dyDescent="0.25">
      <c r="D2246"/>
    </row>
    <row r="2247" spans="4:4" x14ac:dyDescent="0.25">
      <c r="D2247"/>
    </row>
    <row r="2248" spans="4:4" x14ac:dyDescent="0.25">
      <c r="D2248"/>
    </row>
    <row r="2249" spans="4:4" x14ac:dyDescent="0.25">
      <c r="D2249"/>
    </row>
    <row r="2250" spans="4:4" x14ac:dyDescent="0.25">
      <c r="D2250"/>
    </row>
    <row r="2251" spans="4:4" x14ac:dyDescent="0.25">
      <c r="D2251"/>
    </row>
    <row r="2252" spans="4:4" x14ac:dyDescent="0.25">
      <c r="D2252"/>
    </row>
    <row r="2253" spans="4:4" x14ac:dyDescent="0.25">
      <c r="D2253"/>
    </row>
    <row r="2254" spans="4:4" x14ac:dyDescent="0.25">
      <c r="D2254"/>
    </row>
    <row r="2255" spans="4:4" x14ac:dyDescent="0.25">
      <c r="D2255"/>
    </row>
    <row r="2256" spans="4:4" x14ac:dyDescent="0.25">
      <c r="D2256"/>
    </row>
    <row r="2257" spans="4:4" x14ac:dyDescent="0.25">
      <c r="D2257"/>
    </row>
    <row r="2258" spans="4:4" x14ac:dyDescent="0.25">
      <c r="D2258"/>
    </row>
    <row r="2259" spans="4:4" x14ac:dyDescent="0.25">
      <c r="D2259"/>
    </row>
    <row r="2260" spans="4:4" x14ac:dyDescent="0.25">
      <c r="D2260"/>
    </row>
    <row r="2261" spans="4:4" x14ac:dyDescent="0.25">
      <c r="D2261"/>
    </row>
    <row r="2262" spans="4:4" x14ac:dyDescent="0.25">
      <c r="D2262"/>
    </row>
    <row r="2263" spans="4:4" x14ac:dyDescent="0.25">
      <c r="D2263"/>
    </row>
    <row r="2264" spans="4:4" x14ac:dyDescent="0.25">
      <c r="D2264"/>
    </row>
    <row r="2265" spans="4:4" x14ac:dyDescent="0.25">
      <c r="D2265"/>
    </row>
    <row r="2266" spans="4:4" x14ac:dyDescent="0.25">
      <c r="D2266"/>
    </row>
    <row r="2267" spans="4:4" x14ac:dyDescent="0.25">
      <c r="D2267"/>
    </row>
    <row r="2268" spans="4:4" x14ac:dyDescent="0.25">
      <c r="D2268"/>
    </row>
    <row r="2269" spans="4:4" x14ac:dyDescent="0.25">
      <c r="D2269"/>
    </row>
    <row r="2270" spans="4:4" x14ac:dyDescent="0.25">
      <c r="D2270"/>
    </row>
    <row r="2271" spans="4:4" x14ac:dyDescent="0.25">
      <c r="D2271"/>
    </row>
    <row r="2272" spans="4:4" x14ac:dyDescent="0.25">
      <c r="D2272"/>
    </row>
    <row r="2273" spans="4:4" x14ac:dyDescent="0.25">
      <c r="D2273"/>
    </row>
    <row r="2274" spans="4:4" x14ac:dyDescent="0.25">
      <c r="D2274"/>
    </row>
    <row r="2275" spans="4:4" x14ac:dyDescent="0.25">
      <c r="D2275"/>
    </row>
    <row r="2276" spans="4:4" x14ac:dyDescent="0.25">
      <c r="D2276"/>
    </row>
    <row r="2277" spans="4:4" x14ac:dyDescent="0.25">
      <c r="D2277"/>
    </row>
    <row r="2278" spans="4:4" x14ac:dyDescent="0.25">
      <c r="D2278"/>
    </row>
    <row r="2279" spans="4:4" x14ac:dyDescent="0.25">
      <c r="D2279"/>
    </row>
    <row r="2280" spans="4:4" x14ac:dyDescent="0.25">
      <c r="D2280"/>
    </row>
    <row r="2281" spans="4:4" x14ac:dyDescent="0.25">
      <c r="D2281"/>
    </row>
    <row r="2282" spans="4:4" x14ac:dyDescent="0.25">
      <c r="D2282"/>
    </row>
    <row r="2283" spans="4:4" x14ac:dyDescent="0.25">
      <c r="D2283"/>
    </row>
    <row r="2284" spans="4:4" x14ac:dyDescent="0.25">
      <c r="D2284"/>
    </row>
    <row r="2285" spans="4:4" x14ac:dyDescent="0.25">
      <c r="D2285"/>
    </row>
    <row r="2286" spans="4:4" x14ac:dyDescent="0.25">
      <c r="D2286"/>
    </row>
    <row r="2287" spans="4:4" x14ac:dyDescent="0.25">
      <c r="D2287"/>
    </row>
    <row r="2288" spans="4:4" x14ac:dyDescent="0.25">
      <c r="D2288"/>
    </row>
    <row r="2289" spans="4:4" x14ac:dyDescent="0.25">
      <c r="D2289"/>
    </row>
    <row r="2290" spans="4:4" x14ac:dyDescent="0.25">
      <c r="D2290"/>
    </row>
    <row r="2291" spans="4:4" x14ac:dyDescent="0.25">
      <c r="D2291"/>
    </row>
    <row r="2292" spans="4:4" x14ac:dyDescent="0.25">
      <c r="D2292"/>
    </row>
    <row r="2293" spans="4:4" x14ac:dyDescent="0.25">
      <c r="D2293"/>
    </row>
    <row r="2294" spans="4:4" x14ac:dyDescent="0.25">
      <c r="D2294"/>
    </row>
    <row r="2295" spans="4:4" x14ac:dyDescent="0.25">
      <c r="D2295"/>
    </row>
    <row r="2296" spans="4:4" x14ac:dyDescent="0.25">
      <c r="D2296"/>
    </row>
    <row r="2297" spans="4:4" x14ac:dyDescent="0.25">
      <c r="D2297"/>
    </row>
    <row r="2298" spans="4:4" x14ac:dyDescent="0.25">
      <c r="D2298"/>
    </row>
    <row r="2299" spans="4:4" x14ac:dyDescent="0.25">
      <c r="D2299"/>
    </row>
    <row r="2300" spans="4:4" x14ac:dyDescent="0.25">
      <c r="D2300"/>
    </row>
    <row r="2301" spans="4:4" x14ac:dyDescent="0.25">
      <c r="D2301"/>
    </row>
    <row r="2302" spans="4:4" x14ac:dyDescent="0.25">
      <c r="D2302"/>
    </row>
    <row r="2303" spans="4:4" x14ac:dyDescent="0.25">
      <c r="D2303"/>
    </row>
    <row r="2304" spans="4:4" x14ac:dyDescent="0.25">
      <c r="D2304"/>
    </row>
    <row r="2305" spans="4:4" x14ac:dyDescent="0.25">
      <c r="D2305"/>
    </row>
    <row r="2306" spans="4:4" x14ac:dyDescent="0.25">
      <c r="D2306"/>
    </row>
    <row r="2307" spans="4:4" x14ac:dyDescent="0.25">
      <c r="D2307"/>
    </row>
    <row r="2308" spans="4:4" x14ac:dyDescent="0.25">
      <c r="D2308"/>
    </row>
    <row r="2309" spans="4:4" x14ac:dyDescent="0.25">
      <c r="D2309"/>
    </row>
    <row r="2310" spans="4:4" x14ac:dyDescent="0.25">
      <c r="D2310"/>
    </row>
    <row r="2311" spans="4:4" x14ac:dyDescent="0.25">
      <c r="D2311"/>
    </row>
    <row r="2312" spans="4:4" x14ac:dyDescent="0.25">
      <c r="D2312"/>
    </row>
    <row r="2313" spans="4:4" x14ac:dyDescent="0.25">
      <c r="D2313"/>
    </row>
    <row r="2314" spans="4:4" x14ac:dyDescent="0.25">
      <c r="D2314"/>
    </row>
    <row r="2315" spans="4:4" x14ac:dyDescent="0.25">
      <c r="D2315"/>
    </row>
    <row r="2316" spans="4:4" x14ac:dyDescent="0.25">
      <c r="D2316"/>
    </row>
    <row r="2317" spans="4:4" x14ac:dyDescent="0.25">
      <c r="D2317"/>
    </row>
    <row r="2318" spans="4:4" x14ac:dyDescent="0.25">
      <c r="D2318"/>
    </row>
    <row r="2319" spans="4:4" x14ac:dyDescent="0.25">
      <c r="D2319"/>
    </row>
    <row r="2320" spans="4:4" x14ac:dyDescent="0.25">
      <c r="D2320"/>
    </row>
    <row r="2321" spans="4:4" x14ac:dyDescent="0.25">
      <c r="D2321"/>
    </row>
    <row r="2322" spans="4:4" x14ac:dyDescent="0.25">
      <c r="D2322"/>
    </row>
    <row r="2323" spans="4:4" x14ac:dyDescent="0.25">
      <c r="D2323"/>
    </row>
    <row r="2324" spans="4:4" x14ac:dyDescent="0.25">
      <c r="D2324"/>
    </row>
    <row r="2325" spans="4:4" x14ac:dyDescent="0.25">
      <c r="D2325"/>
    </row>
    <row r="2326" spans="4:4" x14ac:dyDescent="0.25">
      <c r="D2326"/>
    </row>
    <row r="2327" spans="4:4" x14ac:dyDescent="0.25">
      <c r="D2327"/>
    </row>
    <row r="2328" spans="4:4" x14ac:dyDescent="0.25">
      <c r="D2328"/>
    </row>
    <row r="2329" spans="4:4" x14ac:dyDescent="0.25">
      <c r="D2329"/>
    </row>
    <row r="2330" spans="4:4" x14ac:dyDescent="0.25">
      <c r="D2330"/>
    </row>
    <row r="2331" spans="4:4" x14ac:dyDescent="0.25">
      <c r="D2331"/>
    </row>
    <row r="2332" spans="4:4" x14ac:dyDescent="0.25">
      <c r="D2332"/>
    </row>
    <row r="2333" spans="4:4" x14ac:dyDescent="0.25">
      <c r="D2333"/>
    </row>
    <row r="2334" spans="4:4" x14ac:dyDescent="0.25">
      <c r="D2334"/>
    </row>
    <row r="2335" spans="4:4" x14ac:dyDescent="0.25">
      <c r="D2335"/>
    </row>
    <row r="2336" spans="4:4" x14ac:dyDescent="0.25">
      <c r="D2336"/>
    </row>
    <row r="2337" spans="4:4" x14ac:dyDescent="0.25">
      <c r="D2337"/>
    </row>
    <row r="2338" spans="4:4" x14ac:dyDescent="0.25">
      <c r="D2338"/>
    </row>
    <row r="2339" spans="4:4" x14ac:dyDescent="0.25">
      <c r="D2339"/>
    </row>
    <row r="2340" spans="4:4" x14ac:dyDescent="0.25">
      <c r="D2340"/>
    </row>
    <row r="2341" spans="4:4" x14ac:dyDescent="0.25">
      <c r="D2341"/>
    </row>
    <row r="2342" spans="4:4" x14ac:dyDescent="0.25">
      <c r="D2342"/>
    </row>
    <row r="2343" spans="4:4" x14ac:dyDescent="0.25">
      <c r="D2343"/>
    </row>
    <row r="2344" spans="4:4" x14ac:dyDescent="0.25">
      <c r="D2344"/>
    </row>
    <row r="2345" spans="4:4" x14ac:dyDescent="0.25">
      <c r="D2345"/>
    </row>
    <row r="2346" spans="4:4" x14ac:dyDescent="0.25">
      <c r="D2346"/>
    </row>
    <row r="2347" spans="4:4" x14ac:dyDescent="0.25">
      <c r="D2347"/>
    </row>
    <row r="2348" spans="4:4" x14ac:dyDescent="0.25">
      <c r="D2348"/>
    </row>
    <row r="2349" spans="4:4" x14ac:dyDescent="0.25">
      <c r="D2349"/>
    </row>
    <row r="2350" spans="4:4" x14ac:dyDescent="0.25">
      <c r="D2350"/>
    </row>
    <row r="2351" spans="4:4" x14ac:dyDescent="0.25">
      <c r="D2351"/>
    </row>
    <row r="2352" spans="4:4" x14ac:dyDescent="0.25">
      <c r="D2352"/>
    </row>
    <row r="2353" spans="4:4" x14ac:dyDescent="0.25">
      <c r="D2353"/>
    </row>
    <row r="2354" spans="4:4" x14ac:dyDescent="0.25">
      <c r="D2354"/>
    </row>
    <row r="2355" spans="4:4" x14ac:dyDescent="0.25">
      <c r="D2355"/>
    </row>
    <row r="2356" spans="4:4" x14ac:dyDescent="0.25">
      <c r="D2356"/>
    </row>
    <row r="2357" spans="4:4" x14ac:dyDescent="0.25">
      <c r="D2357"/>
    </row>
    <row r="2358" spans="4:4" x14ac:dyDescent="0.25">
      <c r="D2358"/>
    </row>
    <row r="2359" spans="4:4" x14ac:dyDescent="0.25">
      <c r="D2359"/>
    </row>
    <row r="2360" spans="4:4" x14ac:dyDescent="0.25">
      <c r="D2360"/>
    </row>
    <row r="2361" spans="4:4" x14ac:dyDescent="0.25">
      <c r="D2361"/>
    </row>
    <row r="2362" spans="4:4" x14ac:dyDescent="0.25">
      <c r="D2362"/>
    </row>
    <row r="2363" spans="4:4" x14ac:dyDescent="0.25">
      <c r="D2363"/>
    </row>
    <row r="2364" spans="4:4" x14ac:dyDescent="0.25">
      <c r="D2364"/>
    </row>
    <row r="2365" spans="4:4" x14ac:dyDescent="0.25">
      <c r="D2365"/>
    </row>
    <row r="2366" spans="4:4" x14ac:dyDescent="0.25">
      <c r="D2366"/>
    </row>
    <row r="2367" spans="4:4" x14ac:dyDescent="0.25">
      <c r="D2367"/>
    </row>
    <row r="2368" spans="4:4" x14ac:dyDescent="0.25">
      <c r="D2368"/>
    </row>
    <row r="2369" spans="4:4" x14ac:dyDescent="0.25">
      <c r="D2369"/>
    </row>
    <row r="2370" spans="4:4" x14ac:dyDescent="0.25">
      <c r="D2370"/>
    </row>
    <row r="2371" spans="4:4" x14ac:dyDescent="0.25">
      <c r="D2371"/>
    </row>
    <row r="2372" spans="4:4" x14ac:dyDescent="0.25">
      <c r="D2372"/>
    </row>
    <row r="2373" spans="4:4" x14ac:dyDescent="0.25">
      <c r="D2373"/>
    </row>
    <row r="2374" spans="4:4" x14ac:dyDescent="0.25">
      <c r="D2374"/>
    </row>
    <row r="2375" spans="4:4" x14ac:dyDescent="0.25">
      <c r="D2375"/>
    </row>
    <row r="2376" spans="4:4" x14ac:dyDescent="0.25">
      <c r="D2376"/>
    </row>
    <row r="2377" spans="4:4" x14ac:dyDescent="0.25">
      <c r="D2377"/>
    </row>
    <row r="2378" spans="4:4" x14ac:dyDescent="0.25">
      <c r="D2378"/>
    </row>
    <row r="2379" spans="4:4" x14ac:dyDescent="0.25">
      <c r="D2379"/>
    </row>
    <row r="2380" spans="4:4" x14ac:dyDescent="0.25">
      <c r="D2380"/>
    </row>
    <row r="2381" spans="4:4" x14ac:dyDescent="0.25">
      <c r="D2381"/>
    </row>
    <row r="2382" spans="4:4" x14ac:dyDescent="0.25">
      <c r="D2382"/>
    </row>
    <row r="2383" spans="4:4" x14ac:dyDescent="0.25">
      <c r="D2383"/>
    </row>
    <row r="2384" spans="4:4" x14ac:dyDescent="0.25">
      <c r="D2384"/>
    </row>
    <row r="2385" spans="4:4" x14ac:dyDescent="0.25">
      <c r="D2385"/>
    </row>
    <row r="2386" spans="4:4" x14ac:dyDescent="0.25">
      <c r="D2386"/>
    </row>
    <row r="2387" spans="4:4" x14ac:dyDescent="0.25">
      <c r="D2387"/>
    </row>
    <row r="2388" spans="4:4" x14ac:dyDescent="0.25">
      <c r="D2388"/>
    </row>
    <row r="2389" spans="4:4" x14ac:dyDescent="0.25">
      <c r="D2389"/>
    </row>
    <row r="2390" spans="4:4" x14ac:dyDescent="0.25">
      <c r="D2390"/>
    </row>
    <row r="2391" spans="4:4" x14ac:dyDescent="0.25">
      <c r="D2391"/>
    </row>
    <row r="2392" spans="4:4" x14ac:dyDescent="0.25">
      <c r="D2392"/>
    </row>
    <row r="2393" spans="4:4" x14ac:dyDescent="0.25">
      <c r="D2393"/>
    </row>
    <row r="2394" spans="4:4" x14ac:dyDescent="0.25">
      <c r="D2394"/>
    </row>
    <row r="2395" spans="4:4" x14ac:dyDescent="0.25">
      <c r="D2395"/>
    </row>
    <row r="2396" spans="4:4" x14ac:dyDescent="0.25">
      <c r="D2396"/>
    </row>
    <row r="2397" spans="4:4" x14ac:dyDescent="0.25">
      <c r="D2397"/>
    </row>
    <row r="2398" spans="4:4" x14ac:dyDescent="0.25">
      <c r="D2398"/>
    </row>
    <row r="2399" spans="4:4" x14ac:dyDescent="0.25">
      <c r="D2399"/>
    </row>
    <row r="2400" spans="4:4" x14ac:dyDescent="0.25">
      <c r="D2400"/>
    </row>
    <row r="2401" spans="4:4" x14ac:dyDescent="0.25">
      <c r="D2401"/>
    </row>
    <row r="2402" spans="4:4" x14ac:dyDescent="0.25">
      <c r="D2402"/>
    </row>
    <row r="2403" spans="4:4" x14ac:dyDescent="0.25">
      <c r="D2403"/>
    </row>
    <row r="2404" spans="4:4" x14ac:dyDescent="0.25">
      <c r="D2404"/>
    </row>
    <row r="2405" spans="4:4" x14ac:dyDescent="0.25">
      <c r="D2405"/>
    </row>
    <row r="2406" spans="4:4" x14ac:dyDescent="0.25">
      <c r="D2406"/>
    </row>
    <row r="2407" spans="4:4" x14ac:dyDescent="0.25">
      <c r="D2407"/>
    </row>
    <row r="2408" spans="4:4" x14ac:dyDescent="0.25">
      <c r="D2408"/>
    </row>
    <row r="2409" spans="4:4" x14ac:dyDescent="0.25">
      <c r="D2409"/>
    </row>
    <row r="2410" spans="4:4" x14ac:dyDescent="0.25">
      <c r="D2410"/>
    </row>
    <row r="2411" spans="4:4" x14ac:dyDescent="0.25">
      <c r="D2411"/>
    </row>
    <row r="2412" spans="4:4" x14ac:dyDescent="0.25">
      <c r="D2412"/>
    </row>
    <row r="2413" spans="4:4" x14ac:dyDescent="0.25">
      <c r="D2413"/>
    </row>
    <row r="2414" spans="4:4" x14ac:dyDescent="0.25">
      <c r="D2414"/>
    </row>
    <row r="2415" spans="4:4" x14ac:dyDescent="0.25">
      <c r="D2415"/>
    </row>
    <row r="2416" spans="4:4" x14ac:dyDescent="0.25">
      <c r="D2416"/>
    </row>
    <row r="2417" spans="4:4" x14ac:dyDescent="0.25">
      <c r="D2417"/>
    </row>
    <row r="2418" spans="4:4" x14ac:dyDescent="0.25">
      <c r="D2418"/>
    </row>
    <row r="2419" spans="4:4" x14ac:dyDescent="0.25">
      <c r="D2419"/>
    </row>
    <row r="2420" spans="4:4" x14ac:dyDescent="0.25">
      <c r="D2420"/>
    </row>
    <row r="2421" spans="4:4" x14ac:dyDescent="0.25">
      <c r="D2421"/>
    </row>
    <row r="2422" spans="4:4" x14ac:dyDescent="0.25">
      <c r="D2422"/>
    </row>
    <row r="2423" spans="4:4" x14ac:dyDescent="0.25">
      <c r="D2423"/>
    </row>
    <row r="2424" spans="4:4" x14ac:dyDescent="0.25">
      <c r="D2424"/>
    </row>
    <row r="2425" spans="4:4" x14ac:dyDescent="0.25">
      <c r="D2425"/>
    </row>
    <row r="2426" spans="4:4" x14ac:dyDescent="0.25">
      <c r="D2426"/>
    </row>
    <row r="2427" spans="4:4" x14ac:dyDescent="0.25">
      <c r="D2427"/>
    </row>
    <row r="2428" spans="4:4" x14ac:dyDescent="0.25">
      <c r="D2428"/>
    </row>
    <row r="2429" spans="4:4" x14ac:dyDescent="0.25">
      <c r="D2429"/>
    </row>
    <row r="2430" spans="4:4" x14ac:dyDescent="0.25">
      <c r="D2430"/>
    </row>
    <row r="2431" spans="4:4" x14ac:dyDescent="0.25">
      <c r="D2431"/>
    </row>
    <row r="2432" spans="4:4" x14ac:dyDescent="0.25">
      <c r="D2432"/>
    </row>
    <row r="2433" spans="4:4" x14ac:dyDescent="0.25">
      <c r="D2433"/>
    </row>
    <row r="2434" spans="4:4" x14ac:dyDescent="0.25">
      <c r="D2434"/>
    </row>
    <row r="2435" spans="4:4" x14ac:dyDescent="0.25">
      <c r="D2435"/>
    </row>
    <row r="2436" spans="4:4" x14ac:dyDescent="0.25">
      <c r="D2436"/>
    </row>
    <row r="2437" spans="4:4" x14ac:dyDescent="0.25">
      <c r="D2437"/>
    </row>
    <row r="2438" spans="4:4" x14ac:dyDescent="0.25">
      <c r="D2438"/>
    </row>
    <row r="2439" spans="4:4" x14ac:dyDescent="0.25">
      <c r="D2439"/>
    </row>
    <row r="2440" spans="4:4" x14ac:dyDescent="0.25">
      <c r="D2440"/>
    </row>
    <row r="2441" spans="4:4" x14ac:dyDescent="0.25">
      <c r="D2441"/>
    </row>
    <row r="2442" spans="4:4" x14ac:dyDescent="0.25">
      <c r="D2442"/>
    </row>
    <row r="2443" spans="4:4" x14ac:dyDescent="0.25">
      <c r="D2443"/>
    </row>
    <row r="2444" spans="4:4" x14ac:dyDescent="0.25">
      <c r="D2444"/>
    </row>
    <row r="2445" spans="4:4" x14ac:dyDescent="0.25">
      <c r="D2445"/>
    </row>
    <row r="2446" spans="4:4" x14ac:dyDescent="0.25">
      <c r="D2446"/>
    </row>
    <row r="2447" spans="4:4" x14ac:dyDescent="0.25">
      <c r="D2447"/>
    </row>
    <row r="2448" spans="4:4" x14ac:dyDescent="0.25">
      <c r="D2448"/>
    </row>
    <row r="2449" spans="4:4" x14ac:dyDescent="0.25">
      <c r="D2449"/>
    </row>
    <row r="2450" spans="4:4" x14ac:dyDescent="0.25">
      <c r="D2450"/>
    </row>
    <row r="2451" spans="4:4" x14ac:dyDescent="0.25">
      <c r="D2451"/>
    </row>
    <row r="2452" spans="4:4" x14ac:dyDescent="0.25">
      <c r="D2452"/>
    </row>
    <row r="2453" spans="4:4" x14ac:dyDescent="0.25">
      <c r="D2453"/>
    </row>
    <row r="2454" spans="4:4" x14ac:dyDescent="0.25">
      <c r="D2454"/>
    </row>
    <row r="2455" spans="4:4" x14ac:dyDescent="0.25">
      <c r="D2455"/>
    </row>
    <row r="2456" spans="4:4" x14ac:dyDescent="0.25">
      <c r="D2456"/>
    </row>
    <row r="2457" spans="4:4" x14ac:dyDescent="0.25">
      <c r="D2457"/>
    </row>
    <row r="2458" spans="4:4" x14ac:dyDescent="0.25">
      <c r="D2458"/>
    </row>
    <row r="2459" spans="4:4" x14ac:dyDescent="0.25">
      <c r="D2459"/>
    </row>
    <row r="2460" spans="4:4" x14ac:dyDescent="0.25">
      <c r="D2460"/>
    </row>
    <row r="2461" spans="4:4" x14ac:dyDescent="0.25">
      <c r="D2461"/>
    </row>
    <row r="2462" spans="4:4" x14ac:dyDescent="0.25">
      <c r="D2462"/>
    </row>
    <row r="2463" spans="4:4" x14ac:dyDescent="0.25">
      <c r="D2463"/>
    </row>
    <row r="2464" spans="4:4" x14ac:dyDescent="0.25">
      <c r="D2464"/>
    </row>
    <row r="2465" spans="4:4" x14ac:dyDescent="0.25">
      <c r="D2465"/>
    </row>
    <row r="2466" spans="4:4" x14ac:dyDescent="0.25">
      <c r="D2466"/>
    </row>
    <row r="2467" spans="4:4" x14ac:dyDescent="0.25">
      <c r="D2467"/>
    </row>
    <row r="2468" spans="4:4" x14ac:dyDescent="0.25">
      <c r="D2468"/>
    </row>
    <row r="2469" spans="4:4" x14ac:dyDescent="0.25">
      <c r="D2469"/>
    </row>
    <row r="2470" spans="4:4" x14ac:dyDescent="0.25">
      <c r="D2470"/>
    </row>
    <row r="2471" spans="4:4" x14ac:dyDescent="0.25">
      <c r="D2471"/>
    </row>
    <row r="2472" spans="4:4" x14ac:dyDescent="0.25">
      <c r="D2472"/>
    </row>
    <row r="2473" spans="4:4" x14ac:dyDescent="0.25">
      <c r="D2473"/>
    </row>
    <row r="2474" spans="4:4" x14ac:dyDescent="0.25">
      <c r="D2474"/>
    </row>
    <row r="2475" spans="4:4" x14ac:dyDescent="0.25">
      <c r="D2475"/>
    </row>
    <row r="2476" spans="4:4" x14ac:dyDescent="0.25">
      <c r="D2476"/>
    </row>
    <row r="2477" spans="4:4" x14ac:dyDescent="0.25">
      <c r="D2477"/>
    </row>
    <row r="2478" spans="4:4" x14ac:dyDescent="0.25">
      <c r="D2478"/>
    </row>
    <row r="2479" spans="4:4" x14ac:dyDescent="0.25">
      <c r="D2479"/>
    </row>
    <row r="2480" spans="4:4" x14ac:dyDescent="0.25">
      <c r="D2480"/>
    </row>
    <row r="2481" spans="4:4" x14ac:dyDescent="0.25">
      <c r="D2481"/>
    </row>
    <row r="2482" spans="4:4" x14ac:dyDescent="0.25">
      <c r="D2482"/>
    </row>
    <row r="2483" spans="4:4" x14ac:dyDescent="0.25">
      <c r="D2483"/>
    </row>
    <row r="2484" spans="4:4" x14ac:dyDescent="0.25">
      <c r="D2484"/>
    </row>
    <row r="2485" spans="4:4" x14ac:dyDescent="0.25">
      <c r="D2485"/>
    </row>
    <row r="2486" spans="4:4" x14ac:dyDescent="0.25">
      <c r="D2486"/>
    </row>
    <row r="2487" spans="4:4" x14ac:dyDescent="0.25">
      <c r="D2487"/>
    </row>
    <row r="2488" spans="4:4" x14ac:dyDescent="0.25">
      <c r="D2488"/>
    </row>
    <row r="2489" spans="4:4" x14ac:dyDescent="0.25">
      <c r="D2489"/>
    </row>
    <row r="2490" spans="4:4" x14ac:dyDescent="0.25">
      <c r="D2490"/>
    </row>
    <row r="2491" spans="4:4" x14ac:dyDescent="0.25">
      <c r="D2491"/>
    </row>
    <row r="2492" spans="4:4" x14ac:dyDescent="0.25">
      <c r="D2492"/>
    </row>
    <row r="2493" spans="4:4" x14ac:dyDescent="0.25">
      <c r="D2493"/>
    </row>
    <row r="2494" spans="4:4" x14ac:dyDescent="0.25">
      <c r="D2494"/>
    </row>
    <row r="2495" spans="4:4" x14ac:dyDescent="0.25">
      <c r="D2495"/>
    </row>
    <row r="2496" spans="4:4" x14ac:dyDescent="0.25">
      <c r="D2496"/>
    </row>
    <row r="2497" spans="4:4" x14ac:dyDescent="0.25">
      <c r="D2497"/>
    </row>
    <row r="2498" spans="4:4" x14ac:dyDescent="0.25">
      <c r="D2498"/>
    </row>
    <row r="2499" spans="4:4" x14ac:dyDescent="0.25">
      <c r="D2499"/>
    </row>
    <row r="2500" spans="4:4" x14ac:dyDescent="0.25">
      <c r="D2500"/>
    </row>
    <row r="2501" spans="4:4" x14ac:dyDescent="0.25">
      <c r="D2501"/>
    </row>
    <row r="2502" spans="4:4" x14ac:dyDescent="0.25">
      <c r="D2502"/>
    </row>
    <row r="2503" spans="4:4" x14ac:dyDescent="0.25">
      <c r="D2503"/>
    </row>
    <row r="2504" spans="4:4" x14ac:dyDescent="0.25">
      <c r="D2504"/>
    </row>
    <row r="2505" spans="4:4" x14ac:dyDescent="0.25">
      <c r="D2505"/>
    </row>
    <row r="2506" spans="4:4" x14ac:dyDescent="0.25">
      <c r="D2506"/>
    </row>
    <row r="2507" spans="4:4" x14ac:dyDescent="0.25">
      <c r="D2507"/>
    </row>
    <row r="2508" spans="4:4" x14ac:dyDescent="0.25">
      <c r="D2508"/>
    </row>
    <row r="2509" spans="4:4" x14ac:dyDescent="0.25">
      <c r="D2509"/>
    </row>
    <row r="2510" spans="4:4" x14ac:dyDescent="0.25">
      <c r="D2510"/>
    </row>
    <row r="2511" spans="4:4" x14ac:dyDescent="0.25">
      <c r="D2511"/>
    </row>
    <row r="2512" spans="4:4" x14ac:dyDescent="0.25">
      <c r="D2512"/>
    </row>
    <row r="2513" spans="4:4" x14ac:dyDescent="0.25">
      <c r="D2513"/>
    </row>
    <row r="2514" spans="4:4" x14ac:dyDescent="0.25">
      <c r="D2514"/>
    </row>
    <row r="2515" spans="4:4" x14ac:dyDescent="0.25">
      <c r="D2515"/>
    </row>
    <row r="2516" spans="4:4" x14ac:dyDescent="0.25">
      <c r="D2516"/>
    </row>
    <row r="2517" spans="4:4" x14ac:dyDescent="0.25">
      <c r="D2517"/>
    </row>
    <row r="2518" spans="4:4" x14ac:dyDescent="0.25">
      <c r="D2518"/>
    </row>
    <row r="2519" spans="4:4" x14ac:dyDescent="0.25">
      <c r="D2519"/>
    </row>
    <row r="2520" spans="4:4" x14ac:dyDescent="0.25">
      <c r="D2520"/>
    </row>
    <row r="2521" spans="4:4" x14ac:dyDescent="0.25">
      <c r="D2521"/>
    </row>
    <row r="2522" spans="4:4" x14ac:dyDescent="0.25">
      <c r="D2522"/>
    </row>
    <row r="2523" spans="4:4" x14ac:dyDescent="0.25">
      <c r="D2523"/>
    </row>
    <row r="2524" spans="4:4" x14ac:dyDescent="0.25">
      <c r="D2524"/>
    </row>
    <row r="2525" spans="4:4" x14ac:dyDescent="0.25">
      <c r="D2525"/>
    </row>
    <row r="2526" spans="4:4" x14ac:dyDescent="0.25">
      <c r="D2526"/>
    </row>
    <row r="2527" spans="4:4" x14ac:dyDescent="0.25">
      <c r="D2527"/>
    </row>
    <row r="2528" spans="4:4" x14ac:dyDescent="0.25">
      <c r="D2528"/>
    </row>
    <row r="2529" spans="4:4" x14ac:dyDescent="0.25">
      <c r="D2529"/>
    </row>
    <row r="2530" spans="4:4" x14ac:dyDescent="0.25">
      <c r="D2530"/>
    </row>
    <row r="2531" spans="4:4" x14ac:dyDescent="0.25">
      <c r="D2531"/>
    </row>
    <row r="2532" spans="4:4" x14ac:dyDescent="0.25">
      <c r="D2532"/>
    </row>
    <row r="2533" spans="4:4" x14ac:dyDescent="0.25">
      <c r="D2533"/>
    </row>
    <row r="2534" spans="4:4" x14ac:dyDescent="0.25">
      <c r="D2534"/>
    </row>
    <row r="2535" spans="4:4" x14ac:dyDescent="0.25">
      <c r="D2535"/>
    </row>
    <row r="2536" spans="4:4" x14ac:dyDescent="0.25">
      <c r="D2536"/>
    </row>
    <row r="2537" spans="4:4" x14ac:dyDescent="0.25">
      <c r="D2537"/>
    </row>
    <row r="2538" spans="4:4" x14ac:dyDescent="0.25">
      <c r="D2538"/>
    </row>
    <row r="2539" spans="4:4" x14ac:dyDescent="0.25">
      <c r="D2539"/>
    </row>
    <row r="2540" spans="4:4" x14ac:dyDescent="0.25">
      <c r="D2540"/>
    </row>
    <row r="2541" spans="4:4" x14ac:dyDescent="0.25">
      <c r="D2541"/>
    </row>
    <row r="2542" spans="4:4" x14ac:dyDescent="0.25">
      <c r="D2542"/>
    </row>
    <row r="2543" spans="4:4" x14ac:dyDescent="0.25">
      <c r="D2543"/>
    </row>
    <row r="2544" spans="4:4" x14ac:dyDescent="0.25">
      <c r="D2544"/>
    </row>
    <row r="2545" spans="4:4" x14ac:dyDescent="0.25">
      <c r="D2545"/>
    </row>
    <row r="2546" spans="4:4" x14ac:dyDescent="0.25">
      <c r="D2546"/>
    </row>
    <row r="2547" spans="4:4" x14ac:dyDescent="0.25">
      <c r="D2547"/>
    </row>
    <row r="2548" spans="4:4" x14ac:dyDescent="0.25">
      <c r="D2548"/>
    </row>
    <row r="2549" spans="4:4" x14ac:dyDescent="0.25">
      <c r="D2549"/>
    </row>
    <row r="2550" spans="4:4" x14ac:dyDescent="0.25">
      <c r="D2550"/>
    </row>
    <row r="2551" spans="4:4" x14ac:dyDescent="0.25">
      <c r="D2551"/>
    </row>
    <row r="2552" spans="4:4" x14ac:dyDescent="0.25">
      <c r="D2552"/>
    </row>
    <row r="2553" spans="4:4" x14ac:dyDescent="0.25">
      <c r="D2553"/>
    </row>
    <row r="2554" spans="4:4" x14ac:dyDescent="0.25">
      <c r="D2554"/>
    </row>
    <row r="2555" spans="4:4" x14ac:dyDescent="0.25">
      <c r="D2555"/>
    </row>
    <row r="2556" spans="4:4" x14ac:dyDescent="0.25">
      <c r="D2556"/>
    </row>
    <row r="2557" spans="4:4" x14ac:dyDescent="0.25">
      <c r="D2557"/>
    </row>
    <row r="2558" spans="4:4" x14ac:dyDescent="0.25">
      <c r="D2558"/>
    </row>
    <row r="2559" spans="4:4" x14ac:dyDescent="0.25">
      <c r="D2559"/>
    </row>
    <row r="2560" spans="4:4" x14ac:dyDescent="0.25">
      <c r="D2560"/>
    </row>
    <row r="2561" spans="4:4" x14ac:dyDescent="0.25">
      <c r="D2561"/>
    </row>
    <row r="2562" spans="4:4" x14ac:dyDescent="0.25">
      <c r="D2562"/>
    </row>
    <row r="2563" spans="4:4" x14ac:dyDescent="0.25">
      <c r="D2563"/>
    </row>
    <row r="2564" spans="4:4" x14ac:dyDescent="0.25">
      <c r="D2564"/>
    </row>
    <row r="2565" spans="4:4" x14ac:dyDescent="0.25">
      <c r="D2565"/>
    </row>
    <row r="2566" spans="4:4" x14ac:dyDescent="0.25">
      <c r="D2566"/>
    </row>
    <row r="2567" spans="4:4" x14ac:dyDescent="0.25">
      <c r="D2567"/>
    </row>
    <row r="2568" spans="4:4" x14ac:dyDescent="0.25">
      <c r="D2568"/>
    </row>
    <row r="2569" spans="4:4" x14ac:dyDescent="0.25">
      <c r="D2569"/>
    </row>
    <row r="2570" spans="4:4" x14ac:dyDescent="0.25">
      <c r="D2570"/>
    </row>
    <row r="2571" spans="4:4" x14ac:dyDescent="0.25">
      <c r="D2571"/>
    </row>
    <row r="2572" spans="4:4" x14ac:dyDescent="0.25">
      <c r="D2572"/>
    </row>
    <row r="2573" spans="4:4" x14ac:dyDescent="0.25">
      <c r="D2573"/>
    </row>
    <row r="2574" spans="4:4" x14ac:dyDescent="0.25">
      <c r="D2574"/>
    </row>
    <row r="2575" spans="4:4" x14ac:dyDescent="0.25">
      <c r="D2575"/>
    </row>
    <row r="2576" spans="4:4" x14ac:dyDescent="0.25">
      <c r="D2576"/>
    </row>
    <row r="2577" spans="4:4" x14ac:dyDescent="0.25">
      <c r="D2577"/>
    </row>
    <row r="2578" spans="4:4" x14ac:dyDescent="0.25">
      <c r="D2578"/>
    </row>
    <row r="2579" spans="4:4" x14ac:dyDescent="0.25">
      <c r="D2579"/>
    </row>
    <row r="2580" spans="4:4" x14ac:dyDescent="0.25">
      <c r="D2580"/>
    </row>
    <row r="2581" spans="4:4" x14ac:dyDescent="0.25">
      <c r="D2581"/>
    </row>
    <row r="2582" spans="4:4" x14ac:dyDescent="0.25">
      <c r="D2582"/>
    </row>
    <row r="2583" spans="4:4" x14ac:dyDescent="0.25">
      <c r="D2583"/>
    </row>
    <row r="2584" spans="4:4" x14ac:dyDescent="0.25">
      <c r="D2584"/>
    </row>
    <row r="2585" spans="4:4" x14ac:dyDescent="0.25">
      <c r="D2585"/>
    </row>
    <row r="2586" spans="4:4" x14ac:dyDescent="0.25">
      <c r="D2586"/>
    </row>
    <row r="2587" spans="4:4" x14ac:dyDescent="0.25">
      <c r="D2587"/>
    </row>
    <row r="2588" spans="4:4" x14ac:dyDescent="0.25">
      <c r="D2588"/>
    </row>
    <row r="2589" spans="4:4" x14ac:dyDescent="0.25">
      <c r="D2589"/>
    </row>
    <row r="2590" spans="4:4" x14ac:dyDescent="0.25">
      <c r="D2590"/>
    </row>
    <row r="2591" spans="4:4" x14ac:dyDescent="0.25">
      <c r="D2591"/>
    </row>
    <row r="2592" spans="4:4" x14ac:dyDescent="0.25">
      <c r="D2592"/>
    </row>
    <row r="2593" spans="4:4" x14ac:dyDescent="0.25">
      <c r="D2593"/>
    </row>
    <row r="2594" spans="4:4" x14ac:dyDescent="0.25">
      <c r="D2594"/>
    </row>
    <row r="2595" spans="4:4" x14ac:dyDescent="0.25">
      <c r="D2595"/>
    </row>
    <row r="2596" spans="4:4" x14ac:dyDescent="0.25">
      <c r="D2596"/>
    </row>
    <row r="2597" spans="4:4" x14ac:dyDescent="0.25">
      <c r="D2597"/>
    </row>
    <row r="2598" spans="4:4" x14ac:dyDescent="0.25">
      <c r="D2598"/>
    </row>
    <row r="2599" spans="4:4" x14ac:dyDescent="0.25">
      <c r="D2599"/>
    </row>
    <row r="2600" spans="4:4" x14ac:dyDescent="0.25">
      <c r="D2600"/>
    </row>
    <row r="2601" spans="4:4" x14ac:dyDescent="0.25">
      <c r="D2601"/>
    </row>
    <row r="2602" spans="4:4" x14ac:dyDescent="0.25">
      <c r="D2602"/>
    </row>
    <row r="2603" spans="4:4" x14ac:dyDescent="0.25">
      <c r="D2603"/>
    </row>
    <row r="2604" spans="4:4" x14ac:dyDescent="0.25">
      <c r="D2604"/>
    </row>
    <row r="2605" spans="4:4" x14ac:dyDescent="0.25">
      <c r="D2605"/>
    </row>
    <row r="2606" spans="4:4" x14ac:dyDescent="0.25">
      <c r="D2606"/>
    </row>
    <row r="2607" spans="4:4" x14ac:dyDescent="0.25">
      <c r="D2607"/>
    </row>
    <row r="2608" spans="4:4" x14ac:dyDescent="0.25">
      <c r="D2608"/>
    </row>
    <row r="2609" spans="4:4" x14ac:dyDescent="0.25">
      <c r="D2609"/>
    </row>
    <row r="2610" spans="4:4" x14ac:dyDescent="0.25">
      <c r="D2610"/>
    </row>
    <row r="2611" spans="4:4" x14ac:dyDescent="0.25">
      <c r="D2611"/>
    </row>
    <row r="2612" spans="4:4" x14ac:dyDescent="0.25">
      <c r="D2612"/>
    </row>
    <row r="2613" spans="4:4" x14ac:dyDescent="0.25">
      <c r="D2613"/>
    </row>
    <row r="2614" spans="4:4" x14ac:dyDescent="0.25">
      <c r="D2614"/>
    </row>
    <row r="2615" spans="4:4" x14ac:dyDescent="0.25">
      <c r="D2615"/>
    </row>
    <row r="2616" spans="4:4" x14ac:dyDescent="0.25">
      <c r="D2616"/>
    </row>
    <row r="2617" spans="4:4" x14ac:dyDescent="0.25">
      <c r="D2617"/>
    </row>
    <row r="2618" spans="4:4" x14ac:dyDescent="0.25">
      <c r="D2618"/>
    </row>
    <row r="2619" spans="4:4" x14ac:dyDescent="0.25">
      <c r="D2619"/>
    </row>
    <row r="2620" spans="4:4" x14ac:dyDescent="0.25">
      <c r="D2620"/>
    </row>
    <row r="2621" spans="4:4" x14ac:dyDescent="0.25">
      <c r="D2621"/>
    </row>
    <row r="2622" spans="4:4" x14ac:dyDescent="0.25">
      <c r="D2622"/>
    </row>
    <row r="2623" spans="4:4" x14ac:dyDescent="0.25">
      <c r="D2623"/>
    </row>
    <row r="2624" spans="4:4" x14ac:dyDescent="0.25">
      <c r="D2624"/>
    </row>
    <row r="2625" spans="4:4" x14ac:dyDescent="0.25">
      <c r="D2625"/>
    </row>
    <row r="2626" spans="4:4" x14ac:dyDescent="0.25">
      <c r="D2626"/>
    </row>
    <row r="2627" spans="4:4" x14ac:dyDescent="0.25">
      <c r="D2627"/>
    </row>
    <row r="2628" spans="4:4" x14ac:dyDescent="0.25">
      <c r="D2628"/>
    </row>
    <row r="2629" spans="4:4" x14ac:dyDescent="0.25">
      <c r="D2629"/>
    </row>
    <row r="2630" spans="4:4" x14ac:dyDescent="0.25">
      <c r="D2630"/>
    </row>
    <row r="2631" spans="4:4" x14ac:dyDescent="0.25">
      <c r="D2631"/>
    </row>
    <row r="2632" spans="4:4" x14ac:dyDescent="0.25">
      <c r="D2632"/>
    </row>
    <row r="2633" spans="4:4" x14ac:dyDescent="0.25">
      <c r="D2633"/>
    </row>
    <row r="2634" spans="4:4" x14ac:dyDescent="0.25">
      <c r="D2634"/>
    </row>
    <row r="2635" spans="4:4" x14ac:dyDescent="0.25">
      <c r="D2635"/>
    </row>
    <row r="2636" spans="4:4" x14ac:dyDescent="0.25">
      <c r="D2636"/>
    </row>
    <row r="2637" spans="4:4" x14ac:dyDescent="0.25">
      <c r="D2637"/>
    </row>
    <row r="2638" spans="4:4" x14ac:dyDescent="0.25">
      <c r="D2638"/>
    </row>
    <row r="2639" spans="4:4" x14ac:dyDescent="0.25">
      <c r="D2639"/>
    </row>
    <row r="2640" spans="4:4" x14ac:dyDescent="0.25">
      <c r="D2640"/>
    </row>
    <row r="2641" spans="4:4" x14ac:dyDescent="0.25">
      <c r="D2641"/>
    </row>
    <row r="2642" spans="4:4" x14ac:dyDescent="0.25">
      <c r="D2642"/>
    </row>
    <row r="2643" spans="4:4" x14ac:dyDescent="0.25">
      <c r="D2643"/>
    </row>
    <row r="2644" spans="4:4" x14ac:dyDescent="0.25">
      <c r="D2644"/>
    </row>
    <row r="2645" spans="4:4" x14ac:dyDescent="0.25">
      <c r="D2645"/>
    </row>
    <row r="2646" spans="4:4" x14ac:dyDescent="0.25">
      <c r="D2646"/>
    </row>
    <row r="2647" spans="4:4" x14ac:dyDescent="0.25">
      <c r="D2647"/>
    </row>
    <row r="2648" spans="4:4" x14ac:dyDescent="0.25">
      <c r="D2648"/>
    </row>
    <row r="2649" spans="4:4" x14ac:dyDescent="0.25">
      <c r="D2649"/>
    </row>
    <row r="2650" spans="4:4" x14ac:dyDescent="0.25">
      <c r="D2650"/>
    </row>
    <row r="2651" spans="4:4" x14ac:dyDescent="0.25">
      <c r="D2651"/>
    </row>
    <row r="2652" spans="4:4" x14ac:dyDescent="0.25">
      <c r="D2652"/>
    </row>
    <row r="2653" spans="4:4" x14ac:dyDescent="0.25">
      <c r="D2653"/>
    </row>
    <row r="2654" spans="4:4" x14ac:dyDescent="0.25">
      <c r="D2654"/>
    </row>
    <row r="2655" spans="4:4" x14ac:dyDescent="0.25">
      <c r="D2655"/>
    </row>
    <row r="2656" spans="4:4" x14ac:dyDescent="0.25">
      <c r="D2656"/>
    </row>
    <row r="2657" spans="4:4" x14ac:dyDescent="0.25">
      <c r="D2657"/>
    </row>
    <row r="2658" spans="4:4" x14ac:dyDescent="0.25">
      <c r="D2658"/>
    </row>
    <row r="2659" spans="4:4" x14ac:dyDescent="0.25">
      <c r="D2659"/>
    </row>
    <row r="2660" spans="4:4" x14ac:dyDescent="0.25">
      <c r="D2660"/>
    </row>
    <row r="2661" spans="4:4" x14ac:dyDescent="0.25">
      <c r="D2661"/>
    </row>
    <row r="2662" spans="4:4" x14ac:dyDescent="0.25">
      <c r="D2662"/>
    </row>
    <row r="2663" spans="4:4" x14ac:dyDescent="0.25">
      <c r="D2663"/>
    </row>
    <row r="2664" spans="4:4" x14ac:dyDescent="0.25">
      <c r="D2664"/>
    </row>
    <row r="2665" spans="4:4" x14ac:dyDescent="0.25">
      <c r="D2665"/>
    </row>
    <row r="2666" spans="4:4" x14ac:dyDescent="0.25">
      <c r="D2666"/>
    </row>
    <row r="2667" spans="4:4" x14ac:dyDescent="0.25">
      <c r="D2667"/>
    </row>
    <row r="2668" spans="4:4" x14ac:dyDescent="0.25">
      <c r="D2668"/>
    </row>
    <row r="2669" spans="4:4" x14ac:dyDescent="0.25">
      <c r="D2669"/>
    </row>
    <row r="2670" spans="4:4" x14ac:dyDescent="0.25">
      <c r="D2670"/>
    </row>
    <row r="2671" spans="4:4" x14ac:dyDescent="0.25">
      <c r="D2671"/>
    </row>
    <row r="2672" spans="4:4" x14ac:dyDescent="0.25">
      <c r="D2672"/>
    </row>
    <row r="2673" spans="4:4" x14ac:dyDescent="0.25">
      <c r="D2673"/>
    </row>
    <row r="2674" spans="4:4" x14ac:dyDescent="0.25">
      <c r="D2674"/>
    </row>
    <row r="2675" spans="4:4" x14ac:dyDescent="0.25">
      <c r="D2675"/>
    </row>
    <row r="2676" spans="4:4" x14ac:dyDescent="0.25">
      <c r="D2676"/>
    </row>
    <row r="2677" spans="4:4" x14ac:dyDescent="0.25">
      <c r="D2677"/>
    </row>
    <row r="2678" spans="4:4" x14ac:dyDescent="0.25">
      <c r="D2678"/>
    </row>
    <row r="2679" spans="4:4" x14ac:dyDescent="0.25">
      <c r="D2679"/>
    </row>
    <row r="2680" spans="4:4" x14ac:dyDescent="0.25">
      <c r="D2680"/>
    </row>
    <row r="2681" spans="4:4" x14ac:dyDescent="0.25">
      <c r="D2681"/>
    </row>
    <row r="2682" spans="4:4" x14ac:dyDescent="0.25">
      <c r="D2682"/>
    </row>
    <row r="2683" spans="4:4" x14ac:dyDescent="0.25">
      <c r="D2683"/>
    </row>
    <row r="2684" spans="4:4" x14ac:dyDescent="0.25">
      <c r="D2684"/>
    </row>
    <row r="2685" spans="4:4" x14ac:dyDescent="0.25">
      <c r="D2685"/>
    </row>
    <row r="2686" spans="4:4" x14ac:dyDescent="0.25">
      <c r="D2686"/>
    </row>
    <row r="2687" spans="4:4" x14ac:dyDescent="0.25">
      <c r="D2687"/>
    </row>
    <row r="2688" spans="4:4" x14ac:dyDescent="0.25">
      <c r="D2688"/>
    </row>
    <row r="2689" spans="4:4" x14ac:dyDescent="0.25">
      <c r="D2689"/>
    </row>
    <row r="2690" spans="4:4" x14ac:dyDescent="0.25">
      <c r="D2690"/>
    </row>
    <row r="2691" spans="4:4" x14ac:dyDescent="0.25">
      <c r="D2691"/>
    </row>
    <row r="2692" spans="4:4" x14ac:dyDescent="0.25">
      <c r="D2692"/>
    </row>
    <row r="2693" spans="4:4" x14ac:dyDescent="0.25">
      <c r="D2693"/>
    </row>
    <row r="2694" spans="4:4" x14ac:dyDescent="0.25">
      <c r="D2694"/>
    </row>
    <row r="2695" spans="4:4" x14ac:dyDescent="0.25">
      <c r="D2695"/>
    </row>
    <row r="2696" spans="4:4" x14ac:dyDescent="0.25">
      <c r="D2696"/>
    </row>
    <row r="2697" spans="4:4" x14ac:dyDescent="0.25">
      <c r="D2697"/>
    </row>
    <row r="2698" spans="4:4" x14ac:dyDescent="0.25">
      <c r="D2698"/>
    </row>
    <row r="2699" spans="4:4" x14ac:dyDescent="0.25">
      <c r="D2699"/>
    </row>
    <row r="2700" spans="4:4" x14ac:dyDescent="0.25">
      <c r="D2700"/>
    </row>
    <row r="2701" spans="4:4" x14ac:dyDescent="0.25">
      <c r="D2701"/>
    </row>
    <row r="2702" spans="4:4" x14ac:dyDescent="0.25">
      <c r="D2702"/>
    </row>
    <row r="2703" spans="4:4" x14ac:dyDescent="0.25">
      <c r="D2703"/>
    </row>
    <row r="2704" spans="4:4" x14ac:dyDescent="0.25">
      <c r="D2704"/>
    </row>
    <row r="2705" spans="4:4" x14ac:dyDescent="0.25">
      <c r="D2705"/>
    </row>
    <row r="2706" spans="4:4" x14ac:dyDescent="0.25">
      <c r="D2706"/>
    </row>
    <row r="2707" spans="4:4" x14ac:dyDescent="0.25">
      <c r="D2707"/>
    </row>
    <row r="2708" spans="4:4" x14ac:dyDescent="0.25">
      <c r="D2708"/>
    </row>
    <row r="2709" spans="4:4" x14ac:dyDescent="0.25">
      <c r="D2709"/>
    </row>
    <row r="2710" spans="4:4" x14ac:dyDescent="0.25">
      <c r="D2710"/>
    </row>
    <row r="2711" spans="4:4" x14ac:dyDescent="0.25">
      <c r="D2711"/>
    </row>
    <row r="2712" spans="4:4" x14ac:dyDescent="0.25">
      <c r="D2712"/>
    </row>
    <row r="2713" spans="4:4" x14ac:dyDescent="0.25">
      <c r="D2713"/>
    </row>
    <row r="2714" spans="4:4" x14ac:dyDescent="0.25">
      <c r="D2714"/>
    </row>
    <row r="2715" spans="4:4" x14ac:dyDescent="0.25">
      <c r="D2715"/>
    </row>
    <row r="2716" spans="4:4" x14ac:dyDescent="0.25">
      <c r="D2716"/>
    </row>
    <row r="2717" spans="4:4" x14ac:dyDescent="0.25">
      <c r="D2717"/>
    </row>
    <row r="2718" spans="4:4" x14ac:dyDescent="0.25">
      <c r="D2718"/>
    </row>
    <row r="2719" spans="4:4" x14ac:dyDescent="0.25">
      <c r="D2719"/>
    </row>
    <row r="2720" spans="4:4" x14ac:dyDescent="0.25">
      <c r="D2720"/>
    </row>
    <row r="2721" spans="4:4" x14ac:dyDescent="0.25">
      <c r="D2721"/>
    </row>
    <row r="2722" spans="4:4" x14ac:dyDescent="0.25">
      <c r="D2722"/>
    </row>
    <row r="2723" spans="4:4" x14ac:dyDescent="0.25">
      <c r="D2723"/>
    </row>
    <row r="2724" spans="4:4" x14ac:dyDescent="0.25">
      <c r="D2724"/>
    </row>
    <row r="2725" spans="4:4" x14ac:dyDescent="0.25">
      <c r="D2725"/>
    </row>
    <row r="2726" spans="4:4" x14ac:dyDescent="0.25">
      <c r="D2726"/>
    </row>
    <row r="2727" spans="4:4" x14ac:dyDescent="0.25">
      <c r="D2727"/>
    </row>
    <row r="2728" spans="4:4" x14ac:dyDescent="0.25">
      <c r="D2728"/>
    </row>
    <row r="2729" spans="4:4" x14ac:dyDescent="0.25">
      <c r="D2729"/>
    </row>
    <row r="2730" spans="4:4" x14ac:dyDescent="0.25">
      <c r="D2730"/>
    </row>
    <row r="2731" spans="4:4" x14ac:dyDescent="0.25">
      <c r="D2731"/>
    </row>
    <row r="2732" spans="4:4" x14ac:dyDescent="0.25">
      <c r="D2732"/>
    </row>
    <row r="2733" spans="4:4" x14ac:dyDescent="0.25">
      <c r="D2733"/>
    </row>
    <row r="2734" spans="4:4" x14ac:dyDescent="0.25">
      <c r="D2734"/>
    </row>
    <row r="2735" spans="4:4" x14ac:dyDescent="0.25">
      <c r="D2735"/>
    </row>
    <row r="2736" spans="4:4" x14ac:dyDescent="0.25">
      <c r="D2736"/>
    </row>
    <row r="2737" spans="4:4" x14ac:dyDescent="0.25">
      <c r="D2737"/>
    </row>
    <row r="2738" spans="4:4" x14ac:dyDescent="0.25">
      <c r="D2738"/>
    </row>
    <row r="2739" spans="4:4" x14ac:dyDescent="0.25">
      <c r="D2739"/>
    </row>
    <row r="2740" spans="4:4" x14ac:dyDescent="0.25">
      <c r="D2740"/>
    </row>
    <row r="2741" spans="4:4" x14ac:dyDescent="0.25">
      <c r="D2741"/>
    </row>
    <row r="2742" spans="4:4" x14ac:dyDescent="0.25">
      <c r="D2742"/>
    </row>
    <row r="2743" spans="4:4" x14ac:dyDescent="0.25">
      <c r="D2743"/>
    </row>
    <row r="2744" spans="4:4" x14ac:dyDescent="0.25">
      <c r="D2744"/>
    </row>
    <row r="2745" spans="4:4" x14ac:dyDescent="0.25">
      <c r="D2745"/>
    </row>
    <row r="2746" spans="4:4" x14ac:dyDescent="0.25">
      <c r="D2746"/>
    </row>
    <row r="2747" spans="4:4" x14ac:dyDescent="0.25">
      <c r="D2747"/>
    </row>
    <row r="2748" spans="4:4" x14ac:dyDescent="0.25">
      <c r="D2748"/>
    </row>
    <row r="2749" spans="4:4" x14ac:dyDescent="0.25">
      <c r="D2749"/>
    </row>
    <row r="2750" spans="4:4" x14ac:dyDescent="0.25">
      <c r="D2750"/>
    </row>
    <row r="2751" spans="4:4" x14ac:dyDescent="0.25">
      <c r="D2751"/>
    </row>
    <row r="2752" spans="4:4" x14ac:dyDescent="0.25">
      <c r="D2752"/>
    </row>
    <row r="2753" spans="4:4" x14ac:dyDescent="0.25">
      <c r="D2753"/>
    </row>
    <row r="2754" spans="4:4" x14ac:dyDescent="0.25">
      <c r="D2754"/>
    </row>
    <row r="2755" spans="4:4" x14ac:dyDescent="0.25">
      <c r="D2755"/>
    </row>
    <row r="2756" spans="4:4" x14ac:dyDescent="0.25">
      <c r="D2756"/>
    </row>
    <row r="2757" spans="4:4" x14ac:dyDescent="0.25">
      <c r="D2757"/>
    </row>
    <row r="2758" spans="4:4" x14ac:dyDescent="0.25">
      <c r="D2758"/>
    </row>
    <row r="2759" spans="4:4" x14ac:dyDescent="0.25">
      <c r="D2759"/>
    </row>
    <row r="2760" spans="4:4" x14ac:dyDescent="0.25">
      <c r="D2760"/>
    </row>
    <row r="2761" spans="4:4" x14ac:dyDescent="0.25">
      <c r="D2761"/>
    </row>
    <row r="2762" spans="4:4" x14ac:dyDescent="0.25">
      <c r="D2762"/>
    </row>
    <row r="2763" spans="4:4" x14ac:dyDescent="0.25">
      <c r="D2763"/>
    </row>
    <row r="2764" spans="4:4" x14ac:dyDescent="0.25">
      <c r="D2764"/>
    </row>
    <row r="2765" spans="4:4" x14ac:dyDescent="0.25">
      <c r="D2765"/>
    </row>
    <row r="2766" spans="4:4" x14ac:dyDescent="0.25">
      <c r="D2766"/>
    </row>
    <row r="2767" spans="4:4" x14ac:dyDescent="0.25">
      <c r="D2767"/>
    </row>
    <row r="2768" spans="4:4" x14ac:dyDescent="0.25">
      <c r="D2768"/>
    </row>
    <row r="2769" spans="4:4" x14ac:dyDescent="0.25">
      <c r="D2769"/>
    </row>
    <row r="2770" spans="4:4" x14ac:dyDescent="0.25">
      <c r="D2770"/>
    </row>
    <row r="2771" spans="4:4" x14ac:dyDescent="0.25">
      <c r="D2771"/>
    </row>
    <row r="2772" spans="4:4" x14ac:dyDescent="0.25">
      <c r="D2772"/>
    </row>
    <row r="2773" spans="4:4" x14ac:dyDescent="0.25">
      <c r="D2773"/>
    </row>
    <row r="2774" spans="4:4" x14ac:dyDescent="0.25">
      <c r="D2774"/>
    </row>
    <row r="2775" spans="4:4" x14ac:dyDescent="0.25">
      <c r="D2775"/>
    </row>
    <row r="2776" spans="4:4" x14ac:dyDescent="0.25">
      <c r="D2776"/>
    </row>
    <row r="2777" spans="4:4" x14ac:dyDescent="0.25">
      <c r="D2777"/>
    </row>
    <row r="2778" spans="4:4" x14ac:dyDescent="0.25">
      <c r="D2778"/>
    </row>
    <row r="2779" spans="4:4" x14ac:dyDescent="0.25">
      <c r="D2779"/>
    </row>
    <row r="2780" spans="4:4" x14ac:dyDescent="0.25">
      <c r="D2780"/>
    </row>
    <row r="2781" spans="4:4" x14ac:dyDescent="0.25">
      <c r="D2781"/>
    </row>
    <row r="2782" spans="4:4" x14ac:dyDescent="0.25">
      <c r="D2782"/>
    </row>
    <row r="2783" spans="4:4" x14ac:dyDescent="0.25">
      <c r="D2783"/>
    </row>
    <row r="2784" spans="4:4" x14ac:dyDescent="0.25">
      <c r="D2784"/>
    </row>
    <row r="2785" spans="4:4" x14ac:dyDescent="0.25">
      <c r="D2785"/>
    </row>
    <row r="2786" spans="4:4" x14ac:dyDescent="0.25">
      <c r="D2786"/>
    </row>
    <row r="2787" spans="4:4" x14ac:dyDescent="0.25">
      <c r="D2787"/>
    </row>
    <row r="2788" spans="4:4" x14ac:dyDescent="0.25">
      <c r="D2788"/>
    </row>
    <row r="2789" spans="4:4" x14ac:dyDescent="0.25">
      <c r="D2789"/>
    </row>
    <row r="2790" spans="4:4" x14ac:dyDescent="0.25">
      <c r="D2790"/>
    </row>
    <row r="2791" spans="4:4" x14ac:dyDescent="0.25">
      <c r="D2791"/>
    </row>
    <row r="2792" spans="4:4" x14ac:dyDescent="0.25">
      <c r="D2792"/>
    </row>
    <row r="2793" spans="4:4" x14ac:dyDescent="0.25">
      <c r="D2793"/>
    </row>
    <row r="2794" spans="4:4" x14ac:dyDescent="0.25">
      <c r="D2794"/>
    </row>
    <row r="2795" spans="4:4" x14ac:dyDescent="0.25">
      <c r="D2795"/>
    </row>
    <row r="2796" spans="4:4" x14ac:dyDescent="0.25">
      <c r="D2796"/>
    </row>
    <row r="2797" spans="4:4" x14ac:dyDescent="0.25">
      <c r="D2797"/>
    </row>
    <row r="2798" spans="4:4" x14ac:dyDescent="0.25">
      <c r="D2798"/>
    </row>
    <row r="2799" spans="4:4" x14ac:dyDescent="0.25">
      <c r="D2799"/>
    </row>
    <row r="2800" spans="4:4" x14ac:dyDescent="0.25">
      <c r="D2800"/>
    </row>
    <row r="2801" spans="4:4" x14ac:dyDescent="0.25">
      <c r="D2801"/>
    </row>
    <row r="2802" spans="4:4" x14ac:dyDescent="0.25">
      <c r="D2802"/>
    </row>
    <row r="2803" spans="4:4" x14ac:dyDescent="0.25">
      <c r="D2803"/>
    </row>
    <row r="2804" spans="4:4" x14ac:dyDescent="0.25">
      <c r="D2804"/>
    </row>
    <row r="2805" spans="4:4" x14ac:dyDescent="0.25">
      <c r="D2805"/>
    </row>
    <row r="2806" spans="4:4" x14ac:dyDescent="0.25">
      <c r="D2806"/>
    </row>
    <row r="2807" spans="4:4" x14ac:dyDescent="0.25">
      <c r="D2807"/>
    </row>
    <row r="2808" spans="4:4" x14ac:dyDescent="0.25">
      <c r="D2808"/>
    </row>
    <row r="2809" spans="4:4" x14ac:dyDescent="0.25">
      <c r="D2809"/>
    </row>
    <row r="2810" spans="4:4" x14ac:dyDescent="0.25">
      <c r="D2810"/>
    </row>
    <row r="2811" spans="4:4" x14ac:dyDescent="0.25">
      <c r="D2811"/>
    </row>
    <row r="2812" spans="4:4" x14ac:dyDescent="0.25">
      <c r="D2812"/>
    </row>
    <row r="2813" spans="4:4" x14ac:dyDescent="0.25">
      <c r="D2813"/>
    </row>
    <row r="2814" spans="4:4" x14ac:dyDescent="0.25">
      <c r="D2814"/>
    </row>
    <row r="2815" spans="4:4" x14ac:dyDescent="0.25">
      <c r="D2815"/>
    </row>
    <row r="2816" spans="4:4" x14ac:dyDescent="0.25">
      <c r="D2816"/>
    </row>
    <row r="2817" spans="4:4" x14ac:dyDescent="0.25">
      <c r="D2817"/>
    </row>
    <row r="2818" spans="4:4" x14ac:dyDescent="0.25">
      <c r="D2818"/>
    </row>
    <row r="2819" spans="4:4" x14ac:dyDescent="0.25">
      <c r="D2819"/>
    </row>
    <row r="2820" spans="4:4" x14ac:dyDescent="0.25">
      <c r="D2820"/>
    </row>
    <row r="2821" spans="4:4" x14ac:dyDescent="0.25">
      <c r="D2821"/>
    </row>
    <row r="2822" spans="4:4" x14ac:dyDescent="0.25">
      <c r="D2822"/>
    </row>
    <row r="2823" spans="4:4" x14ac:dyDescent="0.25">
      <c r="D2823"/>
    </row>
    <row r="2824" spans="4:4" x14ac:dyDescent="0.25">
      <c r="D2824"/>
    </row>
    <row r="2825" spans="4:4" x14ac:dyDescent="0.25">
      <c r="D2825"/>
    </row>
    <row r="2826" spans="4:4" x14ac:dyDescent="0.25">
      <c r="D2826"/>
    </row>
    <row r="2827" spans="4:4" x14ac:dyDescent="0.25">
      <c r="D2827"/>
    </row>
    <row r="2828" spans="4:4" x14ac:dyDescent="0.25">
      <c r="D2828"/>
    </row>
    <row r="2829" spans="4:4" x14ac:dyDescent="0.25">
      <c r="D2829"/>
    </row>
    <row r="2830" spans="4:4" x14ac:dyDescent="0.25">
      <c r="D2830"/>
    </row>
    <row r="2831" spans="4:4" x14ac:dyDescent="0.25">
      <c r="D2831"/>
    </row>
    <row r="2832" spans="4:4" x14ac:dyDescent="0.25">
      <c r="D2832"/>
    </row>
    <row r="2833" spans="4:4" x14ac:dyDescent="0.25">
      <c r="D2833"/>
    </row>
    <row r="2834" spans="4:4" x14ac:dyDescent="0.25">
      <c r="D2834"/>
    </row>
    <row r="2835" spans="4:4" x14ac:dyDescent="0.25">
      <c r="D2835"/>
    </row>
    <row r="2836" spans="4:4" x14ac:dyDescent="0.25">
      <c r="D2836"/>
    </row>
    <row r="2837" spans="4:4" x14ac:dyDescent="0.25">
      <c r="D2837"/>
    </row>
    <row r="2838" spans="4:4" x14ac:dyDescent="0.25">
      <c r="D2838"/>
    </row>
    <row r="2839" spans="4:4" x14ac:dyDescent="0.25">
      <c r="D2839"/>
    </row>
    <row r="2840" spans="4:4" x14ac:dyDescent="0.25">
      <c r="D2840"/>
    </row>
    <row r="2841" spans="4:4" x14ac:dyDescent="0.25">
      <c r="D2841"/>
    </row>
    <row r="2842" spans="4:4" x14ac:dyDescent="0.25">
      <c r="D2842"/>
    </row>
    <row r="2843" spans="4:4" x14ac:dyDescent="0.25">
      <c r="D2843"/>
    </row>
    <row r="2844" spans="4:4" x14ac:dyDescent="0.25">
      <c r="D2844"/>
    </row>
    <row r="2845" spans="4:4" x14ac:dyDescent="0.25">
      <c r="D2845"/>
    </row>
    <row r="2846" spans="4:4" x14ac:dyDescent="0.25">
      <c r="D2846"/>
    </row>
    <row r="2847" spans="4:4" x14ac:dyDescent="0.25">
      <c r="D2847"/>
    </row>
    <row r="2848" spans="4:4" x14ac:dyDescent="0.25">
      <c r="D2848"/>
    </row>
    <row r="2849" spans="4:4" x14ac:dyDescent="0.25">
      <c r="D2849"/>
    </row>
    <row r="2850" spans="4:4" x14ac:dyDescent="0.25">
      <c r="D2850"/>
    </row>
    <row r="2851" spans="4:4" x14ac:dyDescent="0.25">
      <c r="D2851"/>
    </row>
    <row r="2852" spans="4:4" x14ac:dyDescent="0.25">
      <c r="D2852"/>
    </row>
    <row r="2853" spans="4:4" x14ac:dyDescent="0.25">
      <c r="D2853"/>
    </row>
    <row r="2854" spans="4:4" x14ac:dyDescent="0.25">
      <c r="D2854"/>
    </row>
    <row r="2855" spans="4:4" x14ac:dyDescent="0.25">
      <c r="D2855"/>
    </row>
    <row r="2856" spans="4:4" x14ac:dyDescent="0.25">
      <c r="D2856"/>
    </row>
    <row r="2857" spans="4:4" x14ac:dyDescent="0.25">
      <c r="D2857"/>
    </row>
    <row r="2858" spans="4:4" x14ac:dyDescent="0.25">
      <c r="D2858"/>
    </row>
    <row r="2859" spans="4:4" x14ac:dyDescent="0.25">
      <c r="D2859"/>
    </row>
    <row r="2860" spans="4:4" x14ac:dyDescent="0.25">
      <c r="D2860"/>
    </row>
    <row r="2861" spans="4:4" x14ac:dyDescent="0.25">
      <c r="D2861"/>
    </row>
    <row r="2862" spans="4:4" x14ac:dyDescent="0.25">
      <c r="D2862"/>
    </row>
    <row r="2863" spans="4:4" x14ac:dyDescent="0.25">
      <c r="D2863"/>
    </row>
    <row r="2864" spans="4:4" x14ac:dyDescent="0.25">
      <c r="D2864"/>
    </row>
    <row r="2865" spans="4:4" x14ac:dyDescent="0.25">
      <c r="D2865"/>
    </row>
    <row r="2866" spans="4:4" x14ac:dyDescent="0.25">
      <c r="D2866"/>
    </row>
    <row r="2867" spans="4:4" x14ac:dyDescent="0.25">
      <c r="D2867"/>
    </row>
    <row r="2868" spans="4:4" x14ac:dyDescent="0.25">
      <c r="D2868"/>
    </row>
    <row r="2869" spans="4:4" x14ac:dyDescent="0.25">
      <c r="D2869"/>
    </row>
    <row r="2870" spans="4:4" x14ac:dyDescent="0.25">
      <c r="D2870"/>
    </row>
    <row r="2871" spans="4:4" x14ac:dyDescent="0.25">
      <c r="D2871"/>
    </row>
    <row r="2872" spans="4:4" x14ac:dyDescent="0.25">
      <c r="D2872"/>
    </row>
    <row r="2873" spans="4:4" x14ac:dyDescent="0.25">
      <c r="D2873"/>
    </row>
    <row r="2874" spans="4:4" x14ac:dyDescent="0.25">
      <c r="D2874"/>
    </row>
    <row r="2875" spans="4:4" x14ac:dyDescent="0.25">
      <c r="D2875"/>
    </row>
    <row r="2876" spans="4:4" x14ac:dyDescent="0.25">
      <c r="D2876"/>
    </row>
    <row r="2877" spans="4:4" x14ac:dyDescent="0.25">
      <c r="D2877"/>
    </row>
    <row r="2878" spans="4:4" x14ac:dyDescent="0.25">
      <c r="D2878"/>
    </row>
    <row r="2879" spans="4:4" x14ac:dyDescent="0.25">
      <c r="D2879"/>
    </row>
    <row r="2880" spans="4:4" x14ac:dyDescent="0.25">
      <c r="D2880"/>
    </row>
    <row r="2881" spans="4:4" x14ac:dyDescent="0.25">
      <c r="D2881"/>
    </row>
    <row r="2882" spans="4:4" x14ac:dyDescent="0.25">
      <c r="D2882"/>
    </row>
    <row r="2883" spans="4:4" x14ac:dyDescent="0.25">
      <c r="D2883"/>
    </row>
    <row r="2884" spans="4:4" x14ac:dyDescent="0.25">
      <c r="D2884"/>
    </row>
    <row r="2885" spans="4:4" x14ac:dyDescent="0.25">
      <c r="D2885"/>
    </row>
    <row r="2886" spans="4:4" x14ac:dyDescent="0.25">
      <c r="D2886"/>
    </row>
    <row r="2887" spans="4:4" x14ac:dyDescent="0.25">
      <c r="D2887"/>
    </row>
    <row r="2888" spans="4:4" x14ac:dyDescent="0.25">
      <c r="D2888"/>
    </row>
    <row r="2889" spans="4:4" x14ac:dyDescent="0.25">
      <c r="D2889"/>
    </row>
    <row r="2890" spans="4:4" x14ac:dyDescent="0.25">
      <c r="D2890"/>
    </row>
    <row r="2891" spans="4:4" x14ac:dyDescent="0.25">
      <c r="D2891"/>
    </row>
    <row r="2892" spans="4:4" x14ac:dyDescent="0.25">
      <c r="D2892"/>
    </row>
    <row r="2893" spans="4:4" x14ac:dyDescent="0.25">
      <c r="D2893"/>
    </row>
    <row r="2894" spans="4:4" x14ac:dyDescent="0.25">
      <c r="D2894"/>
    </row>
    <row r="2895" spans="4:4" x14ac:dyDescent="0.25">
      <c r="D2895"/>
    </row>
    <row r="2896" spans="4:4" x14ac:dyDescent="0.25">
      <c r="D2896"/>
    </row>
    <row r="2897" spans="4:4" x14ac:dyDescent="0.25">
      <c r="D2897"/>
    </row>
    <row r="2898" spans="4:4" x14ac:dyDescent="0.25">
      <c r="D2898"/>
    </row>
    <row r="2899" spans="4:4" x14ac:dyDescent="0.25">
      <c r="D2899"/>
    </row>
    <row r="2900" spans="4:4" x14ac:dyDescent="0.25">
      <c r="D2900"/>
    </row>
    <row r="2901" spans="4:4" x14ac:dyDescent="0.25">
      <c r="D2901"/>
    </row>
    <row r="2902" spans="4:4" x14ac:dyDescent="0.25">
      <c r="D2902"/>
    </row>
    <row r="2903" spans="4:4" x14ac:dyDescent="0.25">
      <c r="D2903"/>
    </row>
    <row r="2904" spans="4:4" x14ac:dyDescent="0.25">
      <c r="D2904"/>
    </row>
    <row r="2905" spans="4:4" x14ac:dyDescent="0.25">
      <c r="D2905"/>
    </row>
    <row r="2906" spans="4:4" x14ac:dyDescent="0.25">
      <c r="D2906"/>
    </row>
    <row r="2907" spans="4:4" x14ac:dyDescent="0.25">
      <c r="D2907"/>
    </row>
    <row r="2908" spans="4:4" x14ac:dyDescent="0.25">
      <c r="D2908"/>
    </row>
    <row r="2909" spans="4:4" x14ac:dyDescent="0.25">
      <c r="D2909"/>
    </row>
    <row r="2910" spans="4:4" x14ac:dyDescent="0.25">
      <c r="D2910"/>
    </row>
    <row r="2911" spans="4:4" x14ac:dyDescent="0.25">
      <c r="D2911"/>
    </row>
    <row r="2912" spans="4:4" x14ac:dyDescent="0.25">
      <c r="D2912"/>
    </row>
    <row r="2913" spans="4:4" x14ac:dyDescent="0.25">
      <c r="D2913"/>
    </row>
    <row r="2914" spans="4:4" x14ac:dyDescent="0.25">
      <c r="D2914"/>
    </row>
    <row r="2915" spans="4:4" x14ac:dyDescent="0.25">
      <c r="D2915"/>
    </row>
    <row r="2916" spans="4:4" x14ac:dyDescent="0.25">
      <c r="D2916"/>
    </row>
    <row r="2917" spans="4:4" x14ac:dyDescent="0.25">
      <c r="D2917"/>
    </row>
    <row r="2918" spans="4:4" x14ac:dyDescent="0.25">
      <c r="D2918"/>
    </row>
    <row r="2919" spans="4:4" x14ac:dyDescent="0.25">
      <c r="D2919"/>
    </row>
    <row r="2920" spans="4:4" x14ac:dyDescent="0.25">
      <c r="D2920"/>
    </row>
    <row r="2921" spans="4:4" x14ac:dyDescent="0.25">
      <c r="D2921"/>
    </row>
    <row r="2922" spans="4:4" x14ac:dyDescent="0.25">
      <c r="D2922"/>
    </row>
    <row r="2923" spans="4:4" x14ac:dyDescent="0.25">
      <c r="D2923"/>
    </row>
    <row r="2924" spans="4:4" x14ac:dyDescent="0.25">
      <c r="D2924"/>
    </row>
    <row r="2925" spans="4:4" x14ac:dyDescent="0.25">
      <c r="D2925"/>
    </row>
    <row r="2926" spans="4:4" x14ac:dyDescent="0.25">
      <c r="D2926"/>
    </row>
    <row r="2927" spans="4:4" x14ac:dyDescent="0.25">
      <c r="D2927"/>
    </row>
    <row r="2928" spans="4:4" x14ac:dyDescent="0.25">
      <c r="D2928"/>
    </row>
    <row r="2929" spans="4:4" x14ac:dyDescent="0.25">
      <c r="D2929"/>
    </row>
    <row r="2930" spans="4:4" x14ac:dyDescent="0.25">
      <c r="D2930"/>
    </row>
    <row r="2931" spans="4:4" x14ac:dyDescent="0.25">
      <c r="D2931"/>
    </row>
    <row r="2932" spans="4:4" x14ac:dyDescent="0.25">
      <c r="D2932"/>
    </row>
    <row r="2933" spans="4:4" x14ac:dyDescent="0.25">
      <c r="D2933"/>
    </row>
    <row r="2934" spans="4:4" x14ac:dyDescent="0.25">
      <c r="D2934"/>
    </row>
    <row r="2935" spans="4:4" x14ac:dyDescent="0.25">
      <c r="D2935"/>
    </row>
    <row r="2936" spans="4:4" x14ac:dyDescent="0.25">
      <c r="D2936"/>
    </row>
    <row r="2937" spans="4:4" x14ac:dyDescent="0.25">
      <c r="D2937"/>
    </row>
    <row r="2938" spans="4:4" x14ac:dyDescent="0.25">
      <c r="D2938"/>
    </row>
    <row r="2939" spans="4:4" x14ac:dyDescent="0.25">
      <c r="D2939"/>
    </row>
    <row r="2940" spans="4:4" x14ac:dyDescent="0.25">
      <c r="D2940"/>
    </row>
    <row r="2941" spans="4:4" x14ac:dyDescent="0.25">
      <c r="D2941"/>
    </row>
    <row r="2942" spans="4:4" x14ac:dyDescent="0.25">
      <c r="D2942"/>
    </row>
    <row r="2943" spans="4:4" x14ac:dyDescent="0.25">
      <c r="D2943"/>
    </row>
    <row r="2944" spans="4:4" x14ac:dyDescent="0.25">
      <c r="D2944"/>
    </row>
    <row r="2945" spans="4:4" x14ac:dyDescent="0.25">
      <c r="D2945"/>
    </row>
    <row r="2946" spans="4:4" x14ac:dyDescent="0.25">
      <c r="D2946"/>
    </row>
    <row r="2947" spans="4:4" x14ac:dyDescent="0.25">
      <c r="D2947"/>
    </row>
    <row r="2948" spans="4:4" x14ac:dyDescent="0.25">
      <c r="D2948"/>
    </row>
    <row r="2949" spans="4:4" x14ac:dyDescent="0.25">
      <c r="D2949"/>
    </row>
    <row r="2950" spans="4:4" x14ac:dyDescent="0.25">
      <c r="D2950"/>
    </row>
    <row r="2951" spans="4:4" x14ac:dyDescent="0.25">
      <c r="D2951"/>
    </row>
    <row r="2952" spans="4:4" x14ac:dyDescent="0.25">
      <c r="D2952"/>
    </row>
    <row r="2953" spans="4:4" x14ac:dyDescent="0.25">
      <c r="D2953"/>
    </row>
    <row r="2954" spans="4:4" x14ac:dyDescent="0.25">
      <c r="D2954"/>
    </row>
    <row r="2955" spans="4:4" x14ac:dyDescent="0.25">
      <c r="D2955"/>
    </row>
    <row r="2956" spans="4:4" x14ac:dyDescent="0.25">
      <c r="D2956"/>
    </row>
    <row r="2957" spans="4:4" x14ac:dyDescent="0.25">
      <c r="D2957"/>
    </row>
    <row r="2958" spans="4:4" x14ac:dyDescent="0.25">
      <c r="D2958"/>
    </row>
    <row r="2959" spans="4:4" x14ac:dyDescent="0.25">
      <c r="D2959"/>
    </row>
    <row r="2960" spans="4:4" x14ac:dyDescent="0.25">
      <c r="D2960"/>
    </row>
    <row r="2961" spans="4:4" x14ac:dyDescent="0.25">
      <c r="D2961"/>
    </row>
    <row r="2962" spans="4:4" x14ac:dyDescent="0.25">
      <c r="D2962"/>
    </row>
    <row r="2963" spans="4:4" x14ac:dyDescent="0.25">
      <c r="D2963"/>
    </row>
    <row r="2964" spans="4:4" x14ac:dyDescent="0.25">
      <c r="D2964"/>
    </row>
    <row r="2965" spans="4:4" x14ac:dyDescent="0.25">
      <c r="D2965"/>
    </row>
    <row r="2966" spans="4:4" x14ac:dyDescent="0.25">
      <c r="D2966"/>
    </row>
    <row r="2967" spans="4:4" x14ac:dyDescent="0.25">
      <c r="D2967"/>
    </row>
    <row r="2968" spans="4:4" x14ac:dyDescent="0.25">
      <c r="D2968"/>
    </row>
    <row r="2969" spans="4:4" x14ac:dyDescent="0.25">
      <c r="D2969"/>
    </row>
    <row r="2970" spans="4:4" x14ac:dyDescent="0.25">
      <c r="D2970"/>
    </row>
    <row r="2971" spans="4:4" x14ac:dyDescent="0.25">
      <c r="D2971"/>
    </row>
    <row r="2972" spans="4:4" x14ac:dyDescent="0.25">
      <c r="D2972"/>
    </row>
    <row r="2973" spans="4:4" x14ac:dyDescent="0.25">
      <c r="D2973"/>
    </row>
    <row r="2974" spans="4:4" x14ac:dyDescent="0.25">
      <c r="D2974"/>
    </row>
    <row r="2975" spans="4:4" x14ac:dyDescent="0.25">
      <c r="D2975"/>
    </row>
    <row r="2976" spans="4:4" x14ac:dyDescent="0.25">
      <c r="D2976"/>
    </row>
    <row r="2977" spans="4:4" x14ac:dyDescent="0.25">
      <c r="D2977"/>
    </row>
    <row r="2978" spans="4:4" x14ac:dyDescent="0.25">
      <c r="D2978"/>
    </row>
    <row r="2979" spans="4:4" x14ac:dyDescent="0.25">
      <c r="D2979"/>
    </row>
    <row r="2980" spans="4:4" x14ac:dyDescent="0.25">
      <c r="D2980"/>
    </row>
    <row r="2981" spans="4:4" x14ac:dyDescent="0.25">
      <c r="D2981"/>
    </row>
    <row r="2982" spans="4:4" x14ac:dyDescent="0.25">
      <c r="D2982"/>
    </row>
    <row r="2983" spans="4:4" x14ac:dyDescent="0.25">
      <c r="D2983"/>
    </row>
    <row r="2984" spans="4:4" x14ac:dyDescent="0.25">
      <c r="D2984"/>
    </row>
    <row r="2985" spans="4:4" x14ac:dyDescent="0.25">
      <c r="D2985"/>
    </row>
    <row r="2986" spans="4:4" x14ac:dyDescent="0.25">
      <c r="D2986"/>
    </row>
    <row r="2987" spans="4:4" x14ac:dyDescent="0.25">
      <c r="D2987"/>
    </row>
    <row r="2988" spans="4:4" x14ac:dyDescent="0.25">
      <c r="D2988"/>
    </row>
    <row r="2989" spans="4:4" x14ac:dyDescent="0.25">
      <c r="D2989"/>
    </row>
    <row r="2990" spans="4:4" x14ac:dyDescent="0.25">
      <c r="D2990"/>
    </row>
    <row r="2991" spans="4:4" x14ac:dyDescent="0.25">
      <c r="D2991"/>
    </row>
    <row r="2992" spans="4:4" x14ac:dyDescent="0.25">
      <c r="D2992"/>
    </row>
    <row r="2993" spans="4:4" x14ac:dyDescent="0.25">
      <c r="D2993"/>
    </row>
    <row r="2994" spans="4:4" x14ac:dyDescent="0.25">
      <c r="D2994"/>
    </row>
    <row r="2995" spans="4:4" x14ac:dyDescent="0.25">
      <c r="D2995"/>
    </row>
    <row r="2996" spans="4:4" x14ac:dyDescent="0.25">
      <c r="D2996"/>
    </row>
    <row r="2997" spans="4:4" x14ac:dyDescent="0.25">
      <c r="D2997"/>
    </row>
    <row r="2998" spans="4:4" x14ac:dyDescent="0.25">
      <c r="D2998"/>
    </row>
    <row r="2999" spans="4:4" x14ac:dyDescent="0.25">
      <c r="D2999"/>
    </row>
    <row r="3000" spans="4:4" x14ac:dyDescent="0.25">
      <c r="D3000"/>
    </row>
    <row r="3001" spans="4:4" x14ac:dyDescent="0.25">
      <c r="D3001"/>
    </row>
    <row r="3002" spans="4:4" x14ac:dyDescent="0.25">
      <c r="D3002"/>
    </row>
    <row r="3003" spans="4:4" x14ac:dyDescent="0.25">
      <c r="D3003"/>
    </row>
    <row r="3004" spans="4:4" x14ac:dyDescent="0.25">
      <c r="D3004"/>
    </row>
    <row r="3005" spans="4:4" x14ac:dyDescent="0.25">
      <c r="D3005"/>
    </row>
    <row r="3006" spans="4:4" x14ac:dyDescent="0.25">
      <c r="D3006"/>
    </row>
    <row r="3007" spans="4:4" x14ac:dyDescent="0.25">
      <c r="D3007"/>
    </row>
    <row r="3008" spans="4:4" x14ac:dyDescent="0.25">
      <c r="D3008"/>
    </row>
    <row r="3009" spans="4:4" x14ac:dyDescent="0.25">
      <c r="D3009"/>
    </row>
    <row r="3010" spans="4:4" x14ac:dyDescent="0.25">
      <c r="D3010"/>
    </row>
    <row r="3011" spans="4:4" x14ac:dyDescent="0.25">
      <c r="D3011"/>
    </row>
    <row r="3012" spans="4:4" x14ac:dyDescent="0.25">
      <c r="D3012"/>
    </row>
    <row r="3013" spans="4:4" x14ac:dyDescent="0.25">
      <c r="D3013"/>
    </row>
    <row r="3014" spans="4:4" x14ac:dyDescent="0.25">
      <c r="D3014"/>
    </row>
    <row r="3015" spans="4:4" x14ac:dyDescent="0.25">
      <c r="D3015"/>
    </row>
    <row r="3016" spans="4:4" x14ac:dyDescent="0.25">
      <c r="D3016"/>
    </row>
    <row r="3017" spans="4:4" x14ac:dyDescent="0.25">
      <c r="D3017"/>
    </row>
    <row r="3018" spans="4:4" x14ac:dyDescent="0.25">
      <c r="D3018"/>
    </row>
    <row r="3019" spans="4:4" x14ac:dyDescent="0.25">
      <c r="D3019"/>
    </row>
    <row r="3020" spans="4:4" x14ac:dyDescent="0.25">
      <c r="D3020"/>
    </row>
    <row r="3021" spans="4:4" x14ac:dyDescent="0.25">
      <c r="D3021"/>
    </row>
    <row r="3022" spans="4:4" x14ac:dyDescent="0.25">
      <c r="D3022"/>
    </row>
    <row r="3023" spans="4:4" x14ac:dyDescent="0.25">
      <c r="D3023"/>
    </row>
    <row r="3024" spans="4:4" x14ac:dyDescent="0.25">
      <c r="D3024"/>
    </row>
    <row r="3025" spans="4:4" x14ac:dyDescent="0.25">
      <c r="D3025"/>
    </row>
    <row r="3026" spans="4:4" x14ac:dyDescent="0.25">
      <c r="D3026"/>
    </row>
    <row r="3027" spans="4:4" x14ac:dyDescent="0.25">
      <c r="D3027"/>
    </row>
    <row r="3028" spans="4:4" x14ac:dyDescent="0.25">
      <c r="D3028"/>
    </row>
    <row r="3029" spans="4:4" x14ac:dyDescent="0.25">
      <c r="D3029"/>
    </row>
    <row r="3030" spans="4:4" x14ac:dyDescent="0.25">
      <c r="D3030"/>
    </row>
    <row r="3031" spans="4:4" x14ac:dyDescent="0.25">
      <c r="D3031"/>
    </row>
    <row r="3032" spans="4:4" x14ac:dyDescent="0.25">
      <c r="D3032"/>
    </row>
    <row r="3033" spans="4:4" x14ac:dyDescent="0.25">
      <c r="D3033"/>
    </row>
    <row r="3034" spans="4:4" x14ac:dyDescent="0.25">
      <c r="D3034"/>
    </row>
    <row r="3035" spans="4:4" x14ac:dyDescent="0.25">
      <c r="D3035"/>
    </row>
    <row r="3036" spans="4:4" x14ac:dyDescent="0.25">
      <c r="D3036"/>
    </row>
    <row r="3037" spans="4:4" x14ac:dyDescent="0.25">
      <c r="D3037"/>
    </row>
    <row r="3038" spans="4:4" x14ac:dyDescent="0.25">
      <c r="D3038"/>
    </row>
    <row r="3039" spans="4:4" x14ac:dyDescent="0.25">
      <c r="D3039"/>
    </row>
    <row r="3040" spans="4:4" x14ac:dyDescent="0.25">
      <c r="D3040"/>
    </row>
    <row r="3041" spans="4:4" x14ac:dyDescent="0.25">
      <c r="D3041"/>
    </row>
    <row r="3042" spans="4:4" x14ac:dyDescent="0.25">
      <c r="D3042"/>
    </row>
    <row r="3043" spans="4:4" x14ac:dyDescent="0.25">
      <c r="D3043"/>
    </row>
    <row r="3044" spans="4:4" x14ac:dyDescent="0.25">
      <c r="D3044"/>
    </row>
    <row r="3045" spans="4:4" x14ac:dyDescent="0.25">
      <c r="D3045"/>
    </row>
    <row r="3046" spans="4:4" x14ac:dyDescent="0.25">
      <c r="D3046"/>
    </row>
    <row r="3047" spans="4:4" x14ac:dyDescent="0.25">
      <c r="D3047"/>
    </row>
    <row r="3048" spans="4:4" x14ac:dyDescent="0.25">
      <c r="D3048"/>
    </row>
    <row r="3049" spans="4:4" x14ac:dyDescent="0.25">
      <c r="D3049"/>
    </row>
    <row r="3050" spans="4:4" x14ac:dyDescent="0.25">
      <c r="D3050"/>
    </row>
    <row r="3051" spans="4:4" x14ac:dyDescent="0.25">
      <c r="D3051"/>
    </row>
    <row r="3052" spans="4:4" x14ac:dyDescent="0.25">
      <c r="D3052"/>
    </row>
    <row r="3053" spans="4:4" x14ac:dyDescent="0.25">
      <c r="D3053"/>
    </row>
    <row r="3054" spans="4:4" x14ac:dyDescent="0.25">
      <c r="D3054"/>
    </row>
    <row r="3055" spans="4:4" x14ac:dyDescent="0.25">
      <c r="D3055"/>
    </row>
    <row r="3056" spans="4:4" x14ac:dyDescent="0.25">
      <c r="D3056"/>
    </row>
    <row r="3057" spans="4:4" x14ac:dyDescent="0.25">
      <c r="D3057"/>
    </row>
    <row r="3058" spans="4:4" x14ac:dyDescent="0.25">
      <c r="D3058"/>
    </row>
    <row r="3059" spans="4:4" x14ac:dyDescent="0.25">
      <c r="D3059"/>
    </row>
    <row r="3060" spans="4:4" x14ac:dyDescent="0.25">
      <c r="D3060"/>
    </row>
    <row r="3061" spans="4:4" x14ac:dyDescent="0.25">
      <c r="D3061"/>
    </row>
    <row r="3062" spans="4:4" x14ac:dyDescent="0.25">
      <c r="D3062"/>
    </row>
    <row r="3063" spans="4:4" x14ac:dyDescent="0.25">
      <c r="D3063"/>
    </row>
    <row r="3064" spans="4:4" x14ac:dyDescent="0.25">
      <c r="D3064"/>
    </row>
    <row r="3065" spans="4:4" x14ac:dyDescent="0.25">
      <c r="D3065"/>
    </row>
    <row r="3066" spans="4:4" x14ac:dyDescent="0.25">
      <c r="D3066"/>
    </row>
    <row r="3067" spans="4:4" x14ac:dyDescent="0.25">
      <c r="D3067"/>
    </row>
    <row r="3068" spans="4:4" x14ac:dyDescent="0.25">
      <c r="D3068"/>
    </row>
    <row r="3069" spans="4:4" x14ac:dyDescent="0.25">
      <c r="D3069"/>
    </row>
    <row r="3070" spans="4:4" x14ac:dyDescent="0.25">
      <c r="D3070"/>
    </row>
    <row r="3071" spans="4:4" x14ac:dyDescent="0.25">
      <c r="D3071"/>
    </row>
    <row r="3072" spans="4:4" x14ac:dyDescent="0.25">
      <c r="D3072"/>
    </row>
    <row r="3073" spans="4:4" x14ac:dyDescent="0.25">
      <c r="D3073"/>
    </row>
    <row r="3074" spans="4:4" x14ac:dyDescent="0.25">
      <c r="D3074"/>
    </row>
    <row r="3075" spans="4:4" x14ac:dyDescent="0.25">
      <c r="D3075"/>
    </row>
    <row r="3076" spans="4:4" x14ac:dyDescent="0.25">
      <c r="D3076"/>
    </row>
    <row r="3077" spans="4:4" x14ac:dyDescent="0.25">
      <c r="D3077"/>
    </row>
    <row r="3078" spans="4:4" x14ac:dyDescent="0.25">
      <c r="D3078"/>
    </row>
    <row r="3079" spans="4:4" x14ac:dyDescent="0.25">
      <c r="D3079"/>
    </row>
    <row r="3080" spans="4:4" x14ac:dyDescent="0.25">
      <c r="D3080"/>
    </row>
    <row r="3081" spans="4:4" x14ac:dyDescent="0.25">
      <c r="D3081"/>
    </row>
    <row r="3082" spans="4:4" x14ac:dyDescent="0.25">
      <c r="D3082"/>
    </row>
    <row r="3083" spans="4:4" x14ac:dyDescent="0.25">
      <c r="D3083"/>
    </row>
    <row r="3084" spans="4:4" x14ac:dyDescent="0.25">
      <c r="D3084"/>
    </row>
    <row r="3085" spans="4:4" x14ac:dyDescent="0.25">
      <c r="D3085"/>
    </row>
    <row r="3086" spans="4:4" x14ac:dyDescent="0.25">
      <c r="D3086"/>
    </row>
    <row r="3087" spans="4:4" x14ac:dyDescent="0.25">
      <c r="D3087"/>
    </row>
    <row r="3088" spans="4:4" x14ac:dyDescent="0.25">
      <c r="D3088"/>
    </row>
    <row r="3089" spans="4:4" x14ac:dyDescent="0.25">
      <c r="D3089"/>
    </row>
    <row r="3090" spans="4:4" x14ac:dyDescent="0.25">
      <c r="D3090"/>
    </row>
    <row r="3091" spans="4:4" x14ac:dyDescent="0.25">
      <c r="D3091"/>
    </row>
    <row r="3092" spans="4:4" x14ac:dyDescent="0.25">
      <c r="D3092"/>
    </row>
    <row r="3093" spans="4:4" x14ac:dyDescent="0.25">
      <c r="D3093"/>
    </row>
    <row r="3094" spans="4:4" x14ac:dyDescent="0.25">
      <c r="D3094"/>
    </row>
    <row r="3095" spans="4:4" x14ac:dyDescent="0.25">
      <c r="D3095"/>
    </row>
    <row r="3096" spans="4:4" x14ac:dyDescent="0.25">
      <c r="D3096"/>
    </row>
    <row r="3097" spans="4:4" x14ac:dyDescent="0.25">
      <c r="D3097"/>
    </row>
    <row r="3098" spans="4:4" x14ac:dyDescent="0.25">
      <c r="D3098"/>
    </row>
    <row r="3099" spans="4:4" x14ac:dyDescent="0.25">
      <c r="D3099"/>
    </row>
    <row r="3100" spans="4:4" x14ac:dyDescent="0.25">
      <c r="D3100"/>
    </row>
    <row r="3101" spans="4:4" x14ac:dyDescent="0.25">
      <c r="D3101"/>
    </row>
    <row r="3102" spans="4:4" x14ac:dyDescent="0.25">
      <c r="D3102"/>
    </row>
    <row r="3103" spans="4:4" x14ac:dyDescent="0.25">
      <c r="D3103"/>
    </row>
    <row r="3104" spans="4:4" x14ac:dyDescent="0.25">
      <c r="D3104"/>
    </row>
    <row r="3105" spans="4:4" x14ac:dyDescent="0.25">
      <c r="D3105"/>
    </row>
    <row r="3106" spans="4:4" x14ac:dyDescent="0.25">
      <c r="D3106"/>
    </row>
    <row r="3107" spans="4:4" x14ac:dyDescent="0.25">
      <c r="D3107"/>
    </row>
    <row r="3108" spans="4:4" x14ac:dyDescent="0.25">
      <c r="D3108"/>
    </row>
    <row r="3109" spans="4:4" x14ac:dyDescent="0.25">
      <c r="D3109"/>
    </row>
    <row r="3110" spans="4:4" x14ac:dyDescent="0.25">
      <c r="D3110"/>
    </row>
    <row r="3111" spans="4:4" x14ac:dyDescent="0.25">
      <c r="D3111"/>
    </row>
    <row r="3112" spans="4:4" x14ac:dyDescent="0.25">
      <c r="D3112"/>
    </row>
    <row r="3113" spans="4:4" x14ac:dyDescent="0.25">
      <c r="D3113"/>
    </row>
    <row r="3114" spans="4:4" x14ac:dyDescent="0.25">
      <c r="D3114"/>
    </row>
    <row r="3115" spans="4:4" x14ac:dyDescent="0.25">
      <c r="D3115"/>
    </row>
    <row r="3116" spans="4:4" x14ac:dyDescent="0.25">
      <c r="D3116"/>
    </row>
    <row r="3117" spans="4:4" x14ac:dyDescent="0.25">
      <c r="D3117"/>
    </row>
    <row r="3118" spans="4:4" x14ac:dyDescent="0.25">
      <c r="D3118"/>
    </row>
    <row r="3119" spans="4:4" x14ac:dyDescent="0.25">
      <c r="D3119"/>
    </row>
    <row r="3120" spans="4:4" x14ac:dyDescent="0.25">
      <c r="D3120"/>
    </row>
    <row r="3121" spans="4:4" x14ac:dyDescent="0.25">
      <c r="D3121"/>
    </row>
    <row r="3122" spans="4:4" x14ac:dyDescent="0.25">
      <c r="D3122"/>
    </row>
    <row r="3123" spans="4:4" x14ac:dyDescent="0.25">
      <c r="D3123"/>
    </row>
    <row r="3124" spans="4:4" x14ac:dyDescent="0.25">
      <c r="D3124"/>
    </row>
    <row r="3125" spans="4:4" x14ac:dyDescent="0.25">
      <c r="D3125"/>
    </row>
    <row r="3126" spans="4:4" x14ac:dyDescent="0.25">
      <c r="D3126"/>
    </row>
    <row r="3127" spans="4:4" x14ac:dyDescent="0.25">
      <c r="D3127"/>
    </row>
    <row r="3128" spans="4:4" x14ac:dyDescent="0.25">
      <c r="D3128"/>
    </row>
    <row r="3129" spans="4:4" x14ac:dyDescent="0.25">
      <c r="D3129"/>
    </row>
    <row r="3130" spans="4:4" x14ac:dyDescent="0.25">
      <c r="D3130"/>
    </row>
    <row r="3131" spans="4:4" x14ac:dyDescent="0.25">
      <c r="D3131"/>
    </row>
    <row r="3132" spans="4:4" x14ac:dyDescent="0.25">
      <c r="D3132"/>
    </row>
    <row r="3133" spans="4:4" x14ac:dyDescent="0.25">
      <c r="D3133"/>
    </row>
    <row r="3134" spans="4:4" x14ac:dyDescent="0.25">
      <c r="D3134"/>
    </row>
    <row r="3135" spans="4:4" x14ac:dyDescent="0.25">
      <c r="D3135"/>
    </row>
    <row r="3136" spans="4:4" x14ac:dyDescent="0.25">
      <c r="D3136"/>
    </row>
    <row r="3137" spans="4:4" x14ac:dyDescent="0.25">
      <c r="D3137"/>
    </row>
    <row r="3138" spans="4:4" x14ac:dyDescent="0.25">
      <c r="D3138"/>
    </row>
    <row r="3139" spans="4:4" x14ac:dyDescent="0.25">
      <c r="D3139"/>
    </row>
    <row r="3140" spans="4:4" x14ac:dyDescent="0.25">
      <c r="D3140"/>
    </row>
    <row r="3141" spans="4:4" x14ac:dyDescent="0.25">
      <c r="D3141"/>
    </row>
    <row r="3142" spans="4:4" x14ac:dyDescent="0.25">
      <c r="D3142"/>
    </row>
    <row r="3143" spans="4:4" x14ac:dyDescent="0.25">
      <c r="D3143"/>
    </row>
    <row r="3144" spans="4:4" x14ac:dyDescent="0.25">
      <c r="D3144"/>
    </row>
    <row r="3145" spans="4:4" x14ac:dyDescent="0.25">
      <c r="D3145"/>
    </row>
    <row r="3146" spans="4:4" x14ac:dyDescent="0.25">
      <c r="D3146"/>
    </row>
    <row r="3147" spans="4:4" x14ac:dyDescent="0.25">
      <c r="D3147"/>
    </row>
    <row r="3148" spans="4:4" x14ac:dyDescent="0.25">
      <c r="D3148"/>
    </row>
    <row r="3149" spans="4:4" x14ac:dyDescent="0.25">
      <c r="D3149"/>
    </row>
    <row r="3150" spans="4:4" x14ac:dyDescent="0.25">
      <c r="D3150"/>
    </row>
    <row r="3151" spans="4:4" x14ac:dyDescent="0.25">
      <c r="D3151"/>
    </row>
    <row r="3152" spans="4:4" x14ac:dyDescent="0.25">
      <c r="D3152"/>
    </row>
    <row r="3153" spans="4:4" x14ac:dyDescent="0.25">
      <c r="D3153"/>
    </row>
    <row r="3154" spans="4:4" x14ac:dyDescent="0.25">
      <c r="D3154"/>
    </row>
    <row r="3155" spans="4:4" x14ac:dyDescent="0.25">
      <c r="D3155"/>
    </row>
    <row r="3156" spans="4:4" x14ac:dyDescent="0.25">
      <c r="D3156"/>
    </row>
    <row r="3157" spans="4:4" x14ac:dyDescent="0.25">
      <c r="D3157"/>
    </row>
    <row r="3158" spans="4:4" x14ac:dyDescent="0.25">
      <c r="D3158"/>
    </row>
    <row r="3159" spans="4:4" x14ac:dyDescent="0.25">
      <c r="D3159"/>
    </row>
    <row r="3160" spans="4:4" x14ac:dyDescent="0.25">
      <c r="D3160"/>
    </row>
    <row r="3161" spans="4:4" x14ac:dyDescent="0.25">
      <c r="D3161"/>
    </row>
    <row r="3162" spans="4:4" x14ac:dyDescent="0.25">
      <c r="D3162"/>
    </row>
    <row r="3163" spans="4:4" x14ac:dyDescent="0.25">
      <c r="D3163"/>
    </row>
    <row r="3164" spans="4:4" x14ac:dyDescent="0.25">
      <c r="D3164"/>
    </row>
    <row r="3165" spans="4:4" x14ac:dyDescent="0.25">
      <c r="D3165"/>
    </row>
    <row r="3166" spans="4:4" x14ac:dyDescent="0.25">
      <c r="D3166"/>
    </row>
    <row r="3167" spans="4:4" x14ac:dyDescent="0.25">
      <c r="D3167"/>
    </row>
    <row r="3168" spans="4:4" x14ac:dyDescent="0.25">
      <c r="D3168"/>
    </row>
    <row r="3169" spans="4:4" x14ac:dyDescent="0.25">
      <c r="D3169"/>
    </row>
    <row r="3170" spans="4:4" x14ac:dyDescent="0.25">
      <c r="D3170"/>
    </row>
    <row r="3171" spans="4:4" x14ac:dyDescent="0.25">
      <c r="D3171"/>
    </row>
    <row r="3172" spans="4:4" x14ac:dyDescent="0.25">
      <c r="D3172"/>
    </row>
    <row r="3173" spans="4:4" x14ac:dyDescent="0.25">
      <c r="D3173"/>
    </row>
    <row r="3174" spans="4:4" x14ac:dyDescent="0.25">
      <c r="D3174"/>
    </row>
    <row r="3175" spans="4:4" x14ac:dyDescent="0.25">
      <c r="D3175"/>
    </row>
    <row r="3176" spans="4:4" x14ac:dyDescent="0.25">
      <c r="D3176"/>
    </row>
    <row r="3177" spans="4:4" x14ac:dyDescent="0.25">
      <c r="D3177"/>
    </row>
    <row r="3178" spans="4:4" x14ac:dyDescent="0.25">
      <c r="D3178"/>
    </row>
    <row r="3179" spans="4:4" x14ac:dyDescent="0.25">
      <c r="D3179"/>
    </row>
    <row r="3180" spans="4:4" x14ac:dyDescent="0.25">
      <c r="D3180"/>
    </row>
    <row r="3181" spans="4:4" x14ac:dyDescent="0.25">
      <c r="D3181"/>
    </row>
    <row r="3182" spans="4:4" x14ac:dyDescent="0.25">
      <c r="D3182"/>
    </row>
    <row r="3183" spans="4:4" x14ac:dyDescent="0.25">
      <c r="D3183"/>
    </row>
    <row r="3184" spans="4:4" x14ac:dyDescent="0.25">
      <c r="D3184"/>
    </row>
    <row r="3185" spans="4:4" x14ac:dyDescent="0.25">
      <c r="D3185"/>
    </row>
    <row r="3186" spans="4:4" x14ac:dyDescent="0.25">
      <c r="D3186"/>
    </row>
    <row r="3187" spans="4:4" x14ac:dyDescent="0.25">
      <c r="D3187"/>
    </row>
    <row r="3188" spans="4:4" x14ac:dyDescent="0.25">
      <c r="D3188"/>
    </row>
    <row r="3189" spans="4:4" x14ac:dyDescent="0.25">
      <c r="D3189"/>
    </row>
    <row r="3190" spans="4:4" x14ac:dyDescent="0.25">
      <c r="D3190"/>
    </row>
    <row r="3191" spans="4:4" x14ac:dyDescent="0.25">
      <c r="D3191"/>
    </row>
    <row r="3192" spans="4:4" x14ac:dyDescent="0.25">
      <c r="D3192"/>
    </row>
    <row r="3193" spans="4:4" x14ac:dyDescent="0.25">
      <c r="D3193"/>
    </row>
    <row r="3194" spans="4:4" x14ac:dyDescent="0.25">
      <c r="D3194"/>
    </row>
    <row r="3195" spans="4:4" x14ac:dyDescent="0.25">
      <c r="D3195"/>
    </row>
    <row r="3196" spans="4:4" x14ac:dyDescent="0.25">
      <c r="D3196"/>
    </row>
    <row r="3197" spans="4:4" x14ac:dyDescent="0.25">
      <c r="D3197"/>
    </row>
    <row r="3198" spans="4:4" x14ac:dyDescent="0.25">
      <c r="D3198"/>
    </row>
    <row r="3199" spans="4:4" x14ac:dyDescent="0.25">
      <c r="D3199"/>
    </row>
    <row r="3200" spans="4:4" x14ac:dyDescent="0.25">
      <c r="D3200"/>
    </row>
    <row r="3201" spans="4:4" x14ac:dyDescent="0.25">
      <c r="D3201"/>
    </row>
    <row r="3202" spans="4:4" x14ac:dyDescent="0.25">
      <c r="D3202"/>
    </row>
    <row r="3203" spans="4:4" x14ac:dyDescent="0.25">
      <c r="D3203"/>
    </row>
    <row r="3204" spans="4:4" x14ac:dyDescent="0.25">
      <c r="D3204"/>
    </row>
    <row r="3205" spans="4:4" x14ac:dyDescent="0.25">
      <c r="D3205"/>
    </row>
    <row r="3206" spans="4:4" x14ac:dyDescent="0.25">
      <c r="D3206"/>
    </row>
    <row r="3207" spans="4:4" x14ac:dyDescent="0.25">
      <c r="D3207"/>
    </row>
    <row r="3208" spans="4:4" x14ac:dyDescent="0.25">
      <c r="D3208"/>
    </row>
    <row r="3209" spans="4:4" x14ac:dyDescent="0.25">
      <c r="D3209"/>
    </row>
    <row r="3210" spans="4:4" x14ac:dyDescent="0.25">
      <c r="D3210"/>
    </row>
    <row r="3211" spans="4:4" x14ac:dyDescent="0.25">
      <c r="D3211"/>
    </row>
    <row r="3212" spans="4:4" x14ac:dyDescent="0.25">
      <c r="D3212"/>
    </row>
    <row r="3213" spans="4:4" x14ac:dyDescent="0.25">
      <c r="D3213"/>
    </row>
    <row r="3214" spans="4:4" x14ac:dyDescent="0.25">
      <c r="D3214"/>
    </row>
    <row r="3215" spans="4:4" x14ac:dyDescent="0.25">
      <c r="D3215"/>
    </row>
    <row r="3216" spans="4:4" x14ac:dyDescent="0.25">
      <c r="D3216"/>
    </row>
    <row r="3217" spans="4:4" x14ac:dyDescent="0.25">
      <c r="D3217"/>
    </row>
    <row r="3218" spans="4:4" x14ac:dyDescent="0.25">
      <c r="D3218"/>
    </row>
    <row r="3219" spans="4:4" x14ac:dyDescent="0.25">
      <c r="D3219"/>
    </row>
    <row r="3220" spans="4:4" x14ac:dyDescent="0.25">
      <c r="D3220"/>
    </row>
    <row r="3221" spans="4:4" x14ac:dyDescent="0.25">
      <c r="D3221"/>
    </row>
    <row r="3222" spans="4:4" x14ac:dyDescent="0.25">
      <c r="D3222"/>
    </row>
    <row r="3223" spans="4:4" x14ac:dyDescent="0.25">
      <c r="D3223"/>
    </row>
    <row r="3224" spans="4:4" x14ac:dyDescent="0.25">
      <c r="D3224"/>
    </row>
    <row r="3225" spans="4:4" x14ac:dyDescent="0.25">
      <c r="D3225"/>
    </row>
    <row r="3226" spans="4:4" x14ac:dyDescent="0.25">
      <c r="D3226"/>
    </row>
    <row r="3227" spans="4:4" x14ac:dyDescent="0.25">
      <c r="D3227"/>
    </row>
    <row r="3228" spans="4:4" x14ac:dyDescent="0.25">
      <c r="D3228"/>
    </row>
    <row r="3229" spans="4:4" x14ac:dyDescent="0.25">
      <c r="D3229"/>
    </row>
    <row r="3230" spans="4:4" x14ac:dyDescent="0.25">
      <c r="D3230"/>
    </row>
    <row r="3231" spans="4:4" x14ac:dyDescent="0.25">
      <c r="D3231"/>
    </row>
    <row r="3232" spans="4:4" x14ac:dyDescent="0.25">
      <c r="D3232"/>
    </row>
    <row r="3233" spans="4:4" x14ac:dyDescent="0.25">
      <c r="D3233"/>
    </row>
    <row r="3234" spans="4:4" x14ac:dyDescent="0.25">
      <c r="D3234"/>
    </row>
    <row r="3235" spans="4:4" x14ac:dyDescent="0.25">
      <c r="D3235"/>
    </row>
    <row r="3236" spans="4:4" x14ac:dyDescent="0.25">
      <c r="D3236"/>
    </row>
    <row r="3237" spans="4:4" x14ac:dyDescent="0.25">
      <c r="D3237"/>
    </row>
    <row r="3238" spans="4:4" x14ac:dyDescent="0.25">
      <c r="D3238"/>
    </row>
    <row r="3239" spans="4:4" x14ac:dyDescent="0.25">
      <c r="D3239"/>
    </row>
    <row r="3240" spans="4:4" x14ac:dyDescent="0.25">
      <c r="D3240"/>
    </row>
    <row r="3241" spans="4:4" x14ac:dyDescent="0.25">
      <c r="D3241"/>
    </row>
    <row r="3242" spans="4:4" x14ac:dyDescent="0.25">
      <c r="D3242"/>
    </row>
    <row r="3243" spans="4:4" x14ac:dyDescent="0.25">
      <c r="D3243"/>
    </row>
    <row r="3244" spans="4:4" x14ac:dyDescent="0.25">
      <c r="D3244"/>
    </row>
    <row r="3245" spans="4:4" x14ac:dyDescent="0.25">
      <c r="D3245"/>
    </row>
    <row r="3246" spans="4:4" x14ac:dyDescent="0.25">
      <c r="D3246"/>
    </row>
    <row r="3247" spans="4:4" x14ac:dyDescent="0.25">
      <c r="D3247"/>
    </row>
    <row r="3248" spans="4:4" x14ac:dyDescent="0.25">
      <c r="D3248"/>
    </row>
    <row r="3249" spans="4:4" x14ac:dyDescent="0.25">
      <c r="D3249"/>
    </row>
    <row r="3250" spans="4:4" x14ac:dyDescent="0.25">
      <c r="D3250"/>
    </row>
    <row r="3251" spans="4:4" x14ac:dyDescent="0.25">
      <c r="D3251"/>
    </row>
    <row r="3252" spans="4:4" x14ac:dyDescent="0.25">
      <c r="D3252"/>
    </row>
    <row r="3253" spans="4:4" x14ac:dyDescent="0.25">
      <c r="D3253"/>
    </row>
    <row r="3254" spans="4:4" x14ac:dyDescent="0.25">
      <c r="D3254"/>
    </row>
    <row r="3255" spans="4:4" x14ac:dyDescent="0.25">
      <c r="D3255"/>
    </row>
    <row r="3256" spans="4:4" x14ac:dyDescent="0.25">
      <c r="D3256"/>
    </row>
    <row r="3257" spans="4:4" x14ac:dyDescent="0.25">
      <c r="D3257"/>
    </row>
    <row r="3258" spans="4:4" x14ac:dyDescent="0.25">
      <c r="D3258"/>
    </row>
    <row r="3259" spans="4:4" x14ac:dyDescent="0.25">
      <c r="D3259"/>
    </row>
    <row r="3260" spans="4:4" x14ac:dyDescent="0.25">
      <c r="D3260"/>
    </row>
    <row r="3261" spans="4:4" x14ac:dyDescent="0.25">
      <c r="D3261"/>
    </row>
    <row r="3262" spans="4:4" x14ac:dyDescent="0.25">
      <c r="D3262"/>
    </row>
    <row r="3263" spans="4:4" x14ac:dyDescent="0.25">
      <c r="D3263"/>
    </row>
    <row r="3264" spans="4:4" x14ac:dyDescent="0.25">
      <c r="D3264"/>
    </row>
    <row r="3265" spans="4:4" x14ac:dyDescent="0.25">
      <c r="D3265"/>
    </row>
    <row r="3266" spans="4:4" x14ac:dyDescent="0.25">
      <c r="D3266"/>
    </row>
    <row r="3267" spans="4:4" x14ac:dyDescent="0.25">
      <c r="D3267"/>
    </row>
    <row r="3268" spans="4:4" x14ac:dyDescent="0.25">
      <c r="D3268"/>
    </row>
    <row r="3269" spans="4:4" x14ac:dyDescent="0.25">
      <c r="D3269"/>
    </row>
    <row r="3270" spans="4:4" x14ac:dyDescent="0.25">
      <c r="D3270"/>
    </row>
    <row r="3271" spans="4:4" x14ac:dyDescent="0.25">
      <c r="D3271"/>
    </row>
    <row r="3272" spans="4:4" x14ac:dyDescent="0.25">
      <c r="D3272"/>
    </row>
    <row r="3273" spans="4:4" x14ac:dyDescent="0.25">
      <c r="D3273"/>
    </row>
    <row r="3274" spans="4:4" x14ac:dyDescent="0.25">
      <c r="D3274"/>
    </row>
    <row r="3275" spans="4:4" x14ac:dyDescent="0.25">
      <c r="D3275"/>
    </row>
    <row r="3276" spans="4:4" x14ac:dyDescent="0.25">
      <c r="D3276"/>
    </row>
    <row r="3277" spans="4:4" x14ac:dyDescent="0.25">
      <c r="D3277"/>
    </row>
    <row r="3278" spans="4:4" x14ac:dyDescent="0.25">
      <c r="D3278"/>
    </row>
    <row r="3279" spans="4:4" x14ac:dyDescent="0.25">
      <c r="D3279"/>
    </row>
    <row r="3280" spans="4:4" x14ac:dyDescent="0.25">
      <c r="D3280"/>
    </row>
    <row r="3281" spans="4:4" x14ac:dyDescent="0.25">
      <c r="D3281"/>
    </row>
    <row r="3282" spans="4:4" x14ac:dyDescent="0.25">
      <c r="D3282"/>
    </row>
    <row r="3283" spans="4:4" x14ac:dyDescent="0.25">
      <c r="D3283"/>
    </row>
    <row r="3284" spans="4:4" x14ac:dyDescent="0.25">
      <c r="D3284"/>
    </row>
    <row r="3285" spans="4:4" x14ac:dyDescent="0.25">
      <c r="D3285"/>
    </row>
    <row r="3286" spans="4:4" x14ac:dyDescent="0.25">
      <c r="D3286"/>
    </row>
    <row r="3287" spans="4:4" x14ac:dyDescent="0.25">
      <c r="D3287"/>
    </row>
    <row r="3288" spans="4:4" x14ac:dyDescent="0.25">
      <c r="D3288"/>
    </row>
    <row r="3289" spans="4:4" x14ac:dyDescent="0.25">
      <c r="D3289"/>
    </row>
    <row r="3290" spans="4:4" x14ac:dyDescent="0.25">
      <c r="D3290"/>
    </row>
    <row r="3291" spans="4:4" x14ac:dyDescent="0.25">
      <c r="D3291"/>
    </row>
    <row r="3292" spans="4:4" x14ac:dyDescent="0.25">
      <c r="D3292"/>
    </row>
    <row r="3293" spans="4:4" x14ac:dyDescent="0.25">
      <c r="D3293"/>
    </row>
    <row r="3294" spans="4:4" x14ac:dyDescent="0.25">
      <c r="D3294"/>
    </row>
    <row r="3295" spans="4:4" x14ac:dyDescent="0.25">
      <c r="D3295"/>
    </row>
    <row r="3296" spans="4:4" x14ac:dyDescent="0.25">
      <c r="D3296"/>
    </row>
    <row r="3297" spans="4:4" x14ac:dyDescent="0.25">
      <c r="D3297"/>
    </row>
    <row r="3298" spans="4:4" x14ac:dyDescent="0.25">
      <c r="D3298"/>
    </row>
    <row r="3299" spans="4:4" x14ac:dyDescent="0.25">
      <c r="D3299"/>
    </row>
    <row r="3300" spans="4:4" x14ac:dyDescent="0.25">
      <c r="D3300"/>
    </row>
    <row r="3301" spans="4:4" x14ac:dyDescent="0.25">
      <c r="D3301"/>
    </row>
    <row r="3302" spans="4:4" x14ac:dyDescent="0.25">
      <c r="D3302"/>
    </row>
    <row r="3303" spans="4:4" x14ac:dyDescent="0.25">
      <c r="D3303"/>
    </row>
    <row r="3304" spans="4:4" x14ac:dyDescent="0.25">
      <c r="D3304"/>
    </row>
    <row r="3305" spans="4:4" x14ac:dyDescent="0.25">
      <c r="D3305"/>
    </row>
    <row r="3306" spans="4:4" x14ac:dyDescent="0.25">
      <c r="D3306"/>
    </row>
    <row r="3307" spans="4:4" x14ac:dyDescent="0.25">
      <c r="D3307"/>
    </row>
    <row r="3308" spans="4:4" x14ac:dyDescent="0.25">
      <c r="D3308"/>
    </row>
    <row r="3309" spans="4:4" x14ac:dyDescent="0.25">
      <c r="D3309"/>
    </row>
    <row r="3310" spans="4:4" x14ac:dyDescent="0.25">
      <c r="D3310"/>
    </row>
    <row r="3311" spans="4:4" x14ac:dyDescent="0.25">
      <c r="D3311"/>
    </row>
    <row r="3312" spans="4:4" x14ac:dyDescent="0.25">
      <c r="D3312"/>
    </row>
    <row r="3313" spans="4:4" x14ac:dyDescent="0.25">
      <c r="D3313"/>
    </row>
    <row r="3314" spans="4:4" x14ac:dyDescent="0.25">
      <c r="D3314"/>
    </row>
    <row r="3315" spans="4:4" x14ac:dyDescent="0.25">
      <c r="D3315"/>
    </row>
    <row r="3316" spans="4:4" x14ac:dyDescent="0.25">
      <c r="D3316"/>
    </row>
    <row r="3317" spans="4:4" x14ac:dyDescent="0.25">
      <c r="D3317"/>
    </row>
    <row r="3318" spans="4:4" x14ac:dyDescent="0.25">
      <c r="D3318"/>
    </row>
    <row r="3319" spans="4:4" x14ac:dyDescent="0.25">
      <c r="D3319"/>
    </row>
    <row r="3320" spans="4:4" x14ac:dyDescent="0.25">
      <c r="D3320"/>
    </row>
    <row r="3321" spans="4:4" x14ac:dyDescent="0.25">
      <c r="D3321"/>
    </row>
    <row r="3322" spans="4:4" x14ac:dyDescent="0.25">
      <c r="D3322"/>
    </row>
    <row r="3323" spans="4:4" x14ac:dyDescent="0.25">
      <c r="D3323"/>
    </row>
    <row r="3324" spans="4:4" x14ac:dyDescent="0.25">
      <c r="D3324"/>
    </row>
    <row r="3325" spans="4:4" x14ac:dyDescent="0.25">
      <c r="D3325"/>
    </row>
    <row r="3326" spans="4:4" x14ac:dyDescent="0.25">
      <c r="D3326"/>
    </row>
    <row r="3327" spans="4:4" x14ac:dyDescent="0.25">
      <c r="D3327"/>
    </row>
    <row r="3328" spans="4:4" x14ac:dyDescent="0.25">
      <c r="D3328"/>
    </row>
    <row r="3329" spans="4:4" x14ac:dyDescent="0.25">
      <c r="D3329"/>
    </row>
    <row r="3330" spans="4:4" x14ac:dyDescent="0.25">
      <c r="D3330"/>
    </row>
    <row r="3331" spans="4:4" x14ac:dyDescent="0.25">
      <c r="D3331"/>
    </row>
    <row r="3332" spans="4:4" x14ac:dyDescent="0.25">
      <c r="D3332"/>
    </row>
    <row r="3333" spans="4:4" x14ac:dyDescent="0.25">
      <c r="D3333"/>
    </row>
    <row r="3334" spans="4:4" x14ac:dyDescent="0.25">
      <c r="D3334"/>
    </row>
    <row r="3335" spans="4:4" x14ac:dyDescent="0.25">
      <c r="D3335"/>
    </row>
    <row r="3336" spans="4:4" x14ac:dyDescent="0.25">
      <c r="D3336"/>
    </row>
    <row r="3337" spans="4:4" x14ac:dyDescent="0.25">
      <c r="D3337"/>
    </row>
    <row r="3338" spans="4:4" x14ac:dyDescent="0.25">
      <c r="D3338"/>
    </row>
    <row r="3339" spans="4:4" x14ac:dyDescent="0.25">
      <c r="D3339"/>
    </row>
    <row r="3340" spans="4:4" x14ac:dyDescent="0.25">
      <c r="D3340"/>
    </row>
    <row r="3341" spans="4:4" x14ac:dyDescent="0.25">
      <c r="D3341"/>
    </row>
    <row r="3342" spans="4:4" x14ac:dyDescent="0.25">
      <c r="D3342"/>
    </row>
    <row r="3343" spans="4:4" x14ac:dyDescent="0.25">
      <c r="D3343"/>
    </row>
    <row r="3344" spans="4:4" x14ac:dyDescent="0.25">
      <c r="D3344"/>
    </row>
    <row r="3345" spans="4:4" x14ac:dyDescent="0.25">
      <c r="D3345"/>
    </row>
    <row r="3346" spans="4:4" x14ac:dyDescent="0.25">
      <c r="D3346"/>
    </row>
    <row r="3347" spans="4:4" x14ac:dyDescent="0.25">
      <c r="D3347"/>
    </row>
    <row r="3348" spans="4:4" x14ac:dyDescent="0.25">
      <c r="D3348"/>
    </row>
    <row r="3349" spans="4:4" x14ac:dyDescent="0.25">
      <c r="D3349"/>
    </row>
    <row r="3350" spans="4:4" x14ac:dyDescent="0.25">
      <c r="D3350"/>
    </row>
    <row r="3351" spans="4:4" x14ac:dyDescent="0.25">
      <c r="D3351"/>
    </row>
    <row r="3352" spans="4:4" x14ac:dyDescent="0.25">
      <c r="D3352"/>
    </row>
    <row r="3353" spans="4:4" x14ac:dyDescent="0.25">
      <c r="D3353"/>
    </row>
    <row r="3354" spans="4:4" x14ac:dyDescent="0.25">
      <c r="D3354"/>
    </row>
    <row r="3355" spans="4:4" x14ac:dyDescent="0.25">
      <c r="D3355"/>
    </row>
    <row r="3356" spans="4:4" x14ac:dyDescent="0.25">
      <c r="D3356"/>
    </row>
    <row r="3357" spans="4:4" x14ac:dyDescent="0.25">
      <c r="D3357"/>
    </row>
    <row r="3358" spans="4:4" x14ac:dyDescent="0.25">
      <c r="D3358"/>
    </row>
    <row r="3359" spans="4:4" x14ac:dyDescent="0.25">
      <c r="D3359"/>
    </row>
    <row r="3360" spans="4:4" x14ac:dyDescent="0.25">
      <c r="D3360"/>
    </row>
    <row r="3361" spans="4:4" x14ac:dyDescent="0.25">
      <c r="D3361"/>
    </row>
    <row r="3362" spans="4:4" x14ac:dyDescent="0.25">
      <c r="D3362"/>
    </row>
    <row r="3363" spans="4:4" x14ac:dyDescent="0.25">
      <c r="D3363"/>
    </row>
    <row r="3364" spans="4:4" x14ac:dyDescent="0.25">
      <c r="D3364"/>
    </row>
    <row r="3365" spans="4:4" x14ac:dyDescent="0.25">
      <c r="D3365"/>
    </row>
    <row r="3366" spans="4:4" x14ac:dyDescent="0.25">
      <c r="D3366"/>
    </row>
    <row r="3367" spans="4:4" x14ac:dyDescent="0.25">
      <c r="D3367"/>
    </row>
    <row r="3368" spans="4:4" x14ac:dyDescent="0.25">
      <c r="D3368"/>
    </row>
    <row r="3369" spans="4:4" x14ac:dyDescent="0.25">
      <c r="D3369"/>
    </row>
    <row r="3370" spans="4:4" x14ac:dyDescent="0.25">
      <c r="D3370"/>
    </row>
    <row r="3371" spans="4:4" x14ac:dyDescent="0.25">
      <c r="D3371"/>
    </row>
    <row r="3372" spans="4:4" x14ac:dyDescent="0.25">
      <c r="D3372"/>
    </row>
    <row r="3373" spans="4:4" x14ac:dyDescent="0.25">
      <c r="D3373"/>
    </row>
    <row r="3374" spans="4:4" x14ac:dyDescent="0.25">
      <c r="D3374"/>
    </row>
    <row r="3375" spans="4:4" x14ac:dyDescent="0.25">
      <c r="D3375"/>
    </row>
    <row r="3376" spans="4:4" x14ac:dyDescent="0.25">
      <c r="D3376"/>
    </row>
    <row r="3377" spans="4:4" x14ac:dyDescent="0.25">
      <c r="D3377"/>
    </row>
    <row r="3378" spans="4:4" x14ac:dyDescent="0.25">
      <c r="D3378"/>
    </row>
    <row r="3379" spans="4:4" x14ac:dyDescent="0.25">
      <c r="D3379"/>
    </row>
    <row r="3380" spans="4:4" x14ac:dyDescent="0.25">
      <c r="D3380"/>
    </row>
    <row r="3381" spans="4:4" x14ac:dyDescent="0.25">
      <c r="D3381"/>
    </row>
    <row r="3382" spans="4:4" x14ac:dyDescent="0.25">
      <c r="D3382"/>
    </row>
    <row r="3383" spans="4:4" x14ac:dyDescent="0.25">
      <c r="D3383"/>
    </row>
    <row r="3384" spans="4:4" x14ac:dyDescent="0.25">
      <c r="D3384"/>
    </row>
    <row r="3385" spans="4:4" x14ac:dyDescent="0.25">
      <c r="D3385"/>
    </row>
    <row r="3386" spans="4:4" x14ac:dyDescent="0.25">
      <c r="D3386"/>
    </row>
    <row r="3387" spans="4:4" x14ac:dyDescent="0.25">
      <c r="D3387"/>
    </row>
    <row r="3388" spans="4:4" x14ac:dyDescent="0.25">
      <c r="D3388"/>
    </row>
    <row r="3389" spans="4:4" x14ac:dyDescent="0.25">
      <c r="D3389"/>
    </row>
    <row r="3390" spans="4:4" x14ac:dyDescent="0.25">
      <c r="D3390"/>
    </row>
    <row r="3391" spans="4:4" x14ac:dyDescent="0.25">
      <c r="D3391"/>
    </row>
    <row r="3392" spans="4:4" x14ac:dyDescent="0.25">
      <c r="D3392"/>
    </row>
    <row r="3393" spans="4:4" x14ac:dyDescent="0.25">
      <c r="D3393"/>
    </row>
    <row r="3394" spans="4:4" x14ac:dyDescent="0.25">
      <c r="D3394"/>
    </row>
    <row r="3395" spans="4:4" x14ac:dyDescent="0.25">
      <c r="D3395"/>
    </row>
    <row r="3396" spans="4:4" x14ac:dyDescent="0.25">
      <c r="D3396"/>
    </row>
    <row r="3397" spans="4:4" x14ac:dyDescent="0.25">
      <c r="D3397"/>
    </row>
    <row r="3398" spans="4:4" x14ac:dyDescent="0.25">
      <c r="D3398"/>
    </row>
    <row r="3399" spans="4:4" x14ac:dyDescent="0.25">
      <c r="D3399"/>
    </row>
    <row r="3400" spans="4:4" x14ac:dyDescent="0.25">
      <c r="D3400"/>
    </row>
    <row r="3401" spans="4:4" x14ac:dyDescent="0.25">
      <c r="D3401"/>
    </row>
    <row r="3402" spans="4:4" x14ac:dyDescent="0.25">
      <c r="D3402"/>
    </row>
    <row r="3403" spans="4:4" x14ac:dyDescent="0.25">
      <c r="D3403"/>
    </row>
    <row r="3404" spans="4:4" x14ac:dyDescent="0.25">
      <c r="D3404"/>
    </row>
    <row r="3405" spans="4:4" x14ac:dyDescent="0.25">
      <c r="D3405"/>
    </row>
    <row r="3406" spans="4:4" x14ac:dyDescent="0.25">
      <c r="D3406"/>
    </row>
    <row r="3407" spans="4:4" x14ac:dyDescent="0.25">
      <c r="D3407"/>
    </row>
    <row r="3408" spans="4:4" x14ac:dyDescent="0.25">
      <c r="D3408"/>
    </row>
    <row r="3409" spans="4:4" x14ac:dyDescent="0.25">
      <c r="D3409"/>
    </row>
    <row r="3410" spans="4:4" x14ac:dyDescent="0.25">
      <c r="D3410"/>
    </row>
    <row r="3411" spans="4:4" x14ac:dyDescent="0.25">
      <c r="D3411"/>
    </row>
    <row r="3412" spans="4:4" x14ac:dyDescent="0.25">
      <c r="D3412"/>
    </row>
    <row r="3413" spans="4:4" x14ac:dyDescent="0.25">
      <c r="D3413"/>
    </row>
    <row r="3414" spans="4:4" x14ac:dyDescent="0.25">
      <c r="D3414"/>
    </row>
    <row r="3415" spans="4:4" x14ac:dyDescent="0.25">
      <c r="D3415"/>
    </row>
    <row r="3416" spans="4:4" x14ac:dyDescent="0.25">
      <c r="D3416"/>
    </row>
    <row r="3417" spans="4:4" x14ac:dyDescent="0.25">
      <c r="D3417"/>
    </row>
    <row r="3418" spans="4:4" x14ac:dyDescent="0.25">
      <c r="D3418"/>
    </row>
    <row r="3419" spans="4:4" x14ac:dyDescent="0.25">
      <c r="D3419"/>
    </row>
    <row r="3420" spans="4:4" x14ac:dyDescent="0.25">
      <c r="D3420"/>
    </row>
    <row r="3421" spans="4:4" x14ac:dyDescent="0.25">
      <c r="D3421"/>
    </row>
    <row r="3422" spans="4:4" x14ac:dyDescent="0.25">
      <c r="D3422"/>
    </row>
    <row r="3423" spans="4:4" x14ac:dyDescent="0.25">
      <c r="D3423"/>
    </row>
    <row r="3424" spans="4:4" x14ac:dyDescent="0.25">
      <c r="D3424"/>
    </row>
    <row r="3425" spans="4:4" x14ac:dyDescent="0.25">
      <c r="D3425"/>
    </row>
    <row r="3426" spans="4:4" x14ac:dyDescent="0.25">
      <c r="D3426"/>
    </row>
    <row r="3427" spans="4:4" x14ac:dyDescent="0.25">
      <c r="D3427"/>
    </row>
    <row r="3428" spans="4:4" x14ac:dyDescent="0.25">
      <c r="D3428"/>
    </row>
    <row r="3429" spans="4:4" x14ac:dyDescent="0.25">
      <c r="D3429"/>
    </row>
    <row r="3430" spans="4:4" x14ac:dyDescent="0.25">
      <c r="D3430"/>
    </row>
    <row r="3431" spans="4:4" x14ac:dyDescent="0.25">
      <c r="D3431"/>
    </row>
    <row r="3432" spans="4:4" x14ac:dyDescent="0.25">
      <c r="D3432"/>
    </row>
    <row r="3433" spans="4:4" x14ac:dyDescent="0.25">
      <c r="D3433"/>
    </row>
    <row r="3434" spans="4:4" x14ac:dyDescent="0.25">
      <c r="D3434"/>
    </row>
    <row r="3435" spans="4:4" x14ac:dyDescent="0.25">
      <c r="D3435"/>
    </row>
    <row r="3436" spans="4:4" x14ac:dyDescent="0.25">
      <c r="D3436"/>
    </row>
    <row r="3437" spans="4:4" x14ac:dyDescent="0.25">
      <c r="D3437"/>
    </row>
    <row r="3438" spans="4:4" x14ac:dyDescent="0.25">
      <c r="D3438"/>
    </row>
    <row r="3439" spans="4:4" x14ac:dyDescent="0.25">
      <c r="D3439"/>
    </row>
    <row r="3440" spans="4:4" x14ac:dyDescent="0.25">
      <c r="D3440"/>
    </row>
    <row r="3441" spans="4:4" x14ac:dyDescent="0.25">
      <c r="D3441"/>
    </row>
    <row r="3442" spans="4:4" x14ac:dyDescent="0.25">
      <c r="D3442"/>
    </row>
    <row r="3443" spans="4:4" x14ac:dyDescent="0.25">
      <c r="D3443"/>
    </row>
    <row r="3444" spans="4:4" x14ac:dyDescent="0.25">
      <c r="D3444"/>
    </row>
    <row r="3445" spans="4:4" x14ac:dyDescent="0.25">
      <c r="D3445"/>
    </row>
    <row r="3446" spans="4:4" x14ac:dyDescent="0.25">
      <c r="D3446"/>
    </row>
    <row r="3447" spans="4:4" x14ac:dyDescent="0.25">
      <c r="D3447"/>
    </row>
    <row r="3448" spans="4:4" x14ac:dyDescent="0.25">
      <c r="D3448"/>
    </row>
    <row r="3449" spans="4:4" x14ac:dyDescent="0.25">
      <c r="D3449"/>
    </row>
    <row r="3450" spans="4:4" x14ac:dyDescent="0.25">
      <c r="D3450"/>
    </row>
    <row r="3451" spans="4:4" x14ac:dyDescent="0.25">
      <c r="D3451"/>
    </row>
    <row r="3452" spans="4:4" x14ac:dyDescent="0.25">
      <c r="D3452"/>
    </row>
    <row r="3453" spans="4:4" x14ac:dyDescent="0.25">
      <c r="D3453"/>
    </row>
    <row r="3454" spans="4:4" x14ac:dyDescent="0.25">
      <c r="D3454"/>
    </row>
    <row r="3455" spans="4:4" x14ac:dyDescent="0.25">
      <c r="D3455"/>
    </row>
    <row r="3456" spans="4:4" x14ac:dyDescent="0.25">
      <c r="D3456"/>
    </row>
    <row r="3457" spans="4:4" x14ac:dyDescent="0.25">
      <c r="D3457"/>
    </row>
    <row r="3458" spans="4:4" x14ac:dyDescent="0.25">
      <c r="D3458"/>
    </row>
    <row r="3459" spans="4:4" x14ac:dyDescent="0.25">
      <c r="D3459"/>
    </row>
    <row r="3460" spans="4:4" x14ac:dyDescent="0.25">
      <c r="D3460"/>
    </row>
    <row r="3461" spans="4:4" x14ac:dyDescent="0.25">
      <c r="D3461"/>
    </row>
    <row r="3462" spans="4:4" x14ac:dyDescent="0.25">
      <c r="D3462"/>
    </row>
    <row r="3463" spans="4:4" x14ac:dyDescent="0.25">
      <c r="D3463"/>
    </row>
    <row r="3464" spans="4:4" x14ac:dyDescent="0.25">
      <c r="D3464"/>
    </row>
    <row r="3465" spans="4:4" x14ac:dyDescent="0.25">
      <c r="D3465"/>
    </row>
    <row r="3466" spans="4:4" x14ac:dyDescent="0.25">
      <c r="D3466"/>
    </row>
    <row r="3467" spans="4:4" x14ac:dyDescent="0.25">
      <c r="D3467"/>
    </row>
    <row r="3468" spans="4:4" x14ac:dyDescent="0.25">
      <c r="D3468"/>
    </row>
    <row r="3469" spans="4:4" x14ac:dyDescent="0.25">
      <c r="D3469"/>
    </row>
    <row r="3470" spans="4:4" x14ac:dyDescent="0.25">
      <c r="D3470"/>
    </row>
    <row r="3471" spans="4:4" x14ac:dyDescent="0.25">
      <c r="D3471"/>
    </row>
    <row r="3472" spans="4:4" x14ac:dyDescent="0.25">
      <c r="D3472"/>
    </row>
    <row r="3473" spans="4:4" x14ac:dyDescent="0.25">
      <c r="D3473"/>
    </row>
    <row r="3474" spans="4:4" x14ac:dyDescent="0.25">
      <c r="D3474"/>
    </row>
    <row r="3475" spans="4:4" x14ac:dyDescent="0.25">
      <c r="D3475"/>
    </row>
    <row r="3476" spans="4:4" x14ac:dyDescent="0.25">
      <c r="D3476"/>
    </row>
    <row r="3477" spans="4:4" x14ac:dyDescent="0.25">
      <c r="D3477"/>
    </row>
    <row r="3478" spans="4:4" x14ac:dyDescent="0.25">
      <c r="D3478"/>
    </row>
    <row r="3479" spans="4:4" x14ac:dyDescent="0.25">
      <c r="D3479"/>
    </row>
    <row r="3480" spans="4:4" x14ac:dyDescent="0.25">
      <c r="D3480"/>
    </row>
    <row r="3481" spans="4:4" x14ac:dyDescent="0.25">
      <c r="D3481"/>
    </row>
    <row r="3482" spans="4:4" x14ac:dyDescent="0.25">
      <c r="D3482"/>
    </row>
    <row r="3483" spans="4:4" x14ac:dyDescent="0.25">
      <c r="D3483"/>
    </row>
    <row r="3484" spans="4:4" x14ac:dyDescent="0.25">
      <c r="D3484"/>
    </row>
    <row r="3485" spans="4:4" x14ac:dyDescent="0.25">
      <c r="D3485"/>
    </row>
    <row r="3486" spans="4:4" x14ac:dyDescent="0.25">
      <c r="D3486"/>
    </row>
    <row r="3487" spans="4:4" x14ac:dyDescent="0.25">
      <c r="D3487"/>
    </row>
    <row r="3488" spans="4:4" x14ac:dyDescent="0.25">
      <c r="D3488"/>
    </row>
    <row r="3489" spans="4:4" x14ac:dyDescent="0.25">
      <c r="D3489"/>
    </row>
    <row r="3490" spans="4:4" x14ac:dyDescent="0.25">
      <c r="D3490"/>
    </row>
    <row r="3491" spans="4:4" x14ac:dyDescent="0.25">
      <c r="D3491"/>
    </row>
    <row r="3492" spans="4:4" x14ac:dyDescent="0.25">
      <c r="D3492"/>
    </row>
    <row r="3493" spans="4:4" x14ac:dyDescent="0.25">
      <c r="D3493"/>
    </row>
    <row r="3494" spans="4:4" x14ac:dyDescent="0.25">
      <c r="D3494"/>
    </row>
    <row r="3495" spans="4:4" x14ac:dyDescent="0.25">
      <c r="D3495"/>
    </row>
    <row r="3496" spans="4:4" x14ac:dyDescent="0.25">
      <c r="D3496"/>
    </row>
    <row r="3497" spans="4:4" x14ac:dyDescent="0.25">
      <c r="D3497"/>
    </row>
    <row r="3498" spans="4:4" x14ac:dyDescent="0.25">
      <c r="D3498"/>
    </row>
    <row r="3499" spans="4:4" x14ac:dyDescent="0.25">
      <c r="D3499"/>
    </row>
    <row r="3500" spans="4:4" x14ac:dyDescent="0.25">
      <c r="D3500"/>
    </row>
    <row r="3501" spans="4:4" x14ac:dyDescent="0.25">
      <c r="D3501"/>
    </row>
    <row r="3502" spans="4:4" x14ac:dyDescent="0.25">
      <c r="D3502"/>
    </row>
    <row r="3503" spans="4:4" x14ac:dyDescent="0.25">
      <c r="D3503"/>
    </row>
    <row r="3504" spans="4:4" x14ac:dyDescent="0.25">
      <c r="D3504"/>
    </row>
    <row r="3505" spans="4:4" x14ac:dyDescent="0.25">
      <c r="D3505"/>
    </row>
    <row r="3506" spans="4:4" x14ac:dyDescent="0.25">
      <c r="D3506"/>
    </row>
    <row r="3507" spans="4:4" x14ac:dyDescent="0.25">
      <c r="D3507"/>
    </row>
    <row r="3508" spans="4:4" x14ac:dyDescent="0.25">
      <c r="D3508"/>
    </row>
    <row r="3509" spans="4:4" x14ac:dyDescent="0.25">
      <c r="D3509"/>
    </row>
    <row r="3510" spans="4:4" x14ac:dyDescent="0.25">
      <c r="D3510"/>
    </row>
    <row r="3511" spans="4:4" x14ac:dyDescent="0.25">
      <c r="D3511"/>
    </row>
    <row r="3512" spans="4:4" x14ac:dyDescent="0.25">
      <c r="D3512"/>
    </row>
    <row r="3513" spans="4:4" x14ac:dyDescent="0.25">
      <c r="D3513"/>
    </row>
    <row r="3514" spans="4:4" x14ac:dyDescent="0.25">
      <c r="D3514"/>
    </row>
    <row r="3515" spans="4:4" x14ac:dyDescent="0.25">
      <c r="D3515"/>
    </row>
    <row r="3516" spans="4:4" x14ac:dyDescent="0.25">
      <c r="D3516"/>
    </row>
    <row r="3517" spans="4:4" x14ac:dyDescent="0.25">
      <c r="D3517"/>
    </row>
    <row r="3518" spans="4:4" x14ac:dyDescent="0.25">
      <c r="D3518"/>
    </row>
    <row r="3519" spans="4:4" x14ac:dyDescent="0.25">
      <c r="D3519"/>
    </row>
    <row r="3520" spans="4:4" x14ac:dyDescent="0.25">
      <c r="D3520"/>
    </row>
    <row r="3521" spans="4:4" x14ac:dyDescent="0.25">
      <c r="D3521"/>
    </row>
    <row r="3522" spans="4:4" x14ac:dyDescent="0.25">
      <c r="D3522"/>
    </row>
    <row r="3523" spans="4:4" x14ac:dyDescent="0.25">
      <c r="D3523"/>
    </row>
    <row r="3524" spans="4:4" x14ac:dyDescent="0.25">
      <c r="D3524"/>
    </row>
    <row r="3525" spans="4:4" x14ac:dyDescent="0.25">
      <c r="D3525"/>
    </row>
    <row r="3526" spans="4:4" x14ac:dyDescent="0.25">
      <c r="D3526"/>
    </row>
    <row r="3527" spans="4:4" x14ac:dyDescent="0.25">
      <c r="D3527"/>
    </row>
    <row r="3528" spans="4:4" x14ac:dyDescent="0.25">
      <c r="D3528"/>
    </row>
    <row r="3529" spans="4:4" x14ac:dyDescent="0.25">
      <c r="D3529"/>
    </row>
    <row r="3530" spans="4:4" x14ac:dyDescent="0.25">
      <c r="D3530"/>
    </row>
    <row r="3531" spans="4:4" x14ac:dyDescent="0.25">
      <c r="D3531"/>
    </row>
    <row r="3532" spans="4:4" x14ac:dyDescent="0.25">
      <c r="D3532"/>
    </row>
    <row r="3533" spans="4:4" x14ac:dyDescent="0.25">
      <c r="D3533"/>
    </row>
    <row r="3534" spans="4:4" x14ac:dyDescent="0.25">
      <c r="D3534"/>
    </row>
    <row r="3535" spans="4:4" x14ac:dyDescent="0.25">
      <c r="D3535"/>
    </row>
    <row r="3536" spans="4:4" x14ac:dyDescent="0.25">
      <c r="D3536"/>
    </row>
    <row r="3537" spans="4:4" x14ac:dyDescent="0.25">
      <c r="D3537"/>
    </row>
    <row r="3538" spans="4:4" x14ac:dyDescent="0.25">
      <c r="D3538"/>
    </row>
    <row r="3539" spans="4:4" x14ac:dyDescent="0.25">
      <c r="D3539"/>
    </row>
    <row r="3540" spans="4:4" x14ac:dyDescent="0.25">
      <c r="D3540"/>
    </row>
    <row r="3541" spans="4:4" x14ac:dyDescent="0.25">
      <c r="D3541"/>
    </row>
    <row r="3542" spans="4:4" x14ac:dyDescent="0.25">
      <c r="D3542"/>
    </row>
    <row r="3543" spans="4:4" x14ac:dyDescent="0.25">
      <c r="D3543"/>
    </row>
    <row r="3544" spans="4:4" x14ac:dyDescent="0.25">
      <c r="D3544"/>
    </row>
    <row r="3545" spans="4:4" x14ac:dyDescent="0.25">
      <c r="D3545"/>
    </row>
    <row r="3546" spans="4:4" x14ac:dyDescent="0.25">
      <c r="D3546"/>
    </row>
    <row r="3547" spans="4:4" x14ac:dyDescent="0.25">
      <c r="D3547"/>
    </row>
    <row r="3548" spans="4:4" x14ac:dyDescent="0.25">
      <c r="D3548"/>
    </row>
    <row r="3549" spans="4:4" x14ac:dyDescent="0.25">
      <c r="D3549"/>
    </row>
    <row r="3550" spans="4:4" x14ac:dyDescent="0.25">
      <c r="D3550"/>
    </row>
    <row r="3551" spans="4:4" x14ac:dyDescent="0.25">
      <c r="D3551"/>
    </row>
    <row r="3552" spans="4:4" x14ac:dyDescent="0.25">
      <c r="D3552"/>
    </row>
    <row r="3553" spans="4:4" x14ac:dyDescent="0.25">
      <c r="D3553"/>
    </row>
    <row r="3554" spans="4:4" x14ac:dyDescent="0.25">
      <c r="D3554"/>
    </row>
    <row r="3555" spans="4:4" x14ac:dyDescent="0.25">
      <c r="D3555"/>
    </row>
    <row r="3556" spans="4:4" x14ac:dyDescent="0.25">
      <c r="D3556"/>
    </row>
    <row r="3557" spans="4:4" x14ac:dyDescent="0.25">
      <c r="D3557"/>
    </row>
    <row r="3558" spans="4:4" x14ac:dyDescent="0.25">
      <c r="D3558"/>
    </row>
    <row r="3559" spans="4:4" x14ac:dyDescent="0.25">
      <c r="D3559"/>
    </row>
    <row r="3560" spans="4:4" x14ac:dyDescent="0.25">
      <c r="D3560"/>
    </row>
    <row r="3561" spans="4:4" x14ac:dyDescent="0.25">
      <c r="D3561"/>
    </row>
    <row r="3562" spans="4:4" x14ac:dyDescent="0.25">
      <c r="D3562"/>
    </row>
    <row r="3563" spans="4:4" x14ac:dyDescent="0.25">
      <c r="D3563"/>
    </row>
    <row r="3564" spans="4:4" x14ac:dyDescent="0.25">
      <c r="D3564"/>
    </row>
    <row r="3565" spans="4:4" x14ac:dyDescent="0.25">
      <c r="D3565"/>
    </row>
    <row r="3566" spans="4:4" x14ac:dyDescent="0.25">
      <c r="D3566"/>
    </row>
    <row r="3567" spans="4:4" x14ac:dyDescent="0.25">
      <c r="D3567"/>
    </row>
    <row r="3568" spans="4:4" x14ac:dyDescent="0.25">
      <c r="D3568"/>
    </row>
    <row r="3569" spans="4:4" x14ac:dyDescent="0.25">
      <c r="D3569"/>
    </row>
    <row r="3570" spans="4:4" x14ac:dyDescent="0.25">
      <c r="D3570"/>
    </row>
    <row r="3571" spans="4:4" x14ac:dyDescent="0.25">
      <c r="D3571"/>
    </row>
    <row r="3572" spans="4:4" x14ac:dyDescent="0.25">
      <c r="D3572"/>
    </row>
    <row r="3573" spans="4:4" x14ac:dyDescent="0.25">
      <c r="D3573"/>
    </row>
    <row r="3574" spans="4:4" x14ac:dyDescent="0.25">
      <c r="D3574"/>
    </row>
    <row r="3575" spans="4:4" x14ac:dyDescent="0.25">
      <c r="D3575"/>
    </row>
    <row r="3576" spans="4:4" x14ac:dyDescent="0.25">
      <c r="D3576"/>
    </row>
    <row r="3577" spans="4:4" x14ac:dyDescent="0.25">
      <c r="D3577"/>
    </row>
    <row r="3578" spans="4:4" x14ac:dyDescent="0.25">
      <c r="D3578"/>
    </row>
    <row r="3579" spans="4:4" x14ac:dyDescent="0.25">
      <c r="D3579"/>
    </row>
    <row r="3580" spans="4:4" x14ac:dyDescent="0.25">
      <c r="D3580"/>
    </row>
    <row r="3581" spans="4:4" x14ac:dyDescent="0.25">
      <c r="D3581"/>
    </row>
    <row r="3582" spans="4:4" x14ac:dyDescent="0.25">
      <c r="D3582"/>
    </row>
    <row r="3583" spans="4:4" x14ac:dyDescent="0.25">
      <c r="D3583"/>
    </row>
    <row r="3584" spans="4:4" x14ac:dyDescent="0.25">
      <c r="D3584"/>
    </row>
    <row r="3585" spans="4:4" x14ac:dyDescent="0.25">
      <c r="D3585"/>
    </row>
    <row r="3586" spans="4:4" x14ac:dyDescent="0.25">
      <c r="D3586"/>
    </row>
    <row r="3587" spans="4:4" x14ac:dyDescent="0.25">
      <c r="D3587"/>
    </row>
    <row r="3588" spans="4:4" x14ac:dyDescent="0.25">
      <c r="D3588"/>
    </row>
    <row r="3589" spans="4:4" x14ac:dyDescent="0.25">
      <c r="D3589"/>
    </row>
    <row r="3590" spans="4:4" x14ac:dyDescent="0.25">
      <c r="D3590"/>
    </row>
    <row r="3591" spans="4:4" x14ac:dyDescent="0.25">
      <c r="D3591"/>
    </row>
    <row r="3592" spans="4:4" x14ac:dyDescent="0.25">
      <c r="D3592"/>
    </row>
    <row r="3593" spans="4:4" x14ac:dyDescent="0.25">
      <c r="D3593"/>
    </row>
    <row r="3594" spans="4:4" x14ac:dyDescent="0.25">
      <c r="D3594"/>
    </row>
    <row r="3595" spans="4:4" x14ac:dyDescent="0.25">
      <c r="D3595"/>
    </row>
    <row r="3596" spans="4:4" x14ac:dyDescent="0.25">
      <c r="D3596"/>
    </row>
    <row r="3597" spans="4:4" x14ac:dyDescent="0.25">
      <c r="D3597"/>
    </row>
    <row r="3598" spans="4:4" x14ac:dyDescent="0.25">
      <c r="D3598"/>
    </row>
    <row r="3599" spans="4:4" x14ac:dyDescent="0.25">
      <c r="D3599"/>
    </row>
    <row r="3600" spans="4:4" x14ac:dyDescent="0.25">
      <c r="D3600"/>
    </row>
    <row r="3601" spans="4:4" x14ac:dyDescent="0.25">
      <c r="D3601"/>
    </row>
    <row r="3602" spans="4:4" x14ac:dyDescent="0.25">
      <c r="D3602"/>
    </row>
    <row r="3603" spans="4:4" x14ac:dyDescent="0.25">
      <c r="D3603"/>
    </row>
    <row r="3604" spans="4:4" x14ac:dyDescent="0.25">
      <c r="D3604"/>
    </row>
    <row r="3605" spans="4:4" x14ac:dyDescent="0.25">
      <c r="D3605"/>
    </row>
    <row r="3606" spans="4:4" x14ac:dyDescent="0.25">
      <c r="D3606"/>
    </row>
    <row r="3607" spans="4:4" x14ac:dyDescent="0.25">
      <c r="D3607"/>
    </row>
    <row r="3608" spans="4:4" x14ac:dyDescent="0.25">
      <c r="D3608"/>
    </row>
    <row r="3609" spans="4:4" x14ac:dyDescent="0.25">
      <c r="D3609"/>
    </row>
    <row r="3610" spans="4:4" x14ac:dyDescent="0.25">
      <c r="D3610"/>
    </row>
    <row r="3611" spans="4:4" x14ac:dyDescent="0.25">
      <c r="D3611"/>
    </row>
    <row r="3612" spans="4:4" x14ac:dyDescent="0.25">
      <c r="D3612"/>
    </row>
    <row r="3613" spans="4:4" x14ac:dyDescent="0.25">
      <c r="D3613"/>
    </row>
    <row r="3614" spans="4:4" x14ac:dyDescent="0.25">
      <c r="D3614"/>
    </row>
    <row r="3615" spans="4:4" x14ac:dyDescent="0.25">
      <c r="D3615"/>
    </row>
    <row r="3616" spans="4:4" x14ac:dyDescent="0.25">
      <c r="D3616"/>
    </row>
    <row r="3617" spans="4:4" x14ac:dyDescent="0.25">
      <c r="D3617"/>
    </row>
    <row r="3618" spans="4:4" x14ac:dyDescent="0.25">
      <c r="D3618"/>
    </row>
    <row r="3619" spans="4:4" x14ac:dyDescent="0.25">
      <c r="D3619"/>
    </row>
    <row r="3620" spans="4:4" x14ac:dyDescent="0.25">
      <c r="D3620"/>
    </row>
    <row r="3621" spans="4:4" x14ac:dyDescent="0.25">
      <c r="D3621"/>
    </row>
    <row r="3622" spans="4:4" x14ac:dyDescent="0.25">
      <c r="D3622"/>
    </row>
    <row r="3623" spans="4:4" x14ac:dyDescent="0.25">
      <c r="D3623"/>
    </row>
    <row r="3624" spans="4:4" x14ac:dyDescent="0.25">
      <c r="D3624"/>
    </row>
    <row r="3625" spans="4:4" x14ac:dyDescent="0.25">
      <c r="D3625"/>
    </row>
    <row r="3626" spans="4:4" x14ac:dyDescent="0.25">
      <c r="D3626"/>
    </row>
    <row r="3627" spans="4:4" x14ac:dyDescent="0.25">
      <c r="D3627"/>
    </row>
    <row r="3628" spans="4:4" x14ac:dyDescent="0.25">
      <c r="D3628"/>
    </row>
    <row r="3629" spans="4:4" x14ac:dyDescent="0.25">
      <c r="D3629"/>
    </row>
    <row r="3630" spans="4:4" x14ac:dyDescent="0.25">
      <c r="D3630"/>
    </row>
    <row r="3631" spans="4:4" x14ac:dyDescent="0.25">
      <c r="D3631"/>
    </row>
    <row r="3632" spans="4:4" x14ac:dyDescent="0.25">
      <c r="D3632"/>
    </row>
    <row r="3633" spans="4:4" x14ac:dyDescent="0.25">
      <c r="D3633"/>
    </row>
    <row r="3634" spans="4:4" x14ac:dyDescent="0.25">
      <c r="D3634"/>
    </row>
    <row r="3635" spans="4:4" x14ac:dyDescent="0.25">
      <c r="D3635"/>
    </row>
    <row r="3636" spans="4:4" x14ac:dyDescent="0.25">
      <c r="D3636"/>
    </row>
    <row r="3637" spans="4:4" x14ac:dyDescent="0.25">
      <c r="D3637"/>
    </row>
    <row r="3638" spans="4:4" x14ac:dyDescent="0.25">
      <c r="D3638"/>
    </row>
    <row r="3639" spans="4:4" x14ac:dyDescent="0.25">
      <c r="D3639"/>
    </row>
    <row r="3640" spans="4:4" x14ac:dyDescent="0.25">
      <c r="D3640"/>
    </row>
    <row r="3641" spans="4:4" x14ac:dyDescent="0.25">
      <c r="D3641"/>
    </row>
    <row r="3642" spans="4:4" x14ac:dyDescent="0.25">
      <c r="D3642"/>
    </row>
    <row r="3643" spans="4:4" x14ac:dyDescent="0.25">
      <c r="D3643"/>
    </row>
    <row r="3644" spans="4:4" x14ac:dyDescent="0.25">
      <c r="D3644"/>
    </row>
    <row r="3645" spans="4:4" x14ac:dyDescent="0.25">
      <c r="D3645"/>
    </row>
    <row r="3646" spans="4:4" x14ac:dyDescent="0.25">
      <c r="D3646"/>
    </row>
    <row r="3647" spans="4:4" x14ac:dyDescent="0.25">
      <c r="D3647"/>
    </row>
    <row r="3648" spans="4:4" x14ac:dyDescent="0.25">
      <c r="D3648"/>
    </row>
    <row r="3649" spans="4:4" x14ac:dyDescent="0.25">
      <c r="D3649"/>
    </row>
    <row r="3650" spans="4:4" x14ac:dyDescent="0.25">
      <c r="D3650"/>
    </row>
    <row r="3651" spans="4:4" x14ac:dyDescent="0.25">
      <c r="D3651"/>
    </row>
    <row r="3652" spans="4:4" x14ac:dyDescent="0.25">
      <c r="D3652"/>
    </row>
    <row r="3653" spans="4:4" x14ac:dyDescent="0.25">
      <c r="D3653"/>
    </row>
    <row r="3654" spans="4:4" x14ac:dyDescent="0.25">
      <c r="D3654"/>
    </row>
    <row r="3655" spans="4:4" x14ac:dyDescent="0.25">
      <c r="D3655"/>
    </row>
    <row r="3656" spans="4:4" x14ac:dyDescent="0.25">
      <c r="D3656"/>
    </row>
    <row r="3657" spans="4:4" x14ac:dyDescent="0.25">
      <c r="D3657"/>
    </row>
    <row r="3658" spans="4:4" x14ac:dyDescent="0.25">
      <c r="D3658"/>
    </row>
    <row r="3659" spans="4:4" x14ac:dyDescent="0.25">
      <c r="D3659"/>
    </row>
    <row r="3660" spans="4:4" x14ac:dyDescent="0.25">
      <c r="D3660"/>
    </row>
    <row r="3661" spans="4:4" x14ac:dyDescent="0.25">
      <c r="D3661"/>
    </row>
    <row r="3662" spans="4:4" x14ac:dyDescent="0.25">
      <c r="D3662"/>
    </row>
    <row r="3663" spans="4:4" x14ac:dyDescent="0.25">
      <c r="D3663"/>
    </row>
    <row r="3664" spans="4:4" x14ac:dyDescent="0.25">
      <c r="D3664"/>
    </row>
    <row r="3665" spans="4:4" x14ac:dyDescent="0.25">
      <c r="D3665"/>
    </row>
    <row r="3666" spans="4:4" x14ac:dyDescent="0.25">
      <c r="D3666"/>
    </row>
    <row r="3667" spans="4:4" x14ac:dyDescent="0.25">
      <c r="D3667"/>
    </row>
    <row r="3668" spans="4:4" x14ac:dyDescent="0.25">
      <c r="D3668"/>
    </row>
    <row r="3669" spans="4:4" x14ac:dyDescent="0.25">
      <c r="D3669"/>
    </row>
    <row r="3670" spans="4:4" x14ac:dyDescent="0.25">
      <c r="D3670"/>
    </row>
    <row r="3671" spans="4:4" x14ac:dyDescent="0.25">
      <c r="D3671"/>
    </row>
    <row r="3672" spans="4:4" x14ac:dyDescent="0.25">
      <c r="D3672"/>
    </row>
    <row r="3673" spans="4:4" x14ac:dyDescent="0.25">
      <c r="D3673"/>
    </row>
    <row r="3674" spans="4:4" x14ac:dyDescent="0.25">
      <c r="D3674"/>
    </row>
    <row r="3675" spans="4:4" x14ac:dyDescent="0.25">
      <c r="D3675"/>
    </row>
    <row r="3676" spans="4:4" x14ac:dyDescent="0.25">
      <c r="D3676"/>
    </row>
    <row r="3677" spans="4:4" x14ac:dyDescent="0.25">
      <c r="D3677"/>
    </row>
    <row r="3678" spans="4:4" x14ac:dyDescent="0.25">
      <c r="D3678"/>
    </row>
    <row r="3679" spans="4:4" x14ac:dyDescent="0.25">
      <c r="D3679"/>
    </row>
    <row r="3680" spans="4:4" x14ac:dyDescent="0.25">
      <c r="D3680"/>
    </row>
    <row r="3681" spans="4:4" x14ac:dyDescent="0.25">
      <c r="D3681"/>
    </row>
    <row r="3682" spans="4:4" x14ac:dyDescent="0.25">
      <c r="D3682"/>
    </row>
    <row r="3683" spans="4:4" x14ac:dyDescent="0.25">
      <c r="D3683"/>
    </row>
    <row r="3684" spans="4:4" x14ac:dyDescent="0.25">
      <c r="D3684"/>
    </row>
    <row r="3685" spans="4:4" x14ac:dyDescent="0.25">
      <c r="D3685"/>
    </row>
    <row r="3686" spans="4:4" x14ac:dyDescent="0.25">
      <c r="D3686"/>
    </row>
    <row r="3687" spans="4:4" x14ac:dyDescent="0.25">
      <c r="D3687"/>
    </row>
    <row r="3688" spans="4:4" x14ac:dyDescent="0.25">
      <c r="D3688"/>
    </row>
    <row r="3689" spans="4:4" x14ac:dyDescent="0.25">
      <c r="D3689"/>
    </row>
    <row r="3690" spans="4:4" x14ac:dyDescent="0.25">
      <c r="D3690"/>
    </row>
    <row r="3691" spans="4:4" x14ac:dyDescent="0.25">
      <c r="D3691"/>
    </row>
    <row r="3692" spans="4:4" x14ac:dyDescent="0.25">
      <c r="D3692"/>
    </row>
    <row r="3693" spans="4:4" x14ac:dyDescent="0.25">
      <c r="D3693"/>
    </row>
    <row r="3694" spans="4:4" x14ac:dyDescent="0.25">
      <c r="D3694"/>
    </row>
    <row r="3695" spans="4:4" x14ac:dyDescent="0.25">
      <c r="D3695"/>
    </row>
    <row r="3696" spans="4:4" x14ac:dyDescent="0.25">
      <c r="D3696"/>
    </row>
    <row r="3697" spans="4:4" x14ac:dyDescent="0.25">
      <c r="D3697"/>
    </row>
    <row r="3698" spans="4:4" x14ac:dyDescent="0.25">
      <c r="D3698"/>
    </row>
    <row r="3699" spans="4:4" x14ac:dyDescent="0.25">
      <c r="D3699"/>
    </row>
    <row r="3700" spans="4:4" x14ac:dyDescent="0.25">
      <c r="D3700"/>
    </row>
    <row r="3701" spans="4:4" x14ac:dyDescent="0.25">
      <c r="D3701"/>
    </row>
    <row r="3702" spans="4:4" x14ac:dyDescent="0.25">
      <c r="D3702"/>
    </row>
    <row r="3703" spans="4:4" x14ac:dyDescent="0.25">
      <c r="D3703"/>
    </row>
    <row r="3704" spans="4:4" x14ac:dyDescent="0.25">
      <c r="D3704"/>
    </row>
    <row r="3705" spans="4:4" x14ac:dyDescent="0.25">
      <c r="D3705"/>
    </row>
    <row r="3706" spans="4:4" x14ac:dyDescent="0.25">
      <c r="D3706"/>
    </row>
    <row r="3707" spans="4:4" x14ac:dyDescent="0.25">
      <c r="D3707"/>
    </row>
    <row r="3708" spans="4:4" x14ac:dyDescent="0.25">
      <c r="D3708"/>
    </row>
    <row r="3709" spans="4:4" x14ac:dyDescent="0.25">
      <c r="D3709"/>
    </row>
    <row r="3710" spans="4:4" x14ac:dyDescent="0.25">
      <c r="D3710"/>
    </row>
    <row r="3711" spans="4:4" x14ac:dyDescent="0.25">
      <c r="D3711"/>
    </row>
    <row r="3712" spans="4:4" x14ac:dyDescent="0.25">
      <c r="D3712"/>
    </row>
    <row r="3713" spans="4:4" x14ac:dyDescent="0.25">
      <c r="D3713"/>
    </row>
    <row r="3714" spans="4:4" x14ac:dyDescent="0.25">
      <c r="D3714"/>
    </row>
    <row r="3715" spans="4:4" x14ac:dyDescent="0.25">
      <c r="D3715"/>
    </row>
    <row r="3716" spans="4:4" x14ac:dyDescent="0.25">
      <c r="D3716"/>
    </row>
    <row r="3717" spans="4:4" x14ac:dyDescent="0.25">
      <c r="D3717"/>
    </row>
    <row r="3718" spans="4:4" x14ac:dyDescent="0.25">
      <c r="D3718"/>
    </row>
    <row r="3719" spans="4:4" x14ac:dyDescent="0.25">
      <c r="D3719"/>
    </row>
    <row r="3720" spans="4:4" x14ac:dyDescent="0.25">
      <c r="D3720"/>
    </row>
    <row r="3721" spans="4:4" x14ac:dyDescent="0.25">
      <c r="D3721"/>
    </row>
    <row r="3722" spans="4:4" x14ac:dyDescent="0.25">
      <c r="D3722"/>
    </row>
    <row r="3723" spans="4:4" x14ac:dyDescent="0.25">
      <c r="D3723"/>
    </row>
    <row r="3724" spans="4:4" x14ac:dyDescent="0.25">
      <c r="D3724"/>
    </row>
    <row r="3725" spans="4:4" x14ac:dyDescent="0.25">
      <c r="D3725"/>
    </row>
    <row r="3726" spans="4:4" x14ac:dyDescent="0.25">
      <c r="D3726"/>
    </row>
    <row r="3727" spans="4:4" x14ac:dyDescent="0.25">
      <c r="D3727"/>
    </row>
    <row r="3728" spans="4:4" x14ac:dyDescent="0.25">
      <c r="D3728"/>
    </row>
    <row r="3729" spans="4:4" x14ac:dyDescent="0.25">
      <c r="D3729"/>
    </row>
    <row r="3730" spans="4:4" x14ac:dyDescent="0.25">
      <c r="D3730"/>
    </row>
    <row r="3731" spans="4:4" x14ac:dyDescent="0.25">
      <c r="D3731"/>
    </row>
    <row r="3732" spans="4:4" x14ac:dyDescent="0.25">
      <c r="D3732"/>
    </row>
    <row r="3733" spans="4:4" x14ac:dyDescent="0.25">
      <c r="D3733"/>
    </row>
    <row r="3734" spans="4:4" x14ac:dyDescent="0.25">
      <c r="D3734"/>
    </row>
    <row r="3735" spans="4:4" x14ac:dyDescent="0.25">
      <c r="D3735"/>
    </row>
    <row r="3736" spans="4:4" x14ac:dyDescent="0.25">
      <c r="D3736"/>
    </row>
    <row r="3737" spans="4:4" x14ac:dyDescent="0.25">
      <c r="D3737"/>
    </row>
    <row r="3738" spans="4:4" x14ac:dyDescent="0.25">
      <c r="D3738"/>
    </row>
    <row r="3739" spans="4:4" x14ac:dyDescent="0.25">
      <c r="D3739"/>
    </row>
    <row r="3740" spans="4:4" x14ac:dyDescent="0.25">
      <c r="D3740"/>
    </row>
    <row r="3741" spans="4:4" x14ac:dyDescent="0.25">
      <c r="D3741"/>
    </row>
    <row r="3742" spans="4:4" x14ac:dyDescent="0.25">
      <c r="D3742"/>
    </row>
    <row r="3743" spans="4:4" x14ac:dyDescent="0.25">
      <c r="D3743"/>
    </row>
    <row r="3744" spans="4:4" x14ac:dyDescent="0.25">
      <c r="D3744"/>
    </row>
    <row r="3745" spans="4:4" x14ac:dyDescent="0.25">
      <c r="D3745"/>
    </row>
    <row r="3746" spans="4:4" x14ac:dyDescent="0.25">
      <c r="D3746"/>
    </row>
    <row r="3747" spans="4:4" x14ac:dyDescent="0.25">
      <c r="D3747"/>
    </row>
    <row r="3748" spans="4:4" x14ac:dyDescent="0.25">
      <c r="D3748"/>
    </row>
    <row r="3749" spans="4:4" x14ac:dyDescent="0.25">
      <c r="D3749"/>
    </row>
    <row r="3750" spans="4:4" x14ac:dyDescent="0.25">
      <c r="D3750"/>
    </row>
    <row r="3751" spans="4:4" x14ac:dyDescent="0.25">
      <c r="D3751"/>
    </row>
    <row r="3752" spans="4:4" x14ac:dyDescent="0.25">
      <c r="D3752"/>
    </row>
    <row r="3753" spans="4:4" x14ac:dyDescent="0.25">
      <c r="D3753"/>
    </row>
    <row r="3754" spans="4:4" x14ac:dyDescent="0.25">
      <c r="D3754"/>
    </row>
    <row r="3755" spans="4:4" x14ac:dyDescent="0.25">
      <c r="D3755"/>
    </row>
    <row r="3756" spans="4:4" x14ac:dyDescent="0.25">
      <c r="D3756"/>
    </row>
    <row r="3757" spans="4:4" x14ac:dyDescent="0.25">
      <c r="D3757"/>
    </row>
    <row r="3758" spans="4:4" x14ac:dyDescent="0.25">
      <c r="D3758"/>
    </row>
    <row r="3759" spans="4:4" x14ac:dyDescent="0.25">
      <c r="D3759"/>
    </row>
    <row r="3760" spans="4:4" x14ac:dyDescent="0.25">
      <c r="D3760"/>
    </row>
    <row r="3761" spans="4:4" x14ac:dyDescent="0.25">
      <c r="D3761"/>
    </row>
    <row r="3762" spans="4:4" x14ac:dyDescent="0.25">
      <c r="D3762"/>
    </row>
    <row r="3763" spans="4:4" x14ac:dyDescent="0.25">
      <c r="D3763"/>
    </row>
    <row r="3764" spans="4:4" x14ac:dyDescent="0.25">
      <c r="D3764"/>
    </row>
    <row r="3765" spans="4:4" x14ac:dyDescent="0.25">
      <c r="D3765"/>
    </row>
    <row r="3766" spans="4:4" x14ac:dyDescent="0.25">
      <c r="D3766"/>
    </row>
    <row r="3767" spans="4:4" x14ac:dyDescent="0.25">
      <c r="D3767"/>
    </row>
    <row r="3768" spans="4:4" x14ac:dyDescent="0.25">
      <c r="D3768"/>
    </row>
    <row r="3769" spans="4:4" x14ac:dyDescent="0.25">
      <c r="D3769"/>
    </row>
    <row r="3770" spans="4:4" x14ac:dyDescent="0.25">
      <c r="D3770"/>
    </row>
    <row r="3771" spans="4:4" x14ac:dyDescent="0.25">
      <c r="D3771"/>
    </row>
    <row r="3772" spans="4:4" x14ac:dyDescent="0.25">
      <c r="D3772"/>
    </row>
    <row r="3773" spans="4:4" x14ac:dyDescent="0.25">
      <c r="D3773"/>
    </row>
    <row r="3774" spans="4:4" x14ac:dyDescent="0.25">
      <c r="D3774"/>
    </row>
    <row r="3775" spans="4:4" x14ac:dyDescent="0.25">
      <c r="D3775"/>
    </row>
    <row r="3776" spans="4:4" x14ac:dyDescent="0.25">
      <c r="D3776"/>
    </row>
    <row r="3777" spans="4:4" x14ac:dyDescent="0.25">
      <c r="D3777"/>
    </row>
    <row r="3778" spans="4:4" x14ac:dyDescent="0.25">
      <c r="D3778"/>
    </row>
    <row r="3779" spans="4:4" x14ac:dyDescent="0.25">
      <c r="D3779"/>
    </row>
    <row r="3780" spans="4:4" x14ac:dyDescent="0.25">
      <c r="D3780"/>
    </row>
    <row r="3781" spans="4:4" x14ac:dyDescent="0.25">
      <c r="D3781"/>
    </row>
    <row r="3782" spans="4:4" x14ac:dyDescent="0.25">
      <c r="D3782"/>
    </row>
    <row r="3783" spans="4:4" x14ac:dyDescent="0.25">
      <c r="D3783"/>
    </row>
    <row r="3784" spans="4:4" x14ac:dyDescent="0.25">
      <c r="D3784"/>
    </row>
    <row r="3785" spans="4:4" x14ac:dyDescent="0.25">
      <c r="D3785"/>
    </row>
    <row r="3786" spans="4:4" x14ac:dyDescent="0.25">
      <c r="D3786"/>
    </row>
    <row r="3787" spans="4:4" x14ac:dyDescent="0.25">
      <c r="D3787"/>
    </row>
    <row r="3788" spans="4:4" x14ac:dyDescent="0.25">
      <c r="D3788"/>
    </row>
    <row r="3789" spans="4:4" x14ac:dyDescent="0.25">
      <c r="D3789"/>
    </row>
    <row r="3790" spans="4:4" x14ac:dyDescent="0.25">
      <c r="D3790"/>
    </row>
    <row r="3791" spans="4:4" x14ac:dyDescent="0.25">
      <c r="D3791"/>
    </row>
    <row r="3792" spans="4:4" x14ac:dyDescent="0.25">
      <c r="D3792"/>
    </row>
    <row r="3793" spans="4:4" x14ac:dyDescent="0.25">
      <c r="D3793"/>
    </row>
    <row r="3794" spans="4:4" x14ac:dyDescent="0.25">
      <c r="D3794"/>
    </row>
    <row r="3795" spans="4:4" x14ac:dyDescent="0.25">
      <c r="D3795"/>
    </row>
    <row r="3796" spans="4:4" x14ac:dyDescent="0.25">
      <c r="D3796"/>
    </row>
    <row r="3797" spans="4:4" x14ac:dyDescent="0.25">
      <c r="D3797"/>
    </row>
    <row r="3798" spans="4:4" x14ac:dyDescent="0.25">
      <c r="D3798"/>
    </row>
    <row r="3799" spans="4:4" x14ac:dyDescent="0.25">
      <c r="D3799"/>
    </row>
    <row r="3800" spans="4:4" x14ac:dyDescent="0.25">
      <c r="D3800"/>
    </row>
    <row r="3801" spans="4:4" x14ac:dyDescent="0.25">
      <c r="D3801"/>
    </row>
    <row r="3802" spans="4:4" x14ac:dyDescent="0.25">
      <c r="D3802"/>
    </row>
    <row r="3803" spans="4:4" x14ac:dyDescent="0.25">
      <c r="D3803"/>
    </row>
    <row r="3804" spans="4:4" x14ac:dyDescent="0.25">
      <c r="D3804"/>
    </row>
    <row r="3805" spans="4:4" x14ac:dyDescent="0.25">
      <c r="D3805"/>
    </row>
    <row r="3806" spans="4:4" x14ac:dyDescent="0.25">
      <c r="D3806"/>
    </row>
    <row r="3807" spans="4:4" x14ac:dyDescent="0.25">
      <c r="D3807"/>
    </row>
    <row r="3808" spans="4:4" x14ac:dyDescent="0.25">
      <c r="D3808"/>
    </row>
    <row r="3809" spans="4:4" x14ac:dyDescent="0.25">
      <c r="D3809"/>
    </row>
    <row r="3810" spans="4:4" x14ac:dyDescent="0.25">
      <c r="D3810"/>
    </row>
    <row r="3811" spans="4:4" x14ac:dyDescent="0.25">
      <c r="D3811"/>
    </row>
    <row r="3812" spans="4:4" x14ac:dyDescent="0.25">
      <c r="D3812"/>
    </row>
    <row r="3813" spans="4:4" x14ac:dyDescent="0.25">
      <c r="D3813"/>
    </row>
    <row r="3814" spans="4:4" x14ac:dyDescent="0.25">
      <c r="D3814"/>
    </row>
    <row r="3815" spans="4:4" x14ac:dyDescent="0.25">
      <c r="D3815"/>
    </row>
    <row r="3816" spans="4:4" x14ac:dyDescent="0.25">
      <c r="D3816"/>
    </row>
    <row r="3817" spans="4:4" x14ac:dyDescent="0.25">
      <c r="D3817"/>
    </row>
    <row r="3818" spans="4:4" x14ac:dyDescent="0.25">
      <c r="D3818"/>
    </row>
    <row r="3819" spans="4:4" x14ac:dyDescent="0.25">
      <c r="D3819"/>
    </row>
    <row r="3820" spans="4:4" x14ac:dyDescent="0.25">
      <c r="D3820"/>
    </row>
    <row r="3821" spans="4:4" x14ac:dyDescent="0.25">
      <c r="D3821"/>
    </row>
    <row r="3822" spans="4:4" x14ac:dyDescent="0.25">
      <c r="D3822"/>
    </row>
    <row r="3823" spans="4:4" x14ac:dyDescent="0.25">
      <c r="D3823"/>
    </row>
    <row r="3824" spans="4:4" x14ac:dyDescent="0.25">
      <c r="D3824"/>
    </row>
    <row r="3825" spans="4:4" x14ac:dyDescent="0.25">
      <c r="D3825"/>
    </row>
    <row r="3826" spans="4:4" x14ac:dyDescent="0.25">
      <c r="D3826"/>
    </row>
    <row r="3827" spans="4:4" x14ac:dyDescent="0.25">
      <c r="D3827"/>
    </row>
    <row r="3828" spans="4:4" x14ac:dyDescent="0.25">
      <c r="D3828"/>
    </row>
    <row r="3829" spans="4:4" x14ac:dyDescent="0.25">
      <c r="D3829"/>
    </row>
    <row r="3830" spans="4:4" x14ac:dyDescent="0.25">
      <c r="D3830"/>
    </row>
    <row r="3831" spans="4:4" x14ac:dyDescent="0.25">
      <c r="D3831"/>
    </row>
    <row r="3832" spans="4:4" x14ac:dyDescent="0.25">
      <c r="D3832"/>
    </row>
    <row r="3833" spans="4:4" x14ac:dyDescent="0.25">
      <c r="D3833"/>
    </row>
    <row r="3834" spans="4:4" x14ac:dyDescent="0.25">
      <c r="D3834"/>
    </row>
    <row r="3835" spans="4:4" x14ac:dyDescent="0.25">
      <c r="D3835"/>
    </row>
    <row r="3836" spans="4:4" x14ac:dyDescent="0.25">
      <c r="D3836"/>
    </row>
    <row r="3837" spans="4:4" x14ac:dyDescent="0.25">
      <c r="D3837"/>
    </row>
    <row r="3838" spans="4:4" x14ac:dyDescent="0.25">
      <c r="D3838"/>
    </row>
    <row r="3839" spans="4:4" x14ac:dyDescent="0.25">
      <c r="D3839"/>
    </row>
    <row r="3840" spans="4:4" x14ac:dyDescent="0.25">
      <c r="D3840"/>
    </row>
    <row r="3841" spans="4:4" x14ac:dyDescent="0.25">
      <c r="D3841"/>
    </row>
    <row r="3842" spans="4:4" x14ac:dyDescent="0.25">
      <c r="D3842"/>
    </row>
    <row r="3843" spans="4:4" x14ac:dyDescent="0.25">
      <c r="D3843"/>
    </row>
    <row r="3844" spans="4:4" x14ac:dyDescent="0.25">
      <c r="D3844"/>
    </row>
    <row r="3845" spans="4:4" x14ac:dyDescent="0.25">
      <c r="D3845"/>
    </row>
    <row r="3846" spans="4:4" x14ac:dyDescent="0.25">
      <c r="D3846"/>
    </row>
    <row r="3847" spans="4:4" x14ac:dyDescent="0.25">
      <c r="D3847"/>
    </row>
    <row r="3848" spans="4:4" x14ac:dyDescent="0.25">
      <c r="D3848"/>
    </row>
    <row r="3849" spans="4:4" x14ac:dyDescent="0.25">
      <c r="D3849"/>
    </row>
    <row r="3850" spans="4:4" x14ac:dyDescent="0.25">
      <c r="D3850"/>
    </row>
    <row r="3851" spans="4:4" x14ac:dyDescent="0.25">
      <c r="D3851"/>
    </row>
    <row r="3852" spans="4:4" x14ac:dyDescent="0.25">
      <c r="D3852"/>
    </row>
    <row r="3853" spans="4:4" x14ac:dyDescent="0.25">
      <c r="D3853"/>
    </row>
    <row r="3854" spans="4:4" x14ac:dyDescent="0.25">
      <c r="D3854"/>
    </row>
    <row r="3855" spans="4:4" x14ac:dyDescent="0.25">
      <c r="D3855"/>
    </row>
    <row r="3856" spans="4:4" x14ac:dyDescent="0.25">
      <c r="D3856"/>
    </row>
    <row r="3857" spans="4:4" x14ac:dyDescent="0.25">
      <c r="D3857"/>
    </row>
    <row r="3858" spans="4:4" x14ac:dyDescent="0.25">
      <c r="D3858"/>
    </row>
    <row r="3859" spans="4:4" x14ac:dyDescent="0.25">
      <c r="D3859"/>
    </row>
    <row r="3860" spans="4:4" x14ac:dyDescent="0.25">
      <c r="D3860"/>
    </row>
    <row r="3861" spans="4:4" x14ac:dyDescent="0.25">
      <c r="D3861"/>
    </row>
    <row r="3862" spans="4:4" x14ac:dyDescent="0.25">
      <c r="D3862"/>
    </row>
    <row r="3863" spans="4:4" x14ac:dyDescent="0.25">
      <c r="D3863"/>
    </row>
    <row r="3864" spans="4:4" x14ac:dyDescent="0.25">
      <c r="D3864"/>
    </row>
    <row r="3865" spans="4:4" x14ac:dyDescent="0.25">
      <c r="D3865"/>
    </row>
    <row r="3866" spans="4:4" x14ac:dyDescent="0.25">
      <c r="D3866"/>
    </row>
    <row r="3867" spans="4:4" x14ac:dyDescent="0.25">
      <c r="D3867"/>
    </row>
    <row r="3868" spans="4:4" x14ac:dyDescent="0.25">
      <c r="D3868"/>
    </row>
    <row r="3869" spans="4:4" x14ac:dyDescent="0.25">
      <c r="D3869"/>
    </row>
    <row r="3870" spans="4:4" x14ac:dyDescent="0.25">
      <c r="D3870"/>
    </row>
    <row r="3871" spans="4:4" x14ac:dyDescent="0.25">
      <c r="D3871"/>
    </row>
    <row r="3872" spans="4:4" x14ac:dyDescent="0.25">
      <c r="D3872"/>
    </row>
    <row r="3873" spans="4:4" x14ac:dyDescent="0.25">
      <c r="D3873"/>
    </row>
    <row r="3874" spans="4:4" x14ac:dyDescent="0.25">
      <c r="D3874"/>
    </row>
    <row r="3875" spans="4:4" x14ac:dyDescent="0.25">
      <c r="D3875"/>
    </row>
    <row r="3876" spans="4:4" x14ac:dyDescent="0.25">
      <c r="D3876"/>
    </row>
    <row r="3877" spans="4:4" x14ac:dyDescent="0.25">
      <c r="D3877"/>
    </row>
    <row r="3878" spans="4:4" x14ac:dyDescent="0.25">
      <c r="D3878"/>
    </row>
    <row r="3879" spans="4:4" x14ac:dyDescent="0.25">
      <c r="D3879"/>
    </row>
    <row r="3880" spans="4:4" x14ac:dyDescent="0.25">
      <c r="D3880"/>
    </row>
    <row r="3881" spans="4:4" x14ac:dyDescent="0.25">
      <c r="D3881"/>
    </row>
    <row r="3882" spans="4:4" x14ac:dyDescent="0.25">
      <c r="D3882"/>
    </row>
    <row r="3883" spans="4:4" x14ac:dyDescent="0.25">
      <c r="D3883"/>
    </row>
    <row r="3884" spans="4:4" x14ac:dyDescent="0.25">
      <c r="D3884"/>
    </row>
    <row r="3885" spans="4:4" x14ac:dyDescent="0.25">
      <c r="D3885"/>
    </row>
    <row r="3886" spans="4:4" x14ac:dyDescent="0.25">
      <c r="D3886"/>
    </row>
    <row r="3887" spans="4:4" x14ac:dyDescent="0.25">
      <c r="D3887"/>
    </row>
    <row r="3888" spans="4:4" x14ac:dyDescent="0.25">
      <c r="D3888"/>
    </row>
    <row r="3889" spans="4:4" x14ac:dyDescent="0.25">
      <c r="D3889"/>
    </row>
    <row r="3890" spans="4:4" x14ac:dyDescent="0.25">
      <c r="D3890"/>
    </row>
    <row r="3891" spans="4:4" x14ac:dyDescent="0.25">
      <c r="D3891"/>
    </row>
    <row r="3892" spans="4:4" x14ac:dyDescent="0.25">
      <c r="D3892"/>
    </row>
    <row r="3893" spans="4:4" x14ac:dyDescent="0.25">
      <c r="D3893"/>
    </row>
    <row r="3894" spans="4:4" x14ac:dyDescent="0.25">
      <c r="D3894"/>
    </row>
    <row r="3895" spans="4:4" x14ac:dyDescent="0.25">
      <c r="D3895"/>
    </row>
    <row r="3896" spans="4:4" x14ac:dyDescent="0.25">
      <c r="D3896"/>
    </row>
    <row r="3897" spans="4:4" x14ac:dyDescent="0.25">
      <c r="D3897"/>
    </row>
    <row r="3898" spans="4:4" x14ac:dyDescent="0.25">
      <c r="D3898"/>
    </row>
    <row r="3899" spans="4:4" x14ac:dyDescent="0.25">
      <c r="D3899"/>
    </row>
    <row r="3900" spans="4:4" x14ac:dyDescent="0.25">
      <c r="D3900"/>
    </row>
    <row r="3901" spans="4:4" x14ac:dyDescent="0.25">
      <c r="D3901"/>
    </row>
    <row r="3902" spans="4:4" x14ac:dyDescent="0.25">
      <c r="D3902"/>
    </row>
    <row r="3903" spans="4:4" x14ac:dyDescent="0.25">
      <c r="D3903"/>
    </row>
    <row r="3904" spans="4:4" x14ac:dyDescent="0.25">
      <c r="D3904"/>
    </row>
    <row r="3905" spans="4:4" x14ac:dyDescent="0.25">
      <c r="D3905"/>
    </row>
    <row r="3906" spans="4:4" x14ac:dyDescent="0.25">
      <c r="D3906"/>
    </row>
    <row r="3907" spans="4:4" x14ac:dyDescent="0.25">
      <c r="D3907"/>
    </row>
    <row r="3908" spans="4:4" x14ac:dyDescent="0.25">
      <c r="D3908"/>
    </row>
    <row r="3909" spans="4:4" x14ac:dyDescent="0.25">
      <c r="D3909"/>
    </row>
    <row r="3910" spans="4:4" x14ac:dyDescent="0.25">
      <c r="D3910"/>
    </row>
    <row r="3911" spans="4:4" x14ac:dyDescent="0.25">
      <c r="D3911"/>
    </row>
    <row r="3912" spans="4:4" x14ac:dyDescent="0.25">
      <c r="D3912"/>
    </row>
    <row r="3913" spans="4:4" x14ac:dyDescent="0.25">
      <c r="D3913"/>
    </row>
    <row r="3914" spans="4:4" x14ac:dyDescent="0.25">
      <c r="D3914"/>
    </row>
    <row r="3915" spans="4:4" x14ac:dyDescent="0.25">
      <c r="D3915"/>
    </row>
    <row r="3916" spans="4:4" x14ac:dyDescent="0.25">
      <c r="D3916"/>
    </row>
    <row r="3917" spans="4:4" x14ac:dyDescent="0.25">
      <c r="D3917"/>
    </row>
    <row r="3918" spans="4:4" x14ac:dyDescent="0.25">
      <c r="D3918"/>
    </row>
    <row r="3919" spans="4:4" x14ac:dyDescent="0.25">
      <c r="D3919"/>
    </row>
    <row r="3920" spans="4:4" x14ac:dyDescent="0.25">
      <c r="D3920"/>
    </row>
    <row r="3921" spans="4:4" x14ac:dyDescent="0.25">
      <c r="D3921"/>
    </row>
    <row r="3922" spans="4:4" x14ac:dyDescent="0.25">
      <c r="D3922"/>
    </row>
    <row r="3923" spans="4:4" x14ac:dyDescent="0.25">
      <c r="D3923"/>
    </row>
    <row r="3924" spans="4:4" x14ac:dyDescent="0.25">
      <c r="D3924"/>
    </row>
    <row r="3925" spans="4:4" x14ac:dyDescent="0.25">
      <c r="D3925"/>
    </row>
    <row r="3926" spans="4:4" x14ac:dyDescent="0.25">
      <c r="D3926"/>
    </row>
    <row r="3927" spans="4:4" x14ac:dyDescent="0.25">
      <c r="D3927"/>
    </row>
    <row r="3928" spans="4:4" x14ac:dyDescent="0.25">
      <c r="D3928"/>
    </row>
    <row r="3929" spans="4:4" x14ac:dyDescent="0.25">
      <c r="D3929"/>
    </row>
    <row r="3930" spans="4:4" x14ac:dyDescent="0.25">
      <c r="D3930"/>
    </row>
    <row r="3931" spans="4:4" x14ac:dyDescent="0.25">
      <c r="D3931"/>
    </row>
    <row r="3932" spans="4:4" x14ac:dyDescent="0.25">
      <c r="D3932"/>
    </row>
    <row r="3933" spans="4:4" x14ac:dyDescent="0.25">
      <c r="D3933"/>
    </row>
    <row r="3934" spans="4:4" x14ac:dyDescent="0.25">
      <c r="D3934"/>
    </row>
    <row r="3935" spans="4:4" x14ac:dyDescent="0.25">
      <c r="D3935"/>
    </row>
    <row r="3936" spans="4:4" x14ac:dyDescent="0.25">
      <c r="D3936"/>
    </row>
    <row r="3937" spans="4:4" x14ac:dyDescent="0.25">
      <c r="D3937"/>
    </row>
    <row r="3938" spans="4:4" x14ac:dyDescent="0.25">
      <c r="D3938"/>
    </row>
    <row r="3939" spans="4:4" x14ac:dyDescent="0.25">
      <c r="D3939"/>
    </row>
    <row r="3940" spans="4:4" x14ac:dyDescent="0.25">
      <c r="D3940"/>
    </row>
    <row r="3941" spans="4:4" x14ac:dyDescent="0.25">
      <c r="D3941"/>
    </row>
    <row r="3942" spans="4:4" x14ac:dyDescent="0.25">
      <c r="D3942"/>
    </row>
    <row r="3943" spans="4:4" x14ac:dyDescent="0.25">
      <c r="D3943"/>
    </row>
    <row r="3944" spans="4:4" x14ac:dyDescent="0.25">
      <c r="D3944"/>
    </row>
    <row r="3945" spans="4:4" x14ac:dyDescent="0.25">
      <c r="D3945"/>
    </row>
    <row r="3946" spans="4:4" x14ac:dyDescent="0.25">
      <c r="D3946"/>
    </row>
    <row r="3947" spans="4:4" x14ac:dyDescent="0.25">
      <c r="D3947"/>
    </row>
    <row r="3948" spans="4:4" x14ac:dyDescent="0.25">
      <c r="D3948"/>
    </row>
    <row r="3949" spans="4:4" x14ac:dyDescent="0.25">
      <c r="D3949"/>
    </row>
    <row r="3950" spans="4:4" x14ac:dyDescent="0.25">
      <c r="D3950"/>
    </row>
    <row r="3951" spans="4:4" x14ac:dyDescent="0.25">
      <c r="D3951"/>
    </row>
    <row r="3952" spans="4:4" x14ac:dyDescent="0.25">
      <c r="D3952"/>
    </row>
    <row r="3953" spans="4:4" x14ac:dyDescent="0.25">
      <c r="D3953"/>
    </row>
    <row r="3954" spans="4:4" x14ac:dyDescent="0.25">
      <c r="D3954"/>
    </row>
    <row r="3955" spans="4:4" x14ac:dyDescent="0.25">
      <c r="D3955"/>
    </row>
    <row r="3956" spans="4:4" x14ac:dyDescent="0.25">
      <c r="D3956"/>
    </row>
    <row r="3957" spans="4:4" x14ac:dyDescent="0.25">
      <c r="D3957"/>
    </row>
    <row r="3958" spans="4:4" x14ac:dyDescent="0.25">
      <c r="D3958"/>
    </row>
    <row r="3959" spans="4:4" x14ac:dyDescent="0.25">
      <c r="D3959"/>
    </row>
    <row r="3960" spans="4:4" x14ac:dyDescent="0.25">
      <c r="D3960"/>
    </row>
    <row r="3961" spans="4:4" x14ac:dyDescent="0.25">
      <c r="D3961"/>
    </row>
    <row r="3962" spans="4:4" x14ac:dyDescent="0.25">
      <c r="D3962"/>
    </row>
    <row r="3963" spans="4:4" x14ac:dyDescent="0.25">
      <c r="D3963"/>
    </row>
    <row r="3964" spans="4:4" x14ac:dyDescent="0.25">
      <c r="D3964"/>
    </row>
    <row r="3965" spans="4:4" x14ac:dyDescent="0.25">
      <c r="D3965"/>
    </row>
    <row r="3966" spans="4:4" x14ac:dyDescent="0.25">
      <c r="D3966"/>
    </row>
    <row r="3967" spans="4:4" x14ac:dyDescent="0.25">
      <c r="D3967"/>
    </row>
    <row r="3968" spans="4:4" x14ac:dyDescent="0.25">
      <c r="D3968"/>
    </row>
    <row r="3969" spans="4:4" x14ac:dyDescent="0.25">
      <c r="D3969"/>
    </row>
    <row r="3970" spans="4:4" x14ac:dyDescent="0.25">
      <c r="D3970"/>
    </row>
    <row r="3971" spans="4:4" x14ac:dyDescent="0.25">
      <c r="D3971"/>
    </row>
    <row r="3972" spans="4:4" x14ac:dyDescent="0.25">
      <c r="D3972"/>
    </row>
    <row r="3973" spans="4:4" x14ac:dyDescent="0.25">
      <c r="D3973"/>
    </row>
    <row r="3974" spans="4:4" x14ac:dyDescent="0.25">
      <c r="D3974"/>
    </row>
    <row r="3975" spans="4:4" x14ac:dyDescent="0.25">
      <c r="D3975"/>
    </row>
    <row r="3976" spans="4:4" x14ac:dyDescent="0.25">
      <c r="D3976"/>
    </row>
    <row r="3977" spans="4:4" x14ac:dyDescent="0.25">
      <c r="D3977"/>
    </row>
    <row r="3978" spans="4:4" x14ac:dyDescent="0.25">
      <c r="D3978"/>
    </row>
    <row r="3979" spans="4:4" x14ac:dyDescent="0.25">
      <c r="D3979"/>
    </row>
    <row r="3980" spans="4:4" x14ac:dyDescent="0.25">
      <c r="D3980"/>
    </row>
    <row r="3981" spans="4:4" x14ac:dyDescent="0.25">
      <c r="D3981"/>
    </row>
    <row r="3982" spans="4:4" x14ac:dyDescent="0.25">
      <c r="D3982"/>
    </row>
    <row r="3983" spans="4:4" x14ac:dyDescent="0.25">
      <c r="D3983"/>
    </row>
    <row r="3984" spans="4:4" x14ac:dyDescent="0.25">
      <c r="D3984"/>
    </row>
    <row r="3985" spans="4:4" x14ac:dyDescent="0.25">
      <c r="D3985"/>
    </row>
    <row r="3986" spans="4:4" x14ac:dyDescent="0.25">
      <c r="D3986"/>
    </row>
    <row r="3987" spans="4:4" x14ac:dyDescent="0.25">
      <c r="D3987"/>
    </row>
    <row r="3988" spans="4:4" x14ac:dyDescent="0.25">
      <c r="D3988"/>
    </row>
    <row r="3989" spans="4:4" x14ac:dyDescent="0.25">
      <c r="D3989"/>
    </row>
    <row r="3990" spans="4:4" x14ac:dyDescent="0.25">
      <c r="D3990"/>
    </row>
    <row r="3991" spans="4:4" x14ac:dyDescent="0.25">
      <c r="D3991"/>
    </row>
    <row r="3992" spans="4:4" x14ac:dyDescent="0.25">
      <c r="D3992"/>
    </row>
    <row r="3993" spans="4:4" x14ac:dyDescent="0.25">
      <c r="D3993"/>
    </row>
    <row r="3994" spans="4:4" x14ac:dyDescent="0.25">
      <c r="D3994"/>
    </row>
    <row r="3995" spans="4:4" x14ac:dyDescent="0.25">
      <c r="D3995"/>
    </row>
    <row r="3996" spans="4:4" x14ac:dyDescent="0.25">
      <c r="D3996"/>
    </row>
    <row r="3997" spans="4:4" x14ac:dyDescent="0.25">
      <c r="D3997"/>
    </row>
    <row r="3998" spans="4:4" x14ac:dyDescent="0.25">
      <c r="D3998"/>
    </row>
    <row r="3999" spans="4:4" x14ac:dyDescent="0.25">
      <c r="D3999"/>
    </row>
    <row r="4000" spans="4:4" x14ac:dyDescent="0.25">
      <c r="D4000"/>
    </row>
    <row r="4001" spans="4:4" x14ac:dyDescent="0.25">
      <c r="D4001"/>
    </row>
    <row r="4002" spans="4:4" x14ac:dyDescent="0.25">
      <c r="D4002"/>
    </row>
    <row r="4003" spans="4:4" x14ac:dyDescent="0.25">
      <c r="D4003"/>
    </row>
    <row r="4004" spans="4:4" x14ac:dyDescent="0.25">
      <c r="D4004"/>
    </row>
    <row r="4005" spans="4:4" x14ac:dyDescent="0.25">
      <c r="D4005"/>
    </row>
    <row r="4006" spans="4:4" x14ac:dyDescent="0.25">
      <c r="D4006"/>
    </row>
    <row r="4007" spans="4:4" x14ac:dyDescent="0.25">
      <c r="D4007"/>
    </row>
    <row r="4008" spans="4:4" x14ac:dyDescent="0.25">
      <c r="D4008"/>
    </row>
    <row r="4009" spans="4:4" x14ac:dyDescent="0.25">
      <c r="D4009"/>
    </row>
    <row r="4010" spans="4:4" x14ac:dyDescent="0.25">
      <c r="D4010"/>
    </row>
    <row r="4011" spans="4:4" x14ac:dyDescent="0.25">
      <c r="D4011"/>
    </row>
    <row r="4012" spans="4:4" x14ac:dyDescent="0.25">
      <c r="D4012"/>
    </row>
    <row r="4013" spans="4:4" x14ac:dyDescent="0.25">
      <c r="D4013"/>
    </row>
    <row r="4014" spans="4:4" x14ac:dyDescent="0.25">
      <c r="D4014"/>
    </row>
    <row r="4015" spans="4:4" x14ac:dyDescent="0.25">
      <c r="D4015"/>
    </row>
    <row r="4016" spans="4:4" x14ac:dyDescent="0.25">
      <c r="D4016"/>
    </row>
    <row r="4017" spans="4:4" x14ac:dyDescent="0.25">
      <c r="D4017"/>
    </row>
    <row r="4018" spans="4:4" x14ac:dyDescent="0.25">
      <c r="D4018"/>
    </row>
    <row r="4019" spans="4:4" x14ac:dyDescent="0.25">
      <c r="D4019"/>
    </row>
    <row r="4020" spans="4:4" x14ac:dyDescent="0.25">
      <c r="D4020"/>
    </row>
    <row r="4021" spans="4:4" x14ac:dyDescent="0.25">
      <c r="D4021"/>
    </row>
    <row r="4022" spans="4:4" x14ac:dyDescent="0.25">
      <c r="D4022"/>
    </row>
    <row r="4023" spans="4:4" x14ac:dyDescent="0.25">
      <c r="D4023"/>
    </row>
    <row r="4024" spans="4:4" x14ac:dyDescent="0.25">
      <c r="D4024"/>
    </row>
    <row r="4025" spans="4:4" x14ac:dyDescent="0.25">
      <c r="D4025"/>
    </row>
    <row r="4026" spans="4:4" x14ac:dyDescent="0.25">
      <c r="D4026"/>
    </row>
    <row r="4027" spans="4:4" x14ac:dyDescent="0.25">
      <c r="D4027"/>
    </row>
    <row r="4028" spans="4:4" x14ac:dyDescent="0.25">
      <c r="D4028"/>
    </row>
    <row r="4029" spans="4:4" x14ac:dyDescent="0.25">
      <c r="D4029"/>
    </row>
    <row r="4030" spans="4:4" x14ac:dyDescent="0.25">
      <c r="D4030"/>
    </row>
    <row r="4031" spans="4:4" x14ac:dyDescent="0.25">
      <c r="D4031"/>
    </row>
    <row r="4032" spans="4:4" x14ac:dyDescent="0.25">
      <c r="D4032"/>
    </row>
    <row r="4033" spans="4:4" x14ac:dyDescent="0.25">
      <c r="D4033"/>
    </row>
    <row r="4034" spans="4:4" x14ac:dyDescent="0.25">
      <c r="D4034"/>
    </row>
    <row r="4035" spans="4:4" x14ac:dyDescent="0.25">
      <c r="D4035"/>
    </row>
    <row r="4036" spans="4:4" x14ac:dyDescent="0.25">
      <c r="D4036"/>
    </row>
    <row r="4037" spans="4:4" x14ac:dyDescent="0.25">
      <c r="D4037"/>
    </row>
    <row r="4038" spans="4:4" x14ac:dyDescent="0.25">
      <c r="D4038"/>
    </row>
    <row r="4039" spans="4:4" x14ac:dyDescent="0.25">
      <c r="D4039"/>
    </row>
    <row r="4040" spans="4:4" x14ac:dyDescent="0.25">
      <c r="D4040"/>
    </row>
    <row r="4041" spans="4:4" x14ac:dyDescent="0.25">
      <c r="D4041"/>
    </row>
    <row r="4042" spans="4:4" x14ac:dyDescent="0.25">
      <c r="D4042"/>
    </row>
    <row r="4043" spans="4:4" x14ac:dyDescent="0.25">
      <c r="D4043"/>
    </row>
    <row r="4044" spans="4:4" x14ac:dyDescent="0.25">
      <c r="D4044"/>
    </row>
    <row r="4045" spans="4:4" x14ac:dyDescent="0.25">
      <c r="D4045"/>
    </row>
    <row r="4046" spans="4:4" x14ac:dyDescent="0.25">
      <c r="D4046"/>
    </row>
    <row r="4047" spans="4:4" x14ac:dyDescent="0.25">
      <c r="D4047"/>
    </row>
    <row r="4048" spans="4:4" x14ac:dyDescent="0.25">
      <c r="D4048"/>
    </row>
    <row r="4049" spans="4:4" x14ac:dyDescent="0.25">
      <c r="D4049"/>
    </row>
    <row r="4050" spans="4:4" x14ac:dyDescent="0.25">
      <c r="D4050"/>
    </row>
    <row r="4051" spans="4:4" x14ac:dyDescent="0.25">
      <c r="D4051"/>
    </row>
    <row r="4052" spans="4:4" x14ac:dyDescent="0.25">
      <c r="D4052"/>
    </row>
    <row r="4053" spans="4:4" x14ac:dyDescent="0.25">
      <c r="D4053"/>
    </row>
    <row r="4054" spans="4:4" x14ac:dyDescent="0.25">
      <c r="D4054"/>
    </row>
    <row r="4055" spans="4:4" x14ac:dyDescent="0.25">
      <c r="D4055"/>
    </row>
    <row r="4056" spans="4:4" x14ac:dyDescent="0.25">
      <c r="D4056"/>
    </row>
    <row r="4057" spans="4:4" x14ac:dyDescent="0.25">
      <c r="D4057"/>
    </row>
    <row r="4058" spans="4:4" x14ac:dyDescent="0.25">
      <c r="D4058"/>
    </row>
    <row r="4059" spans="4:4" x14ac:dyDescent="0.25">
      <c r="D4059"/>
    </row>
    <row r="4060" spans="4:4" x14ac:dyDescent="0.25">
      <c r="D4060"/>
    </row>
    <row r="4061" spans="4:4" x14ac:dyDescent="0.25">
      <c r="D4061"/>
    </row>
    <row r="4062" spans="4:4" x14ac:dyDescent="0.25">
      <c r="D4062"/>
    </row>
    <row r="4063" spans="4:4" x14ac:dyDescent="0.25">
      <c r="D4063"/>
    </row>
    <row r="4064" spans="4:4" x14ac:dyDescent="0.25">
      <c r="D4064"/>
    </row>
    <row r="4065" spans="4:4" x14ac:dyDescent="0.25">
      <c r="D4065"/>
    </row>
    <row r="4066" spans="4:4" x14ac:dyDescent="0.25">
      <c r="D4066"/>
    </row>
    <row r="4067" spans="4:4" x14ac:dyDescent="0.25">
      <c r="D4067"/>
    </row>
    <row r="4068" spans="4:4" x14ac:dyDescent="0.25">
      <c r="D4068"/>
    </row>
    <row r="4069" spans="4:4" x14ac:dyDescent="0.25">
      <c r="D4069"/>
    </row>
    <row r="4070" spans="4:4" x14ac:dyDescent="0.25">
      <c r="D4070"/>
    </row>
    <row r="4071" spans="4:4" x14ac:dyDescent="0.25">
      <c r="D4071"/>
    </row>
    <row r="4072" spans="4:4" x14ac:dyDescent="0.25">
      <c r="D4072"/>
    </row>
    <row r="4073" spans="4:4" x14ac:dyDescent="0.25">
      <c r="D4073"/>
    </row>
    <row r="4074" spans="4:4" x14ac:dyDescent="0.25">
      <c r="D4074"/>
    </row>
    <row r="4075" spans="4:4" x14ac:dyDescent="0.25">
      <c r="D4075"/>
    </row>
    <row r="4076" spans="4:4" x14ac:dyDescent="0.25">
      <c r="D4076"/>
    </row>
    <row r="4077" spans="4:4" x14ac:dyDescent="0.25">
      <c r="D4077"/>
    </row>
    <row r="4078" spans="4:4" x14ac:dyDescent="0.25">
      <c r="D4078"/>
    </row>
    <row r="4079" spans="4:4" x14ac:dyDescent="0.25">
      <c r="D4079"/>
    </row>
    <row r="4080" spans="4:4" x14ac:dyDescent="0.25">
      <c r="D4080"/>
    </row>
    <row r="4081" spans="4:4" x14ac:dyDescent="0.25">
      <c r="D4081"/>
    </row>
    <row r="4082" spans="4:4" x14ac:dyDescent="0.25">
      <c r="D4082"/>
    </row>
    <row r="4083" spans="4:4" x14ac:dyDescent="0.25">
      <c r="D4083"/>
    </row>
    <row r="4084" spans="4:4" x14ac:dyDescent="0.25">
      <c r="D4084"/>
    </row>
    <row r="4085" spans="4:4" x14ac:dyDescent="0.25">
      <c r="D4085"/>
    </row>
    <row r="4086" spans="4:4" x14ac:dyDescent="0.25">
      <c r="D4086"/>
    </row>
    <row r="4087" spans="4:4" x14ac:dyDescent="0.25">
      <c r="D4087"/>
    </row>
    <row r="4088" spans="4:4" x14ac:dyDescent="0.25">
      <c r="D4088"/>
    </row>
    <row r="4089" spans="4:4" x14ac:dyDescent="0.25">
      <c r="D4089"/>
    </row>
    <row r="4090" spans="4:4" x14ac:dyDescent="0.25">
      <c r="D4090"/>
    </row>
    <row r="4091" spans="4:4" x14ac:dyDescent="0.25">
      <c r="D4091"/>
    </row>
    <row r="4092" spans="4:4" x14ac:dyDescent="0.25">
      <c r="D4092"/>
    </row>
    <row r="4093" spans="4:4" x14ac:dyDescent="0.25">
      <c r="D4093"/>
    </row>
    <row r="4094" spans="4:4" x14ac:dyDescent="0.25">
      <c r="D4094"/>
    </row>
    <row r="4095" spans="4:4" x14ac:dyDescent="0.25">
      <c r="D4095"/>
    </row>
    <row r="4096" spans="4:4" x14ac:dyDescent="0.25">
      <c r="D4096"/>
    </row>
    <row r="4097" spans="4:4" x14ac:dyDescent="0.25">
      <c r="D4097"/>
    </row>
    <row r="4098" spans="4:4" x14ac:dyDescent="0.25">
      <c r="D4098"/>
    </row>
    <row r="4099" spans="4:4" x14ac:dyDescent="0.25">
      <c r="D4099"/>
    </row>
    <row r="4100" spans="4:4" x14ac:dyDescent="0.25">
      <c r="D4100"/>
    </row>
    <row r="4101" spans="4:4" x14ac:dyDescent="0.25">
      <c r="D4101"/>
    </row>
    <row r="4102" spans="4:4" x14ac:dyDescent="0.25">
      <c r="D4102"/>
    </row>
    <row r="4103" spans="4:4" x14ac:dyDescent="0.25">
      <c r="D4103"/>
    </row>
    <row r="4104" spans="4:4" x14ac:dyDescent="0.25">
      <c r="D4104"/>
    </row>
    <row r="4105" spans="4:4" x14ac:dyDescent="0.25">
      <c r="D4105"/>
    </row>
    <row r="4106" spans="4:4" x14ac:dyDescent="0.25">
      <c r="D4106"/>
    </row>
    <row r="4107" spans="4:4" x14ac:dyDescent="0.25">
      <c r="D4107"/>
    </row>
    <row r="4108" spans="4:4" x14ac:dyDescent="0.25">
      <c r="D4108"/>
    </row>
    <row r="4109" spans="4:4" x14ac:dyDescent="0.25">
      <c r="D4109"/>
    </row>
    <row r="4110" spans="4:4" x14ac:dyDescent="0.25">
      <c r="D4110"/>
    </row>
    <row r="4111" spans="4:4" x14ac:dyDescent="0.25">
      <c r="D4111"/>
    </row>
    <row r="4112" spans="4:4" x14ac:dyDescent="0.25">
      <c r="D4112"/>
    </row>
    <row r="4113" spans="4:4" x14ac:dyDescent="0.25">
      <c r="D4113"/>
    </row>
    <row r="4114" spans="4:4" x14ac:dyDescent="0.25">
      <c r="D4114"/>
    </row>
    <row r="4115" spans="4:4" x14ac:dyDescent="0.25">
      <c r="D4115"/>
    </row>
    <row r="4116" spans="4:4" x14ac:dyDescent="0.25">
      <c r="D4116"/>
    </row>
    <row r="4117" spans="4:4" x14ac:dyDescent="0.25">
      <c r="D4117"/>
    </row>
    <row r="4118" spans="4:4" x14ac:dyDescent="0.25">
      <c r="D4118"/>
    </row>
    <row r="4119" spans="4:4" x14ac:dyDescent="0.25">
      <c r="D4119"/>
    </row>
    <row r="4120" spans="4:4" x14ac:dyDescent="0.25">
      <c r="D4120"/>
    </row>
    <row r="4121" spans="4:4" x14ac:dyDescent="0.25">
      <c r="D4121"/>
    </row>
    <row r="4122" spans="4:4" x14ac:dyDescent="0.25">
      <c r="D4122"/>
    </row>
    <row r="4123" spans="4:4" x14ac:dyDescent="0.25">
      <c r="D4123"/>
    </row>
    <row r="4124" spans="4:4" x14ac:dyDescent="0.25">
      <c r="D4124"/>
    </row>
    <row r="4125" spans="4:4" x14ac:dyDescent="0.25">
      <c r="D4125"/>
    </row>
    <row r="4126" spans="4:4" x14ac:dyDescent="0.25">
      <c r="D4126"/>
    </row>
    <row r="4127" spans="4:4" x14ac:dyDescent="0.25">
      <c r="D4127"/>
    </row>
    <row r="4128" spans="4:4" x14ac:dyDescent="0.25">
      <c r="D4128"/>
    </row>
    <row r="4129" spans="4:4" x14ac:dyDescent="0.25">
      <c r="D4129"/>
    </row>
    <row r="4130" spans="4:4" x14ac:dyDescent="0.25">
      <c r="D4130"/>
    </row>
    <row r="4131" spans="4:4" x14ac:dyDescent="0.25">
      <c r="D4131"/>
    </row>
    <row r="4132" spans="4:4" x14ac:dyDescent="0.25">
      <c r="D4132"/>
    </row>
    <row r="4133" spans="4:4" x14ac:dyDescent="0.25">
      <c r="D4133"/>
    </row>
    <row r="4134" spans="4:4" x14ac:dyDescent="0.25">
      <c r="D4134"/>
    </row>
    <row r="4135" spans="4:4" x14ac:dyDescent="0.25">
      <c r="D4135"/>
    </row>
    <row r="4136" spans="4:4" x14ac:dyDescent="0.25">
      <c r="D4136"/>
    </row>
    <row r="4137" spans="4:4" x14ac:dyDescent="0.25">
      <c r="D4137"/>
    </row>
    <row r="4138" spans="4:4" x14ac:dyDescent="0.25">
      <c r="D4138"/>
    </row>
    <row r="4139" spans="4:4" x14ac:dyDescent="0.25">
      <c r="D4139"/>
    </row>
    <row r="4140" spans="4:4" x14ac:dyDescent="0.25">
      <c r="D4140"/>
    </row>
    <row r="4141" spans="4:4" x14ac:dyDescent="0.25">
      <c r="D4141"/>
    </row>
    <row r="4142" spans="4:4" x14ac:dyDescent="0.25">
      <c r="D4142"/>
    </row>
    <row r="4143" spans="4:4" x14ac:dyDescent="0.25">
      <c r="D4143"/>
    </row>
    <row r="4144" spans="4:4" x14ac:dyDescent="0.25">
      <c r="D4144"/>
    </row>
    <row r="4145" spans="4:4" x14ac:dyDescent="0.25">
      <c r="D4145"/>
    </row>
    <row r="4146" spans="4:4" x14ac:dyDescent="0.25">
      <c r="D4146"/>
    </row>
    <row r="4147" spans="4:4" x14ac:dyDescent="0.25">
      <c r="D4147"/>
    </row>
    <row r="4148" spans="4:4" x14ac:dyDescent="0.25">
      <c r="D4148"/>
    </row>
    <row r="4149" spans="4:4" x14ac:dyDescent="0.25">
      <c r="D4149"/>
    </row>
    <row r="4150" spans="4:4" x14ac:dyDescent="0.25">
      <c r="D4150"/>
    </row>
    <row r="4151" spans="4:4" x14ac:dyDescent="0.25">
      <c r="D4151"/>
    </row>
    <row r="4152" spans="4:4" x14ac:dyDescent="0.25">
      <c r="D4152"/>
    </row>
    <row r="4153" spans="4:4" x14ac:dyDescent="0.25">
      <c r="D4153"/>
    </row>
    <row r="4154" spans="4:4" x14ac:dyDescent="0.25">
      <c r="D4154"/>
    </row>
    <row r="4155" spans="4:4" x14ac:dyDescent="0.25">
      <c r="D4155"/>
    </row>
    <row r="4156" spans="4:4" x14ac:dyDescent="0.25">
      <c r="D4156"/>
    </row>
    <row r="4157" spans="4:4" x14ac:dyDescent="0.25">
      <c r="D4157"/>
    </row>
    <row r="4158" spans="4:4" x14ac:dyDescent="0.25">
      <c r="D4158"/>
    </row>
    <row r="4159" spans="4:4" x14ac:dyDescent="0.25">
      <c r="D4159"/>
    </row>
    <row r="4160" spans="4:4" x14ac:dyDescent="0.25">
      <c r="D4160"/>
    </row>
    <row r="4161" spans="4:4" x14ac:dyDescent="0.25">
      <c r="D4161"/>
    </row>
    <row r="4162" spans="4:4" x14ac:dyDescent="0.25">
      <c r="D4162"/>
    </row>
    <row r="4163" spans="4:4" x14ac:dyDescent="0.25">
      <c r="D4163"/>
    </row>
    <row r="4164" spans="4:4" x14ac:dyDescent="0.25">
      <c r="D4164"/>
    </row>
    <row r="4165" spans="4:4" x14ac:dyDescent="0.25">
      <c r="D4165"/>
    </row>
    <row r="4166" spans="4:4" x14ac:dyDescent="0.25">
      <c r="D4166"/>
    </row>
    <row r="4167" spans="4:4" x14ac:dyDescent="0.25">
      <c r="D4167"/>
    </row>
    <row r="4168" spans="4:4" x14ac:dyDescent="0.25">
      <c r="D4168"/>
    </row>
    <row r="4169" spans="4:4" x14ac:dyDescent="0.25">
      <c r="D4169"/>
    </row>
    <row r="4170" spans="4:4" x14ac:dyDescent="0.25">
      <c r="D4170"/>
    </row>
    <row r="4171" spans="4:4" x14ac:dyDescent="0.25">
      <c r="D4171"/>
    </row>
    <row r="4172" spans="4:4" x14ac:dyDescent="0.25">
      <c r="D4172"/>
    </row>
    <row r="4173" spans="4:4" x14ac:dyDescent="0.25">
      <c r="D4173"/>
    </row>
    <row r="4174" spans="4:4" x14ac:dyDescent="0.25">
      <c r="D4174"/>
    </row>
    <row r="4175" spans="4:4" x14ac:dyDescent="0.25">
      <c r="D4175"/>
    </row>
    <row r="4176" spans="4:4" x14ac:dyDescent="0.25">
      <c r="D4176"/>
    </row>
    <row r="4177" spans="4:4" x14ac:dyDescent="0.25">
      <c r="D4177"/>
    </row>
    <row r="4178" spans="4:4" x14ac:dyDescent="0.25">
      <c r="D4178"/>
    </row>
    <row r="4179" spans="4:4" x14ac:dyDescent="0.25">
      <c r="D4179"/>
    </row>
    <row r="4180" spans="4:4" x14ac:dyDescent="0.25">
      <c r="D4180"/>
    </row>
    <row r="4181" spans="4:4" x14ac:dyDescent="0.25">
      <c r="D4181"/>
    </row>
    <row r="4182" spans="4:4" x14ac:dyDescent="0.25">
      <c r="D4182"/>
    </row>
    <row r="4183" spans="4:4" x14ac:dyDescent="0.25">
      <c r="D4183"/>
    </row>
    <row r="4184" spans="4:4" x14ac:dyDescent="0.25">
      <c r="D4184"/>
    </row>
    <row r="4185" spans="4:4" x14ac:dyDescent="0.25">
      <c r="D4185"/>
    </row>
    <row r="4186" spans="4:4" x14ac:dyDescent="0.25">
      <c r="D4186"/>
    </row>
    <row r="4187" spans="4:4" x14ac:dyDescent="0.25">
      <c r="D4187"/>
    </row>
    <row r="4188" spans="4:4" x14ac:dyDescent="0.25">
      <c r="D4188"/>
    </row>
    <row r="4189" spans="4:4" x14ac:dyDescent="0.25">
      <c r="D4189"/>
    </row>
    <row r="4190" spans="4:4" x14ac:dyDescent="0.25">
      <c r="D4190"/>
    </row>
    <row r="4191" spans="4:4" x14ac:dyDescent="0.25">
      <c r="D4191"/>
    </row>
    <row r="4192" spans="4:4" x14ac:dyDescent="0.25">
      <c r="D4192"/>
    </row>
    <row r="4193" spans="4:4" x14ac:dyDescent="0.25">
      <c r="D4193"/>
    </row>
    <row r="4194" spans="4:4" x14ac:dyDescent="0.25">
      <c r="D4194"/>
    </row>
    <row r="4195" spans="4:4" x14ac:dyDescent="0.25">
      <c r="D4195"/>
    </row>
    <row r="4196" spans="4:4" x14ac:dyDescent="0.25">
      <c r="D4196"/>
    </row>
    <row r="4197" spans="4:4" x14ac:dyDescent="0.25">
      <c r="D4197"/>
    </row>
    <row r="4198" spans="4:4" x14ac:dyDescent="0.25">
      <c r="D4198"/>
    </row>
    <row r="4199" spans="4:4" x14ac:dyDescent="0.25">
      <c r="D4199"/>
    </row>
    <row r="4200" spans="4:4" x14ac:dyDescent="0.25">
      <c r="D4200"/>
    </row>
    <row r="4201" spans="4:4" x14ac:dyDescent="0.25">
      <c r="D4201"/>
    </row>
    <row r="4202" spans="4:4" x14ac:dyDescent="0.25">
      <c r="D4202"/>
    </row>
    <row r="4203" spans="4:4" x14ac:dyDescent="0.25">
      <c r="D4203"/>
    </row>
    <row r="4204" spans="4:4" x14ac:dyDescent="0.25">
      <c r="D4204"/>
    </row>
    <row r="4205" spans="4:4" x14ac:dyDescent="0.25">
      <c r="D4205"/>
    </row>
    <row r="4206" spans="4:4" x14ac:dyDescent="0.25">
      <c r="D4206"/>
    </row>
    <row r="4207" spans="4:4" x14ac:dyDescent="0.25">
      <c r="D4207"/>
    </row>
    <row r="4208" spans="4:4" x14ac:dyDescent="0.25">
      <c r="D4208"/>
    </row>
    <row r="4209" spans="4:4" x14ac:dyDescent="0.25">
      <c r="D4209"/>
    </row>
    <row r="4210" spans="4:4" x14ac:dyDescent="0.25">
      <c r="D4210"/>
    </row>
    <row r="4211" spans="4:4" x14ac:dyDescent="0.25">
      <c r="D4211"/>
    </row>
    <row r="4212" spans="4:4" x14ac:dyDescent="0.25">
      <c r="D4212"/>
    </row>
    <row r="4213" spans="4:4" x14ac:dyDescent="0.25">
      <c r="D4213"/>
    </row>
    <row r="4214" spans="4:4" x14ac:dyDescent="0.25">
      <c r="D4214"/>
    </row>
    <row r="4215" spans="4:4" x14ac:dyDescent="0.25">
      <c r="D4215"/>
    </row>
    <row r="4216" spans="4:4" x14ac:dyDescent="0.25">
      <c r="D4216"/>
    </row>
    <row r="4217" spans="4:4" x14ac:dyDescent="0.25">
      <c r="D4217"/>
    </row>
    <row r="4218" spans="4:4" x14ac:dyDescent="0.25">
      <c r="D4218"/>
    </row>
    <row r="4219" spans="4:4" x14ac:dyDescent="0.25">
      <c r="D4219"/>
    </row>
    <row r="4220" spans="4:4" x14ac:dyDescent="0.25">
      <c r="D4220"/>
    </row>
    <row r="4221" spans="4:4" x14ac:dyDescent="0.25">
      <c r="D4221"/>
    </row>
    <row r="4222" spans="4:4" x14ac:dyDescent="0.25">
      <c r="D4222"/>
    </row>
    <row r="4223" spans="4:4" x14ac:dyDescent="0.25">
      <c r="D4223"/>
    </row>
    <row r="4224" spans="4:4" x14ac:dyDescent="0.25">
      <c r="D4224"/>
    </row>
    <row r="4225" spans="4:4" x14ac:dyDescent="0.25">
      <c r="D4225"/>
    </row>
    <row r="4226" spans="4:4" x14ac:dyDescent="0.25">
      <c r="D4226"/>
    </row>
    <row r="4227" spans="4:4" x14ac:dyDescent="0.25">
      <c r="D4227"/>
    </row>
    <row r="4228" spans="4:4" x14ac:dyDescent="0.25">
      <c r="D4228"/>
    </row>
    <row r="4229" spans="4:4" x14ac:dyDescent="0.25">
      <c r="D4229"/>
    </row>
    <row r="4230" spans="4:4" x14ac:dyDescent="0.25">
      <c r="D4230"/>
    </row>
    <row r="4231" spans="4:4" x14ac:dyDescent="0.25">
      <c r="D4231"/>
    </row>
    <row r="4232" spans="4:4" x14ac:dyDescent="0.25">
      <c r="D4232"/>
    </row>
    <row r="4233" spans="4:4" x14ac:dyDescent="0.25">
      <c r="D4233"/>
    </row>
    <row r="4234" spans="4:4" x14ac:dyDescent="0.25">
      <c r="D4234"/>
    </row>
    <row r="4235" spans="4:4" x14ac:dyDescent="0.25">
      <c r="D4235"/>
    </row>
    <row r="4236" spans="4:4" x14ac:dyDescent="0.25">
      <c r="D4236"/>
    </row>
    <row r="4237" spans="4:4" x14ac:dyDescent="0.25">
      <c r="D4237"/>
    </row>
    <row r="4238" spans="4:4" x14ac:dyDescent="0.25">
      <c r="D4238"/>
    </row>
    <row r="4239" spans="4:4" x14ac:dyDescent="0.25">
      <c r="D4239"/>
    </row>
    <row r="4240" spans="4:4" x14ac:dyDescent="0.25">
      <c r="D4240"/>
    </row>
    <row r="4241" spans="4:4" x14ac:dyDescent="0.25">
      <c r="D4241"/>
    </row>
    <row r="4242" spans="4:4" x14ac:dyDescent="0.25">
      <c r="D4242"/>
    </row>
    <row r="4243" spans="4:4" x14ac:dyDescent="0.25">
      <c r="D4243"/>
    </row>
    <row r="4244" spans="4:4" x14ac:dyDescent="0.25">
      <c r="D4244"/>
    </row>
    <row r="4245" spans="4:4" x14ac:dyDescent="0.25">
      <c r="D4245"/>
    </row>
    <row r="4246" spans="4:4" x14ac:dyDescent="0.25">
      <c r="D4246"/>
    </row>
    <row r="4247" spans="4:4" x14ac:dyDescent="0.25">
      <c r="D4247"/>
    </row>
    <row r="4248" spans="4:4" x14ac:dyDescent="0.25">
      <c r="D4248"/>
    </row>
    <row r="4249" spans="4:4" x14ac:dyDescent="0.25">
      <c r="D4249"/>
    </row>
    <row r="4250" spans="4:4" x14ac:dyDescent="0.25">
      <c r="D4250"/>
    </row>
    <row r="4251" spans="4:4" x14ac:dyDescent="0.25">
      <c r="D4251"/>
    </row>
    <row r="4252" spans="4:4" x14ac:dyDescent="0.25">
      <c r="D4252"/>
    </row>
    <row r="4253" spans="4:4" x14ac:dyDescent="0.25">
      <c r="D4253"/>
    </row>
    <row r="4254" spans="4:4" x14ac:dyDescent="0.25">
      <c r="D4254"/>
    </row>
    <row r="4255" spans="4:4" x14ac:dyDescent="0.25">
      <c r="D4255"/>
    </row>
    <row r="4256" spans="4:4" x14ac:dyDescent="0.25">
      <c r="D4256"/>
    </row>
    <row r="4257" spans="4:4" x14ac:dyDescent="0.25">
      <c r="D4257"/>
    </row>
    <row r="4258" spans="4:4" x14ac:dyDescent="0.25">
      <c r="D4258"/>
    </row>
    <row r="4259" spans="4:4" x14ac:dyDescent="0.25">
      <c r="D4259"/>
    </row>
    <row r="4260" spans="4:4" x14ac:dyDescent="0.25">
      <c r="D4260"/>
    </row>
    <row r="4261" spans="4:4" x14ac:dyDescent="0.25">
      <c r="D4261"/>
    </row>
    <row r="4262" spans="4:4" x14ac:dyDescent="0.25">
      <c r="D4262"/>
    </row>
    <row r="4263" spans="4:4" x14ac:dyDescent="0.25">
      <c r="D4263"/>
    </row>
    <row r="4264" spans="4:4" x14ac:dyDescent="0.25">
      <c r="D4264"/>
    </row>
    <row r="4265" spans="4:4" x14ac:dyDescent="0.25">
      <c r="D4265"/>
    </row>
    <row r="4266" spans="4:4" x14ac:dyDescent="0.25">
      <c r="D4266"/>
    </row>
    <row r="4267" spans="4:4" x14ac:dyDescent="0.25">
      <c r="D4267"/>
    </row>
    <row r="4268" spans="4:4" x14ac:dyDescent="0.25">
      <c r="D4268"/>
    </row>
    <row r="4269" spans="4:4" x14ac:dyDescent="0.25">
      <c r="D4269"/>
    </row>
    <row r="4270" spans="4:4" x14ac:dyDescent="0.25">
      <c r="D4270"/>
    </row>
    <row r="4271" spans="4:4" x14ac:dyDescent="0.25">
      <c r="D4271"/>
    </row>
    <row r="4272" spans="4:4" x14ac:dyDescent="0.25">
      <c r="D4272"/>
    </row>
    <row r="4273" spans="4:4" x14ac:dyDescent="0.25">
      <c r="D4273"/>
    </row>
    <row r="4274" spans="4:4" x14ac:dyDescent="0.25">
      <c r="D4274"/>
    </row>
    <row r="4275" spans="4:4" x14ac:dyDescent="0.25">
      <c r="D4275"/>
    </row>
    <row r="4276" spans="4:4" x14ac:dyDescent="0.25">
      <c r="D4276"/>
    </row>
    <row r="4277" spans="4:4" x14ac:dyDescent="0.25">
      <c r="D4277"/>
    </row>
    <row r="4278" spans="4:4" x14ac:dyDescent="0.25">
      <c r="D4278"/>
    </row>
    <row r="4279" spans="4:4" x14ac:dyDescent="0.25">
      <c r="D4279"/>
    </row>
    <row r="4280" spans="4:4" x14ac:dyDescent="0.25">
      <c r="D4280"/>
    </row>
    <row r="4281" spans="4:4" x14ac:dyDescent="0.25">
      <c r="D4281"/>
    </row>
    <row r="4282" spans="4:4" x14ac:dyDescent="0.25">
      <c r="D4282"/>
    </row>
    <row r="4283" spans="4:4" x14ac:dyDescent="0.25">
      <c r="D4283"/>
    </row>
    <row r="4284" spans="4:4" x14ac:dyDescent="0.25">
      <c r="D4284"/>
    </row>
    <row r="4285" spans="4:4" x14ac:dyDescent="0.25">
      <c r="D4285"/>
    </row>
    <row r="4286" spans="4:4" x14ac:dyDescent="0.25">
      <c r="D4286"/>
    </row>
    <row r="4287" spans="4:4" x14ac:dyDescent="0.25">
      <c r="D4287"/>
    </row>
    <row r="4288" spans="4:4" x14ac:dyDescent="0.25">
      <c r="D4288"/>
    </row>
    <row r="4289" spans="4:4" x14ac:dyDescent="0.25">
      <c r="D4289"/>
    </row>
    <row r="4290" spans="4:4" x14ac:dyDescent="0.25">
      <c r="D4290"/>
    </row>
    <row r="4291" spans="4:4" x14ac:dyDescent="0.25">
      <c r="D4291"/>
    </row>
    <row r="4292" spans="4:4" x14ac:dyDescent="0.25">
      <c r="D4292"/>
    </row>
    <row r="4293" spans="4:4" x14ac:dyDescent="0.25">
      <c r="D4293"/>
    </row>
    <row r="4294" spans="4:4" x14ac:dyDescent="0.25">
      <c r="D4294"/>
    </row>
    <row r="4295" spans="4:4" x14ac:dyDescent="0.25">
      <c r="D4295"/>
    </row>
    <row r="4296" spans="4:4" x14ac:dyDescent="0.25">
      <c r="D4296"/>
    </row>
    <row r="4297" spans="4:4" x14ac:dyDescent="0.25">
      <c r="D4297"/>
    </row>
    <row r="4298" spans="4:4" x14ac:dyDescent="0.25">
      <c r="D4298"/>
    </row>
    <row r="4299" spans="4:4" x14ac:dyDescent="0.25">
      <c r="D4299"/>
    </row>
    <row r="4300" spans="4:4" x14ac:dyDescent="0.25">
      <c r="D4300"/>
    </row>
    <row r="4301" spans="4:4" x14ac:dyDescent="0.25">
      <c r="D4301"/>
    </row>
    <row r="4302" spans="4:4" x14ac:dyDescent="0.25">
      <c r="D4302"/>
    </row>
    <row r="4303" spans="4:4" x14ac:dyDescent="0.25">
      <c r="D4303"/>
    </row>
    <row r="4304" spans="4:4" x14ac:dyDescent="0.25">
      <c r="D4304"/>
    </row>
    <row r="4305" spans="4:4" x14ac:dyDescent="0.25">
      <c r="D4305"/>
    </row>
    <row r="4306" spans="4:4" x14ac:dyDescent="0.25">
      <c r="D4306"/>
    </row>
    <row r="4307" spans="4:4" x14ac:dyDescent="0.25">
      <c r="D4307"/>
    </row>
    <row r="4308" spans="4:4" x14ac:dyDescent="0.25">
      <c r="D4308"/>
    </row>
    <row r="4309" spans="4:4" x14ac:dyDescent="0.25">
      <c r="D4309"/>
    </row>
    <row r="4310" spans="4:4" x14ac:dyDescent="0.25">
      <c r="D4310"/>
    </row>
    <row r="4311" spans="4:4" x14ac:dyDescent="0.25">
      <c r="D4311"/>
    </row>
    <row r="4312" spans="4:4" x14ac:dyDescent="0.25">
      <c r="D4312"/>
    </row>
    <row r="4313" spans="4:4" x14ac:dyDescent="0.25">
      <c r="D4313"/>
    </row>
    <row r="4314" spans="4:4" x14ac:dyDescent="0.25">
      <c r="D4314"/>
    </row>
    <row r="4315" spans="4:4" x14ac:dyDescent="0.25">
      <c r="D4315"/>
    </row>
    <row r="4316" spans="4:4" x14ac:dyDescent="0.25">
      <c r="D4316"/>
    </row>
    <row r="4317" spans="4:4" x14ac:dyDescent="0.25">
      <c r="D4317"/>
    </row>
    <row r="4318" spans="4:4" x14ac:dyDescent="0.25">
      <c r="D4318"/>
    </row>
    <row r="4319" spans="4:4" x14ac:dyDescent="0.25">
      <c r="D4319"/>
    </row>
    <row r="4320" spans="4:4" x14ac:dyDescent="0.25">
      <c r="D4320"/>
    </row>
    <row r="4321" spans="4:4" x14ac:dyDescent="0.25">
      <c r="D4321"/>
    </row>
    <row r="4322" spans="4:4" x14ac:dyDescent="0.25">
      <c r="D4322"/>
    </row>
    <row r="4323" spans="4:4" x14ac:dyDescent="0.25">
      <c r="D4323"/>
    </row>
    <row r="4324" spans="4:4" x14ac:dyDescent="0.25">
      <c r="D4324"/>
    </row>
    <row r="4325" spans="4:4" x14ac:dyDescent="0.25">
      <c r="D4325"/>
    </row>
    <row r="4326" spans="4:4" x14ac:dyDescent="0.25">
      <c r="D4326"/>
    </row>
    <row r="4327" spans="4:4" x14ac:dyDescent="0.25">
      <c r="D4327"/>
    </row>
    <row r="4328" spans="4:4" x14ac:dyDescent="0.25">
      <c r="D4328"/>
    </row>
    <row r="4329" spans="4:4" x14ac:dyDescent="0.25">
      <c r="D4329"/>
    </row>
    <row r="4330" spans="4:4" x14ac:dyDescent="0.25">
      <c r="D4330"/>
    </row>
    <row r="4331" spans="4:4" x14ac:dyDescent="0.25">
      <c r="D4331"/>
    </row>
    <row r="4332" spans="4:4" x14ac:dyDescent="0.25">
      <c r="D4332"/>
    </row>
    <row r="4333" spans="4:4" x14ac:dyDescent="0.25">
      <c r="D4333"/>
    </row>
    <row r="4334" spans="4:4" x14ac:dyDescent="0.25">
      <c r="D4334"/>
    </row>
    <row r="4335" spans="4:4" x14ac:dyDescent="0.25">
      <c r="D4335"/>
    </row>
    <row r="4336" spans="4:4" x14ac:dyDescent="0.25">
      <c r="D4336"/>
    </row>
    <row r="4337" spans="4:4" x14ac:dyDescent="0.25">
      <c r="D4337"/>
    </row>
    <row r="4338" spans="4:4" x14ac:dyDescent="0.25">
      <c r="D4338"/>
    </row>
    <row r="4339" spans="4:4" x14ac:dyDescent="0.25">
      <c r="D4339"/>
    </row>
    <row r="4340" spans="4:4" x14ac:dyDescent="0.25">
      <c r="D4340"/>
    </row>
    <row r="4341" spans="4:4" x14ac:dyDescent="0.25">
      <c r="D4341"/>
    </row>
    <row r="4342" spans="4:4" x14ac:dyDescent="0.25">
      <c r="D4342"/>
    </row>
    <row r="4343" spans="4:4" x14ac:dyDescent="0.25">
      <c r="D4343"/>
    </row>
    <row r="4344" spans="4:4" x14ac:dyDescent="0.25">
      <c r="D4344"/>
    </row>
    <row r="4345" spans="4:4" x14ac:dyDescent="0.25">
      <c r="D4345"/>
    </row>
    <row r="4346" spans="4:4" x14ac:dyDescent="0.25">
      <c r="D4346"/>
    </row>
    <row r="4347" spans="4:4" x14ac:dyDescent="0.25">
      <c r="D4347"/>
    </row>
    <row r="4348" spans="4:4" x14ac:dyDescent="0.25">
      <c r="D4348"/>
    </row>
    <row r="4349" spans="4:4" x14ac:dyDescent="0.25">
      <c r="D4349"/>
    </row>
    <row r="4350" spans="4:4" x14ac:dyDescent="0.25">
      <c r="D4350"/>
    </row>
    <row r="4351" spans="4:4" x14ac:dyDescent="0.25">
      <c r="D4351"/>
    </row>
    <row r="4352" spans="4:4" x14ac:dyDescent="0.25">
      <c r="D4352"/>
    </row>
    <row r="4353" spans="4:4" x14ac:dyDescent="0.25">
      <c r="D4353"/>
    </row>
    <row r="4354" spans="4:4" x14ac:dyDescent="0.25">
      <c r="D4354"/>
    </row>
    <row r="4355" spans="4:4" x14ac:dyDescent="0.25">
      <c r="D4355"/>
    </row>
    <row r="4356" spans="4:4" x14ac:dyDescent="0.25">
      <c r="D4356"/>
    </row>
    <row r="4357" spans="4:4" x14ac:dyDescent="0.25">
      <c r="D4357"/>
    </row>
    <row r="4358" spans="4:4" x14ac:dyDescent="0.25">
      <c r="D4358"/>
    </row>
    <row r="4359" spans="4:4" x14ac:dyDescent="0.25">
      <c r="D4359"/>
    </row>
    <row r="4360" spans="4:4" x14ac:dyDescent="0.25">
      <c r="D4360"/>
    </row>
    <row r="4361" spans="4:4" x14ac:dyDescent="0.25">
      <c r="D4361"/>
    </row>
    <row r="4362" spans="4:4" x14ac:dyDescent="0.25">
      <c r="D4362"/>
    </row>
    <row r="4363" spans="4:4" x14ac:dyDescent="0.25">
      <c r="D4363"/>
    </row>
    <row r="4364" spans="4:4" x14ac:dyDescent="0.25">
      <c r="D4364"/>
    </row>
    <row r="4365" spans="4:4" x14ac:dyDescent="0.25">
      <c r="D4365"/>
    </row>
    <row r="4366" spans="4:4" x14ac:dyDescent="0.25">
      <c r="D4366"/>
    </row>
    <row r="4367" spans="4:4" x14ac:dyDescent="0.25">
      <c r="D4367"/>
    </row>
    <row r="4368" spans="4:4" x14ac:dyDescent="0.25">
      <c r="D4368"/>
    </row>
    <row r="4369" spans="4:4" x14ac:dyDescent="0.25">
      <c r="D4369"/>
    </row>
    <row r="4370" spans="4:4" x14ac:dyDescent="0.25">
      <c r="D4370"/>
    </row>
    <row r="4371" spans="4:4" x14ac:dyDescent="0.25">
      <c r="D4371"/>
    </row>
    <row r="4372" spans="4:4" x14ac:dyDescent="0.25">
      <c r="D4372"/>
    </row>
    <row r="4373" spans="4:4" x14ac:dyDescent="0.25">
      <c r="D4373"/>
    </row>
    <row r="4374" spans="4:4" x14ac:dyDescent="0.25">
      <c r="D4374"/>
    </row>
    <row r="4375" spans="4:4" x14ac:dyDescent="0.25">
      <c r="D4375"/>
    </row>
    <row r="4376" spans="4:4" x14ac:dyDescent="0.25">
      <c r="D4376"/>
    </row>
    <row r="4377" spans="4:4" x14ac:dyDescent="0.25">
      <c r="D4377"/>
    </row>
    <row r="4378" spans="4:4" x14ac:dyDescent="0.25">
      <c r="D4378"/>
    </row>
    <row r="4379" spans="4:4" x14ac:dyDescent="0.25">
      <c r="D4379"/>
    </row>
    <row r="4380" spans="4:4" x14ac:dyDescent="0.25">
      <c r="D4380"/>
    </row>
    <row r="4381" spans="4:4" x14ac:dyDescent="0.25">
      <c r="D4381"/>
    </row>
    <row r="4382" spans="4:4" x14ac:dyDescent="0.25">
      <c r="D4382"/>
    </row>
    <row r="4383" spans="4:4" x14ac:dyDescent="0.25">
      <c r="D4383"/>
    </row>
    <row r="4384" spans="4:4" x14ac:dyDescent="0.25">
      <c r="D4384"/>
    </row>
    <row r="4385" spans="4:4" x14ac:dyDescent="0.25">
      <c r="D4385"/>
    </row>
    <row r="4386" spans="4:4" x14ac:dyDescent="0.25">
      <c r="D4386"/>
    </row>
    <row r="4387" spans="4:4" x14ac:dyDescent="0.25">
      <c r="D4387"/>
    </row>
    <row r="4388" spans="4:4" x14ac:dyDescent="0.25">
      <c r="D4388"/>
    </row>
    <row r="4389" spans="4:4" x14ac:dyDescent="0.25">
      <c r="D4389"/>
    </row>
    <row r="4390" spans="4:4" x14ac:dyDescent="0.25">
      <c r="D4390"/>
    </row>
    <row r="4391" spans="4:4" x14ac:dyDescent="0.25">
      <c r="D4391"/>
    </row>
    <row r="4392" spans="4:4" x14ac:dyDescent="0.25">
      <c r="D4392"/>
    </row>
    <row r="4393" spans="4:4" x14ac:dyDescent="0.25">
      <c r="D4393"/>
    </row>
    <row r="4394" spans="4:4" x14ac:dyDescent="0.25">
      <c r="D4394"/>
    </row>
    <row r="4395" spans="4:4" x14ac:dyDescent="0.25">
      <c r="D4395"/>
    </row>
    <row r="4396" spans="4:4" x14ac:dyDescent="0.25">
      <c r="D4396"/>
    </row>
    <row r="4397" spans="4:4" x14ac:dyDescent="0.25">
      <c r="D4397"/>
    </row>
    <row r="4398" spans="4:4" x14ac:dyDescent="0.25">
      <c r="D4398"/>
    </row>
    <row r="4399" spans="4:4" x14ac:dyDescent="0.25">
      <c r="D4399"/>
    </row>
    <row r="4400" spans="4:4" x14ac:dyDescent="0.25">
      <c r="D4400"/>
    </row>
    <row r="4401" spans="4:4" x14ac:dyDescent="0.25">
      <c r="D4401"/>
    </row>
    <row r="4402" spans="4:4" x14ac:dyDescent="0.25">
      <c r="D4402"/>
    </row>
    <row r="4403" spans="4:4" x14ac:dyDescent="0.25">
      <c r="D4403"/>
    </row>
    <row r="4404" spans="4:4" x14ac:dyDescent="0.25">
      <c r="D4404"/>
    </row>
    <row r="4405" spans="4:4" x14ac:dyDescent="0.25">
      <c r="D4405"/>
    </row>
    <row r="4406" spans="4:4" x14ac:dyDescent="0.25">
      <c r="D4406"/>
    </row>
    <row r="4407" spans="4:4" x14ac:dyDescent="0.25">
      <c r="D4407"/>
    </row>
    <row r="4408" spans="4:4" x14ac:dyDescent="0.25">
      <c r="D4408"/>
    </row>
    <row r="4409" spans="4:4" x14ac:dyDescent="0.25">
      <c r="D4409"/>
    </row>
    <row r="4410" spans="4:4" x14ac:dyDescent="0.25">
      <c r="D4410"/>
    </row>
    <row r="4411" spans="4:4" x14ac:dyDescent="0.25">
      <c r="D4411"/>
    </row>
    <row r="4412" spans="4:4" x14ac:dyDescent="0.25">
      <c r="D4412"/>
    </row>
    <row r="4413" spans="4:4" x14ac:dyDescent="0.25">
      <c r="D4413"/>
    </row>
    <row r="4414" spans="4:4" x14ac:dyDescent="0.25">
      <c r="D4414"/>
    </row>
    <row r="4415" spans="4:4" x14ac:dyDescent="0.25">
      <c r="D4415"/>
    </row>
    <row r="4416" spans="4:4" x14ac:dyDescent="0.25">
      <c r="D4416"/>
    </row>
    <row r="4417" spans="4:4" x14ac:dyDescent="0.25">
      <c r="D4417"/>
    </row>
    <row r="4418" spans="4:4" x14ac:dyDescent="0.25">
      <c r="D4418"/>
    </row>
    <row r="4419" spans="4:4" x14ac:dyDescent="0.25">
      <c r="D4419"/>
    </row>
    <row r="4420" spans="4:4" x14ac:dyDescent="0.25">
      <c r="D4420"/>
    </row>
    <row r="4421" spans="4:4" x14ac:dyDescent="0.25">
      <c r="D4421"/>
    </row>
    <row r="4422" spans="4:4" x14ac:dyDescent="0.25">
      <c r="D4422"/>
    </row>
    <row r="4423" spans="4:4" x14ac:dyDescent="0.25">
      <c r="D4423"/>
    </row>
    <row r="4424" spans="4:4" x14ac:dyDescent="0.25">
      <c r="D4424"/>
    </row>
    <row r="4425" spans="4:4" x14ac:dyDescent="0.25">
      <c r="D4425"/>
    </row>
    <row r="4426" spans="4:4" x14ac:dyDescent="0.25">
      <c r="D4426"/>
    </row>
    <row r="4427" spans="4:4" x14ac:dyDescent="0.25">
      <c r="D4427"/>
    </row>
    <row r="4428" spans="4:4" x14ac:dyDescent="0.25">
      <c r="D4428"/>
    </row>
    <row r="4429" spans="4:4" x14ac:dyDescent="0.25">
      <c r="D4429"/>
    </row>
    <row r="4430" spans="4:4" x14ac:dyDescent="0.25">
      <c r="D4430"/>
    </row>
    <row r="4431" spans="4:4" x14ac:dyDescent="0.25">
      <c r="D4431"/>
    </row>
    <row r="4432" spans="4:4" x14ac:dyDescent="0.25">
      <c r="D4432"/>
    </row>
    <row r="4433" spans="4:4" x14ac:dyDescent="0.25">
      <c r="D4433"/>
    </row>
    <row r="4434" spans="4:4" x14ac:dyDescent="0.25">
      <c r="D4434"/>
    </row>
    <row r="4435" spans="4:4" x14ac:dyDescent="0.25">
      <c r="D4435"/>
    </row>
    <row r="4436" spans="4:4" x14ac:dyDescent="0.25">
      <c r="D4436"/>
    </row>
    <row r="4437" spans="4:4" x14ac:dyDescent="0.25">
      <c r="D4437"/>
    </row>
    <row r="4438" spans="4:4" x14ac:dyDescent="0.25">
      <c r="D4438"/>
    </row>
    <row r="4439" spans="4:4" x14ac:dyDescent="0.25">
      <c r="D4439"/>
    </row>
    <row r="4440" spans="4:4" x14ac:dyDescent="0.25">
      <c r="D4440"/>
    </row>
    <row r="4441" spans="4:4" x14ac:dyDescent="0.25">
      <c r="D4441"/>
    </row>
    <row r="4442" spans="4:4" x14ac:dyDescent="0.25">
      <c r="D4442"/>
    </row>
    <row r="4443" spans="4:4" x14ac:dyDescent="0.25">
      <c r="D4443"/>
    </row>
    <row r="4444" spans="4:4" x14ac:dyDescent="0.25">
      <c r="D4444"/>
    </row>
    <row r="4445" spans="4:4" x14ac:dyDescent="0.25">
      <c r="D4445"/>
    </row>
    <row r="4446" spans="4:4" x14ac:dyDescent="0.25">
      <c r="D4446"/>
    </row>
    <row r="4447" spans="4:4" x14ac:dyDescent="0.25">
      <c r="D4447"/>
    </row>
    <row r="4448" spans="4:4" x14ac:dyDescent="0.25">
      <c r="D4448"/>
    </row>
    <row r="4449" spans="4:4" x14ac:dyDescent="0.25">
      <c r="D4449"/>
    </row>
    <row r="4450" spans="4:4" x14ac:dyDescent="0.25">
      <c r="D4450"/>
    </row>
    <row r="4451" spans="4:4" x14ac:dyDescent="0.25">
      <c r="D4451"/>
    </row>
    <row r="4452" spans="4:4" x14ac:dyDescent="0.25">
      <c r="D4452"/>
    </row>
    <row r="4453" spans="4:4" x14ac:dyDescent="0.25">
      <c r="D4453"/>
    </row>
    <row r="4454" spans="4:4" x14ac:dyDescent="0.25">
      <c r="D4454"/>
    </row>
    <row r="4455" spans="4:4" x14ac:dyDescent="0.25">
      <c r="D4455"/>
    </row>
    <row r="4456" spans="4:4" x14ac:dyDescent="0.25">
      <c r="D4456"/>
    </row>
    <row r="4457" spans="4:4" x14ac:dyDescent="0.25">
      <c r="D4457"/>
    </row>
    <row r="4458" spans="4:4" x14ac:dyDescent="0.25">
      <c r="D4458"/>
    </row>
    <row r="4459" spans="4:4" x14ac:dyDescent="0.25">
      <c r="D4459"/>
    </row>
    <row r="4460" spans="4:4" x14ac:dyDescent="0.25">
      <c r="D4460"/>
    </row>
    <row r="4461" spans="4:4" x14ac:dyDescent="0.25">
      <c r="D4461"/>
    </row>
    <row r="4462" spans="4:4" x14ac:dyDescent="0.25">
      <c r="D4462"/>
    </row>
    <row r="4463" spans="4:4" x14ac:dyDescent="0.25">
      <c r="D4463"/>
    </row>
    <row r="4464" spans="4:4" x14ac:dyDescent="0.25">
      <c r="D4464"/>
    </row>
    <row r="4465" spans="4:4" x14ac:dyDescent="0.25">
      <c r="D4465"/>
    </row>
    <row r="4466" spans="4:4" x14ac:dyDescent="0.25">
      <c r="D4466"/>
    </row>
    <row r="4467" spans="4:4" x14ac:dyDescent="0.25">
      <c r="D4467"/>
    </row>
    <row r="4468" spans="4:4" x14ac:dyDescent="0.25">
      <c r="D4468"/>
    </row>
    <row r="4469" spans="4:4" x14ac:dyDescent="0.25">
      <c r="D4469"/>
    </row>
    <row r="4470" spans="4:4" x14ac:dyDescent="0.25">
      <c r="D4470"/>
    </row>
    <row r="4471" spans="4:4" x14ac:dyDescent="0.25">
      <c r="D4471"/>
    </row>
    <row r="4472" spans="4:4" x14ac:dyDescent="0.25">
      <c r="D4472"/>
    </row>
    <row r="4473" spans="4:4" x14ac:dyDescent="0.25">
      <c r="D4473"/>
    </row>
    <row r="4474" spans="4:4" x14ac:dyDescent="0.25">
      <c r="D4474"/>
    </row>
    <row r="4475" spans="4:4" x14ac:dyDescent="0.25">
      <c r="D4475"/>
    </row>
    <row r="4476" spans="4:4" x14ac:dyDescent="0.25">
      <c r="D4476"/>
    </row>
    <row r="4477" spans="4:4" x14ac:dyDescent="0.25">
      <c r="D4477"/>
    </row>
    <row r="4478" spans="4:4" x14ac:dyDescent="0.25">
      <c r="D4478"/>
    </row>
    <row r="4479" spans="4:4" x14ac:dyDescent="0.25">
      <c r="D4479"/>
    </row>
    <row r="4480" spans="4:4" x14ac:dyDescent="0.25">
      <c r="D4480"/>
    </row>
    <row r="4481" spans="4:4" x14ac:dyDescent="0.25">
      <c r="D4481"/>
    </row>
    <row r="4482" spans="4:4" x14ac:dyDescent="0.25">
      <c r="D4482"/>
    </row>
    <row r="4483" spans="4:4" x14ac:dyDescent="0.25">
      <c r="D4483"/>
    </row>
    <row r="4484" spans="4:4" x14ac:dyDescent="0.25">
      <c r="D4484"/>
    </row>
    <row r="4485" spans="4:4" x14ac:dyDescent="0.25">
      <c r="D4485"/>
    </row>
    <row r="4486" spans="4:4" x14ac:dyDescent="0.25">
      <c r="D4486"/>
    </row>
    <row r="4487" spans="4:4" x14ac:dyDescent="0.25">
      <c r="D4487"/>
    </row>
    <row r="4488" spans="4:4" x14ac:dyDescent="0.25">
      <c r="D4488"/>
    </row>
    <row r="4489" spans="4:4" x14ac:dyDescent="0.25">
      <c r="D4489"/>
    </row>
    <row r="4490" spans="4:4" x14ac:dyDescent="0.25">
      <c r="D4490"/>
    </row>
    <row r="4491" spans="4:4" x14ac:dyDescent="0.25">
      <c r="D4491"/>
    </row>
    <row r="4492" spans="4:4" x14ac:dyDescent="0.25">
      <c r="D4492"/>
    </row>
    <row r="4493" spans="4:4" x14ac:dyDescent="0.25">
      <c r="D4493"/>
    </row>
    <row r="4494" spans="4:4" x14ac:dyDescent="0.25">
      <c r="D4494"/>
    </row>
    <row r="4495" spans="4:4" x14ac:dyDescent="0.25">
      <c r="D4495"/>
    </row>
    <row r="4496" spans="4:4" x14ac:dyDescent="0.25">
      <c r="D4496"/>
    </row>
    <row r="4497" spans="4:4" x14ac:dyDescent="0.25">
      <c r="D4497"/>
    </row>
    <row r="4498" spans="4:4" x14ac:dyDescent="0.25">
      <c r="D4498"/>
    </row>
    <row r="4499" spans="4:4" x14ac:dyDescent="0.25">
      <c r="D4499"/>
    </row>
    <row r="4500" spans="4:4" x14ac:dyDescent="0.25">
      <c r="D4500"/>
    </row>
    <row r="4501" spans="4:4" x14ac:dyDescent="0.25">
      <c r="D4501"/>
    </row>
    <row r="4502" spans="4:4" x14ac:dyDescent="0.25">
      <c r="D4502"/>
    </row>
    <row r="4503" spans="4:4" x14ac:dyDescent="0.25">
      <c r="D4503"/>
    </row>
    <row r="4504" spans="4:4" x14ac:dyDescent="0.25">
      <c r="D4504"/>
    </row>
    <row r="4505" spans="4:4" x14ac:dyDescent="0.25">
      <c r="D4505"/>
    </row>
    <row r="4506" spans="4:4" x14ac:dyDescent="0.25">
      <c r="D4506"/>
    </row>
    <row r="4507" spans="4:4" x14ac:dyDescent="0.25">
      <c r="D4507"/>
    </row>
    <row r="4508" spans="4:4" x14ac:dyDescent="0.25">
      <c r="D4508"/>
    </row>
    <row r="4509" spans="4:4" x14ac:dyDescent="0.25">
      <c r="D4509"/>
    </row>
    <row r="4510" spans="4:4" x14ac:dyDescent="0.25">
      <c r="D4510"/>
    </row>
    <row r="4511" spans="4:4" x14ac:dyDescent="0.25">
      <c r="D4511"/>
    </row>
    <row r="4512" spans="4:4" x14ac:dyDescent="0.25">
      <c r="D4512"/>
    </row>
    <row r="4513" spans="4:4" x14ac:dyDescent="0.25">
      <c r="D4513"/>
    </row>
    <row r="4514" spans="4:4" x14ac:dyDescent="0.25">
      <c r="D4514"/>
    </row>
    <row r="4515" spans="4:4" x14ac:dyDescent="0.25">
      <c r="D4515"/>
    </row>
    <row r="4516" spans="4:4" x14ac:dyDescent="0.25">
      <c r="D4516"/>
    </row>
    <row r="4517" spans="4:4" x14ac:dyDescent="0.25">
      <c r="D4517"/>
    </row>
    <row r="4518" spans="4:4" x14ac:dyDescent="0.25">
      <c r="D4518"/>
    </row>
    <row r="4519" spans="4:4" x14ac:dyDescent="0.25">
      <c r="D4519"/>
    </row>
    <row r="4520" spans="4:4" x14ac:dyDescent="0.25">
      <c r="D4520"/>
    </row>
    <row r="4521" spans="4:4" x14ac:dyDescent="0.25">
      <c r="D4521"/>
    </row>
    <row r="4522" spans="4:4" x14ac:dyDescent="0.25">
      <c r="D4522"/>
    </row>
    <row r="4523" spans="4:4" x14ac:dyDescent="0.25">
      <c r="D4523"/>
    </row>
    <row r="4524" spans="4:4" x14ac:dyDescent="0.25">
      <c r="D4524"/>
    </row>
    <row r="4525" spans="4:4" x14ac:dyDescent="0.25">
      <c r="D4525"/>
    </row>
    <row r="4526" spans="4:4" x14ac:dyDescent="0.25">
      <c r="D4526"/>
    </row>
    <row r="4527" spans="4:4" x14ac:dyDescent="0.25">
      <c r="D4527"/>
    </row>
    <row r="4528" spans="4:4" x14ac:dyDescent="0.25">
      <c r="D4528"/>
    </row>
    <row r="4529" spans="4:4" x14ac:dyDescent="0.25">
      <c r="D4529"/>
    </row>
    <row r="4530" spans="4:4" x14ac:dyDescent="0.25">
      <c r="D4530"/>
    </row>
    <row r="4531" spans="4:4" x14ac:dyDescent="0.25">
      <c r="D4531"/>
    </row>
    <row r="4532" spans="4:4" x14ac:dyDescent="0.25">
      <c r="D4532"/>
    </row>
    <row r="4533" spans="4:4" x14ac:dyDescent="0.25">
      <c r="D4533"/>
    </row>
    <row r="4534" spans="4:4" x14ac:dyDescent="0.25">
      <c r="D4534"/>
    </row>
    <row r="4535" spans="4:4" x14ac:dyDescent="0.25">
      <c r="D4535"/>
    </row>
    <row r="4536" spans="4:4" x14ac:dyDescent="0.25">
      <c r="D4536"/>
    </row>
    <row r="4537" spans="4:4" x14ac:dyDescent="0.25">
      <c r="D4537"/>
    </row>
    <row r="4538" spans="4:4" x14ac:dyDescent="0.25">
      <c r="D4538"/>
    </row>
    <row r="4539" spans="4:4" x14ac:dyDescent="0.25">
      <c r="D4539"/>
    </row>
    <row r="4540" spans="4:4" x14ac:dyDescent="0.25">
      <c r="D4540"/>
    </row>
    <row r="4541" spans="4:4" x14ac:dyDescent="0.25">
      <c r="D4541"/>
    </row>
    <row r="4542" spans="4:4" x14ac:dyDescent="0.25">
      <c r="D4542"/>
    </row>
    <row r="4543" spans="4:4" x14ac:dyDescent="0.25">
      <c r="D4543"/>
    </row>
    <row r="4544" spans="4:4" x14ac:dyDescent="0.25">
      <c r="D4544"/>
    </row>
    <row r="4545" spans="4:4" x14ac:dyDescent="0.25">
      <c r="D4545"/>
    </row>
    <row r="4546" spans="4:4" x14ac:dyDescent="0.25">
      <c r="D4546"/>
    </row>
    <row r="4547" spans="4:4" x14ac:dyDescent="0.25">
      <c r="D4547"/>
    </row>
    <row r="4548" spans="4:4" x14ac:dyDescent="0.25">
      <c r="D4548"/>
    </row>
    <row r="4549" spans="4:4" x14ac:dyDescent="0.25">
      <c r="D4549"/>
    </row>
    <row r="4550" spans="4:4" x14ac:dyDescent="0.25">
      <c r="D4550"/>
    </row>
    <row r="4551" spans="4:4" x14ac:dyDescent="0.25">
      <c r="D4551"/>
    </row>
    <row r="4552" spans="4:4" x14ac:dyDescent="0.25">
      <c r="D4552"/>
    </row>
    <row r="4553" spans="4:4" x14ac:dyDescent="0.25">
      <c r="D4553"/>
    </row>
    <row r="4554" spans="4:4" x14ac:dyDescent="0.25">
      <c r="D4554"/>
    </row>
    <row r="4555" spans="4:4" x14ac:dyDescent="0.25">
      <c r="D4555"/>
    </row>
    <row r="4556" spans="4:4" x14ac:dyDescent="0.25">
      <c r="D4556"/>
    </row>
    <row r="4557" spans="4:4" x14ac:dyDescent="0.25">
      <c r="D4557"/>
    </row>
    <row r="4558" spans="4:4" x14ac:dyDescent="0.25">
      <c r="D4558"/>
    </row>
    <row r="4559" spans="4:4" x14ac:dyDescent="0.25">
      <c r="D4559"/>
    </row>
    <row r="4560" spans="4:4" x14ac:dyDescent="0.25">
      <c r="D4560"/>
    </row>
    <row r="4561" spans="4:4" x14ac:dyDescent="0.25">
      <c r="D4561"/>
    </row>
    <row r="4562" spans="4:4" x14ac:dyDescent="0.25">
      <c r="D4562"/>
    </row>
    <row r="4563" spans="4:4" x14ac:dyDescent="0.25">
      <c r="D4563"/>
    </row>
    <row r="4564" spans="4:4" x14ac:dyDescent="0.25">
      <c r="D4564"/>
    </row>
    <row r="4565" spans="4:4" x14ac:dyDescent="0.25">
      <c r="D4565"/>
    </row>
    <row r="4566" spans="4:4" x14ac:dyDescent="0.25">
      <c r="D4566"/>
    </row>
    <row r="4567" spans="4:4" x14ac:dyDescent="0.25">
      <c r="D4567"/>
    </row>
    <row r="4568" spans="4:4" x14ac:dyDescent="0.25">
      <c r="D4568"/>
    </row>
    <row r="4569" spans="4:4" x14ac:dyDescent="0.25">
      <c r="D4569"/>
    </row>
    <row r="4570" spans="4:4" x14ac:dyDescent="0.25">
      <c r="D4570"/>
    </row>
    <row r="4571" spans="4:4" x14ac:dyDescent="0.25">
      <c r="D4571"/>
    </row>
    <row r="4572" spans="4:4" x14ac:dyDescent="0.25">
      <c r="D4572"/>
    </row>
    <row r="4573" spans="4:4" x14ac:dyDescent="0.25">
      <c r="D4573"/>
    </row>
    <row r="4574" spans="4:4" x14ac:dyDescent="0.25">
      <c r="D4574"/>
    </row>
    <row r="4575" spans="4:4" x14ac:dyDescent="0.25">
      <c r="D4575"/>
    </row>
    <row r="4576" spans="4:4" x14ac:dyDescent="0.25">
      <c r="D4576"/>
    </row>
    <row r="4577" spans="4:4" x14ac:dyDescent="0.25">
      <c r="D4577"/>
    </row>
    <row r="4578" spans="4:4" x14ac:dyDescent="0.25">
      <c r="D4578"/>
    </row>
    <row r="4579" spans="4:4" x14ac:dyDescent="0.25">
      <c r="D4579"/>
    </row>
    <row r="4580" spans="4:4" x14ac:dyDescent="0.25">
      <c r="D4580"/>
    </row>
    <row r="4581" spans="4:4" x14ac:dyDescent="0.25">
      <c r="D4581"/>
    </row>
    <row r="4582" spans="4:4" x14ac:dyDescent="0.25">
      <c r="D4582"/>
    </row>
    <row r="4583" spans="4:4" x14ac:dyDescent="0.25">
      <c r="D4583"/>
    </row>
    <row r="4584" spans="4:4" x14ac:dyDescent="0.25">
      <c r="D4584"/>
    </row>
    <row r="4585" spans="4:4" x14ac:dyDescent="0.25">
      <c r="D4585"/>
    </row>
    <row r="4586" spans="4:4" x14ac:dyDescent="0.25">
      <c r="D4586"/>
    </row>
    <row r="4587" spans="4:4" x14ac:dyDescent="0.25">
      <c r="D4587"/>
    </row>
    <row r="4588" spans="4:4" x14ac:dyDescent="0.25">
      <c r="D4588"/>
    </row>
    <row r="4589" spans="4:4" x14ac:dyDescent="0.25">
      <c r="D4589"/>
    </row>
    <row r="4590" spans="4:4" x14ac:dyDescent="0.25">
      <c r="D4590"/>
    </row>
    <row r="4591" spans="4:4" x14ac:dyDescent="0.25">
      <c r="D4591"/>
    </row>
    <row r="4592" spans="4:4" x14ac:dyDescent="0.25">
      <c r="D4592"/>
    </row>
    <row r="4593" spans="4:4" x14ac:dyDescent="0.25">
      <c r="D4593"/>
    </row>
    <row r="4594" spans="4:4" x14ac:dyDescent="0.25">
      <c r="D4594"/>
    </row>
    <row r="4595" spans="4:4" x14ac:dyDescent="0.25">
      <c r="D4595"/>
    </row>
    <row r="4596" spans="4:4" x14ac:dyDescent="0.25">
      <c r="D4596"/>
    </row>
    <row r="4597" spans="4:4" x14ac:dyDescent="0.25">
      <c r="D4597"/>
    </row>
    <row r="4598" spans="4:4" x14ac:dyDescent="0.25">
      <c r="D4598"/>
    </row>
    <row r="4599" spans="4:4" x14ac:dyDescent="0.25">
      <c r="D4599"/>
    </row>
    <row r="4600" spans="4:4" x14ac:dyDescent="0.25">
      <c r="D4600"/>
    </row>
    <row r="4601" spans="4:4" x14ac:dyDescent="0.25">
      <c r="D4601"/>
    </row>
    <row r="4602" spans="4:4" x14ac:dyDescent="0.25">
      <c r="D4602"/>
    </row>
    <row r="4603" spans="4:4" x14ac:dyDescent="0.25">
      <c r="D4603"/>
    </row>
    <row r="4604" spans="4:4" x14ac:dyDescent="0.25">
      <c r="D4604"/>
    </row>
    <row r="4605" spans="4:4" x14ac:dyDescent="0.25">
      <c r="D4605"/>
    </row>
    <row r="4606" spans="4:4" x14ac:dyDescent="0.25">
      <c r="D4606"/>
    </row>
    <row r="4607" spans="4:4" x14ac:dyDescent="0.25">
      <c r="D4607"/>
    </row>
    <row r="4608" spans="4:4" x14ac:dyDescent="0.25">
      <c r="D4608"/>
    </row>
    <row r="4609" spans="4:4" x14ac:dyDescent="0.25">
      <c r="D4609"/>
    </row>
    <row r="4610" spans="4:4" x14ac:dyDescent="0.25">
      <c r="D4610"/>
    </row>
    <row r="4611" spans="4:4" x14ac:dyDescent="0.25">
      <c r="D4611"/>
    </row>
    <row r="4612" spans="4:4" x14ac:dyDescent="0.25">
      <c r="D4612"/>
    </row>
    <row r="4613" spans="4:4" x14ac:dyDescent="0.25">
      <c r="D4613"/>
    </row>
    <row r="4614" spans="4:4" x14ac:dyDescent="0.25">
      <c r="D4614"/>
    </row>
    <row r="4615" spans="4:4" x14ac:dyDescent="0.25">
      <c r="D4615"/>
    </row>
    <row r="4616" spans="4:4" x14ac:dyDescent="0.25">
      <c r="D4616"/>
    </row>
    <row r="4617" spans="4:4" x14ac:dyDescent="0.25">
      <c r="D4617"/>
    </row>
    <row r="4618" spans="4:4" x14ac:dyDescent="0.25">
      <c r="D4618"/>
    </row>
    <row r="4619" spans="4:4" x14ac:dyDescent="0.25">
      <c r="D4619"/>
    </row>
    <row r="4620" spans="4:4" x14ac:dyDescent="0.25">
      <c r="D4620"/>
    </row>
    <row r="4621" spans="4:4" x14ac:dyDescent="0.25">
      <c r="D4621"/>
    </row>
    <row r="4622" spans="4:4" x14ac:dyDescent="0.25">
      <c r="D4622"/>
    </row>
    <row r="4623" spans="4:4" x14ac:dyDescent="0.25">
      <c r="D4623"/>
    </row>
    <row r="4624" spans="4:4" x14ac:dyDescent="0.25">
      <c r="D4624"/>
    </row>
    <row r="4625" spans="4:4" x14ac:dyDescent="0.25">
      <c r="D4625"/>
    </row>
    <row r="4626" spans="4:4" x14ac:dyDescent="0.25">
      <c r="D4626"/>
    </row>
    <row r="4627" spans="4:4" x14ac:dyDescent="0.25">
      <c r="D4627"/>
    </row>
    <row r="4628" spans="4:4" x14ac:dyDescent="0.25">
      <c r="D4628"/>
    </row>
    <row r="4629" spans="4:4" x14ac:dyDescent="0.25">
      <c r="D4629"/>
    </row>
    <row r="4630" spans="4:4" x14ac:dyDescent="0.25">
      <c r="D4630"/>
    </row>
    <row r="4631" spans="4:4" x14ac:dyDescent="0.25">
      <c r="D4631"/>
    </row>
    <row r="4632" spans="4:4" x14ac:dyDescent="0.25">
      <c r="D4632"/>
    </row>
    <row r="4633" spans="4:4" x14ac:dyDescent="0.25">
      <c r="D4633"/>
    </row>
    <row r="4634" spans="4:4" x14ac:dyDescent="0.25">
      <c r="D4634"/>
    </row>
    <row r="4635" spans="4:4" x14ac:dyDescent="0.25">
      <c r="D4635"/>
    </row>
    <row r="4636" spans="4:4" x14ac:dyDescent="0.25">
      <c r="D4636"/>
    </row>
    <row r="4637" spans="4:4" x14ac:dyDescent="0.25">
      <c r="D4637"/>
    </row>
    <row r="4638" spans="4:4" x14ac:dyDescent="0.25">
      <c r="D4638"/>
    </row>
    <row r="4639" spans="4:4" x14ac:dyDescent="0.25">
      <c r="D4639"/>
    </row>
    <row r="4640" spans="4:4" x14ac:dyDescent="0.25">
      <c r="D4640"/>
    </row>
    <row r="4641" spans="4:4" x14ac:dyDescent="0.25">
      <c r="D4641"/>
    </row>
    <row r="4642" spans="4:4" x14ac:dyDescent="0.25">
      <c r="D4642"/>
    </row>
    <row r="4643" spans="4:4" x14ac:dyDescent="0.25">
      <c r="D4643"/>
    </row>
    <row r="4644" spans="4:4" x14ac:dyDescent="0.25">
      <c r="D4644"/>
    </row>
    <row r="4645" spans="4:4" x14ac:dyDescent="0.25">
      <c r="D4645"/>
    </row>
    <row r="4646" spans="4:4" x14ac:dyDescent="0.25">
      <c r="D4646"/>
    </row>
    <row r="4647" spans="4:4" x14ac:dyDescent="0.25">
      <c r="D4647"/>
    </row>
    <row r="4648" spans="4:4" x14ac:dyDescent="0.25">
      <c r="D4648"/>
    </row>
    <row r="4649" spans="4:4" x14ac:dyDescent="0.25">
      <c r="D4649"/>
    </row>
    <row r="4650" spans="4:4" x14ac:dyDescent="0.25">
      <c r="D4650"/>
    </row>
    <row r="4651" spans="4:4" x14ac:dyDescent="0.25">
      <c r="D4651"/>
    </row>
    <row r="4652" spans="4:4" x14ac:dyDescent="0.25">
      <c r="D4652"/>
    </row>
    <row r="4653" spans="4:4" x14ac:dyDescent="0.25">
      <c r="D4653"/>
    </row>
    <row r="4654" spans="4:4" x14ac:dyDescent="0.25">
      <c r="D4654"/>
    </row>
    <row r="4655" spans="4:4" x14ac:dyDescent="0.25">
      <c r="D4655"/>
    </row>
    <row r="4656" spans="4:4" x14ac:dyDescent="0.25">
      <c r="D4656"/>
    </row>
    <row r="4657" spans="4:4" x14ac:dyDescent="0.25">
      <c r="D4657"/>
    </row>
    <row r="4658" spans="4:4" x14ac:dyDescent="0.25">
      <c r="D4658"/>
    </row>
    <row r="4659" spans="4:4" x14ac:dyDescent="0.25">
      <c r="D4659"/>
    </row>
    <row r="4660" spans="4:4" x14ac:dyDescent="0.25">
      <c r="D4660"/>
    </row>
    <row r="4661" spans="4:4" x14ac:dyDescent="0.25">
      <c r="D4661"/>
    </row>
    <row r="4662" spans="4:4" x14ac:dyDescent="0.25">
      <c r="D4662"/>
    </row>
    <row r="4663" spans="4:4" x14ac:dyDescent="0.25">
      <c r="D4663"/>
    </row>
    <row r="4664" spans="4:4" x14ac:dyDescent="0.25">
      <c r="D4664"/>
    </row>
    <row r="4665" spans="4:4" x14ac:dyDescent="0.25">
      <c r="D4665"/>
    </row>
    <row r="4666" spans="4:4" x14ac:dyDescent="0.25">
      <c r="D4666"/>
    </row>
    <row r="4667" spans="4:4" x14ac:dyDescent="0.25">
      <c r="D4667"/>
    </row>
    <row r="4668" spans="4:4" x14ac:dyDescent="0.25">
      <c r="D4668"/>
    </row>
    <row r="4669" spans="4:4" x14ac:dyDescent="0.25">
      <c r="D4669"/>
    </row>
    <row r="4670" spans="4:4" x14ac:dyDescent="0.25">
      <c r="D4670"/>
    </row>
    <row r="4671" spans="4:4" x14ac:dyDescent="0.25">
      <c r="D4671"/>
    </row>
    <row r="4672" spans="4:4" x14ac:dyDescent="0.25">
      <c r="D4672"/>
    </row>
    <row r="4673" spans="4:4" x14ac:dyDescent="0.25">
      <c r="D4673"/>
    </row>
    <row r="4674" spans="4:4" x14ac:dyDescent="0.25">
      <c r="D4674"/>
    </row>
    <row r="4675" spans="4:4" x14ac:dyDescent="0.25">
      <c r="D4675"/>
    </row>
    <row r="4676" spans="4:4" x14ac:dyDescent="0.25">
      <c r="D4676"/>
    </row>
    <row r="4677" spans="4:4" x14ac:dyDescent="0.25">
      <c r="D4677"/>
    </row>
    <row r="4678" spans="4:4" x14ac:dyDescent="0.25">
      <c r="D4678"/>
    </row>
    <row r="4679" spans="4:4" x14ac:dyDescent="0.25">
      <c r="D4679"/>
    </row>
    <row r="4680" spans="4:4" x14ac:dyDescent="0.25">
      <c r="D4680"/>
    </row>
    <row r="4681" spans="4:4" x14ac:dyDescent="0.25">
      <c r="D4681"/>
    </row>
    <row r="4682" spans="4:4" x14ac:dyDescent="0.25">
      <c r="D4682"/>
    </row>
    <row r="4683" spans="4:4" x14ac:dyDescent="0.25">
      <c r="D4683"/>
    </row>
    <row r="4684" spans="4:4" x14ac:dyDescent="0.25">
      <c r="D4684"/>
    </row>
    <row r="4685" spans="4:4" x14ac:dyDescent="0.25">
      <c r="D4685"/>
    </row>
    <row r="4686" spans="4:4" x14ac:dyDescent="0.25">
      <c r="D4686"/>
    </row>
    <row r="4687" spans="4:4" x14ac:dyDescent="0.25">
      <c r="D4687"/>
    </row>
    <row r="4688" spans="4:4" x14ac:dyDescent="0.25">
      <c r="D4688"/>
    </row>
    <row r="4689" spans="4:4" x14ac:dyDescent="0.25">
      <c r="D4689"/>
    </row>
    <row r="4690" spans="4:4" x14ac:dyDescent="0.25">
      <c r="D4690"/>
    </row>
    <row r="4691" spans="4:4" x14ac:dyDescent="0.25">
      <c r="D4691"/>
    </row>
    <row r="4692" spans="4:4" x14ac:dyDescent="0.25">
      <c r="D4692"/>
    </row>
    <row r="4693" spans="4:4" x14ac:dyDescent="0.25">
      <c r="D4693"/>
    </row>
    <row r="4694" spans="4:4" x14ac:dyDescent="0.25">
      <c r="D4694"/>
    </row>
    <row r="4695" spans="4:4" x14ac:dyDescent="0.25">
      <c r="D4695"/>
    </row>
    <row r="4696" spans="4:4" x14ac:dyDescent="0.25">
      <c r="D4696"/>
    </row>
    <row r="4697" spans="4:4" x14ac:dyDescent="0.25">
      <c r="D4697"/>
    </row>
    <row r="4698" spans="4:4" x14ac:dyDescent="0.25">
      <c r="D4698"/>
    </row>
    <row r="4699" spans="4:4" x14ac:dyDescent="0.25">
      <c r="D4699"/>
    </row>
    <row r="4700" spans="4:4" x14ac:dyDescent="0.25">
      <c r="D4700"/>
    </row>
    <row r="4701" spans="4:4" x14ac:dyDescent="0.25">
      <c r="D4701"/>
    </row>
    <row r="4702" spans="4:4" x14ac:dyDescent="0.25">
      <c r="D4702"/>
    </row>
    <row r="4703" spans="4:4" x14ac:dyDescent="0.25">
      <c r="D4703"/>
    </row>
    <row r="4704" spans="4:4" x14ac:dyDescent="0.25">
      <c r="D4704"/>
    </row>
    <row r="4705" spans="4:4" x14ac:dyDescent="0.25">
      <c r="D4705"/>
    </row>
    <row r="4706" spans="4:4" x14ac:dyDescent="0.25">
      <c r="D4706"/>
    </row>
    <row r="4707" spans="4:4" x14ac:dyDescent="0.25">
      <c r="D4707"/>
    </row>
    <row r="4708" spans="4:4" x14ac:dyDescent="0.25">
      <c r="D4708"/>
    </row>
    <row r="4709" spans="4:4" x14ac:dyDescent="0.25">
      <c r="D4709"/>
    </row>
    <row r="4710" spans="4:4" x14ac:dyDescent="0.25">
      <c r="D4710"/>
    </row>
    <row r="4711" spans="4:4" x14ac:dyDescent="0.25">
      <c r="D4711"/>
    </row>
    <row r="4712" spans="4:4" x14ac:dyDescent="0.25">
      <c r="D4712"/>
    </row>
    <row r="4713" spans="4:4" x14ac:dyDescent="0.25">
      <c r="D4713"/>
    </row>
    <row r="4714" spans="4:4" x14ac:dyDescent="0.25">
      <c r="D4714"/>
    </row>
    <row r="4715" spans="4:4" x14ac:dyDescent="0.25">
      <c r="D4715"/>
    </row>
    <row r="4716" spans="4:4" x14ac:dyDescent="0.25">
      <c r="D4716"/>
    </row>
    <row r="4717" spans="4:4" x14ac:dyDescent="0.25">
      <c r="D4717"/>
    </row>
    <row r="4718" spans="4:4" x14ac:dyDescent="0.25">
      <c r="D4718"/>
    </row>
    <row r="4719" spans="4:4" x14ac:dyDescent="0.25">
      <c r="D4719"/>
    </row>
    <row r="4720" spans="4:4" x14ac:dyDescent="0.25">
      <c r="D4720"/>
    </row>
    <row r="4721" spans="4:4" x14ac:dyDescent="0.25">
      <c r="D4721"/>
    </row>
    <row r="4722" spans="4:4" x14ac:dyDescent="0.25">
      <c r="D4722"/>
    </row>
    <row r="4723" spans="4:4" x14ac:dyDescent="0.25">
      <c r="D4723"/>
    </row>
    <row r="4724" spans="4:4" x14ac:dyDescent="0.25">
      <c r="D4724"/>
    </row>
    <row r="4725" spans="4:4" x14ac:dyDescent="0.25">
      <c r="D4725"/>
    </row>
    <row r="4726" spans="4:4" x14ac:dyDescent="0.25">
      <c r="D4726"/>
    </row>
    <row r="4727" spans="4:4" x14ac:dyDescent="0.25">
      <c r="D4727"/>
    </row>
    <row r="4728" spans="4:4" x14ac:dyDescent="0.25">
      <c r="D4728"/>
    </row>
    <row r="4729" spans="4:4" x14ac:dyDescent="0.25">
      <c r="D4729"/>
    </row>
    <row r="4730" spans="4:4" x14ac:dyDescent="0.25">
      <c r="D4730"/>
    </row>
    <row r="4731" spans="4:4" x14ac:dyDescent="0.25">
      <c r="D4731"/>
    </row>
    <row r="4732" spans="4:4" x14ac:dyDescent="0.25">
      <c r="D4732"/>
    </row>
    <row r="4733" spans="4:4" x14ac:dyDescent="0.25">
      <c r="D4733"/>
    </row>
    <row r="4734" spans="4:4" x14ac:dyDescent="0.25">
      <c r="D4734"/>
    </row>
    <row r="4735" spans="4:4" x14ac:dyDescent="0.25">
      <c r="D4735"/>
    </row>
    <row r="4736" spans="4:4" x14ac:dyDescent="0.25">
      <c r="D4736"/>
    </row>
    <row r="4737" spans="4:4" x14ac:dyDescent="0.25">
      <c r="D4737"/>
    </row>
    <row r="4738" spans="4:4" x14ac:dyDescent="0.25">
      <c r="D4738"/>
    </row>
    <row r="4739" spans="4:4" x14ac:dyDescent="0.25">
      <c r="D4739"/>
    </row>
    <row r="4740" spans="4:4" x14ac:dyDescent="0.25">
      <c r="D4740"/>
    </row>
    <row r="4741" spans="4:4" x14ac:dyDescent="0.25">
      <c r="D4741"/>
    </row>
    <row r="4742" spans="4:4" x14ac:dyDescent="0.25">
      <c r="D4742"/>
    </row>
    <row r="4743" spans="4:4" x14ac:dyDescent="0.25">
      <c r="D4743"/>
    </row>
    <row r="4744" spans="4:4" x14ac:dyDescent="0.25">
      <c r="D4744"/>
    </row>
    <row r="4745" spans="4:4" x14ac:dyDescent="0.25">
      <c r="D4745"/>
    </row>
    <row r="4746" spans="4:4" x14ac:dyDescent="0.25">
      <c r="D4746"/>
    </row>
    <row r="4747" spans="4:4" x14ac:dyDescent="0.25">
      <c r="D4747"/>
    </row>
    <row r="4748" spans="4:4" x14ac:dyDescent="0.25">
      <c r="D4748"/>
    </row>
    <row r="4749" spans="4:4" x14ac:dyDescent="0.25">
      <c r="D4749"/>
    </row>
    <row r="4750" spans="4:4" x14ac:dyDescent="0.25">
      <c r="D4750"/>
    </row>
    <row r="4751" spans="4:4" x14ac:dyDescent="0.25">
      <c r="D4751"/>
    </row>
    <row r="4752" spans="4:4" x14ac:dyDescent="0.25">
      <c r="D4752"/>
    </row>
    <row r="4753" spans="4:4" x14ac:dyDescent="0.25">
      <c r="D4753"/>
    </row>
    <row r="4754" spans="4:4" x14ac:dyDescent="0.25">
      <c r="D4754"/>
    </row>
    <row r="4755" spans="4:4" x14ac:dyDescent="0.25">
      <c r="D4755"/>
    </row>
    <row r="4756" spans="4:4" x14ac:dyDescent="0.25">
      <c r="D4756"/>
    </row>
    <row r="4757" spans="4:4" x14ac:dyDescent="0.25">
      <c r="D4757"/>
    </row>
    <row r="4758" spans="4:4" x14ac:dyDescent="0.25">
      <c r="D4758"/>
    </row>
    <row r="4759" spans="4:4" x14ac:dyDescent="0.25">
      <c r="D4759"/>
    </row>
    <row r="4760" spans="4:4" x14ac:dyDescent="0.25">
      <c r="D4760"/>
    </row>
    <row r="4761" spans="4:4" x14ac:dyDescent="0.25">
      <c r="D4761"/>
    </row>
    <row r="4762" spans="4:4" x14ac:dyDescent="0.25">
      <c r="D4762"/>
    </row>
    <row r="4763" spans="4:4" x14ac:dyDescent="0.25">
      <c r="D4763"/>
    </row>
    <row r="4764" spans="4:4" x14ac:dyDescent="0.25">
      <c r="D4764"/>
    </row>
    <row r="4765" spans="4:4" x14ac:dyDescent="0.25">
      <c r="D4765"/>
    </row>
    <row r="4766" spans="4:4" x14ac:dyDescent="0.25">
      <c r="D4766"/>
    </row>
    <row r="4767" spans="4:4" x14ac:dyDescent="0.25">
      <c r="D4767"/>
    </row>
    <row r="4768" spans="4:4" x14ac:dyDescent="0.25">
      <c r="D4768"/>
    </row>
    <row r="4769" spans="4:4" x14ac:dyDescent="0.25">
      <c r="D4769"/>
    </row>
    <row r="4770" spans="4:4" x14ac:dyDescent="0.25">
      <c r="D4770"/>
    </row>
    <row r="4771" spans="4:4" x14ac:dyDescent="0.25">
      <c r="D4771"/>
    </row>
    <row r="4772" spans="4:4" x14ac:dyDescent="0.25">
      <c r="D4772"/>
    </row>
    <row r="4773" spans="4:4" x14ac:dyDescent="0.25">
      <c r="D4773"/>
    </row>
    <row r="4774" spans="4:4" x14ac:dyDescent="0.25">
      <c r="D4774"/>
    </row>
    <row r="4775" spans="4:4" x14ac:dyDescent="0.25">
      <c r="D4775"/>
    </row>
    <row r="4776" spans="4:4" x14ac:dyDescent="0.25">
      <c r="D4776"/>
    </row>
    <row r="4777" spans="4:4" x14ac:dyDescent="0.25">
      <c r="D4777"/>
    </row>
    <row r="4778" spans="4:4" x14ac:dyDescent="0.25">
      <c r="D4778"/>
    </row>
    <row r="4779" spans="4:4" x14ac:dyDescent="0.25">
      <c r="D4779"/>
    </row>
    <row r="4780" spans="4:4" x14ac:dyDescent="0.25">
      <c r="D4780"/>
    </row>
    <row r="4781" spans="4:4" x14ac:dyDescent="0.25">
      <c r="D4781"/>
    </row>
    <row r="4782" spans="4:4" x14ac:dyDescent="0.25">
      <c r="D4782"/>
    </row>
    <row r="4783" spans="4:4" x14ac:dyDescent="0.25">
      <c r="D4783"/>
    </row>
    <row r="4784" spans="4:4" x14ac:dyDescent="0.25">
      <c r="D4784"/>
    </row>
    <row r="4785" spans="4:4" x14ac:dyDescent="0.25">
      <c r="D4785"/>
    </row>
    <row r="4786" spans="4:4" x14ac:dyDescent="0.25">
      <c r="D4786"/>
    </row>
    <row r="4787" spans="4:4" x14ac:dyDescent="0.25">
      <c r="D4787"/>
    </row>
    <row r="4788" spans="4:4" x14ac:dyDescent="0.25">
      <c r="D4788"/>
    </row>
    <row r="4789" spans="4:4" x14ac:dyDescent="0.25">
      <c r="D4789"/>
    </row>
    <row r="4790" spans="4:4" x14ac:dyDescent="0.25">
      <c r="D4790"/>
    </row>
    <row r="4791" spans="4:4" x14ac:dyDescent="0.25">
      <c r="D4791"/>
    </row>
    <row r="4792" spans="4:4" x14ac:dyDescent="0.25">
      <c r="D4792"/>
    </row>
    <row r="4793" spans="4:4" x14ac:dyDescent="0.25">
      <c r="D4793"/>
    </row>
    <row r="4794" spans="4:4" x14ac:dyDescent="0.25">
      <c r="D4794"/>
    </row>
    <row r="4795" spans="4:4" x14ac:dyDescent="0.25">
      <c r="D4795"/>
    </row>
    <row r="4796" spans="4:4" x14ac:dyDescent="0.25">
      <c r="D4796"/>
    </row>
    <row r="4797" spans="4:4" x14ac:dyDescent="0.25">
      <c r="D4797"/>
    </row>
    <row r="4798" spans="4:4" x14ac:dyDescent="0.25">
      <c r="D4798"/>
    </row>
    <row r="4799" spans="4:4" x14ac:dyDescent="0.25">
      <c r="D4799"/>
    </row>
    <row r="4800" spans="4:4" x14ac:dyDescent="0.25">
      <c r="D4800"/>
    </row>
    <row r="4801" spans="4:4" x14ac:dyDescent="0.25">
      <c r="D4801"/>
    </row>
    <row r="4802" spans="4:4" x14ac:dyDescent="0.25">
      <c r="D4802"/>
    </row>
    <row r="4803" spans="4:4" x14ac:dyDescent="0.25">
      <c r="D4803"/>
    </row>
    <row r="4804" spans="4:4" x14ac:dyDescent="0.25">
      <c r="D4804"/>
    </row>
    <row r="4805" spans="4:4" x14ac:dyDescent="0.25">
      <c r="D4805"/>
    </row>
    <row r="4806" spans="4:4" x14ac:dyDescent="0.25">
      <c r="D4806"/>
    </row>
    <row r="4807" spans="4:4" x14ac:dyDescent="0.25">
      <c r="D4807"/>
    </row>
    <row r="4808" spans="4:4" x14ac:dyDescent="0.25">
      <c r="D4808"/>
    </row>
    <row r="4809" spans="4:4" x14ac:dyDescent="0.25">
      <c r="D4809"/>
    </row>
    <row r="4810" spans="4:4" x14ac:dyDescent="0.25">
      <c r="D4810"/>
    </row>
    <row r="4811" spans="4:4" x14ac:dyDescent="0.25">
      <c r="D4811"/>
    </row>
    <row r="4812" spans="4:4" x14ac:dyDescent="0.25">
      <c r="D4812"/>
    </row>
    <row r="4813" spans="4:4" x14ac:dyDescent="0.25">
      <c r="D4813"/>
    </row>
    <row r="4814" spans="4:4" x14ac:dyDescent="0.25">
      <c r="D4814"/>
    </row>
    <row r="4815" spans="4:4" x14ac:dyDescent="0.25">
      <c r="D4815"/>
    </row>
    <row r="4816" spans="4:4" x14ac:dyDescent="0.25">
      <c r="D4816"/>
    </row>
    <row r="4817" spans="4:4" x14ac:dyDescent="0.25">
      <c r="D4817"/>
    </row>
    <row r="4818" spans="4:4" x14ac:dyDescent="0.25">
      <c r="D4818"/>
    </row>
    <row r="4819" spans="4:4" x14ac:dyDescent="0.25">
      <c r="D4819"/>
    </row>
    <row r="4820" spans="4:4" x14ac:dyDescent="0.25">
      <c r="D4820"/>
    </row>
    <row r="4821" spans="4:4" x14ac:dyDescent="0.25">
      <c r="D4821"/>
    </row>
    <row r="4822" spans="4:4" x14ac:dyDescent="0.25">
      <c r="D4822"/>
    </row>
    <row r="4823" spans="4:4" x14ac:dyDescent="0.25">
      <c r="D4823"/>
    </row>
    <row r="4824" spans="4:4" x14ac:dyDescent="0.25">
      <c r="D4824"/>
    </row>
    <row r="4825" spans="4:4" x14ac:dyDescent="0.25">
      <c r="D4825"/>
    </row>
    <row r="4826" spans="4:4" x14ac:dyDescent="0.25">
      <c r="D4826"/>
    </row>
    <row r="4827" spans="4:4" x14ac:dyDescent="0.25">
      <c r="D4827"/>
    </row>
    <row r="4828" spans="4:4" x14ac:dyDescent="0.25">
      <c r="D4828"/>
    </row>
    <row r="4829" spans="4:4" x14ac:dyDescent="0.25">
      <c r="D4829"/>
    </row>
    <row r="4830" spans="4:4" x14ac:dyDescent="0.25">
      <c r="D4830"/>
    </row>
    <row r="4831" spans="4:4" x14ac:dyDescent="0.25">
      <c r="D4831"/>
    </row>
    <row r="4832" spans="4:4" x14ac:dyDescent="0.25">
      <c r="D4832"/>
    </row>
    <row r="4833" spans="4:4" x14ac:dyDescent="0.25">
      <c r="D4833"/>
    </row>
    <row r="4834" spans="4:4" x14ac:dyDescent="0.25">
      <c r="D4834"/>
    </row>
    <row r="4835" spans="4:4" x14ac:dyDescent="0.25">
      <c r="D4835"/>
    </row>
    <row r="4836" spans="4:4" x14ac:dyDescent="0.25">
      <c r="D4836"/>
    </row>
    <row r="4837" spans="4:4" x14ac:dyDescent="0.25">
      <c r="D4837"/>
    </row>
    <row r="4838" spans="4:4" x14ac:dyDescent="0.25">
      <c r="D4838"/>
    </row>
    <row r="4839" spans="4:4" x14ac:dyDescent="0.25">
      <c r="D4839"/>
    </row>
    <row r="4840" spans="4:4" x14ac:dyDescent="0.25">
      <c r="D4840"/>
    </row>
    <row r="4841" spans="4:4" x14ac:dyDescent="0.25">
      <c r="D4841"/>
    </row>
    <row r="4842" spans="4:4" x14ac:dyDescent="0.25">
      <c r="D4842"/>
    </row>
    <row r="4843" spans="4:4" x14ac:dyDescent="0.25">
      <c r="D4843"/>
    </row>
    <row r="4844" spans="4:4" x14ac:dyDescent="0.25">
      <c r="D4844"/>
    </row>
    <row r="4845" spans="4:4" x14ac:dyDescent="0.25">
      <c r="D4845"/>
    </row>
    <row r="4846" spans="4:4" x14ac:dyDescent="0.25">
      <c r="D4846"/>
    </row>
    <row r="4847" spans="4:4" x14ac:dyDescent="0.25">
      <c r="D4847"/>
    </row>
    <row r="4848" spans="4:4" x14ac:dyDescent="0.25">
      <c r="D4848"/>
    </row>
    <row r="4849" spans="4:4" x14ac:dyDescent="0.25">
      <c r="D4849"/>
    </row>
    <row r="4850" spans="4:4" x14ac:dyDescent="0.25">
      <c r="D4850"/>
    </row>
    <row r="4851" spans="4:4" x14ac:dyDescent="0.25">
      <c r="D4851"/>
    </row>
    <row r="4852" spans="4:4" x14ac:dyDescent="0.25">
      <c r="D4852"/>
    </row>
    <row r="4853" spans="4:4" x14ac:dyDescent="0.25">
      <c r="D4853"/>
    </row>
    <row r="4854" spans="4:4" x14ac:dyDescent="0.25">
      <c r="D4854"/>
    </row>
    <row r="4855" spans="4:4" x14ac:dyDescent="0.25">
      <c r="D4855"/>
    </row>
    <row r="4856" spans="4:4" x14ac:dyDescent="0.25">
      <c r="D4856"/>
    </row>
    <row r="4857" spans="4:4" x14ac:dyDescent="0.25">
      <c r="D4857"/>
    </row>
    <row r="4858" spans="4:4" x14ac:dyDescent="0.25">
      <c r="D4858"/>
    </row>
    <row r="4859" spans="4:4" x14ac:dyDescent="0.25">
      <c r="D4859"/>
    </row>
    <row r="4860" spans="4:4" x14ac:dyDescent="0.25">
      <c r="D4860"/>
    </row>
    <row r="4861" spans="4:4" x14ac:dyDescent="0.25">
      <c r="D4861"/>
    </row>
    <row r="4862" spans="4:4" x14ac:dyDescent="0.25">
      <c r="D4862"/>
    </row>
    <row r="4863" spans="4:4" x14ac:dyDescent="0.25">
      <c r="D4863"/>
    </row>
    <row r="4864" spans="4:4" x14ac:dyDescent="0.25">
      <c r="D4864"/>
    </row>
    <row r="4865" spans="4:4" x14ac:dyDescent="0.25">
      <c r="D4865"/>
    </row>
    <row r="4866" spans="4:4" x14ac:dyDescent="0.25">
      <c r="D4866"/>
    </row>
    <row r="4867" spans="4:4" x14ac:dyDescent="0.25">
      <c r="D4867"/>
    </row>
    <row r="4868" spans="4:4" x14ac:dyDescent="0.25">
      <c r="D4868"/>
    </row>
    <row r="4869" spans="4:4" x14ac:dyDescent="0.25">
      <c r="D4869"/>
    </row>
    <row r="4870" spans="4:4" x14ac:dyDescent="0.25">
      <c r="D4870"/>
    </row>
    <row r="4871" spans="4:4" x14ac:dyDescent="0.25">
      <c r="D4871"/>
    </row>
    <row r="4872" spans="4:4" x14ac:dyDescent="0.25">
      <c r="D4872"/>
    </row>
    <row r="4873" spans="4:4" x14ac:dyDescent="0.25">
      <c r="D4873"/>
    </row>
    <row r="4874" spans="4:4" x14ac:dyDescent="0.25">
      <c r="D4874"/>
    </row>
    <row r="4875" spans="4:4" x14ac:dyDescent="0.25">
      <c r="D4875"/>
    </row>
    <row r="4876" spans="4:4" x14ac:dyDescent="0.25">
      <c r="D4876"/>
    </row>
    <row r="4877" spans="4:4" x14ac:dyDescent="0.25">
      <c r="D4877"/>
    </row>
    <row r="4878" spans="4:4" x14ac:dyDescent="0.25">
      <c r="D4878"/>
    </row>
    <row r="4879" spans="4:4" x14ac:dyDescent="0.25">
      <c r="D4879"/>
    </row>
    <row r="4880" spans="4:4" x14ac:dyDescent="0.25">
      <c r="D4880"/>
    </row>
    <row r="4881" spans="4:4" x14ac:dyDescent="0.25">
      <c r="D4881"/>
    </row>
    <row r="4882" spans="4:4" x14ac:dyDescent="0.25">
      <c r="D4882"/>
    </row>
    <row r="4883" spans="4:4" x14ac:dyDescent="0.25">
      <c r="D4883"/>
    </row>
    <row r="4884" spans="4:4" x14ac:dyDescent="0.25">
      <c r="D4884"/>
    </row>
    <row r="4885" spans="4:4" x14ac:dyDescent="0.25">
      <c r="D4885"/>
    </row>
    <row r="4886" spans="4:4" x14ac:dyDescent="0.25">
      <c r="D4886"/>
    </row>
    <row r="4887" spans="4:4" x14ac:dyDescent="0.25">
      <c r="D4887"/>
    </row>
    <row r="4888" spans="4:4" x14ac:dyDescent="0.25">
      <c r="D4888"/>
    </row>
    <row r="4889" spans="4:4" x14ac:dyDescent="0.25">
      <c r="D4889"/>
    </row>
    <row r="4890" spans="4:4" x14ac:dyDescent="0.25">
      <c r="D4890"/>
    </row>
    <row r="4891" spans="4:4" x14ac:dyDescent="0.25">
      <c r="D4891"/>
    </row>
    <row r="4892" spans="4:4" x14ac:dyDescent="0.25">
      <c r="D4892"/>
    </row>
    <row r="4893" spans="4:4" x14ac:dyDescent="0.25">
      <c r="D4893"/>
    </row>
    <row r="4894" spans="4:4" x14ac:dyDescent="0.25">
      <c r="D4894"/>
    </row>
    <row r="4895" spans="4:4" x14ac:dyDescent="0.25">
      <c r="D4895"/>
    </row>
    <row r="4896" spans="4:4" x14ac:dyDescent="0.25">
      <c r="D4896"/>
    </row>
    <row r="4897" spans="4:4" x14ac:dyDescent="0.25">
      <c r="D4897"/>
    </row>
    <row r="4898" spans="4:4" x14ac:dyDescent="0.25">
      <c r="D4898"/>
    </row>
    <row r="4899" spans="4:4" x14ac:dyDescent="0.25">
      <c r="D4899"/>
    </row>
    <row r="4900" spans="4:4" x14ac:dyDescent="0.25">
      <c r="D4900"/>
    </row>
    <row r="4901" spans="4:4" x14ac:dyDescent="0.25">
      <c r="D4901"/>
    </row>
    <row r="4902" spans="4:4" x14ac:dyDescent="0.25">
      <c r="D4902"/>
    </row>
    <row r="4903" spans="4:4" x14ac:dyDescent="0.25">
      <c r="D4903"/>
    </row>
    <row r="4904" spans="4:4" x14ac:dyDescent="0.25">
      <c r="D4904"/>
    </row>
    <row r="4905" spans="4:4" x14ac:dyDescent="0.25">
      <c r="D4905"/>
    </row>
    <row r="4906" spans="4:4" x14ac:dyDescent="0.25">
      <c r="D4906"/>
    </row>
    <row r="4907" spans="4:4" x14ac:dyDescent="0.25">
      <c r="D4907"/>
    </row>
    <row r="4908" spans="4:4" x14ac:dyDescent="0.25">
      <c r="D4908"/>
    </row>
    <row r="4909" spans="4:4" x14ac:dyDescent="0.25">
      <c r="D4909"/>
    </row>
    <row r="4910" spans="4:4" x14ac:dyDescent="0.25">
      <c r="D4910"/>
    </row>
    <row r="4911" spans="4:4" x14ac:dyDescent="0.25">
      <c r="D4911"/>
    </row>
    <row r="4912" spans="4:4" x14ac:dyDescent="0.25">
      <c r="D4912"/>
    </row>
    <row r="4913" spans="4:4" x14ac:dyDescent="0.25">
      <c r="D4913"/>
    </row>
    <row r="4914" spans="4:4" x14ac:dyDescent="0.25">
      <c r="D4914"/>
    </row>
    <row r="4915" spans="4:4" x14ac:dyDescent="0.25">
      <c r="D4915"/>
    </row>
    <row r="4916" spans="4:4" x14ac:dyDescent="0.25">
      <c r="D4916"/>
    </row>
    <row r="4917" spans="4:4" x14ac:dyDescent="0.25">
      <c r="D4917"/>
    </row>
    <row r="4918" spans="4:4" x14ac:dyDescent="0.25">
      <c r="D4918"/>
    </row>
    <row r="4919" spans="4:4" x14ac:dyDescent="0.25">
      <c r="D4919"/>
    </row>
    <row r="4920" spans="4:4" x14ac:dyDescent="0.25">
      <c r="D4920"/>
    </row>
    <row r="4921" spans="4:4" x14ac:dyDescent="0.25">
      <c r="D4921"/>
    </row>
    <row r="4922" spans="4:4" x14ac:dyDescent="0.25">
      <c r="D4922"/>
    </row>
    <row r="4923" spans="4:4" x14ac:dyDescent="0.25">
      <c r="D4923"/>
    </row>
    <row r="4924" spans="4:4" x14ac:dyDescent="0.25">
      <c r="D4924"/>
    </row>
    <row r="4925" spans="4:4" x14ac:dyDescent="0.25">
      <c r="D4925"/>
    </row>
    <row r="4926" spans="4:4" x14ac:dyDescent="0.25">
      <c r="D4926"/>
    </row>
    <row r="4927" spans="4:4" x14ac:dyDescent="0.25">
      <c r="D4927"/>
    </row>
    <row r="4928" spans="4:4" x14ac:dyDescent="0.25">
      <c r="D4928"/>
    </row>
    <row r="4929" spans="4:4" x14ac:dyDescent="0.25">
      <c r="D4929"/>
    </row>
    <row r="4930" spans="4:4" x14ac:dyDescent="0.25">
      <c r="D4930"/>
    </row>
    <row r="4931" spans="4:4" x14ac:dyDescent="0.25">
      <c r="D4931"/>
    </row>
    <row r="4932" spans="4:4" x14ac:dyDescent="0.25">
      <c r="D4932"/>
    </row>
    <row r="4933" spans="4:4" x14ac:dyDescent="0.25">
      <c r="D4933"/>
    </row>
    <row r="4934" spans="4:4" x14ac:dyDescent="0.25">
      <c r="D4934"/>
    </row>
    <row r="4935" spans="4:4" x14ac:dyDescent="0.25">
      <c r="D4935"/>
    </row>
    <row r="4936" spans="4:4" x14ac:dyDescent="0.25">
      <c r="D4936"/>
    </row>
    <row r="4937" spans="4:4" x14ac:dyDescent="0.25">
      <c r="D4937"/>
    </row>
    <row r="4938" spans="4:4" x14ac:dyDescent="0.25">
      <c r="D4938"/>
    </row>
    <row r="4939" spans="4:4" x14ac:dyDescent="0.25">
      <c r="D4939"/>
    </row>
    <row r="4940" spans="4:4" x14ac:dyDescent="0.25">
      <c r="D4940"/>
    </row>
    <row r="4941" spans="4:4" x14ac:dyDescent="0.25">
      <c r="D4941"/>
    </row>
    <row r="4942" spans="4:4" x14ac:dyDescent="0.25">
      <c r="D4942"/>
    </row>
    <row r="4943" spans="4:4" x14ac:dyDescent="0.25">
      <c r="D4943"/>
    </row>
    <row r="4944" spans="4:4" x14ac:dyDescent="0.25">
      <c r="D4944"/>
    </row>
    <row r="4945" spans="4:4" x14ac:dyDescent="0.25">
      <c r="D4945"/>
    </row>
    <row r="4946" spans="4:4" x14ac:dyDescent="0.25">
      <c r="D4946"/>
    </row>
    <row r="4947" spans="4:4" x14ac:dyDescent="0.25">
      <c r="D4947"/>
    </row>
    <row r="4948" spans="4:4" x14ac:dyDescent="0.25">
      <c r="D4948"/>
    </row>
    <row r="4949" spans="4:4" x14ac:dyDescent="0.25">
      <c r="D4949"/>
    </row>
    <row r="4950" spans="4:4" x14ac:dyDescent="0.25">
      <c r="D4950"/>
    </row>
    <row r="4951" spans="4:4" x14ac:dyDescent="0.25">
      <c r="D4951"/>
    </row>
    <row r="4952" spans="4:4" x14ac:dyDescent="0.25">
      <c r="D4952"/>
    </row>
    <row r="4953" spans="4:4" x14ac:dyDescent="0.25">
      <c r="D4953"/>
    </row>
    <row r="4954" spans="4:4" x14ac:dyDescent="0.25">
      <c r="D4954"/>
    </row>
    <row r="4955" spans="4:4" x14ac:dyDescent="0.25">
      <c r="D4955"/>
    </row>
    <row r="4956" spans="4:4" x14ac:dyDescent="0.25">
      <c r="D4956"/>
    </row>
    <row r="4957" spans="4:4" x14ac:dyDescent="0.25">
      <c r="D4957"/>
    </row>
    <row r="4958" spans="4:4" x14ac:dyDescent="0.25">
      <c r="D4958"/>
    </row>
    <row r="4959" spans="4:4" x14ac:dyDescent="0.25">
      <c r="D4959"/>
    </row>
    <row r="4960" spans="4:4" x14ac:dyDescent="0.25">
      <c r="D4960"/>
    </row>
    <row r="4961" spans="4:4" x14ac:dyDescent="0.25">
      <c r="D4961"/>
    </row>
    <row r="4962" spans="4:4" x14ac:dyDescent="0.25">
      <c r="D4962"/>
    </row>
    <row r="4963" spans="4:4" x14ac:dyDescent="0.25">
      <c r="D4963"/>
    </row>
    <row r="4964" spans="4:4" x14ac:dyDescent="0.25">
      <c r="D4964"/>
    </row>
    <row r="4965" spans="4:4" x14ac:dyDescent="0.25">
      <c r="D4965"/>
    </row>
    <row r="4966" spans="4:4" x14ac:dyDescent="0.25">
      <c r="D4966"/>
    </row>
    <row r="4967" spans="4:4" x14ac:dyDescent="0.25">
      <c r="D4967"/>
    </row>
    <row r="4968" spans="4:4" x14ac:dyDescent="0.25">
      <c r="D4968"/>
    </row>
    <row r="4969" spans="4:4" x14ac:dyDescent="0.25">
      <c r="D4969"/>
    </row>
    <row r="4970" spans="4:4" x14ac:dyDescent="0.25">
      <c r="D4970"/>
    </row>
    <row r="4971" spans="4:4" x14ac:dyDescent="0.25">
      <c r="D4971"/>
    </row>
    <row r="4972" spans="4:4" x14ac:dyDescent="0.25">
      <c r="D4972"/>
    </row>
    <row r="4973" spans="4:4" x14ac:dyDescent="0.25">
      <c r="D4973"/>
    </row>
    <row r="4974" spans="4:4" x14ac:dyDescent="0.25">
      <c r="D4974"/>
    </row>
    <row r="4975" spans="4:4" x14ac:dyDescent="0.25">
      <c r="D4975"/>
    </row>
    <row r="4976" spans="4:4" x14ac:dyDescent="0.25">
      <c r="D4976"/>
    </row>
    <row r="4977" spans="4:4" x14ac:dyDescent="0.25">
      <c r="D4977"/>
    </row>
    <row r="4978" spans="4:4" x14ac:dyDescent="0.25">
      <c r="D4978"/>
    </row>
    <row r="4979" spans="4:4" x14ac:dyDescent="0.25">
      <c r="D4979"/>
    </row>
    <row r="4980" spans="4:4" x14ac:dyDescent="0.25">
      <c r="D4980"/>
    </row>
    <row r="4981" spans="4:4" x14ac:dyDescent="0.25">
      <c r="D4981"/>
    </row>
    <row r="4982" spans="4:4" x14ac:dyDescent="0.25">
      <c r="D4982"/>
    </row>
    <row r="4983" spans="4:4" x14ac:dyDescent="0.25">
      <c r="D4983"/>
    </row>
    <row r="4984" spans="4:4" x14ac:dyDescent="0.25">
      <c r="D4984"/>
    </row>
    <row r="4985" spans="4:4" x14ac:dyDescent="0.25">
      <c r="D4985"/>
    </row>
    <row r="4986" spans="4:4" x14ac:dyDescent="0.25">
      <c r="D4986"/>
    </row>
    <row r="4987" spans="4:4" x14ac:dyDescent="0.25">
      <c r="D4987"/>
    </row>
    <row r="4988" spans="4:4" x14ac:dyDescent="0.25">
      <c r="D4988"/>
    </row>
    <row r="4989" spans="4:4" x14ac:dyDescent="0.25">
      <c r="D4989"/>
    </row>
    <row r="4990" spans="4:4" x14ac:dyDescent="0.25">
      <c r="D4990"/>
    </row>
    <row r="4991" spans="4:4" x14ac:dyDescent="0.25">
      <c r="D4991"/>
    </row>
    <row r="4992" spans="4:4" x14ac:dyDescent="0.25">
      <c r="D4992"/>
    </row>
    <row r="4993" spans="4:4" x14ac:dyDescent="0.25">
      <c r="D4993"/>
    </row>
    <row r="4994" spans="4:4" x14ac:dyDescent="0.25">
      <c r="D4994"/>
    </row>
    <row r="4995" spans="4:4" x14ac:dyDescent="0.25">
      <c r="D4995"/>
    </row>
    <row r="4996" spans="4:4" x14ac:dyDescent="0.25">
      <c r="D4996"/>
    </row>
    <row r="4997" spans="4:4" x14ac:dyDescent="0.25">
      <c r="D4997"/>
    </row>
    <row r="4998" spans="4:4" x14ac:dyDescent="0.25">
      <c r="D4998"/>
    </row>
    <row r="4999" spans="4:4" x14ac:dyDescent="0.25">
      <c r="D4999"/>
    </row>
    <row r="5000" spans="4:4" x14ac:dyDescent="0.25">
      <c r="D5000"/>
    </row>
    <row r="5001" spans="4:4" x14ac:dyDescent="0.25">
      <c r="D5001"/>
    </row>
    <row r="5002" spans="4:4" x14ac:dyDescent="0.25">
      <c r="D5002"/>
    </row>
    <row r="5003" spans="4:4" x14ac:dyDescent="0.25">
      <c r="D5003"/>
    </row>
    <row r="5004" spans="4:4" x14ac:dyDescent="0.25">
      <c r="D5004"/>
    </row>
    <row r="5005" spans="4:4" x14ac:dyDescent="0.25">
      <c r="D5005"/>
    </row>
    <row r="5006" spans="4:4" x14ac:dyDescent="0.25">
      <c r="D5006"/>
    </row>
    <row r="5007" spans="4:4" x14ac:dyDescent="0.25">
      <c r="D5007"/>
    </row>
    <row r="5008" spans="4:4" x14ac:dyDescent="0.25">
      <c r="D5008"/>
    </row>
    <row r="5009" spans="4:4" x14ac:dyDescent="0.25">
      <c r="D5009"/>
    </row>
    <row r="5010" spans="4:4" x14ac:dyDescent="0.25">
      <c r="D5010"/>
    </row>
    <row r="5011" spans="4:4" x14ac:dyDescent="0.25">
      <c r="D5011"/>
    </row>
    <row r="5012" spans="4:4" x14ac:dyDescent="0.25">
      <c r="D5012"/>
    </row>
    <row r="5013" spans="4:4" x14ac:dyDescent="0.25">
      <c r="D5013"/>
    </row>
    <row r="5014" spans="4:4" x14ac:dyDescent="0.25">
      <c r="D5014"/>
    </row>
    <row r="5015" spans="4:4" x14ac:dyDescent="0.25">
      <c r="D5015"/>
    </row>
    <row r="5016" spans="4:4" x14ac:dyDescent="0.25">
      <c r="D5016"/>
    </row>
    <row r="5017" spans="4:4" x14ac:dyDescent="0.25">
      <c r="D5017"/>
    </row>
    <row r="5018" spans="4:4" x14ac:dyDescent="0.25">
      <c r="D5018"/>
    </row>
    <row r="5019" spans="4:4" x14ac:dyDescent="0.25">
      <c r="D5019"/>
    </row>
    <row r="5020" spans="4:4" x14ac:dyDescent="0.25">
      <c r="D5020"/>
    </row>
    <row r="5021" spans="4:4" x14ac:dyDescent="0.25">
      <c r="D5021"/>
    </row>
    <row r="5022" spans="4:4" x14ac:dyDescent="0.25">
      <c r="D5022"/>
    </row>
    <row r="5023" spans="4:4" x14ac:dyDescent="0.25">
      <c r="D5023"/>
    </row>
    <row r="5024" spans="4:4" x14ac:dyDescent="0.25">
      <c r="D5024"/>
    </row>
    <row r="5025" spans="4:4" x14ac:dyDescent="0.25">
      <c r="D5025"/>
    </row>
    <row r="5026" spans="4:4" x14ac:dyDescent="0.25">
      <c r="D5026"/>
    </row>
    <row r="5027" spans="4:4" x14ac:dyDescent="0.25">
      <c r="D5027"/>
    </row>
    <row r="5028" spans="4:4" x14ac:dyDescent="0.25">
      <c r="D5028"/>
    </row>
    <row r="5029" spans="4:4" x14ac:dyDescent="0.25">
      <c r="D5029"/>
    </row>
    <row r="5030" spans="4:4" x14ac:dyDescent="0.25">
      <c r="D5030"/>
    </row>
    <row r="5031" spans="4:4" x14ac:dyDescent="0.25">
      <c r="D5031"/>
    </row>
    <row r="5032" spans="4:4" x14ac:dyDescent="0.25">
      <c r="D5032"/>
    </row>
    <row r="5033" spans="4:4" x14ac:dyDescent="0.25">
      <c r="D5033"/>
    </row>
    <row r="5034" spans="4:4" x14ac:dyDescent="0.25">
      <c r="D5034"/>
    </row>
    <row r="5035" spans="4:4" x14ac:dyDescent="0.25">
      <c r="D5035"/>
    </row>
    <row r="5036" spans="4:4" x14ac:dyDescent="0.25">
      <c r="D5036"/>
    </row>
    <row r="5037" spans="4:4" x14ac:dyDescent="0.25">
      <c r="D5037"/>
    </row>
    <row r="5038" spans="4:4" x14ac:dyDescent="0.25">
      <c r="D5038"/>
    </row>
    <row r="5039" spans="4:4" x14ac:dyDescent="0.25">
      <c r="D5039"/>
    </row>
    <row r="5040" spans="4:4" x14ac:dyDescent="0.25">
      <c r="D5040"/>
    </row>
    <row r="5041" spans="4:4" x14ac:dyDescent="0.25">
      <c r="D5041"/>
    </row>
    <row r="5042" spans="4:4" x14ac:dyDescent="0.25">
      <c r="D5042"/>
    </row>
    <row r="5043" spans="4:4" x14ac:dyDescent="0.25">
      <c r="D5043"/>
    </row>
    <row r="5044" spans="4:4" x14ac:dyDescent="0.25">
      <c r="D5044"/>
    </row>
    <row r="5045" spans="4:4" x14ac:dyDescent="0.25">
      <c r="D5045"/>
    </row>
    <row r="5046" spans="4:4" x14ac:dyDescent="0.25">
      <c r="D5046"/>
    </row>
    <row r="5047" spans="4:4" x14ac:dyDescent="0.25">
      <c r="D5047"/>
    </row>
    <row r="5048" spans="4:4" x14ac:dyDescent="0.25">
      <c r="D5048"/>
    </row>
    <row r="5049" spans="4:4" x14ac:dyDescent="0.25">
      <c r="D5049"/>
    </row>
    <row r="5050" spans="4:4" x14ac:dyDescent="0.25">
      <c r="D5050"/>
    </row>
    <row r="5051" spans="4:4" x14ac:dyDescent="0.25">
      <c r="D5051"/>
    </row>
    <row r="5052" spans="4:4" x14ac:dyDescent="0.25">
      <c r="D5052"/>
    </row>
    <row r="5053" spans="4:4" x14ac:dyDescent="0.25">
      <c r="D5053"/>
    </row>
    <row r="5054" spans="4:4" x14ac:dyDescent="0.25">
      <c r="D5054"/>
    </row>
    <row r="5055" spans="4:4" x14ac:dyDescent="0.25">
      <c r="D5055"/>
    </row>
    <row r="5056" spans="4:4" x14ac:dyDescent="0.25">
      <c r="D5056"/>
    </row>
    <row r="5057" spans="4:4" x14ac:dyDescent="0.25">
      <c r="D5057"/>
    </row>
    <row r="5058" spans="4:4" x14ac:dyDescent="0.25">
      <c r="D5058"/>
    </row>
    <row r="5059" spans="4:4" x14ac:dyDescent="0.25">
      <c r="D5059"/>
    </row>
    <row r="5060" spans="4:4" x14ac:dyDescent="0.25">
      <c r="D5060"/>
    </row>
    <row r="5061" spans="4:4" x14ac:dyDescent="0.25">
      <c r="D5061"/>
    </row>
    <row r="5062" spans="4:4" x14ac:dyDescent="0.25">
      <c r="D5062"/>
    </row>
    <row r="5063" spans="4:4" x14ac:dyDescent="0.25">
      <c r="D5063"/>
    </row>
    <row r="5064" spans="4:4" x14ac:dyDescent="0.25">
      <c r="D5064"/>
    </row>
    <row r="5065" spans="4:4" x14ac:dyDescent="0.25">
      <c r="D5065"/>
    </row>
    <row r="5066" spans="4:4" x14ac:dyDescent="0.25">
      <c r="D5066"/>
    </row>
    <row r="5067" spans="4:4" x14ac:dyDescent="0.25">
      <c r="D5067"/>
    </row>
    <row r="5068" spans="4:4" x14ac:dyDescent="0.25">
      <c r="D5068"/>
    </row>
    <row r="5069" spans="4:4" x14ac:dyDescent="0.25">
      <c r="D5069"/>
    </row>
    <row r="5070" spans="4:4" x14ac:dyDescent="0.25">
      <c r="D5070"/>
    </row>
    <row r="5071" spans="4:4" x14ac:dyDescent="0.25">
      <c r="D5071"/>
    </row>
    <row r="5072" spans="4:4" x14ac:dyDescent="0.25">
      <c r="D5072"/>
    </row>
    <row r="5073" spans="4:4" x14ac:dyDescent="0.25">
      <c r="D5073"/>
    </row>
    <row r="5074" spans="4:4" x14ac:dyDescent="0.25">
      <c r="D5074"/>
    </row>
    <row r="5075" spans="4:4" x14ac:dyDescent="0.25">
      <c r="D5075"/>
    </row>
    <row r="5076" spans="4:4" x14ac:dyDescent="0.25">
      <c r="D5076"/>
    </row>
    <row r="5077" spans="4:4" x14ac:dyDescent="0.25">
      <c r="D5077"/>
    </row>
    <row r="5078" spans="4:4" x14ac:dyDescent="0.25">
      <c r="D5078"/>
    </row>
    <row r="5079" spans="4:4" x14ac:dyDescent="0.25">
      <c r="D5079"/>
    </row>
    <row r="5080" spans="4:4" x14ac:dyDescent="0.25">
      <c r="D5080"/>
    </row>
    <row r="5081" spans="4:4" x14ac:dyDescent="0.25">
      <c r="D5081"/>
    </row>
    <row r="5082" spans="4:4" x14ac:dyDescent="0.25">
      <c r="D5082"/>
    </row>
    <row r="5083" spans="4:4" x14ac:dyDescent="0.25">
      <c r="D5083"/>
    </row>
    <row r="5084" spans="4:4" x14ac:dyDescent="0.25">
      <c r="D5084"/>
    </row>
    <row r="5085" spans="4:4" x14ac:dyDescent="0.25">
      <c r="D5085"/>
    </row>
    <row r="5086" spans="4:4" x14ac:dyDescent="0.25">
      <c r="D5086"/>
    </row>
    <row r="5087" spans="4:4" x14ac:dyDescent="0.25">
      <c r="D5087"/>
    </row>
    <row r="5088" spans="4:4" x14ac:dyDescent="0.25">
      <c r="D5088"/>
    </row>
    <row r="5089" spans="4:4" x14ac:dyDescent="0.25">
      <c r="D5089"/>
    </row>
    <row r="5090" spans="4:4" x14ac:dyDescent="0.25">
      <c r="D5090"/>
    </row>
    <row r="5091" spans="4:4" x14ac:dyDescent="0.25">
      <c r="D5091"/>
    </row>
    <row r="5092" spans="4:4" x14ac:dyDescent="0.25">
      <c r="D5092"/>
    </row>
    <row r="5093" spans="4:4" x14ac:dyDescent="0.25">
      <c r="D5093"/>
    </row>
    <row r="5094" spans="4:4" x14ac:dyDescent="0.25">
      <c r="D5094"/>
    </row>
    <row r="5095" spans="4:4" x14ac:dyDescent="0.25">
      <c r="D5095"/>
    </row>
    <row r="5096" spans="4:4" x14ac:dyDescent="0.25">
      <c r="D5096"/>
    </row>
    <row r="5097" spans="4:4" x14ac:dyDescent="0.25">
      <c r="D5097"/>
    </row>
    <row r="5098" spans="4:4" x14ac:dyDescent="0.25">
      <c r="D5098"/>
    </row>
    <row r="5099" spans="4:4" x14ac:dyDescent="0.25">
      <c r="D5099"/>
    </row>
    <row r="5100" spans="4:4" x14ac:dyDescent="0.25">
      <c r="D5100"/>
    </row>
    <row r="5101" spans="4:4" x14ac:dyDescent="0.25">
      <c r="D5101"/>
    </row>
    <row r="5102" spans="4:4" x14ac:dyDescent="0.25">
      <c r="D5102"/>
    </row>
    <row r="5103" spans="4:4" x14ac:dyDescent="0.25">
      <c r="D5103"/>
    </row>
    <row r="5104" spans="4:4" x14ac:dyDescent="0.25">
      <c r="D5104"/>
    </row>
    <row r="5105" spans="4:4" x14ac:dyDescent="0.25">
      <c r="D5105"/>
    </row>
    <row r="5106" spans="4:4" x14ac:dyDescent="0.25">
      <c r="D5106"/>
    </row>
    <row r="5107" spans="4:4" x14ac:dyDescent="0.25">
      <c r="D5107"/>
    </row>
    <row r="5108" spans="4:4" x14ac:dyDescent="0.25">
      <c r="D5108"/>
    </row>
    <row r="5109" spans="4:4" x14ac:dyDescent="0.25">
      <c r="D5109"/>
    </row>
    <row r="5110" spans="4:4" x14ac:dyDescent="0.25">
      <c r="D5110"/>
    </row>
    <row r="5111" spans="4:4" x14ac:dyDescent="0.25">
      <c r="D5111"/>
    </row>
    <row r="5112" spans="4:4" x14ac:dyDescent="0.25">
      <c r="D5112"/>
    </row>
    <row r="5113" spans="4:4" x14ac:dyDescent="0.25">
      <c r="D5113"/>
    </row>
    <row r="5114" spans="4:4" x14ac:dyDescent="0.25">
      <c r="D5114"/>
    </row>
    <row r="5115" spans="4:4" x14ac:dyDescent="0.25">
      <c r="D5115"/>
    </row>
    <row r="5116" spans="4:4" x14ac:dyDescent="0.25">
      <c r="D5116"/>
    </row>
    <row r="5117" spans="4:4" x14ac:dyDescent="0.25">
      <c r="D5117"/>
    </row>
    <row r="5118" spans="4:4" x14ac:dyDescent="0.25">
      <c r="D5118"/>
    </row>
    <row r="5119" spans="4:4" x14ac:dyDescent="0.25">
      <c r="D5119"/>
    </row>
    <row r="5120" spans="4:4" x14ac:dyDescent="0.25">
      <c r="D5120"/>
    </row>
    <row r="5121" spans="4:4" x14ac:dyDescent="0.25">
      <c r="D5121"/>
    </row>
    <row r="5122" spans="4:4" x14ac:dyDescent="0.25">
      <c r="D5122"/>
    </row>
    <row r="5123" spans="4:4" x14ac:dyDescent="0.25">
      <c r="D5123"/>
    </row>
    <row r="5124" spans="4:4" x14ac:dyDescent="0.25">
      <c r="D5124"/>
    </row>
    <row r="5125" spans="4:4" x14ac:dyDescent="0.25">
      <c r="D5125"/>
    </row>
    <row r="5126" spans="4:4" x14ac:dyDescent="0.25">
      <c r="D5126"/>
    </row>
    <row r="5127" spans="4:4" x14ac:dyDescent="0.25">
      <c r="D5127"/>
    </row>
    <row r="5128" spans="4:4" x14ac:dyDescent="0.25">
      <c r="D5128"/>
    </row>
    <row r="5129" spans="4:4" x14ac:dyDescent="0.25">
      <c r="D5129"/>
    </row>
    <row r="5130" spans="4:4" x14ac:dyDescent="0.25">
      <c r="D5130"/>
    </row>
    <row r="5131" spans="4:4" x14ac:dyDescent="0.25">
      <c r="D5131"/>
    </row>
    <row r="5132" spans="4:4" x14ac:dyDescent="0.25">
      <c r="D5132"/>
    </row>
    <row r="5133" spans="4:4" x14ac:dyDescent="0.25">
      <c r="D5133"/>
    </row>
    <row r="5134" spans="4:4" x14ac:dyDescent="0.25">
      <c r="D5134"/>
    </row>
    <row r="5135" spans="4:4" x14ac:dyDescent="0.25">
      <c r="D5135"/>
    </row>
    <row r="5136" spans="4:4" x14ac:dyDescent="0.25">
      <c r="D5136"/>
    </row>
    <row r="5137" spans="4:4" x14ac:dyDescent="0.25">
      <c r="D5137"/>
    </row>
    <row r="5138" spans="4:4" x14ac:dyDescent="0.25">
      <c r="D5138"/>
    </row>
    <row r="5139" spans="4:4" x14ac:dyDescent="0.25">
      <c r="D5139"/>
    </row>
    <row r="5140" spans="4:4" x14ac:dyDescent="0.25">
      <c r="D5140"/>
    </row>
    <row r="5141" spans="4:4" x14ac:dyDescent="0.25">
      <c r="D5141"/>
    </row>
    <row r="5142" spans="4:4" x14ac:dyDescent="0.25">
      <c r="D5142"/>
    </row>
    <row r="5143" spans="4:4" x14ac:dyDescent="0.25">
      <c r="D5143"/>
    </row>
    <row r="5144" spans="4:4" x14ac:dyDescent="0.25">
      <c r="D5144"/>
    </row>
    <row r="5145" spans="4:4" x14ac:dyDescent="0.25">
      <c r="D5145"/>
    </row>
    <row r="5146" spans="4:4" x14ac:dyDescent="0.25">
      <c r="D5146"/>
    </row>
    <row r="5147" spans="4:4" x14ac:dyDescent="0.25">
      <c r="D5147"/>
    </row>
    <row r="5148" spans="4:4" x14ac:dyDescent="0.25">
      <c r="D5148"/>
    </row>
    <row r="5149" spans="4:4" x14ac:dyDescent="0.25">
      <c r="D5149"/>
    </row>
    <row r="5150" spans="4:4" x14ac:dyDescent="0.25">
      <c r="D5150"/>
    </row>
    <row r="5151" spans="4:4" x14ac:dyDescent="0.25">
      <c r="D5151"/>
    </row>
    <row r="5152" spans="4:4" x14ac:dyDescent="0.25">
      <c r="D5152"/>
    </row>
    <row r="5153" spans="4:4" x14ac:dyDescent="0.25">
      <c r="D5153"/>
    </row>
    <row r="5154" spans="4:4" x14ac:dyDescent="0.25">
      <c r="D5154"/>
    </row>
    <row r="5155" spans="4:4" x14ac:dyDescent="0.25">
      <c r="D5155"/>
    </row>
    <row r="5156" spans="4:4" x14ac:dyDescent="0.25">
      <c r="D5156"/>
    </row>
    <row r="5157" spans="4:4" x14ac:dyDescent="0.25">
      <c r="D5157"/>
    </row>
    <row r="5158" spans="4:4" x14ac:dyDescent="0.25">
      <c r="D5158"/>
    </row>
    <row r="5159" spans="4:4" x14ac:dyDescent="0.25">
      <c r="D5159"/>
    </row>
    <row r="5160" spans="4:4" x14ac:dyDescent="0.25">
      <c r="D5160"/>
    </row>
    <row r="5161" spans="4:4" x14ac:dyDescent="0.25">
      <c r="D5161"/>
    </row>
    <row r="5162" spans="4:4" x14ac:dyDescent="0.25">
      <c r="D5162"/>
    </row>
    <row r="5163" spans="4:4" x14ac:dyDescent="0.25">
      <c r="D5163"/>
    </row>
    <row r="5164" spans="4:4" x14ac:dyDescent="0.25">
      <c r="D5164"/>
    </row>
    <row r="5165" spans="4:4" x14ac:dyDescent="0.25">
      <c r="D5165"/>
    </row>
  </sheetData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1025" r:id="rId5" name="CommandButton1">
          <controlPr defaultSize="0" autoLine="0" r:id="rId6">
            <anchor moveWithCells="1">
              <from>
                <xdr:col>8</xdr:col>
                <xdr:colOff>0</xdr:colOff>
                <xdr:row>2</xdr:row>
                <xdr:rowOff>0</xdr:rowOff>
              </from>
              <to>
                <xdr:col>12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025" r:id="rId5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814D03-1AC8-4F49-9748-F2DEC90988B6}">
  <sheetPr codeName="Лист1"/>
  <dimension ref="B3:G49"/>
  <sheetViews>
    <sheetView workbookViewId="0">
      <selection activeCell="E13" sqref="E13"/>
    </sheetView>
  </sheetViews>
  <sheetFormatPr defaultRowHeight="15" x14ac:dyDescent="0.25"/>
  <cols>
    <col min="2" max="2" width="39.85546875" bestFit="1" customWidth="1"/>
    <col min="3" max="3" width="23" bestFit="1" customWidth="1"/>
  </cols>
  <sheetData>
    <row r="3" spans="2:7" s="6" customFormat="1" ht="30" x14ac:dyDescent="0.25">
      <c r="B3" s="22" t="s">
        <v>59</v>
      </c>
      <c r="C3" s="8" t="s">
        <v>350</v>
      </c>
      <c r="D3"/>
      <c r="E3" s="8"/>
      <c r="F3" s="9" t="s">
        <v>57</v>
      </c>
      <c r="G3" s="9" t="s">
        <v>346</v>
      </c>
    </row>
    <row r="4" spans="2:7" x14ac:dyDescent="0.25">
      <c r="B4" t="s">
        <v>45</v>
      </c>
      <c r="C4" s="28">
        <v>4</v>
      </c>
      <c r="F4" s="2">
        <f>COUNT($C:$C)</f>
        <v>46</v>
      </c>
      <c r="G4" s="2">
        <f>SUM(C:C)</f>
        <v>1194</v>
      </c>
    </row>
    <row r="5" spans="2:7" x14ac:dyDescent="0.25">
      <c r="B5" t="s">
        <v>56</v>
      </c>
      <c r="C5" s="28">
        <v>41</v>
      </c>
    </row>
    <row r="6" spans="2:7" x14ac:dyDescent="0.25">
      <c r="B6" t="s">
        <v>22</v>
      </c>
      <c r="C6" s="28">
        <v>15</v>
      </c>
    </row>
    <row r="7" spans="2:7" x14ac:dyDescent="0.25">
      <c r="B7" t="s">
        <v>27</v>
      </c>
      <c r="C7" s="28">
        <v>12</v>
      </c>
    </row>
    <row r="8" spans="2:7" x14ac:dyDescent="0.25">
      <c r="B8" t="s">
        <v>30</v>
      </c>
      <c r="C8" s="28">
        <v>6</v>
      </c>
    </row>
    <row r="9" spans="2:7" x14ac:dyDescent="0.25">
      <c r="B9" t="s">
        <v>41</v>
      </c>
      <c r="C9" s="28">
        <v>54</v>
      </c>
    </row>
    <row r="10" spans="2:7" x14ac:dyDescent="0.25">
      <c r="B10" t="s">
        <v>25</v>
      </c>
      <c r="C10" s="28">
        <v>35</v>
      </c>
    </row>
    <row r="11" spans="2:7" x14ac:dyDescent="0.25">
      <c r="B11" t="s">
        <v>32</v>
      </c>
      <c r="C11" s="28">
        <v>48</v>
      </c>
    </row>
    <row r="12" spans="2:7" x14ac:dyDescent="0.25">
      <c r="B12" t="s">
        <v>42</v>
      </c>
      <c r="C12" s="28">
        <v>39</v>
      </c>
    </row>
    <row r="13" spans="2:7" x14ac:dyDescent="0.25">
      <c r="B13" t="s">
        <v>47</v>
      </c>
      <c r="C13" s="28">
        <v>39</v>
      </c>
    </row>
    <row r="14" spans="2:7" x14ac:dyDescent="0.25">
      <c r="B14" t="s">
        <v>49</v>
      </c>
      <c r="C14" s="28">
        <v>7</v>
      </c>
    </row>
    <row r="15" spans="2:7" x14ac:dyDescent="0.25">
      <c r="B15" t="s">
        <v>43</v>
      </c>
      <c r="C15" s="28">
        <v>16</v>
      </c>
    </row>
    <row r="16" spans="2:7" x14ac:dyDescent="0.25">
      <c r="B16" t="s">
        <v>23</v>
      </c>
      <c r="C16" s="28">
        <v>22</v>
      </c>
    </row>
    <row r="17" spans="2:3" x14ac:dyDescent="0.25">
      <c r="B17" t="s">
        <v>33</v>
      </c>
      <c r="C17" s="28">
        <v>22</v>
      </c>
    </row>
    <row r="18" spans="2:3" x14ac:dyDescent="0.25">
      <c r="B18" t="s">
        <v>46</v>
      </c>
      <c r="C18" s="28">
        <v>4</v>
      </c>
    </row>
    <row r="19" spans="2:3" x14ac:dyDescent="0.25">
      <c r="B19" t="s">
        <v>44</v>
      </c>
      <c r="C19" s="28">
        <v>6</v>
      </c>
    </row>
    <row r="20" spans="2:3" x14ac:dyDescent="0.25">
      <c r="B20" t="s">
        <v>16</v>
      </c>
      <c r="C20" s="28">
        <v>8</v>
      </c>
    </row>
    <row r="21" spans="2:3" x14ac:dyDescent="0.25">
      <c r="B21" t="s">
        <v>26</v>
      </c>
      <c r="C21" s="28">
        <v>13</v>
      </c>
    </row>
    <row r="22" spans="2:3" x14ac:dyDescent="0.25">
      <c r="B22" t="s">
        <v>34</v>
      </c>
      <c r="C22" s="28">
        <v>4</v>
      </c>
    </row>
    <row r="23" spans="2:3" x14ac:dyDescent="0.25">
      <c r="B23" t="s">
        <v>35</v>
      </c>
      <c r="C23" s="28">
        <v>3</v>
      </c>
    </row>
    <row r="24" spans="2:3" x14ac:dyDescent="0.25">
      <c r="B24" t="s">
        <v>24</v>
      </c>
      <c r="C24" s="28">
        <v>4</v>
      </c>
    </row>
    <row r="25" spans="2:3" x14ac:dyDescent="0.25">
      <c r="B25" t="s">
        <v>29</v>
      </c>
      <c r="C25" s="28">
        <v>6</v>
      </c>
    </row>
    <row r="26" spans="2:3" x14ac:dyDescent="0.25">
      <c r="B26" t="s">
        <v>17</v>
      </c>
      <c r="C26" s="28">
        <v>2</v>
      </c>
    </row>
    <row r="27" spans="2:3" x14ac:dyDescent="0.25">
      <c r="B27" t="s">
        <v>18</v>
      </c>
      <c r="C27" s="28">
        <v>38</v>
      </c>
    </row>
    <row r="28" spans="2:3" x14ac:dyDescent="0.25">
      <c r="B28" t="s">
        <v>11</v>
      </c>
      <c r="C28" s="28">
        <v>14</v>
      </c>
    </row>
    <row r="29" spans="2:3" x14ac:dyDescent="0.25">
      <c r="B29" t="s">
        <v>12</v>
      </c>
      <c r="C29" s="28">
        <v>24</v>
      </c>
    </row>
    <row r="30" spans="2:3" x14ac:dyDescent="0.25">
      <c r="B30" t="s">
        <v>13</v>
      </c>
      <c r="C30" s="28">
        <v>214</v>
      </c>
    </row>
    <row r="31" spans="2:3" x14ac:dyDescent="0.25">
      <c r="B31" t="s">
        <v>36</v>
      </c>
      <c r="C31" s="28">
        <v>4</v>
      </c>
    </row>
    <row r="32" spans="2:3" x14ac:dyDescent="0.25">
      <c r="B32" t="s">
        <v>53</v>
      </c>
      <c r="C32" s="28">
        <v>10</v>
      </c>
    </row>
    <row r="33" spans="2:3" x14ac:dyDescent="0.25">
      <c r="B33" t="s">
        <v>14</v>
      </c>
      <c r="C33" s="28">
        <v>224</v>
      </c>
    </row>
    <row r="34" spans="2:3" x14ac:dyDescent="0.25">
      <c r="B34" t="s">
        <v>50</v>
      </c>
      <c r="C34" s="28">
        <v>7</v>
      </c>
    </row>
    <row r="35" spans="2:3" x14ac:dyDescent="0.25">
      <c r="B35" t="s">
        <v>37</v>
      </c>
      <c r="C35" s="28">
        <v>6</v>
      </c>
    </row>
    <row r="36" spans="2:3" x14ac:dyDescent="0.25">
      <c r="B36" t="s">
        <v>19</v>
      </c>
      <c r="C36" s="28">
        <v>52</v>
      </c>
    </row>
    <row r="37" spans="2:3" x14ac:dyDescent="0.25">
      <c r="B37" t="s">
        <v>38</v>
      </c>
      <c r="C37" s="28">
        <v>20</v>
      </c>
    </row>
    <row r="38" spans="2:3" x14ac:dyDescent="0.25">
      <c r="B38" t="s">
        <v>55</v>
      </c>
      <c r="C38" s="28">
        <v>4</v>
      </c>
    </row>
    <row r="39" spans="2:3" x14ac:dyDescent="0.25">
      <c r="B39" t="s">
        <v>51</v>
      </c>
      <c r="C39" s="28">
        <v>2</v>
      </c>
    </row>
    <row r="40" spans="2:3" x14ac:dyDescent="0.25">
      <c r="B40" t="s">
        <v>20</v>
      </c>
      <c r="C40" s="28">
        <v>22</v>
      </c>
    </row>
    <row r="41" spans="2:3" x14ac:dyDescent="0.25">
      <c r="B41" t="s">
        <v>21</v>
      </c>
      <c r="C41" s="28">
        <v>9</v>
      </c>
    </row>
    <row r="42" spans="2:3" x14ac:dyDescent="0.25">
      <c r="B42" t="s">
        <v>28</v>
      </c>
      <c r="C42" s="28">
        <v>9</v>
      </c>
    </row>
    <row r="43" spans="2:3" x14ac:dyDescent="0.25">
      <c r="B43" t="s">
        <v>15</v>
      </c>
      <c r="C43" s="28">
        <v>78</v>
      </c>
    </row>
    <row r="44" spans="2:3" x14ac:dyDescent="0.25">
      <c r="B44" t="s">
        <v>31</v>
      </c>
      <c r="C44" s="28">
        <v>22</v>
      </c>
    </row>
    <row r="45" spans="2:3" x14ac:dyDescent="0.25">
      <c r="B45" t="s">
        <v>48</v>
      </c>
      <c r="C45" s="28">
        <v>2</v>
      </c>
    </row>
    <row r="46" spans="2:3" x14ac:dyDescent="0.25">
      <c r="B46" t="s">
        <v>39</v>
      </c>
      <c r="C46" s="28">
        <v>10</v>
      </c>
    </row>
    <row r="47" spans="2:3" x14ac:dyDescent="0.25">
      <c r="B47" t="s">
        <v>40</v>
      </c>
      <c r="C47" s="28">
        <v>9</v>
      </c>
    </row>
    <row r="48" spans="2:3" x14ac:dyDescent="0.25">
      <c r="B48" t="s">
        <v>54</v>
      </c>
      <c r="C48" s="28">
        <v>3</v>
      </c>
    </row>
    <row r="49" spans="2:3" x14ac:dyDescent="0.25">
      <c r="B49" t="s">
        <v>52</v>
      </c>
      <c r="C49" s="28">
        <v>1</v>
      </c>
    </row>
  </sheetData>
  <dataConsolidate/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AA643-6EA0-4F00-B5B0-B3C24E7C9183}">
  <sheetPr codeName="Лист2"/>
  <dimension ref="A1:G9"/>
  <sheetViews>
    <sheetView workbookViewId="0">
      <selection activeCell="E1" sqref="E1"/>
    </sheetView>
  </sheetViews>
  <sheetFormatPr defaultRowHeight="15" x14ac:dyDescent="0.25"/>
  <cols>
    <col min="1" max="1" width="20.5703125" bestFit="1" customWidth="1"/>
    <col min="2" max="2" width="21" bestFit="1" customWidth="1"/>
    <col min="5" max="5" width="19.28515625" customWidth="1"/>
    <col min="6" max="6" width="2.85546875" customWidth="1"/>
    <col min="7" max="7" width="19" customWidth="1"/>
  </cols>
  <sheetData>
    <row r="1" spans="1:7" x14ac:dyDescent="0.25">
      <c r="A1" t="s">
        <v>0</v>
      </c>
      <c r="B1" t="s">
        <v>1</v>
      </c>
      <c r="E1" s="4" t="s">
        <v>2</v>
      </c>
      <c r="G1" t="s">
        <v>60</v>
      </c>
    </row>
    <row r="2" spans="1:7" x14ac:dyDescent="0.25">
      <c r="A2" s="1">
        <v>45108</v>
      </c>
      <c r="B2" s="1">
        <v>44866</v>
      </c>
      <c r="E2" s="3" t="s">
        <v>3</v>
      </c>
      <c r="G2" t="s">
        <v>58</v>
      </c>
    </row>
    <row r="3" spans="1:7" x14ac:dyDescent="0.25">
      <c r="E3" s="3" t="s">
        <v>4</v>
      </c>
      <c r="G3" t="s">
        <v>61</v>
      </c>
    </row>
    <row r="4" spans="1:7" x14ac:dyDescent="0.25">
      <c r="E4" s="3" t="s">
        <v>5</v>
      </c>
      <c r="G4" t="s">
        <v>59</v>
      </c>
    </row>
    <row r="5" spans="1:7" x14ac:dyDescent="0.25">
      <c r="E5" s="3" t="s">
        <v>6</v>
      </c>
      <c r="G5" t="s">
        <v>62</v>
      </c>
    </row>
    <row r="6" spans="1:7" x14ac:dyDescent="0.25">
      <c r="E6" s="3" t="s">
        <v>7</v>
      </c>
    </row>
    <row r="7" spans="1:7" x14ac:dyDescent="0.25">
      <c r="E7" s="3" t="s">
        <v>8</v>
      </c>
    </row>
    <row r="8" spans="1:7" x14ac:dyDescent="0.25">
      <c r="E8" s="3" t="s">
        <v>9</v>
      </c>
    </row>
    <row r="9" spans="1:7" x14ac:dyDescent="0.25">
      <c r="E9" s="5" t="s">
        <v>10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!2>4_  84  =><5=:;0BC@K >;8G5AB2>_ 0@B 84  =><5=:;0BC@K >;8G5AB2>_ 0@B 
</file>

<file path=customXml/item3.xml>�� 
</file>

<file path=customXml/item4.xml>�� 
</file>

<file path=customXml/item5.xml>�� 
</file>

<file path=customXml/item6.xml>�� 
</file>

<file path=customXml/item7.xml>�� ><5=:;0BC@0 ><5=:;0BC@0 84  =><5=:;0BC@K 08<5=>20=85 @B8:C; ">20@=0O  :0B53>@8O !2>4_  !2>4_  84  =><5=:;0BC@K >;8G5AB2>_ 0@B 
</file>

<file path=customXml/item8.xml>�� 
</file>

<file path=customXml/item9.xml>�� !2>4_  
</file>

<file path=customXml/item10.xml>�� ><5=:;0BC@0 84  =><5=:;0BC@K 08<5=>20=85 @B8:C; ">20@=0O  :0B53>@8O 84  =><5=:;0BC@K 08<5=>20=85 @B8:C; ">20@=0O  :0B53>@8O 
</file>

<file path=customXml/item11.xml>�� 
</file>

<file path=customXml/item12.xml>�� ><5=:;0BC@0, !2>4_  !B>;1FK _ ?>43>B>2;5==K5 _  , ><5=:;0BC@0 
</file>

<file path=customXml/item13.xml>�� 
</file>

<file path=customXml/item14.xml>�� 
</file>

<file path=customXml/item15.xml>�� ><5=:;0BC@0 !2>4_  
</file>

<file path=customXml/item16.xml>�� ><5=:;0BC@0 ><5=:;0BC@0 '8A;>  M;5<5=B>2  2  AB>;1F5  08<5=>20=85 '8A;>  M;5<5=B>2  2  AB>;1F5  08<5=>20=85 $>@<C;0 '8A;>  M;5<5=B>2  2  AB>;1F5  08<5=>20=85 =0G5=85 84  =><5=:;0BC@K 08<5=>20=85 @B8:C; ">20@=0O  :0B53>@8O '8A;>  M;5<5=B>2  2  AB>;1F5  08<5=>20=85 08<5=>20=85 '8A;>  M;5<5=B>2  2  AB>;1F5  08<5=>20=85 08<5=>20=85 '8A;>  M;5<5=B>2  2  AB>;1F5  08<5=>20=85 08<5=>20=85 '8A;>  M;5<5=B>2  2  AB>;1F5  08<5=>20=85 '8A;>  M;5<5=B>2  2  AB>;1F5  08<5=>20=85 $>@<C;0 '8A;>  M;5<5=B>2  2  AB>;1F5  08<5=>20=85 =0G5=85 84  =><5=:;0BC@K 08<5=>20=85 @B8:C; ">20@=0O  :0B53>@8O '8A;>  M;5<5=B>2  2  AB>;1F5  08<5=>20=85 08<5=>20=85 '8A;>  M;5<5=B>2  2  AB>;1F5  08<5=>20=85 08<5=>20=85 '8A;>  M;5<5=B>2  2  AB>;1F5  08<5=>20=85 08<5=>20=85 !2>4_  !2>4_  84  =><5=:;0BC@K >;8G5AB2>_ 0@B 84  =><5=:;0BC@K >;8G5AB2>_ 0@B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B1A0AB9F-6E9A-4F0C-AAD6-99D3E7D59FBA}">
  <ds:schemaRefs/>
</ds:datastoreItem>
</file>

<file path=customXml/itemProps2.xml><?xml version="1.0" encoding="utf-8"?>
<ds:datastoreItem xmlns:ds="http://schemas.openxmlformats.org/officeDocument/2006/customXml" ds:itemID="{69DE048F-A932-4060-9C21-5FB328C62E19}">
  <ds:schemaRefs/>
</ds:datastoreItem>
</file>

<file path=customXml/itemProps3.xml><?xml version="1.0" encoding="utf-8"?>
<ds:datastoreItem xmlns:ds="http://schemas.openxmlformats.org/officeDocument/2006/customXml" ds:itemID="{91E2A1D2-38BC-451D-850E-A3684E6C5190}">
  <ds:schemaRefs/>
</ds:datastoreItem>
</file>

<file path=customXml/itemProps4.xml><?xml version="1.0" encoding="utf-8"?>
<ds:datastoreItem xmlns:ds="http://schemas.openxmlformats.org/officeDocument/2006/customXml" ds:itemID="{2C0D2F1C-ACA1-4676-B4B6-23C89872792F}">
  <ds:schemaRefs/>
</ds:datastoreItem>
</file>

<file path=customXml/itemProps5.xml><?xml version="1.0" encoding="utf-8"?>
<ds:datastoreItem xmlns:ds="http://schemas.openxmlformats.org/officeDocument/2006/customXml" ds:itemID="{6FB5DCFF-B85C-4B05-B5EE-1DC97B01FE57}">
  <ds:schemaRefs/>
</ds:datastoreItem>
</file>

<file path=customXml/itemProps6.xml><?xml version="1.0" encoding="utf-8"?>
<ds:datastoreItem xmlns:ds="http://schemas.openxmlformats.org/officeDocument/2006/customXml" ds:itemID="{DDC95DA6-3F2B-4989-AB30-FF560134FD5C}">
  <ds:schemaRefs/>
</ds:datastoreItem>
</file>

<file path=customXml/itemProps7.xml><?xml version="1.0" encoding="utf-8"?>
<ds:datastoreItem xmlns:ds="http://schemas.openxmlformats.org/officeDocument/2006/customXml" ds:itemID="{7B534419-24E8-466E-8AF8-01F395B66D28}">
  <ds:schemaRefs/>
</ds:datastoreItem>
</file>

<file path=customXml/itemProps8.xml><?xml version="1.0" encoding="utf-8"?>
<ds:datastoreItem xmlns:ds="http://schemas.openxmlformats.org/officeDocument/2006/customXml" ds:itemID="{BAB9A678-AF52-4A83-940B-63DAA56407FA}">
  <ds:schemaRefs/>
</ds:datastoreItem>
</file>

<file path=customXml/itemProps9.xml><?xml version="1.0" encoding="utf-8"?>
<ds:datastoreItem xmlns:ds="http://schemas.openxmlformats.org/officeDocument/2006/customXml" ds:itemID="{305C54F3-CEAD-4A62-B0DF-D07606901636}">
  <ds:schemaRefs/>
</ds:datastoreItem>
</file>

<file path=customXml/itemProps10.xml><?xml version="1.0" encoding="utf-8"?>
<ds:datastoreItem xmlns:ds="http://schemas.openxmlformats.org/officeDocument/2006/customXml" ds:itemID="{8F16439C-3F6E-477F-BD6B-81917DE2B2FC}">
  <ds:schemaRefs/>
</ds:datastoreItem>
</file>

<file path=customXml/itemProps11.xml><?xml version="1.0" encoding="utf-8"?>
<ds:datastoreItem xmlns:ds="http://schemas.openxmlformats.org/officeDocument/2006/customXml" ds:itemID="{4B8176EC-1EF6-49E0-A145-2723B6E6791D}">
  <ds:schemaRefs/>
</ds:datastoreItem>
</file>

<file path=customXml/itemProps12.xml><?xml version="1.0" encoding="utf-8"?>
<ds:datastoreItem xmlns:ds="http://schemas.openxmlformats.org/officeDocument/2006/customXml" ds:itemID="{6B452BF9-3048-4744-8494-FF50C4B12DEB}">
  <ds:schemaRefs/>
</ds:datastoreItem>
</file>

<file path=customXml/itemProps13.xml><?xml version="1.0" encoding="utf-8"?>
<ds:datastoreItem xmlns:ds="http://schemas.openxmlformats.org/officeDocument/2006/customXml" ds:itemID="{ECC32D53-F448-406C-A46B-D9B61B427F87}">
  <ds:schemaRefs/>
</ds:datastoreItem>
</file>

<file path=customXml/itemProps14.xml><?xml version="1.0" encoding="utf-8"?>
<ds:datastoreItem xmlns:ds="http://schemas.openxmlformats.org/officeDocument/2006/customXml" ds:itemID="{39F1AE75-FC02-4D5F-BD25-C7839B735E06}">
  <ds:schemaRefs/>
</ds:datastoreItem>
</file>

<file path=customXml/itemProps15.xml><?xml version="1.0" encoding="utf-8"?>
<ds:datastoreItem xmlns:ds="http://schemas.openxmlformats.org/officeDocument/2006/customXml" ds:itemID="{87D10AC1-E3C9-4CEC-9D05-ADF9461CA73C}">
  <ds:schemaRefs/>
</ds:datastoreItem>
</file>

<file path=customXml/itemProps16.xml><?xml version="1.0" encoding="utf-8"?>
<ds:datastoreItem xmlns:ds="http://schemas.openxmlformats.org/officeDocument/2006/customXml" ds:itemID="{0DF02A76-5BDA-42E6-B19D-CBDCFA62183B}">
  <ds:schemaRefs/>
</ds:datastoreItem>
</file>

<file path=customXml/itemProps17.xml><?xml version="1.0" encoding="utf-8"?>
<ds:datastoreItem xmlns:ds="http://schemas.openxmlformats.org/officeDocument/2006/customXml" ds:itemID="{C0D05050-ECCE-41F9-96D3-1FC04DC90A55}">
  <ds:schemaRefs/>
</ds:datastoreItem>
</file>

<file path=customXml/itemProps18.xml><?xml version="1.0" encoding="utf-8"?>
<ds:datastoreItem xmlns:ds="http://schemas.openxmlformats.org/officeDocument/2006/customXml" ds:itemID="{8C9B0206-82E6-4BA4-B636-BE1EDE65414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Итог</vt:lpstr>
      <vt:lpstr>Свод_ТГ</vt:lpstr>
      <vt:lpstr>Свод_НМ</vt:lpstr>
      <vt:lpstr>ВСП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Воротынцев Станислав Сергеевич</dc:creator>
  <cp:lastModifiedBy>Жигульских Евгений Олегович</cp:lastModifiedBy>
  <dcterms:created xsi:type="dcterms:W3CDTF">2015-06-05T18:19:34Z</dcterms:created>
  <dcterms:modified xsi:type="dcterms:W3CDTF">2023-09-21T10:27:53Z</dcterms:modified>
</cp:coreProperties>
</file>